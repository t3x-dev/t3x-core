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2" autoFilterDateGrouping="1"/>
  </bookViews>
  <sheets>
    <sheet xmlns:r="http://schemas.openxmlformats.org/officeDocument/2006/relationships" name="sheet1-指标体系" sheetId="1" state="visible" r:id="rId1"/>
    <sheet xmlns:r="http://schemas.openxmlformats.org/officeDocument/2006/relationships" name="sheet2-计算明细" sheetId="2" state="visible" r:id="rId2"/>
    <sheet xmlns:r="http://schemas.openxmlformats.org/officeDocument/2006/relationships" name="sheet3-分类汇总" sheetId="3" state="visible" r:id="rId3"/>
    <sheet xmlns:r="http://schemas.openxmlformats.org/officeDocument/2006/relationships" name="sheet4-原始数据" sheetId="4" state="visible" r:id="rId4"/>
    <sheet xmlns:r="http://schemas.openxmlformats.org/officeDocument/2006/relationships" name="净值原始" sheetId="5" state="visible" r:id="rId5"/>
    <sheet xmlns:r="http://schemas.openxmlformats.org/officeDocument/2006/relationships" name="补数计算" sheetId="6" state="visible" r:id="rId6"/>
    <sheet xmlns:r="http://schemas.openxmlformats.org/officeDocument/2006/relationships" name="最新核对" sheetId="7" state="visible" r:id="rId7"/>
    <sheet xmlns:r="http://schemas.openxmlformats.org/officeDocument/2006/relationships" name="协会公示" sheetId="8" state="visible" r:id="rId8"/>
    <sheet xmlns:r="http://schemas.openxmlformats.org/officeDocument/2006/relationships" name="最新大规模策略池" sheetId="9" state="visible" r:id="rId9"/>
    <sheet xmlns:r="http://schemas.openxmlformats.org/officeDocument/2006/relationships" name="最新小规模策略池" sheetId="10" state="visible" r:id="rId10"/>
  </sheets>
  <definedNames>
    <definedName name="_xlnm._FilterDatabase" localSheetId="4" hidden="1">'净值原始'!$A$1:$G$10</definedName>
    <definedName name="_xlnm._FilterDatabase" localSheetId="5" hidden="1">'补数计算'!$A$1:$G$28</definedName>
    <definedName name="_xlnm._FilterDatabase" localSheetId="6" hidden="1">'最新核对'!$A$1:$G$30</definedName>
    <definedName name="_xlnm._FilterDatabase" localSheetId="7" hidden="1">'协会公示'!$A$1:$K$315</definedName>
    <definedName name="_xlnm._FilterDatabase" localSheetId="8" hidden="1">'最新大规模策略池'!$A$1:$K$199</definedName>
    <definedName name="_xlnm._FilterDatabase" localSheetId="9" hidden="1">'最新小规模策略池'!$A$1:$K$117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"/>
    <numFmt numFmtId="166" formatCode="0.0000"/>
  </numFmts>
  <fonts count="30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000000"/>
      <sz val="10"/>
    </font>
    <font>
      <name val="Arial"/>
      <charset val="134"/>
      <b val="1"/>
      <color rgb="FF000000"/>
      <sz val="16"/>
    </font>
    <font>
      <name val="Arial"/>
      <charset val="134"/>
      <i val="1"/>
      <color rgb="FF666666"/>
      <sz val="10"/>
    </font>
    <font>
      <name val="Arial"/>
      <charset val="134"/>
      <color rgb="FF008000"/>
      <sz val="10"/>
    </font>
    <font>
      <name val="Arial"/>
      <charset val="134"/>
      <b val="1"/>
      <color rgb="FF000000"/>
      <sz val="10"/>
    </font>
    <font>
      <name val="Arial"/>
      <charset val="134"/>
      <color rgb="FF0000FF"/>
      <sz val="10"/>
    </font>
    <font>
      <name val="Arial"/>
      <charset val="134"/>
      <b val="1"/>
      <color rgb="FF1F4E7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4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1F4E7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2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13" borderId="12" applyAlignment="1">
      <alignment vertical="center"/>
    </xf>
    <xf numFmtId="0" fontId="19" fillId="14" borderId="13" applyAlignment="1">
      <alignment vertical="center"/>
    </xf>
    <xf numFmtId="0" fontId="20" fillId="14" borderId="12" applyAlignment="1">
      <alignment vertical="center"/>
    </xf>
    <xf numFmtId="0" fontId="21" fillId="15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8" fillId="40" borderId="0" applyAlignment="1">
      <alignment vertical="center"/>
    </xf>
    <xf numFmtId="0" fontId="28" fillId="41" borderId="0" applyAlignment="1">
      <alignment vertical="center"/>
    </xf>
    <xf numFmtId="0" fontId="27" fillId="42" borderId="0" applyAlignment="1">
      <alignment vertical="center"/>
    </xf>
    <xf numFmtId="0" fontId="0" fillId="0" borderId="0"/>
  </cellStyleXfs>
  <cellXfs count="95">
    <xf numFmtId="0" fontId="0" fillId="0" borderId="0" pivotButton="0" quotePrefix="0" xfId="49"/>
    <xf numFmtId="0" fontId="1" fillId="2" borderId="1" applyAlignment="1" pivotButton="0" quotePrefix="0" xfId="49">
      <alignment horizontal="center" vertical="center" wrapText="1"/>
    </xf>
    <xf numFmtId="0" fontId="2" fillId="0" borderId="0" pivotButton="0" quotePrefix="0" xfId="49"/>
    <xf numFmtId="0" fontId="3" fillId="0" borderId="2" applyAlignment="1" pivotButton="0" quotePrefix="0" xfId="49">
      <alignment vertical="center"/>
    </xf>
    <xf numFmtId="0" fontId="4" fillId="0" borderId="0" pivotButton="0" quotePrefix="0" xfId="49"/>
    <xf numFmtId="0" fontId="1" fillId="3" borderId="3" applyAlignment="1" pivotButton="0" quotePrefix="0" xfId="49">
      <alignment horizontal="center" vertical="center"/>
    </xf>
    <xf numFmtId="0" fontId="1" fillId="3" borderId="4" applyAlignment="1" pivotButton="0" quotePrefix="0" xfId="49">
      <alignment horizontal="center" vertical="center"/>
    </xf>
    <xf numFmtId="0" fontId="1" fillId="3" borderId="5" applyAlignment="1" pivotButton="0" quotePrefix="0" xfId="49">
      <alignment horizontal="center" vertical="center"/>
    </xf>
    <xf numFmtId="0" fontId="1" fillId="4" borderId="3" applyAlignment="1" pivotButton="0" quotePrefix="0" xfId="49">
      <alignment horizontal="center" vertical="center"/>
    </xf>
    <xf numFmtId="0" fontId="1" fillId="4" borderId="4" applyAlignment="1" pivotButton="0" quotePrefix="0" xfId="49">
      <alignment horizontal="center" vertical="center"/>
    </xf>
    <xf numFmtId="0" fontId="1" fillId="4" borderId="5" applyAlignment="1" pivotButton="0" quotePrefix="0" xfId="49">
      <alignment horizontal="center" vertical="center"/>
    </xf>
    <xf numFmtId="0" fontId="1" fillId="5" borderId="3" applyAlignment="1" pivotButton="0" quotePrefix="0" xfId="49">
      <alignment horizontal="center" vertical="center"/>
    </xf>
    <xf numFmtId="0" fontId="1" fillId="5" borderId="4" applyAlignment="1" pivotButton="0" quotePrefix="0" xfId="49">
      <alignment horizontal="center" vertical="center"/>
    </xf>
    <xf numFmtId="0" fontId="1" fillId="5" borderId="5" applyAlignment="1" pivotButton="0" quotePrefix="0" xfId="49">
      <alignment horizontal="center" vertical="center"/>
    </xf>
    <xf numFmtId="0" fontId="1" fillId="2" borderId="3" applyAlignment="1" pivotButton="0" quotePrefix="0" xfId="49">
      <alignment horizontal="center" vertical="center"/>
    </xf>
    <xf numFmtId="0" fontId="1" fillId="2" borderId="4" applyAlignment="1" pivotButton="0" quotePrefix="0" xfId="49">
      <alignment horizontal="center" vertical="center"/>
    </xf>
    <xf numFmtId="0" fontId="1" fillId="2" borderId="5" applyAlignment="1" pivotButton="0" quotePrefix="0" xfId="49">
      <alignment horizontal="center" vertical="center"/>
    </xf>
    <xf numFmtId="0" fontId="1" fillId="3" borderId="1" applyAlignment="1" pivotButton="0" quotePrefix="0" xfId="49">
      <alignment horizontal="center" vertical="center" wrapText="1"/>
    </xf>
    <xf numFmtId="0" fontId="5" fillId="0" borderId="0" pivotButton="0" quotePrefix="0" xfId="49"/>
    <xf numFmtId="2" fontId="5" fillId="0" borderId="0" pivotButton="0" quotePrefix="0" xfId="49"/>
    <xf numFmtId="2" fontId="2" fillId="0" borderId="0" pivotButton="0" quotePrefix="0" xfId="49"/>
    <xf numFmtId="164" fontId="5" fillId="0" borderId="0" pivotButton="0" quotePrefix="0" xfId="49"/>
    <xf numFmtId="0" fontId="5" fillId="0" borderId="0" applyAlignment="1" pivotButton="0" quotePrefix="0" xfId="49">
      <alignment wrapText="1"/>
    </xf>
    <xf numFmtId="0" fontId="5" fillId="0" borderId="6" pivotButton="0" quotePrefix="0" xfId="49"/>
    <xf numFmtId="9" fontId="5" fillId="0" borderId="6" pivotButton="0" quotePrefix="0" xfId="49"/>
    <xf numFmtId="164" fontId="5" fillId="0" borderId="6" pivotButton="0" quotePrefix="0" xfId="49"/>
    <xf numFmtId="164" fontId="2" fillId="0" borderId="6" pivotButton="0" quotePrefix="0" xfId="49"/>
    <xf numFmtId="0" fontId="2" fillId="0" borderId="6" pivotButton="0" quotePrefix="0" xfId="49"/>
    <xf numFmtId="0" fontId="6" fillId="0" borderId="6" pivotButton="0" quotePrefix="0" xfId="49"/>
    <xf numFmtId="164" fontId="6" fillId="0" borderId="6" pivotButton="0" quotePrefix="0" xfId="49"/>
    <xf numFmtId="0" fontId="1" fillId="6" borderId="3" applyAlignment="1" pivotButton="0" quotePrefix="0" xfId="49">
      <alignment horizontal="center" vertical="center"/>
    </xf>
    <xf numFmtId="0" fontId="1" fillId="6" borderId="4" applyAlignment="1" pivotButton="0" quotePrefix="0" xfId="49">
      <alignment horizontal="center" vertical="center"/>
    </xf>
    <xf numFmtId="0" fontId="1" fillId="6" borderId="5" applyAlignment="1" pivotButton="0" quotePrefix="0" xfId="49">
      <alignment horizontal="center" vertical="center"/>
    </xf>
    <xf numFmtId="0" fontId="1" fillId="7" borderId="3" applyAlignment="1" pivotButton="0" quotePrefix="0" xfId="49">
      <alignment horizontal="center" vertical="center"/>
    </xf>
    <xf numFmtId="0" fontId="1" fillId="7" borderId="4" applyAlignment="1" pivotButton="0" quotePrefix="0" xfId="49">
      <alignment horizontal="center" vertical="center"/>
    </xf>
    <xf numFmtId="0" fontId="1" fillId="7" borderId="5" applyAlignment="1" pivotButton="0" quotePrefix="0" xfId="49">
      <alignment horizontal="center" vertical="center"/>
    </xf>
    <xf numFmtId="0" fontId="1" fillId="8" borderId="3" applyAlignment="1" pivotButton="0" quotePrefix="0" xfId="49">
      <alignment horizontal="center" vertical="center"/>
    </xf>
    <xf numFmtId="0" fontId="1" fillId="8" borderId="4" applyAlignment="1" pivotButton="0" quotePrefix="0" xfId="49">
      <alignment horizontal="center" vertical="center"/>
    </xf>
    <xf numFmtId="0" fontId="1" fillId="8" borderId="5" applyAlignment="1" pivotButton="0" quotePrefix="0" xfId="49">
      <alignment horizontal="center" vertical="center"/>
    </xf>
    <xf numFmtId="0" fontId="1" fillId="9" borderId="3" applyAlignment="1" pivotButton="0" quotePrefix="0" xfId="49">
      <alignment horizontal="center" vertical="center"/>
    </xf>
    <xf numFmtId="0" fontId="1" fillId="9" borderId="5" applyAlignment="1" pivotButton="0" quotePrefix="0" xfId="49">
      <alignment horizontal="center" vertical="center"/>
    </xf>
    <xf numFmtId="165" fontId="5" fillId="0" borderId="0" pivotButton="0" quotePrefix="0" xfId="49"/>
    <xf numFmtId="49" fontId="5" fillId="0" borderId="0" applyAlignment="1" pivotButton="0" quotePrefix="0" xfId="49">
      <alignment wrapText="1"/>
    </xf>
    <xf numFmtId="2" fontId="5" fillId="0" borderId="0" applyAlignment="1" pivotButton="0" quotePrefix="0" xfId="49">
      <alignment wrapText="1"/>
    </xf>
    <xf numFmtId="10" fontId="5" fillId="0" borderId="0" pivotButton="0" quotePrefix="0" xfId="49"/>
    <xf numFmtId="10" fontId="7" fillId="10" borderId="0" pivotButton="0" quotePrefix="0" xfId="49"/>
    <xf numFmtId="10" fontId="2" fillId="0" borderId="0" pivotButton="0" quotePrefix="0" xfId="49"/>
    <xf numFmtId="166" fontId="5" fillId="0" borderId="0" pivotButton="0" quotePrefix="0" xfId="49"/>
    <xf numFmtId="164" fontId="2" fillId="0" borderId="0" pivotButton="0" quotePrefix="0" xfId="49"/>
    <xf numFmtId="1" fontId="2" fillId="0" borderId="0" pivotButton="0" quotePrefix="0" xfId="49"/>
    <xf numFmtId="0" fontId="2" fillId="0" borderId="0" applyAlignment="1" pivotButton="0" quotePrefix="0" xfId="49">
      <alignment wrapText="1"/>
    </xf>
    <xf numFmtId="1" fontId="5" fillId="0" borderId="0" pivotButton="0" quotePrefix="0" xfId="49"/>
    <xf numFmtId="0" fontId="6" fillId="0" borderId="7" applyAlignment="1" pivotButton="0" quotePrefix="0" xfId="49">
      <alignment vertical="center" wrapText="1"/>
    </xf>
    <xf numFmtId="9" fontId="6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49">
      <alignment horizontal="center" vertical="center" wrapText="1"/>
    </xf>
    <xf numFmtId="9" fontId="2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49">
      <alignment vertical="center" wrapText="1"/>
    </xf>
    <xf numFmtId="164" fontId="2" fillId="0" borderId="7" applyAlignment="1" pivotButton="0" quotePrefix="0" xfId="49">
      <alignment horizontal="center" vertical="center" wrapText="1"/>
    </xf>
    <xf numFmtId="1" fontId="7" fillId="10" borderId="6" pivotButton="0" quotePrefix="0" xfId="49"/>
    <xf numFmtId="0" fontId="6" fillId="0" borderId="8" applyAlignment="1" pivotButton="0" quotePrefix="0" xfId="49">
      <alignment vertical="center" wrapText="1"/>
    </xf>
    <xf numFmtId="9" fontId="6" fillId="0" borderId="8" applyAlignment="1" pivotButton="0" quotePrefix="0" xfId="49">
      <alignment horizontal="center" vertical="center" wrapText="1"/>
    </xf>
    <xf numFmtId="0" fontId="2" fillId="0" borderId="8" applyAlignment="1" pivotButton="0" quotePrefix="0" xfId="49">
      <alignment horizontal="center" vertical="center" wrapText="1"/>
    </xf>
    <xf numFmtId="9" fontId="2" fillId="0" borderId="8" applyAlignment="1" pivotButton="0" quotePrefix="0" xfId="49">
      <alignment horizontal="center" vertical="center" wrapText="1"/>
    </xf>
    <xf numFmtId="0" fontId="2" fillId="0" borderId="8" applyAlignment="1" pivotButton="0" quotePrefix="0" xfId="49">
      <alignment vertical="center" wrapText="1"/>
    </xf>
    <xf numFmtId="164" fontId="2" fillId="0" borderId="8" applyAlignment="1" pivotButton="0" quotePrefix="0" xfId="49">
      <alignment horizontal="center" vertical="center" wrapText="1"/>
    </xf>
    <xf numFmtId="1" fontId="2" fillId="0" borderId="6" pivotButton="0" quotePrefix="0" xfId="49"/>
    <xf numFmtId="9" fontId="7" fillId="10" borderId="6" pivotButton="0" quotePrefix="0" xfId="49"/>
    <xf numFmtId="10" fontId="7" fillId="10" borderId="6" pivotButton="0" quotePrefix="0" xfId="49"/>
    <xf numFmtId="0" fontId="8" fillId="11" borderId="0" pivotButton="0" quotePrefix="0" xfId="49"/>
    <xf numFmtId="0" fontId="2" fillId="0" borderId="0" applyAlignment="1" pivotButton="0" quotePrefix="0" xfId="49">
      <alignment horizontal="center" vertical="top" wrapText="1"/>
    </xf>
    <xf numFmtId="0" fontId="2" fillId="0" borderId="0" applyAlignment="1" pivotButton="0" quotePrefix="0" xfId="49">
      <alignment vertical="top" wrapText="1"/>
    </xf>
    <xf numFmtId="0" fontId="2" fillId="0" borderId="7" applyAlignment="1" pivotButton="0" quotePrefix="0" xfId="49">
      <alignment horizontal="center" vertical="top" wrapText="1"/>
    </xf>
    <xf numFmtId="0" fontId="2" fillId="0" borderId="7" applyAlignment="1" pivotButton="0" quotePrefix="0" xfId="49">
      <alignment vertical="top" wrapText="1"/>
    </xf>
    <xf numFmtId="0" fontId="0" fillId="0" borderId="0" pivotButton="0" quotePrefix="0" xfId="0"/>
    <xf numFmtId="164" fontId="2" fillId="0" borderId="7" applyAlignment="1" pivotButton="0" quotePrefix="0" xfId="49">
      <alignment horizontal="center" vertical="center" wrapText="1"/>
    </xf>
    <xf numFmtId="164" fontId="2" fillId="0" borderId="8" applyAlignment="1" pivotButton="0" quotePrefix="0" xfId="49">
      <alignment horizontal="center" vertical="center" wrapText="1"/>
    </xf>
    <xf numFmtId="0" fontId="0" fillId="0" borderId="7" pivotButton="0" quotePrefix="0" xfId="0"/>
    <xf numFmtId="164" fontId="5" fillId="0" borderId="6" pivotButton="0" quotePrefix="0" xfId="49"/>
    <xf numFmtId="164" fontId="2" fillId="0" borderId="6" pivotButton="0" quotePrefix="0" xfId="49"/>
    <xf numFmtId="164" fontId="6" fillId="0" borderId="6" pivotButton="0" quotePrefix="0" xfId="49"/>
    <xf numFmtId="0" fontId="1" fillId="3" borderId="1" applyAlignment="1" pivotButton="0" quotePrefix="0" xfId="49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6" borderId="1" applyAlignment="1" pivotButton="0" quotePrefix="0" xfId="49">
      <alignment horizontal="center" vertical="center"/>
    </xf>
    <xf numFmtId="0" fontId="1" fillId="4" borderId="1" applyAlignment="1" pivotButton="0" quotePrefix="0" xfId="49">
      <alignment horizontal="center" vertical="center"/>
    </xf>
    <xf numFmtId="0" fontId="1" fillId="7" borderId="1" applyAlignment="1" pivotButton="0" quotePrefix="0" xfId="49">
      <alignment horizontal="center" vertical="center"/>
    </xf>
    <xf numFmtId="0" fontId="1" fillId="8" borderId="1" applyAlignment="1" pivotButton="0" quotePrefix="0" xfId="49">
      <alignment horizontal="center" vertical="center"/>
    </xf>
    <xf numFmtId="0" fontId="1" fillId="5" borderId="1" applyAlignment="1" pivotButton="0" quotePrefix="0" xfId="49">
      <alignment horizontal="center" vertical="center"/>
    </xf>
    <xf numFmtId="0" fontId="1" fillId="9" borderId="1" applyAlignment="1" pivotButton="0" quotePrefix="0" xfId="49">
      <alignment horizontal="center" vertical="center"/>
    </xf>
    <xf numFmtId="0" fontId="1" fillId="2" borderId="1" applyAlignment="1" pivotButton="0" quotePrefix="0" xfId="49">
      <alignment horizontal="center" vertical="center"/>
    </xf>
    <xf numFmtId="165" fontId="5" fillId="0" borderId="0" pivotButton="0" quotePrefix="0" xfId="49"/>
    <xf numFmtId="166" fontId="5" fillId="0" borderId="0" pivotButton="0" quotePrefix="0" xfId="49"/>
    <xf numFmtId="164" fontId="2" fillId="0" borderId="0" pivotButton="0" quotePrefix="0" xfId="49"/>
    <xf numFmtId="164" fontId="5" fillId="0" borderId="0" pivotButton="0" quotePrefix="0" xfId="49"/>
    <xf numFmtId="0" fontId="29" fillId="43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alculationDetailTable" displayName="CalculationDetailTable" ref="A16:BD330" headerRowCount="1" totalsRowShown="0">
  <autoFilter ref="A16:BD330">
    <filterColumn colId="8" hiddenButton="0" showButton="1">
      <filters blank="1"/>
    </filterColumn>
  </autoFilter>
  <tableColumns count="56">
    <tableColumn id="1" name="序号"/>
    <tableColumn id="2" name="产品名称"/>
    <tableColumn id="3" name="备案号"/>
    <tableColumn id="4" name="管理人"/>
    <tableColumn id="5" name="产品成立日期"/>
    <tableColumn id="6" name="产品成立年限（年）"/>
    <tableColumn id="7" name="入池状态"/>
    <tableColumn id="8" name="管理规模区间（亿元，协会）"/>
    <tableColumn id="9" name="管理人规模分"/>
    <tableColumn id="10" name="产品规模公示标识"/>
    <tableColumn id="11" name="产品规模分"/>
    <tableColumn id="12" name="成立年限分"/>
    <tableColumn id="13" name="R_1y"/>
    <tableColumn id="14" name="R_3y"/>
    <tableColumn id="15" name="R_incep（补录）"/>
    <tableColumn id="16" name="R_early"/>
    <tableColumn id="17" name="R_1y排名分"/>
    <tableColumn id="18" name="R_early排名分"/>
    <tableColumn id="19" name="年化收益分（可用折算）"/>
    <tableColumn id="20" name="近1年月胜率"/>
    <tableColumn id="21" name="近3年月胜率"/>
    <tableColumn id="22" name="早期月胜率"/>
    <tableColumn id="23" name="近1年月胜率分"/>
    <tableColumn id="24" name="早期月胜率分"/>
    <tableColumn id="25" name="月度胜率分（可用折算）"/>
    <tableColumn id="26" name="DD_1y"/>
    <tableColumn id="27" name="DD_3y"/>
    <tableColumn id="28" name="统一最大回撤"/>
    <tableColumn id="29" name="最大回撤分"/>
    <tableColumn id="30" name="短期卡玛"/>
    <tableColumn id="31" name="可识别DD_long"/>
    <tableColumn id="32" name="长期卡玛"/>
    <tableColumn id="33" name="短期卡玛分"/>
    <tableColumn id="34" name="长期卡玛分"/>
    <tableColumn id="35" name="卡玛比率分（可用折算）"/>
    <tableColumn id="36" name="趋势比较基准"/>
    <tableColumn id="37" name="收益趋势分"/>
    <tableColumn id="38" name="管理人及产品大类分"/>
    <tableColumn id="39" name="收益能力大类分"/>
    <tableColumn id="40" name="风险控制大类分"/>
    <tableColumn id="41" name="风险调整收益大类分"/>
    <tableColumn id="42" name="趋势大类分"/>
    <tableColumn id="43" name="有效二级权重"/>
    <tableColumn id="44" name="加权总分（不补缺）"/>
    <tableColumn id="45" name="可比总分（归一）"/>
    <tableColumn id="46" name="唯一排名"/>
    <tableColumn id="47" name="数据缺口"/>
    <tableColumn id="48" name="管理规模下限（亿元）"/>
    <tableColumn id="49" name="协会管理人全称"/>
    <tableColumn id="50" name="管理人信息更新时间"/>
    <tableColumn id="51" name="管理人公示URL"/>
    <tableColumn id="52" name="协会产品名称"/>
    <tableColumn id="53" name="基金信息更新时间"/>
    <tableColumn id="54" name="产品标识季度"/>
    <tableColumn id="55" name="基金公示URL"/>
    <tableColumn id="56" name="AMAC匹配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coreSummaryTable" displayName="CategoryScoreSummaryTable" ref="A5:X319" headerRowCount="1" totalsRowShown="0">
  <autoFilter ref="A5:X319"/>
  <tableColumns count="24">
    <tableColumn id="1" name="排名"/>
    <tableColumn id="2" name="产品名称"/>
    <tableColumn id="3" name="备案号"/>
    <tableColumn id="4" name="管理人"/>
    <tableColumn id="5" name="入池状态"/>
    <tableColumn id="6" name="管理人规模分"/>
    <tableColumn id="7" name="产品规模分"/>
    <tableColumn id="8" name="成立年限分"/>
    <tableColumn id="9" name="年化收益分（可用折算）"/>
    <tableColumn id="10" name="月度胜率分（可用折算）"/>
    <tableColumn id="11" name="最大回撤分"/>
    <tableColumn id="12" name="卡玛比率分（可用折算）"/>
    <tableColumn id="13" name="收益趋势分"/>
    <tableColumn id="14" name="管理人及产品"/>
    <tableColumn id="15" name="收益能力"/>
    <tableColumn id="16" name="风险控制"/>
    <tableColumn id="17" name="风险调整收益"/>
    <tableColumn id="18" name="业绩一致性/趋势"/>
    <tableColumn id="19" name="有效权重"/>
    <tableColumn id="20" name="加权总分（不补缺）"/>
    <tableColumn id="21" name="可比总分"/>
    <tableColumn id="22" name="严格总分"/>
    <tableColumn id="23" name="数据缺口"/>
    <tableColumn id="24" name="明细相对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DataTable" displayName="RawDataTable" ref="A1:N343" headerRowCount="1" totalsRowShown="0">
  <autoFilter ref="A1:N343"/>
  <tableColumns count="14">
    <tableColumn id="1" name="产品名称"/>
    <tableColumn id="2" name="备案号"/>
    <tableColumn id="3" name="一级策略"/>
    <tableColumn id="4" name="二级策略"/>
    <tableColumn id="5" name="管理人"/>
    <tableColumn id="6" name="成立日期"/>
    <tableColumn id="7" name="近一年年化收益"/>
    <tableColumn id="8" name="近三年年化收益"/>
    <tableColumn id="9" name="近三年月胜率"/>
    <tableColumn id="10" name="近一年月胜率"/>
    <tableColumn id="11" name="近三年最大回撤"/>
    <tableColumn id="12" name="近三年卡玛比率"/>
    <tableColumn id="13" name="近一年卡玛比率"/>
    <tableColumn id="14" name="基准指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ColWidth="9" defaultRowHeight="14.25"/>
  <cols>
    <col width="23" customWidth="1" style="73" min="1" max="1"/>
    <col width="11" customWidth="1" style="73" min="2" max="2"/>
    <col width="21" customWidth="1" style="73" min="3" max="3"/>
    <col width="12" customWidth="1" style="73" min="4" max="4"/>
    <col width="58" customWidth="1" style="73" min="5" max="5"/>
    <col width="25" customWidth="1" style="73" min="6" max="6"/>
    <col width="15" customWidth="1" style="73" min="7" max="7"/>
    <col width="3" customWidth="1" style="73" min="8" max="8"/>
    <col width="28" customWidth="1" style="73" min="9" max="9"/>
    <col width="13" customWidth="1" style="73" min="10" max="10"/>
  </cols>
  <sheetData>
    <row r="1" ht="28" customHeight="1" s="73">
      <c r="A1" s="3" t="inlineStr">
        <is>
          <t>二、优化后的完整赋分汇总表（字段一一对应）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3">
      <c r="A3" s="1" t="inlineStr">
        <is>
          <t>大类指标</t>
        </is>
      </c>
      <c r="B3" s="1" t="inlineStr">
        <is>
          <t>权重</t>
        </is>
      </c>
      <c r="C3" s="1" t="inlineStr">
        <is>
          <t>二级指标</t>
        </is>
      </c>
      <c r="D3" s="1" t="inlineStr">
        <is>
          <t>二级权重</t>
        </is>
      </c>
      <c r="E3" s="1" t="inlineStr">
        <is>
          <t>数据来源/计算方法（重要）</t>
        </is>
      </c>
      <c r="F3" s="1" t="inlineStr">
        <is>
          <t>时间口径权重</t>
        </is>
      </c>
      <c r="G3" s="1" t="inlineStr">
        <is>
          <t>综合权重</t>
        </is>
      </c>
      <c r="I3" s="17" t="inlineStr">
        <is>
          <t>计算参数</t>
        </is>
      </c>
      <c r="J3" s="17" t="inlineStr">
        <is>
          <t>值</t>
        </is>
      </c>
    </row>
    <row r="4" ht="42" customHeight="1" s="73">
      <c r="A4" s="52" t="inlineStr">
        <is>
          <t>管理人及产品
（不变）</t>
        </is>
      </c>
      <c r="B4" s="53" t="n">
        <v>0.15</v>
      </c>
      <c r="C4" s="54" t="inlineStr">
        <is>
          <t>管理人规模</t>
        </is>
      </c>
      <c r="D4" s="55" t="n">
        <v>0.4</v>
      </c>
      <c r="E4" s="56" t="inlineStr">
        <is>
          <t>基金业协会管理人公示“管理规模区间”：0-5亿=60；5-10亿=70；10-20亿=80；20-100亿=90；100亿以上=100</t>
        </is>
      </c>
      <c r="F4" s="54" t="inlineStr">
        <is>
          <t>最新时点</t>
        </is>
      </c>
      <c r="G4" s="74">
        <f>B4*D4</f>
        <v/>
      </c>
      <c r="I4" s="27" t="inlineStr">
        <is>
          <t>产品规模标识阈值（万元）</t>
        </is>
      </c>
      <c r="J4" s="58" t="n">
        <v>1000</v>
      </c>
    </row>
    <row r="5" ht="42" customHeight="1" s="73">
      <c r="C5" s="61" t="inlineStr">
        <is>
          <t>产品规模</t>
        </is>
      </c>
      <c r="D5" s="62" t="n">
        <v>0.3</v>
      </c>
      <c r="E5" s="63" t="inlineStr">
        <is>
          <t>基金业协会产品公示出现“存续规模低于1000万人民币”标识=0；未出现该标识=100</t>
        </is>
      </c>
      <c r="F5" s="61" t="inlineStr">
        <is>
          <t>最新时点</t>
        </is>
      </c>
      <c r="G5" s="75">
        <f>$B$4*D5</f>
        <v/>
      </c>
      <c r="I5" s="27" t="inlineStr">
        <is>
          <t>近一年胜率观察数</t>
        </is>
      </c>
      <c r="J5" s="58" t="n">
        <v>13</v>
      </c>
    </row>
    <row r="6" ht="42" customHeight="1" s="73">
      <c r="A6" s="76" t="n"/>
      <c r="B6" s="76" t="n"/>
      <c r="C6" s="61" t="inlineStr">
        <is>
          <t>成立年限</t>
        </is>
      </c>
      <c r="D6" s="62" t="n">
        <v>0.3</v>
      </c>
      <c r="E6" s="63" t="inlineStr">
        <is>
          <t>按产品成立日期计算：≥3年=100分；1~3年=70分；&lt;1年不入池</t>
        </is>
      </c>
      <c r="F6" s="61" t="inlineStr">
        <is>
          <t>当前日期</t>
        </is>
      </c>
      <c r="G6" s="75">
        <f>$B$4*D6</f>
        <v/>
      </c>
      <c r="I6" s="27" t="inlineStr">
        <is>
          <t>近三年胜率观察数</t>
        </is>
      </c>
      <c r="J6" s="58" t="n">
        <v>37</v>
      </c>
    </row>
    <row r="7" ht="42" customHeight="1" s="73">
      <c r="A7" s="59" t="inlineStr">
        <is>
          <t>收益能力
（彻底消除重叠）</t>
        </is>
      </c>
      <c r="B7" s="60" t="n">
        <v>0.2</v>
      </c>
      <c r="C7" s="61" t="inlineStr">
        <is>
          <t>年化收益</t>
        </is>
      </c>
      <c r="D7" s="62" t="n">
        <v>0.7</v>
      </c>
      <c r="E7" s="63" t="inlineStr">
        <is>
          <t>短期：直接用 R_1y 排名赋分
长期：用计算出的 R_early 排名赋分</t>
        </is>
      </c>
      <c r="F7" s="61" t="inlineStr">
        <is>
          <t>短期60%（近12月）
长期40%（早期区间）</t>
        </is>
      </c>
      <c r="G7" s="75">
        <f>B7*D7</f>
        <v/>
      </c>
      <c r="I7" s="27" t="inlineStr">
        <is>
          <t>早期胜率观察数</t>
        </is>
      </c>
      <c r="J7" s="65">
        <f>J6-J5</f>
        <v/>
      </c>
    </row>
    <row r="8" ht="42" customHeight="1" s="73">
      <c r="A8" s="76" t="n"/>
      <c r="B8" s="76" t="n"/>
      <c r="C8" s="61" t="inlineStr">
        <is>
          <t>月度胜率</t>
        </is>
      </c>
      <c r="D8" s="62" t="n">
        <v>0.3</v>
      </c>
      <c r="E8" s="63" t="inlineStr">
        <is>
          <t>近12月胜率（60%）+早期历史胜率（40%）
若早期不足6个月，早期子项直接给满分</t>
        </is>
      </c>
      <c r="F8" s="61" t="inlineStr">
        <is>
          <t>同上</t>
        </is>
      </c>
      <c r="G8" s="75">
        <f>$B$7*D8</f>
        <v/>
      </c>
      <c r="I8" s="27" t="inlineStr">
        <is>
          <t>短期时间权重</t>
        </is>
      </c>
      <c r="J8" s="66" t="n">
        <v>0.6</v>
      </c>
    </row>
    <row r="9" ht="42" customHeight="1" s="73">
      <c r="A9" s="59" t="inlineStr">
        <is>
          <t>风险控制
（简化，不拆分）</t>
        </is>
      </c>
      <c r="B9" s="60" t="n">
        <v>0.25</v>
      </c>
      <c r="C9" s="61" t="inlineStr">
        <is>
          <t>最大回撤</t>
        </is>
      </c>
      <c r="D9" s="62" t="n">
        <v>1</v>
      </c>
      <c r="E9" s="63" t="inlineStr">
        <is>
          <t>直接用 MAX(DD_1y, DD_3y) 作为统一风险敞口</t>
        </is>
      </c>
      <c r="F9" s="61" t="inlineStr">
        <is>
          <t>覆盖近3年（含近期）</t>
        </is>
      </c>
      <c r="G9" s="75">
        <f>B9*D9</f>
        <v/>
      </c>
      <c r="I9" s="27" t="inlineStr">
        <is>
          <t>长期时间权重</t>
        </is>
      </c>
      <c r="J9" s="66" t="n">
        <v>0.4</v>
      </c>
    </row>
    <row r="10" ht="42" customHeight="1" s="73">
      <c r="A10" s="59" t="inlineStr">
        <is>
          <t>风险调整收益
（核心指标）</t>
        </is>
      </c>
      <c r="B10" s="60" t="n">
        <v>0.3</v>
      </c>
      <c r="C10" s="61" t="inlineStr">
        <is>
          <t>卡玛比率</t>
        </is>
      </c>
      <c r="D10" s="62" t="n">
        <v>1</v>
      </c>
      <c r="E10" s="63" t="inlineStr">
        <is>
          <t>短期卡玛=R_1y/DD_1y（60%）
长期卡玛=R_early/DD_long（40%）</t>
        </is>
      </c>
      <c r="F10" s="61" t="inlineStr">
        <is>
          <t>短期60%
长期40%</t>
        </is>
      </c>
      <c r="G10" s="75">
        <f>B10*D10</f>
        <v/>
      </c>
      <c r="I10" s="27" t="inlineStr">
        <is>
          <t>趋势差距阈值</t>
        </is>
      </c>
      <c r="J10" s="66" t="n">
        <v>0.2</v>
      </c>
    </row>
    <row r="11" ht="42" customHeight="1" s="73">
      <c r="A11" s="59" t="inlineStr">
        <is>
          <t>业绩一致性/趋势
（新增，替代原有重复项）</t>
        </is>
      </c>
      <c r="B11" s="60" t="n">
        <v>0.1</v>
      </c>
      <c r="C11" s="61" t="inlineStr">
        <is>
          <t>收益趋势</t>
        </is>
      </c>
      <c r="D11" s="62" t="n">
        <v>1</v>
      </c>
      <c r="E11" s="63" t="inlineStr">
        <is>
          <t>比较 R_1y 与 R_3y：近期不低于长期=100分；差距&lt;20个百分点=80分；否则=60分。成立不足3年改用 R_incep。</t>
        </is>
      </c>
      <c r="F11" s="61" t="inlineStr">
        <is>
          <t>—</t>
        </is>
      </c>
      <c r="G11" s="75">
        <f>B11*D11</f>
        <v/>
      </c>
      <c r="I11" s="27" t="inlineStr">
        <is>
          <t>DD识别容差</t>
        </is>
      </c>
      <c r="J11" s="67" t="n">
        <v>0.0001</v>
      </c>
    </row>
    <row r="14">
      <c r="A14" s="68" t="inlineStr">
        <is>
          <t>计算实现说明</t>
        </is>
      </c>
    </row>
    <row r="15" ht="34" customHeight="1" s="73">
      <c r="A15" s="69" t="inlineStr">
        <is>
          <t>1</t>
        </is>
      </c>
      <c r="B15" s="70" t="inlineStr">
        <is>
          <t>协会公示抓取日期为2026-09-07。管理人规模来源为基金业协会私募基金管理人公示，产品规模标识来源为基金业协会私募基金公示。</t>
        </is>
      </c>
    </row>
    <row r="16" ht="34" customHeight="1" s="73">
      <c r="A16" s="69" t="inlineStr">
        <is>
          <t>2</t>
        </is>
      </c>
      <c r="B16" s="70" t="inlineStr">
        <is>
          <t>R_early：满3年时=((1+R_3y)^3/(1+R_1y))^(1/2)-1；不足3年且补录R_incep时，按存续期剔除最近1年后年化。</t>
        </is>
      </c>
    </row>
    <row r="17" ht="34" customHeight="1" s="73">
      <c r="A17" s="69" t="inlineStr">
        <is>
          <t>3</t>
        </is>
      </c>
      <c r="B17" s="70" t="inlineStr">
        <is>
          <t>早期月胜率按源数据精度默认使用37期总观察、13期近期观察，早期为24期；参数可在右侧修改。</t>
        </is>
      </c>
    </row>
    <row r="18" ht="34" customHeight="1" s="73">
      <c r="A18" s="69" t="inlineStr">
        <is>
          <t>4</t>
        </is>
      </c>
      <c r="B18" s="70" t="inlineStr">
        <is>
          <t>DD_1y由ABS(R_1y/近一年卡玛)反推。仅当DD_3y明显大于DD_1y时，才能识别早期DD_long；其余记录留空。</t>
        </is>
      </c>
    </row>
    <row r="19" ht="34" customHeight="1" s="73">
      <c r="A19" s="69" t="inlineStr">
        <is>
          <t>5</t>
        </is>
      </c>
      <c r="B19" s="70" t="inlineStr">
        <is>
          <t>管理人规模按公示区间分档赋分；20-50亿元和50-100亿元均归入20-100亿元档，赋90分。</t>
        </is>
      </c>
    </row>
    <row r="20" ht="34" customHeight="1" s="73">
      <c r="A20" s="71" t="inlineStr">
        <is>
          <t>6</t>
        </is>
      </c>
      <c r="B20" s="72" t="inlineStr">
        <is>
          <t>产品成立年限由原始数据中的产品成立日期计算。未匹配到协会产品页或管理人页的规模项留空，缺失数据不按0分处理。</t>
        </is>
      </c>
      <c r="C20" s="76" t="n"/>
      <c r="D20" s="76" t="n"/>
      <c r="E20" s="76" t="n"/>
      <c r="F20" s="76" t="n"/>
      <c r="G20" s="76" t="n"/>
    </row>
    <row r="23">
      <c r="A23" t="inlineStr">
        <is>
          <t>评分范围与数据口径</t>
        </is>
      </c>
      <c r="B23" t="inlineStr">
        <is>
          <t>本模板Sheet2的314只产品；按备案号匹配第二表；压缩包按各文件最新净值截至2026-09-11补算。第二表未提供统一业绩截止日。</t>
        </is>
      </c>
    </row>
    <row r="24">
      <c r="A24" t="inlineStr">
        <is>
          <t>协会信息</t>
        </is>
      </c>
      <c r="B24" t="inlineStr">
        <is>
          <t>管理规模、处罚/警示按协会公示核验；5亿元边界按公示区间分组。</t>
        </is>
      </c>
    </row>
  </sheetData>
  <mergeCells count="11">
    <mergeCell ref="B16:G16"/>
    <mergeCell ref="A14:G14"/>
    <mergeCell ref="B19:G19"/>
    <mergeCell ref="B20:G20"/>
    <mergeCell ref="A4:A6"/>
    <mergeCell ref="B4:B6"/>
    <mergeCell ref="B17:G17"/>
    <mergeCell ref="A7:A8"/>
    <mergeCell ref="B7:B8"/>
    <mergeCell ref="B18:G18"/>
    <mergeCell ref="B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30"/>
  <sheetViews>
    <sheetView showGridLines="0" workbookViewId="0">
      <pane xSplit="4" ySplit="16" topLeftCell="E17" activePane="bottomRight" state="frozen"/>
      <selection activeCell="A1" sqref="A1"/>
      <selection pane="topRight" activeCell="A1" sqref="A1"/>
      <selection pane="bottomLeft" activeCell="A1" sqref="A1"/>
      <selection pane="bottomRight" activeCell="A253" sqref="$A253:$XFD253"/>
    </sheetView>
  </sheetViews>
  <sheetFormatPr baseColWidth="8" defaultColWidth="9" defaultRowHeight="14.25"/>
  <cols>
    <col width="18" customWidth="1" style="73" min="1" max="1"/>
    <col width="25" customWidth="1" style="73" min="2" max="2"/>
    <col width="13" customWidth="1" style="73" min="3" max="3"/>
    <col width="21" customWidth="1" style="73" min="4" max="4"/>
    <col width="13" customWidth="1" style="73" min="5" max="5"/>
    <col width="12" customWidth="1" style="73" min="6" max="6"/>
    <col width="11" customWidth="1" style="73" min="7" max="7"/>
    <col width="18" customWidth="1" style="73" min="8" max="8"/>
    <col width="14" customWidth="1" style="73" min="9" max="9"/>
    <col width="18" customWidth="1" style="73" min="10" max="10"/>
    <col width="13" customWidth="1" style="73" min="11" max="12"/>
    <col width="12" customWidth="1" style="73" min="13" max="14"/>
    <col width="15" customWidth="1" style="73" min="15" max="15"/>
    <col width="12" customWidth="1" style="73" min="16" max="16"/>
    <col width="14" customWidth="1" style="73" min="17" max="17"/>
    <col width="15" customWidth="1" style="73" min="18" max="18"/>
    <col width="14" customWidth="1" style="73" min="19" max="22"/>
    <col width="16" customWidth="1" style="73" min="23" max="23"/>
    <col width="15" customWidth="1" style="73" min="24" max="24"/>
    <col width="14" customWidth="1" style="73" min="25" max="25"/>
    <col width="12" customWidth="1" style="73" min="26" max="27"/>
    <col width="16" customWidth="1" style="73" min="28" max="28"/>
    <col width="14" customWidth="1" style="73" min="29" max="29"/>
    <col width="13" customWidth="1" style="73" min="30" max="30"/>
    <col width="16" customWidth="1" style="73" min="31" max="31"/>
    <col width="13" customWidth="1" style="73" min="32" max="32"/>
    <col width="14" customWidth="1" style="73" min="33" max="35"/>
    <col width="15" customWidth="1" style="73" min="36" max="36"/>
    <col width="14" customWidth="1" style="73" min="37" max="37"/>
    <col width="19" customWidth="1" style="73" min="38" max="38"/>
    <col width="17" customWidth="1" style="73" min="39" max="40"/>
    <col width="20" customWidth="1" style="73" min="41" max="41"/>
    <col width="14" customWidth="1" style="73" min="42" max="42"/>
    <col width="15" customWidth="1" style="73" min="43" max="43"/>
    <col width="18" customWidth="1" style="73" min="44" max="44"/>
    <col width="17" customWidth="1" style="73" min="45" max="45"/>
    <col width="11" customWidth="1" style="73" min="46" max="46"/>
    <col width="50" customWidth="1" style="73" min="47" max="47"/>
    <col width="15" customWidth="1" style="73" min="48" max="48"/>
    <col width="28" customWidth="1" style="73" min="49" max="49"/>
    <col width="16" customWidth="1" style="73" min="50" max="50"/>
    <col width="45" customWidth="1" style="73" min="51" max="51"/>
    <col width="28" customWidth="1" style="73" min="52" max="52"/>
    <col width="16" customWidth="1" style="73" min="53" max="53"/>
    <col width="18" customWidth="1" style="73" min="54" max="54"/>
    <col width="45" customWidth="1" style="73" min="55" max="55"/>
    <col width="28" customWidth="1" style="73" min="56" max="56"/>
  </cols>
  <sheetData>
    <row r="1" ht="20.25" customHeight="1" s="73">
      <c r="A1" s="3" t="inlineStr">
        <is>
          <t>私募基金指标计算明细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</row>
    <row r="2">
      <c r="A2" s="4" t="inlineStr">
        <is>
          <t>H/J/AV:BD为基金业协会公示补录和追溯字段；O为待补录输入；绿字为原始数据或外部公示链接；黑字为计算。缺失项不按0分，综合分按有效权重归一。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4">
      <c r="A4" s="1" t="inlineStr">
        <is>
          <t>大类指标</t>
        </is>
      </c>
      <c r="B4" s="1" t="inlineStr">
        <is>
          <t>大类权重</t>
        </is>
      </c>
      <c r="C4" s="1" t="inlineStr">
        <is>
          <t>二级指标</t>
        </is>
      </c>
      <c r="D4" s="1" t="inlineStr">
        <is>
          <t>二级权重</t>
        </is>
      </c>
      <c r="E4" s="1" t="inlineStr">
        <is>
          <t>综合权重</t>
        </is>
      </c>
      <c r="F4" s="1" t="inlineStr">
        <is>
          <t>计算</t>
        </is>
      </c>
    </row>
    <row r="5">
      <c r="A5" s="23">
        <f>'sheet1-指标体系'!A4</f>
        <v/>
      </c>
      <c r="B5" s="24">
        <f>'sheet1-指标体系'!B4</f>
        <v/>
      </c>
      <c r="C5" s="23">
        <f>'sheet1-指标体系'!C4</f>
        <v/>
      </c>
      <c r="D5" s="77">
        <f>'sheet1-指标体系'!D4</f>
        <v/>
      </c>
      <c r="E5" s="78">
        <f>B5*D5</f>
        <v/>
      </c>
      <c r="F5" s="27" t="inlineStr">
        <is>
          <t>大类权重×二级权重</t>
        </is>
      </c>
    </row>
    <row r="6">
      <c r="A6" s="23">
        <f>'sheet1-指标体系'!A4</f>
        <v/>
      </c>
      <c r="B6" s="24">
        <f>'sheet1-指标体系'!B4</f>
        <v/>
      </c>
      <c r="C6" s="23">
        <f>'sheet1-指标体系'!C5</f>
        <v/>
      </c>
      <c r="D6" s="77">
        <f>'sheet1-指标体系'!D5</f>
        <v/>
      </c>
      <c r="E6" s="78">
        <f>B6*D6</f>
        <v/>
      </c>
      <c r="F6" s="27" t="inlineStr">
        <is>
          <t>大类权重×二级权重</t>
        </is>
      </c>
    </row>
    <row r="7">
      <c r="A7" s="23">
        <f>'sheet1-指标体系'!A4</f>
        <v/>
      </c>
      <c r="B7" s="24">
        <f>'sheet1-指标体系'!B4</f>
        <v/>
      </c>
      <c r="C7" s="23">
        <f>'sheet1-指标体系'!C6</f>
        <v/>
      </c>
      <c r="D7" s="77">
        <f>'sheet1-指标体系'!D6</f>
        <v/>
      </c>
      <c r="E7" s="78">
        <f>B7*D7</f>
        <v/>
      </c>
      <c r="F7" s="27" t="inlineStr">
        <is>
          <t>大类权重×二级权重</t>
        </is>
      </c>
    </row>
    <row r="8">
      <c r="A8" s="23">
        <f>'sheet1-指标体系'!A7</f>
        <v/>
      </c>
      <c r="B8" s="24">
        <f>'sheet1-指标体系'!B7</f>
        <v/>
      </c>
      <c r="C8" s="23">
        <f>'sheet1-指标体系'!C7</f>
        <v/>
      </c>
      <c r="D8" s="77">
        <f>'sheet1-指标体系'!D7</f>
        <v/>
      </c>
      <c r="E8" s="78">
        <f>B8*D8</f>
        <v/>
      </c>
      <c r="F8" s="27" t="inlineStr">
        <is>
          <t>大类权重×二级权重</t>
        </is>
      </c>
    </row>
    <row r="9">
      <c r="A9" s="23">
        <f>'sheet1-指标体系'!A7</f>
        <v/>
      </c>
      <c r="B9" s="24">
        <f>'sheet1-指标体系'!B7</f>
        <v/>
      </c>
      <c r="C9" s="23">
        <f>'sheet1-指标体系'!C8</f>
        <v/>
      </c>
      <c r="D9" s="77">
        <f>'sheet1-指标体系'!D8</f>
        <v/>
      </c>
      <c r="E9" s="78">
        <f>B9*D9</f>
        <v/>
      </c>
      <c r="F9" s="27" t="inlineStr">
        <is>
          <t>大类权重×二级权重</t>
        </is>
      </c>
    </row>
    <row r="10">
      <c r="A10" s="23">
        <f>'sheet1-指标体系'!A9</f>
        <v/>
      </c>
      <c r="B10" s="24">
        <f>'sheet1-指标体系'!B9</f>
        <v/>
      </c>
      <c r="C10" s="23">
        <f>'sheet1-指标体系'!C9</f>
        <v/>
      </c>
      <c r="D10" s="77">
        <f>'sheet1-指标体系'!D9</f>
        <v/>
      </c>
      <c r="E10" s="78">
        <f>B10*D10</f>
        <v/>
      </c>
      <c r="F10" s="27" t="inlineStr">
        <is>
          <t>大类权重×二级权重</t>
        </is>
      </c>
    </row>
    <row r="11">
      <c r="A11" s="23">
        <f>'sheet1-指标体系'!A10</f>
        <v/>
      </c>
      <c r="B11" s="24">
        <f>'sheet1-指标体系'!B10</f>
        <v/>
      </c>
      <c r="C11" s="23">
        <f>'sheet1-指标体系'!C10</f>
        <v/>
      </c>
      <c r="D11" s="77">
        <f>'sheet1-指标体系'!D10</f>
        <v/>
      </c>
      <c r="E11" s="78">
        <f>B11*D11</f>
        <v/>
      </c>
      <c r="F11" s="27" t="inlineStr">
        <is>
          <t>大类权重×二级权重</t>
        </is>
      </c>
    </row>
    <row r="12">
      <c r="A12" s="23">
        <f>'sheet1-指标体系'!A11</f>
        <v/>
      </c>
      <c r="B12" s="24">
        <f>'sheet1-指标体系'!B11</f>
        <v/>
      </c>
      <c r="C12" s="23">
        <f>'sheet1-指标体系'!C11</f>
        <v/>
      </c>
      <c r="D12" s="77">
        <f>'sheet1-指标体系'!D11</f>
        <v/>
      </c>
      <c r="E12" s="78">
        <f>B12*D12</f>
        <v/>
      </c>
      <c r="F12" s="27" t="inlineStr">
        <is>
          <t>大类权重×二级权重</t>
        </is>
      </c>
    </row>
    <row r="13">
      <c r="A13" s="27" t="n"/>
      <c r="B13" s="27" t="n"/>
      <c r="C13" s="28" t="inlineStr">
        <is>
          <t>综合权重合计</t>
        </is>
      </c>
      <c r="D13" s="79" t="n"/>
      <c r="E13" s="79">
        <f>SUM(E5:E12)</f>
        <v/>
      </c>
      <c r="F13" s="27" t="n"/>
    </row>
    <row r="15" ht="34" customHeight="1" s="73">
      <c r="A15" s="80" t="inlineStr">
        <is>
          <t>基础信息</t>
        </is>
      </c>
      <c r="B15" s="81" t="n"/>
      <c r="C15" s="81" t="n"/>
      <c r="D15" s="81" t="n"/>
      <c r="E15" s="81" t="n"/>
      <c r="F15" s="81" t="n"/>
      <c r="G15" s="82" t="n"/>
      <c r="H15" s="83" t="inlineStr">
        <is>
          <t>管理人及产品</t>
        </is>
      </c>
      <c r="I15" s="81" t="n"/>
      <c r="J15" s="81" t="n"/>
      <c r="K15" s="81" t="n"/>
      <c r="L15" s="82" t="n"/>
      <c r="M15" s="84" t="inlineStr">
        <is>
          <t>年化收益</t>
        </is>
      </c>
      <c r="N15" s="81" t="n"/>
      <c r="O15" s="81" t="n"/>
      <c r="P15" s="81" t="n"/>
      <c r="Q15" s="81" t="n"/>
      <c r="R15" s="81" t="n"/>
      <c r="S15" s="82" t="n"/>
      <c r="T15" s="85" t="inlineStr">
        <is>
          <t>月度胜率</t>
        </is>
      </c>
      <c r="U15" s="81" t="n"/>
      <c r="V15" s="81" t="n"/>
      <c r="W15" s="81" t="n"/>
      <c r="X15" s="81" t="n"/>
      <c r="Y15" s="82" t="n"/>
      <c r="Z15" s="86" t="inlineStr">
        <is>
          <t>最大回撤</t>
        </is>
      </c>
      <c r="AA15" s="81" t="n"/>
      <c r="AB15" s="81" t="n"/>
      <c r="AC15" s="82" t="n"/>
      <c r="AD15" s="87" t="inlineStr">
        <is>
          <t>卡玛比率</t>
        </is>
      </c>
      <c r="AE15" s="81" t="n"/>
      <c r="AF15" s="81" t="n"/>
      <c r="AG15" s="81" t="n"/>
      <c r="AH15" s="81" t="n"/>
      <c r="AI15" s="82" t="n"/>
      <c r="AJ15" s="88" t="inlineStr">
        <is>
          <t>收益趋势</t>
        </is>
      </c>
      <c r="AK15" s="82" t="n"/>
      <c r="AL15" s="89" t="inlineStr">
        <is>
          <t>大类辅助、总分与排序</t>
        </is>
      </c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2" t="n"/>
      <c r="AV15" s="80" t="inlineStr">
        <is>
          <t>基金业协会公示追溯</t>
        </is>
      </c>
      <c r="AW15" s="81" t="n"/>
      <c r="AX15" s="81" t="n"/>
      <c r="AY15" s="81" t="n"/>
      <c r="AZ15" s="81" t="n"/>
      <c r="BA15" s="81" t="n"/>
      <c r="BB15" s="81" t="n"/>
      <c r="BC15" s="81" t="n"/>
      <c r="BD15" s="82" t="n"/>
    </row>
    <row r="16" ht="34" customHeight="1" s="73">
      <c r="A16" s="17" t="inlineStr">
        <is>
          <t>序号</t>
        </is>
      </c>
      <c r="B16" s="17" t="inlineStr">
        <is>
          <t>产品名称</t>
        </is>
      </c>
      <c r="C16" s="17" t="inlineStr">
        <is>
          <t>备案号</t>
        </is>
      </c>
      <c r="D16" s="17" t="inlineStr">
        <is>
          <t>管理人</t>
        </is>
      </c>
      <c r="E16" s="17" t="inlineStr">
        <is>
          <t>产品成立日期</t>
        </is>
      </c>
      <c r="F16" s="17" t="inlineStr">
        <is>
          <t>产品成立年限（年）</t>
        </is>
      </c>
      <c r="G16" s="17" t="inlineStr">
        <is>
          <t>入池状态</t>
        </is>
      </c>
      <c r="H16" s="17" t="inlineStr">
        <is>
          <t>管理规模区间（亿元，协会）</t>
        </is>
      </c>
      <c r="I16" s="17" t="inlineStr">
        <is>
          <t>管理人规模分</t>
        </is>
      </c>
      <c r="J16" s="17" t="inlineStr">
        <is>
          <t>产品规模公示标识</t>
        </is>
      </c>
      <c r="K16" s="17" t="inlineStr">
        <is>
          <t>产品规模分</t>
        </is>
      </c>
      <c r="L16" s="17" t="inlineStr">
        <is>
          <t>成立年限分</t>
        </is>
      </c>
      <c r="M16" s="17" t="inlineStr">
        <is>
          <t>R_1y</t>
        </is>
      </c>
      <c r="N16" s="17" t="inlineStr">
        <is>
          <t>R_3y</t>
        </is>
      </c>
      <c r="O16" s="17" t="inlineStr">
        <is>
          <t>R_incep（补录）</t>
        </is>
      </c>
      <c r="P16" s="17" t="inlineStr">
        <is>
          <t>R_early</t>
        </is>
      </c>
      <c r="Q16" s="17" t="inlineStr">
        <is>
          <t>R_1y排名分</t>
        </is>
      </c>
      <c r="R16" s="17" t="inlineStr">
        <is>
          <t>R_early排名分</t>
        </is>
      </c>
      <c r="S16" s="17" t="inlineStr">
        <is>
          <t>年化收益分（可用折算）</t>
        </is>
      </c>
      <c r="T16" s="17" t="inlineStr">
        <is>
          <t>近1年月胜率</t>
        </is>
      </c>
      <c r="U16" s="17" t="inlineStr">
        <is>
          <t>近3年月胜率</t>
        </is>
      </c>
      <c r="V16" s="17" t="inlineStr">
        <is>
          <t>早期月胜率</t>
        </is>
      </c>
      <c r="W16" s="17" t="inlineStr">
        <is>
          <t>近1年月胜率分</t>
        </is>
      </c>
      <c r="X16" s="17" t="inlineStr">
        <is>
          <t>早期月胜率分</t>
        </is>
      </c>
      <c r="Y16" s="17" t="inlineStr">
        <is>
          <t>月度胜率分（可用折算）</t>
        </is>
      </c>
      <c r="Z16" s="17" t="inlineStr">
        <is>
          <t>DD_1y</t>
        </is>
      </c>
      <c r="AA16" s="17" t="inlineStr">
        <is>
          <t>DD_3y</t>
        </is>
      </c>
      <c r="AB16" s="17" t="inlineStr">
        <is>
          <t>统一最大回撤</t>
        </is>
      </c>
      <c r="AC16" s="17" t="inlineStr">
        <is>
          <t>最大回撤分</t>
        </is>
      </c>
      <c r="AD16" s="17" t="inlineStr">
        <is>
          <t>短期卡玛</t>
        </is>
      </c>
      <c r="AE16" s="17" t="inlineStr">
        <is>
          <t>可识别DD_long</t>
        </is>
      </c>
      <c r="AF16" s="17" t="inlineStr">
        <is>
          <t>长期卡玛</t>
        </is>
      </c>
      <c r="AG16" s="17" t="inlineStr">
        <is>
          <t>短期卡玛分</t>
        </is>
      </c>
      <c r="AH16" s="17" t="inlineStr">
        <is>
          <t>长期卡玛分</t>
        </is>
      </c>
      <c r="AI16" s="17" t="inlineStr">
        <is>
          <t>卡玛比率分（可用折算）</t>
        </is>
      </c>
      <c r="AJ16" s="17" t="inlineStr">
        <is>
          <t>趋势比较基准</t>
        </is>
      </c>
      <c r="AK16" s="17" t="inlineStr">
        <is>
          <t>收益趋势分</t>
        </is>
      </c>
      <c r="AL16" s="17" t="inlineStr">
        <is>
          <t>管理人及产品大类分</t>
        </is>
      </c>
      <c r="AM16" s="17" t="inlineStr">
        <is>
          <t>收益能力大类分</t>
        </is>
      </c>
      <c r="AN16" s="17" t="inlineStr">
        <is>
          <t>风险控制大类分</t>
        </is>
      </c>
      <c r="AO16" s="17" t="inlineStr">
        <is>
          <t>风险调整收益大类分</t>
        </is>
      </c>
      <c r="AP16" s="17" t="inlineStr">
        <is>
          <t>趋势大类分</t>
        </is>
      </c>
      <c r="AQ16" s="17" t="inlineStr">
        <is>
          <t>有效二级权重</t>
        </is>
      </c>
      <c r="AR16" s="17" t="inlineStr">
        <is>
          <t>加权总分（不补缺）</t>
        </is>
      </c>
      <c r="AS16" s="17" t="inlineStr">
        <is>
          <t>可比总分（归一）</t>
        </is>
      </c>
      <c r="AT16" s="17" t="inlineStr">
        <is>
          <t>唯一排名</t>
        </is>
      </c>
      <c r="AU16" s="17" t="inlineStr">
        <is>
          <t>数据缺口</t>
        </is>
      </c>
      <c r="AV16" s="17" t="inlineStr">
        <is>
          <t>管理规模下限（亿元）</t>
        </is>
      </c>
      <c r="AW16" s="17" t="inlineStr">
        <is>
          <t>协会管理人全称</t>
        </is>
      </c>
      <c r="AX16" s="17" t="inlineStr">
        <is>
          <t>管理人信息更新时间</t>
        </is>
      </c>
      <c r="AY16" s="17" t="inlineStr">
        <is>
          <t>管理人公示URL</t>
        </is>
      </c>
      <c r="AZ16" s="17" t="inlineStr">
        <is>
          <t>协会产品名称</t>
        </is>
      </c>
      <c r="BA16" s="17" t="inlineStr">
        <is>
          <t>基金信息更新时间</t>
        </is>
      </c>
      <c r="BB16" s="17" t="inlineStr">
        <is>
          <t>产品标识季度</t>
        </is>
      </c>
      <c r="BC16" s="17" t="inlineStr">
        <is>
          <t>基金公示URL</t>
        </is>
      </c>
      <c r="BD16" s="17" t="inlineStr">
        <is>
          <t>AMAC匹配状态</t>
        </is>
      </c>
    </row>
    <row r="17" hidden="1" ht="28" customHeight="1" s="73">
      <c r="A17" s="2" t="n">
        <v>1</v>
      </c>
      <c r="B17" s="18" t="inlineStr">
        <is>
          <t>新视野智能量化2号</t>
        </is>
      </c>
      <c r="C17" s="18">
        <f>'sheet4-原始数据'!B2</f>
        <v/>
      </c>
      <c r="D17" s="18" t="inlineStr">
        <is>
          <t>杭州探融投资</t>
        </is>
      </c>
      <c r="E17" s="90" t="inlineStr">
        <is>
          <t>2017-01-09</t>
        </is>
      </c>
      <c r="F17" s="20" t="n">
        <v>9.680999999999999</v>
      </c>
      <c r="G17" s="2">
        <f>IF(F17="","",IF(F17&lt;1,"不入池","入池"))</f>
        <v/>
      </c>
      <c r="H17" s="42" t="inlineStr">
        <is>
          <t>0-5亿元</t>
        </is>
      </c>
      <c r="I17" s="20" t="n">
        <v>60</v>
      </c>
      <c r="J17" s="43" t="inlineStr">
        <is>
          <t>无低于1000万元标识</t>
        </is>
      </c>
      <c r="K17" s="20" t="n">
        <v>100</v>
      </c>
      <c r="L17" s="20" t="n">
        <v>100</v>
      </c>
      <c r="M17" s="44" t="n">
        <v>-0.0204</v>
      </c>
      <c r="N17" s="44" t="n">
        <v>0.0205</v>
      </c>
      <c r="O17" s="45" t="n"/>
      <c r="P17" s="46" t="n">
        <v>0.04158597951417242</v>
      </c>
      <c r="Q17" s="20" t="n">
        <v>11.11</v>
      </c>
      <c r="R17" s="20" t="n">
        <v>29.5</v>
      </c>
      <c r="S17" s="20" t="n">
        <v>18.47</v>
      </c>
      <c r="T17" s="44" t="n">
        <v>0.3846</v>
      </c>
      <c r="U17" s="44" t="n">
        <v>0.5405</v>
      </c>
      <c r="V17" s="46" t="n">
        <v>0.6249458333333333</v>
      </c>
      <c r="W17" s="20" t="n">
        <v>38.46</v>
      </c>
      <c r="X17" s="20" t="n">
        <v>62.49458333333333</v>
      </c>
      <c r="Y17" s="20" t="n">
        <v>48.07</v>
      </c>
      <c r="Z17" s="46" t="n">
        <v>0.05528455284552846</v>
      </c>
      <c r="AA17" s="44" t="n">
        <v>0.0554</v>
      </c>
      <c r="AB17" s="46" t="n">
        <v>0.0554</v>
      </c>
      <c r="AC17" s="20" t="n">
        <v>41.11</v>
      </c>
      <c r="AD17" s="91" t="n">
        <v>-0.369</v>
      </c>
      <c r="AE17" s="46" t="n">
        <v>0.0554</v>
      </c>
      <c r="AF17" s="20" t="n">
        <v>0.7506494497143037</v>
      </c>
      <c r="AG17" s="20" t="n">
        <v>9.09</v>
      </c>
      <c r="AH17" s="20" t="n">
        <v>30.15</v>
      </c>
      <c r="AI17" s="20" t="n">
        <v>17.51</v>
      </c>
      <c r="AJ17" s="46" t="n">
        <v>0.0205</v>
      </c>
      <c r="AK17" s="20" t="n">
        <v>80</v>
      </c>
      <c r="AL17" s="20" t="n">
        <v>84</v>
      </c>
      <c r="AM17" s="20" t="n">
        <v>27.35</v>
      </c>
      <c r="AN17" s="20" t="n">
        <v>41.11</v>
      </c>
      <c r="AO17" s="20" t="n">
        <v>17.51</v>
      </c>
      <c r="AP17" s="20" t="n">
        <v>80</v>
      </c>
      <c r="AQ17" s="92" t="n">
        <v>1</v>
      </c>
      <c r="AR17" s="20" t="n">
        <v>41.60137</v>
      </c>
      <c r="AS17" s="20" t="n">
        <v>41.6</v>
      </c>
      <c r="AT17" s="49" t="n">
        <v>256</v>
      </c>
      <c r="AU17" s="50">
        <f>IF(I17="","管理人规模；","")&amp;IF(J17="","产品规模标识；","")&amp;IF(AND(F17&lt;3,O17=""),"R_incep；","")&amp;IF(N17="","近三年收益；","")&amp;IF(U17="","近三年胜率；","")&amp;IF(AND(V17&lt;&gt;"",OR(V17&lt;0,V17&gt;1)),"胜率窗口口径不一致；","")&amp;IF(AA17="","近三年回撤；","")&amp;IF(AD17="","短期卡玛；","")&amp;IF(AND(P17&lt;&gt;"",AE17=""),"DD_long不可识别；","")</f>
        <v/>
      </c>
      <c r="AV17" s="51" t="n">
        <v>41.60137</v>
      </c>
      <c r="AW17" s="22" t="inlineStr">
        <is>
          <t>0-5亿元</t>
        </is>
      </c>
      <c r="AX17" s="22" t="inlineStr">
        <is>
          <t>2025-05-22</t>
        </is>
      </c>
      <c r="AY17" s="22" t="inlineStr">
        <is>
          <t>杭州探融投资管理有限公司</t>
        </is>
      </c>
      <c r="AZ17" s="22" t="inlineStr">
        <is>
          <t>2025-05-22</t>
        </is>
      </c>
      <c r="BA17" s="22" t="inlineStr">
        <is>
          <t>https://gs.amac.org.cn/amac-infodisc/res/pof/manager/101000049159.html</t>
        </is>
      </c>
      <c r="BB17" s="22" t="inlineStr">
        <is>
          <t>新视野智能量化私募基金2号</t>
        </is>
      </c>
      <c r="BC17" s="22" t="inlineStr">
        <is>
          <t>2026-05-12</t>
        </is>
      </c>
      <c r="BD17" s="22" t="inlineStr">
        <is>
          <t>已匹配</t>
        </is>
      </c>
      <c r="BE17" t="inlineStr">
        <is>
          <t>https://gs.amac.org.cn/amac-infodisc/res/pof/fund/351000611236.html</t>
        </is>
      </c>
      <c r="BF17" t="inlineStr">
        <is>
          <t>已核验</t>
        </is>
      </c>
    </row>
    <row r="18" hidden="1" ht="28" customHeight="1" s="73">
      <c r="A18" s="2" t="n">
        <v>2</v>
      </c>
      <c r="B18" s="18" t="inlineStr">
        <is>
          <t>探融新视野智能量化1号</t>
        </is>
      </c>
      <c r="C18" s="18">
        <f>'sheet4-原始数据'!B3</f>
        <v/>
      </c>
      <c r="D18" s="18" t="inlineStr">
        <is>
          <t>杭州探融投资</t>
        </is>
      </c>
      <c r="E18" s="90" t="inlineStr">
        <is>
          <t>2016-09-22</t>
        </is>
      </c>
      <c r="F18" s="20" t="n">
        <v>9.9795</v>
      </c>
      <c r="G18" s="2">
        <f>IF(F18="","",IF(F18&lt;1,"不入池","入池"))</f>
        <v/>
      </c>
      <c r="H18" s="42" t="inlineStr">
        <is>
          <t>0-5亿元</t>
        </is>
      </c>
      <c r="I18" s="20" t="n">
        <v>60</v>
      </c>
      <c r="J18" s="43" t="inlineStr">
        <is>
          <t>无低于1000万元标识</t>
        </is>
      </c>
      <c r="K18" s="20" t="n">
        <v>100</v>
      </c>
      <c r="L18" s="20" t="n">
        <v>100</v>
      </c>
      <c r="M18" s="44" t="n">
        <v>-0.0048</v>
      </c>
      <c r="N18" s="44" t="n">
        <v>0.0123</v>
      </c>
      <c r="O18" s="45" t="n"/>
      <c r="P18" s="46" t="n">
        <v>0.02095986910738712</v>
      </c>
      <c r="Q18" s="20" t="n">
        <v>15.28</v>
      </c>
      <c r="R18" s="20" t="n">
        <v>10</v>
      </c>
      <c r="S18" s="20" t="n">
        <v>13.17</v>
      </c>
      <c r="T18" s="44" t="n">
        <v>0.3846</v>
      </c>
      <c r="U18" s="44" t="n">
        <v>0.5676</v>
      </c>
      <c r="V18" s="46" t="n">
        <v>0.666725</v>
      </c>
      <c r="W18" s="20" t="n">
        <v>38.46</v>
      </c>
      <c r="X18" s="20" t="n">
        <v>66.6725</v>
      </c>
      <c r="Y18" s="20" t="n">
        <v>49.75</v>
      </c>
      <c r="Z18" s="46" t="n">
        <v>0.02526315789473684</v>
      </c>
      <c r="AA18" s="44" t="n">
        <v>0.0251</v>
      </c>
      <c r="AB18" s="46" t="n">
        <v>0.02526315789473684</v>
      </c>
      <c r="AC18" s="20" t="n">
        <v>66.2</v>
      </c>
      <c r="AD18" s="91" t="n">
        <v>-0.19</v>
      </c>
      <c r="AE18" s="46" t="n"/>
      <c r="AF18" s="20" t="n"/>
      <c r="AG18" s="20" t="n">
        <v>11.89</v>
      </c>
      <c r="AH18" s="20" t="n"/>
      <c r="AI18" s="20" t="n">
        <v>11.89</v>
      </c>
      <c r="AJ18" s="46" t="n">
        <v>0.0123</v>
      </c>
      <c r="AK18" s="20" t="n">
        <v>80</v>
      </c>
      <c r="AL18" s="20" t="n">
        <v>84</v>
      </c>
      <c r="AM18" s="20" t="n">
        <v>24.14</v>
      </c>
      <c r="AN18" s="20" t="n">
        <v>66.2</v>
      </c>
      <c r="AO18" s="20" t="n">
        <v>11.89</v>
      </c>
      <c r="AP18" s="20" t="n">
        <v>80</v>
      </c>
      <c r="AQ18" s="92" t="n">
        <v>0.88</v>
      </c>
      <c r="AR18" s="20" t="n">
        <v>44.11842</v>
      </c>
      <c r="AS18" s="20" t="n">
        <v>50.13</v>
      </c>
      <c r="AT18" s="49" t="n">
        <v>222</v>
      </c>
      <c r="AU18" s="50">
        <f>IF(I18="","管理人规模；","")&amp;IF(J18="","产品规模标识；","")&amp;IF(AND(F18&lt;3,O18=""),"R_incep；","")&amp;IF(N18="","近三年收益；","")&amp;IF(U18="","近三年胜率；","")&amp;IF(AND(V18&lt;&gt;"",OR(V18&lt;0,V18&gt;1)),"胜率窗口口径不一致；","")&amp;IF(AA18="","近三年回撤；","")&amp;IF(AD18="","短期卡玛；","")&amp;IF(AND(P18&lt;&gt;"",AE18=""),"DD_long不可识别；","")</f>
        <v/>
      </c>
      <c r="AV18" s="51" t="n"/>
      <c r="AW18" s="22" t="inlineStr">
        <is>
          <t>0-5亿元</t>
        </is>
      </c>
      <c r="AX18" s="22" t="inlineStr">
        <is>
          <t>2025-05-22</t>
        </is>
      </c>
      <c r="AY18" s="22" t="inlineStr">
        <is>
          <t>杭州探融投资管理有限公司</t>
        </is>
      </c>
      <c r="AZ18" s="22" t="inlineStr">
        <is>
          <t>2025-05-22</t>
        </is>
      </c>
      <c r="BA18" s="22" t="inlineStr">
        <is>
          <t>https://gs.amac.org.cn/amac-infodisc/res/pof/manager/101000049159.html</t>
        </is>
      </c>
      <c r="BB18" s="22" t="inlineStr">
        <is>
          <t>探融新视野智能量化私募证券投资基金1号</t>
        </is>
      </c>
      <c r="BC18" s="22" t="inlineStr">
        <is>
          <t>2026-05-25</t>
        </is>
      </c>
      <c r="BD18" s="22" t="inlineStr">
        <is>
          <t>已匹配</t>
        </is>
      </c>
      <c r="BE18" t="inlineStr">
        <is>
          <t>https://gs.amac.org.cn/amac-infodisc/res/pof/fund/351000500099.html</t>
        </is>
      </c>
      <c r="BF18" t="inlineStr">
        <is>
          <t>已核验</t>
        </is>
      </c>
    </row>
    <row r="19" hidden="1" ht="28" customHeight="1" s="73">
      <c r="A19" s="2" t="n">
        <v>3</v>
      </c>
      <c r="B19" s="18" t="inlineStr">
        <is>
          <t>辉毅4号</t>
        </is>
      </c>
      <c r="C19" s="18">
        <f>'sheet4-原始数据'!B4</f>
        <v/>
      </c>
      <c r="D19" s="18" t="inlineStr">
        <is>
          <t>上海申毅投资</t>
        </is>
      </c>
      <c r="E19" s="90" t="inlineStr">
        <is>
          <t>2016-09-14</t>
        </is>
      </c>
      <c r="F19" s="20" t="n">
        <v>10.0014</v>
      </c>
      <c r="G19" s="2">
        <f>IF(F19="","",IF(F19&lt;1,"不入池","入池"))</f>
        <v/>
      </c>
      <c r="H19" s="42" t="inlineStr">
        <is>
          <t>100亿元以上</t>
        </is>
      </c>
      <c r="I19" s="20" t="n">
        <v>100</v>
      </c>
      <c r="J19" s="43" t="inlineStr">
        <is>
          <t>无低于1000万元标识</t>
        </is>
      </c>
      <c r="K19" s="20" t="n">
        <v>100</v>
      </c>
      <c r="L19" s="20" t="n">
        <v>100</v>
      </c>
      <c r="M19" s="44" t="n">
        <v>-0.0025</v>
      </c>
      <c r="N19" s="44" t="n">
        <v>0.0488</v>
      </c>
      <c r="O19" s="45" t="n"/>
      <c r="P19" s="46" t="n">
        <v>0.07543103640221527</v>
      </c>
      <c r="Q19" s="20" t="n">
        <v>16.49</v>
      </c>
      <c r="R19" s="20" t="n">
        <v>61</v>
      </c>
      <c r="S19" s="20" t="n">
        <v>34.29</v>
      </c>
      <c r="T19" s="44" t="n">
        <v>0.4615</v>
      </c>
      <c r="U19" s="44" t="n">
        <v>0.7568</v>
      </c>
      <c r="V19" s="46" t="n">
        <v>0.9167541666666666</v>
      </c>
      <c r="W19" s="20" t="n">
        <v>46.15</v>
      </c>
      <c r="X19" s="20" t="n">
        <v>91.67541666666666</v>
      </c>
      <c r="Y19" s="20" t="n">
        <v>64.36</v>
      </c>
      <c r="Z19" s="46" t="n">
        <v>0.02436647173489279</v>
      </c>
      <c r="AA19" s="44" t="n">
        <v>0.0246</v>
      </c>
      <c r="AB19" s="46" t="n">
        <v>0.0246</v>
      </c>
      <c r="AC19" s="20" t="n">
        <v>68.12</v>
      </c>
      <c r="AD19" s="91" t="n">
        <v>-0.1026</v>
      </c>
      <c r="AE19" s="46" t="n">
        <v>0.0246</v>
      </c>
      <c r="AF19" s="20" t="n">
        <v>3.066302292772978</v>
      </c>
      <c r="AG19" s="20" t="n">
        <v>14.69</v>
      </c>
      <c r="AH19" s="20" t="n">
        <v>76.47</v>
      </c>
      <c r="AI19" s="20" t="n">
        <v>39.4</v>
      </c>
      <c r="AJ19" s="46" t="n">
        <v>0.0488</v>
      </c>
      <c r="AK19" s="20" t="n">
        <v>80</v>
      </c>
      <c r="AL19" s="20" t="n">
        <v>100</v>
      </c>
      <c r="AM19" s="20" t="n">
        <v>43.31</v>
      </c>
      <c r="AN19" s="20" t="n">
        <v>68.12</v>
      </c>
      <c r="AO19" s="20" t="n">
        <v>39.4</v>
      </c>
      <c r="AP19" s="20" t="n">
        <v>80</v>
      </c>
      <c r="AQ19" s="92" t="n">
        <v>1</v>
      </c>
      <c r="AR19" s="20" t="n">
        <v>60.51337</v>
      </c>
      <c r="AS19" s="20" t="n">
        <v>60.51</v>
      </c>
      <c r="AT19" s="49" t="n">
        <v>165</v>
      </c>
      <c r="AU19" s="50">
        <f>IF(I19="","管理人规模；","")&amp;IF(J19="","产品规模标识；","")&amp;IF(AND(F19&lt;3,O19=""),"R_incep；","")&amp;IF(N19="","近三年收益；","")&amp;IF(U19="","近三年胜率；","")&amp;IF(AND(V19&lt;&gt;"",OR(V19&lt;0,V19&gt;1)),"胜率窗口口径不一致；","")&amp;IF(AA19="","近三年回撤；","")&amp;IF(AD19="","短期卡玛；","")&amp;IF(AND(P19&lt;&gt;"",AE19=""),"DD_long不可识别；","")</f>
        <v/>
      </c>
      <c r="AV19" s="51" t="n">
        <v>60.51337</v>
      </c>
      <c r="AW19" s="22" t="inlineStr">
        <is>
          <t>100亿元以上</t>
        </is>
      </c>
      <c r="AX19" s="22" t="inlineStr">
        <is>
          <t>2026-04-28</t>
        </is>
      </c>
      <c r="AY19" s="22" t="inlineStr">
        <is>
          <t>上海申毅投资股份有限公司</t>
        </is>
      </c>
      <c r="AZ19" s="22" t="inlineStr">
        <is>
          <t>2026-04-28</t>
        </is>
      </c>
      <c r="BA19" s="22" t="inlineStr">
        <is>
          <t>https://gs.amac.org.cn/amac-infodisc/res/pof/manager/101000000870.html</t>
        </is>
      </c>
      <c r="BB19" s="22" t="inlineStr">
        <is>
          <t>辉毅4号</t>
        </is>
      </c>
      <c r="BC19" s="22" t="inlineStr">
        <is>
          <t>2025-04-02</t>
        </is>
      </c>
      <c r="BD19" s="22" t="inlineStr">
        <is>
          <t>已匹配</t>
        </is>
      </c>
      <c r="BE19" t="inlineStr">
        <is>
          <t>https://gs.amac.org.cn/amac-infodisc/res/pof/fund/351000509057.html</t>
        </is>
      </c>
      <c r="BF19" t="inlineStr">
        <is>
          <t>已核验</t>
        </is>
      </c>
    </row>
    <row r="20" hidden="1" ht="28" customHeight="1" s="73">
      <c r="A20" s="2" t="n">
        <v>4</v>
      </c>
      <c r="B20" s="18" t="inlineStr">
        <is>
          <t>平凡悟鑫</t>
        </is>
      </c>
      <c r="C20" s="18">
        <f>'sheet4-原始数据'!B5</f>
        <v/>
      </c>
      <c r="D20" s="18" t="inlineStr">
        <is>
          <t>北京平凡</t>
        </is>
      </c>
      <c r="E20" s="90" t="inlineStr">
        <is>
          <t>2016-04-19</t>
        </is>
      </c>
      <c r="F20" s="20" t="n">
        <v>10.4066</v>
      </c>
      <c r="G20" s="2">
        <f>IF(F20="","",IF(F20&lt;1,"不入池","入池"))</f>
        <v/>
      </c>
      <c r="H20" s="42" t="inlineStr">
        <is>
          <t>50-100亿元</t>
        </is>
      </c>
      <c r="I20" s="20" t="n">
        <v>90</v>
      </c>
      <c r="J20" s="43" t="inlineStr">
        <is>
          <t>无低于1000万元标识</t>
        </is>
      </c>
      <c r="K20" s="20" t="n">
        <v>100</v>
      </c>
      <c r="L20" s="20" t="n">
        <v>100</v>
      </c>
      <c r="M20" s="44" t="n">
        <v>0.0607</v>
      </c>
      <c r="N20" s="44" t="n">
        <v>0.0649</v>
      </c>
      <c r="O20" s="45" t="n"/>
      <c r="P20" s="46" t="n">
        <v>0.06700623233803715</v>
      </c>
      <c r="Q20" s="20" t="n">
        <v>51.39</v>
      </c>
      <c r="R20" s="20" t="n">
        <v>54</v>
      </c>
      <c r="S20" s="20" t="n">
        <v>52.43</v>
      </c>
      <c r="T20" s="44" t="n">
        <v>0.9231</v>
      </c>
      <c r="U20" s="44" t="n">
        <v>0.8919</v>
      </c>
      <c r="V20" s="46" t="n">
        <v>0.875</v>
      </c>
      <c r="W20" s="20" t="n">
        <v>92.31</v>
      </c>
      <c r="X20" s="20" t="n">
        <v>87.5</v>
      </c>
      <c r="Y20" s="20" t="n">
        <v>90.39</v>
      </c>
      <c r="Z20" s="46" t="n">
        <v>0.009712466198377522</v>
      </c>
      <c r="AA20" s="44" t="n">
        <v>0.0097</v>
      </c>
      <c r="AB20" s="46" t="n">
        <v>0.009712466198377522</v>
      </c>
      <c r="AC20" s="20" t="n">
        <v>86.06</v>
      </c>
      <c r="AD20" s="91" t="n">
        <v>6.2497</v>
      </c>
      <c r="AE20" s="46" t="n"/>
      <c r="AF20" s="20" t="n"/>
      <c r="AG20" s="20" t="n">
        <v>71.33</v>
      </c>
      <c r="AH20" s="20" t="n"/>
      <c r="AI20" s="20" t="n">
        <v>71.33</v>
      </c>
      <c r="AJ20" s="46" t="n">
        <v>0.0649</v>
      </c>
      <c r="AK20" s="20" t="n">
        <v>80</v>
      </c>
      <c r="AL20" s="20" t="n">
        <v>96</v>
      </c>
      <c r="AM20" s="20" t="n">
        <v>63.82</v>
      </c>
      <c r="AN20" s="20" t="n">
        <v>86.06</v>
      </c>
      <c r="AO20" s="20" t="n">
        <v>71.33</v>
      </c>
      <c r="AP20" s="20" t="n">
        <v>80</v>
      </c>
      <c r="AQ20" s="92" t="n">
        <v>0.88</v>
      </c>
      <c r="AR20" s="20" t="n">
        <v>69.51832</v>
      </c>
      <c r="AS20" s="20" t="n">
        <v>79</v>
      </c>
      <c r="AT20" s="49" t="n">
        <v>69</v>
      </c>
      <c r="AU20" s="50">
        <f>IF(I20="","管理人规模；","")&amp;IF(J20="","产品规模标识；","")&amp;IF(AND(F20&lt;3,O20=""),"R_incep；","")&amp;IF(N20="","近三年收益；","")&amp;IF(U20="","近三年胜率；","")&amp;IF(AND(V20&lt;&gt;"",OR(V20&lt;0,V20&gt;1)),"胜率窗口口径不一致；","")&amp;IF(AA20="","近三年回撤；","")&amp;IF(AD20="","短期卡玛；","")&amp;IF(AND(P20&lt;&gt;"",AE20=""),"DD_long不可识别；","")</f>
        <v/>
      </c>
      <c r="AV20" s="51" t="n"/>
      <c r="AW20" s="22" t="inlineStr">
        <is>
          <t>50-100亿元</t>
        </is>
      </c>
      <c r="AX20" s="22" t="inlineStr">
        <is>
          <t>2026-08-05</t>
        </is>
      </c>
      <c r="AY20" s="22" t="inlineStr">
        <is>
          <t>北京平凡私募基金管理有限公司</t>
        </is>
      </c>
      <c r="AZ20" s="22" t="inlineStr">
        <is>
          <t>2026-08-05</t>
        </is>
      </c>
      <c r="BA20" s="22" t="inlineStr">
        <is>
          <t>https://gs.amac.org.cn/amac-infodisc/res/pof/manager/101000030286.html</t>
        </is>
      </c>
      <c r="BB20" s="22" t="inlineStr">
        <is>
          <t>平凡悟鑫证券投资基金</t>
        </is>
      </c>
      <c r="BC20" s="22" t="inlineStr">
        <is>
          <t>2026-05-27</t>
        </is>
      </c>
      <c r="BD20" s="22" t="inlineStr">
        <is>
          <t>已匹配</t>
        </is>
      </c>
      <c r="BE20" t="inlineStr">
        <is>
          <t>https://gs.amac.org.cn/amac-infodisc/res/pof/fund/351000410825.html</t>
        </is>
      </c>
      <c r="BF20" t="inlineStr">
        <is>
          <t>已核验</t>
        </is>
      </c>
    </row>
    <row r="21" hidden="1" ht="28" customHeight="1" s="73">
      <c r="A21" s="2" t="n">
        <v>5</v>
      </c>
      <c r="B21" s="18" t="inlineStr">
        <is>
          <t>致同稳盈对冲</t>
        </is>
      </c>
      <c r="C21" s="18">
        <f>'sheet4-原始数据'!B6</f>
        <v/>
      </c>
      <c r="D21" s="18" t="inlineStr">
        <is>
          <t>上海致同投资</t>
        </is>
      </c>
      <c r="E21" s="90" t="inlineStr">
        <is>
          <t>2017-05-02</t>
        </is>
      </c>
      <c r="F21" s="20" t="n">
        <v>9.371700000000001</v>
      </c>
      <c r="G21" s="2">
        <f>IF(F21="","",IF(F21&lt;1,"不入池","入池"))</f>
        <v/>
      </c>
      <c r="H21" s="42" t="inlineStr">
        <is>
          <t>20-50亿元</t>
        </is>
      </c>
      <c r="I21" s="20" t="n">
        <v>90</v>
      </c>
      <c r="J21" s="43" t="inlineStr">
        <is>
          <t>无低于1000万元标识</t>
        </is>
      </c>
      <c r="K21" s="20" t="n">
        <v>100</v>
      </c>
      <c r="L21" s="20" t="n">
        <v>100</v>
      </c>
      <c r="M21" s="44" t="n">
        <v>0.0405</v>
      </c>
      <c r="N21" s="44" t="n">
        <v>0.0489</v>
      </c>
      <c r="O21" s="45" t="n"/>
      <c r="P21" s="46" t="n">
        <v>0.0531253959685094</v>
      </c>
      <c r="Q21" s="20" t="n">
        <v>39.93</v>
      </c>
      <c r="R21" s="20" t="n">
        <v>39.5</v>
      </c>
      <c r="S21" s="20" t="n">
        <v>39.76</v>
      </c>
      <c r="T21" s="44" t="n">
        <v>0.7692</v>
      </c>
      <c r="U21" s="44" t="n">
        <v>0.7837999999999999</v>
      </c>
      <c r="V21" s="46" t="n">
        <v>0.7917083333333332</v>
      </c>
      <c r="W21" s="20" t="n">
        <v>76.92</v>
      </c>
      <c r="X21" s="20" t="n">
        <v>79.17083333333332</v>
      </c>
      <c r="Y21" s="20" t="n">
        <v>77.81999999999999</v>
      </c>
      <c r="Z21" s="46" t="n">
        <v>0.01337251535362874</v>
      </c>
      <c r="AA21" s="44" t="n">
        <v>0.0134</v>
      </c>
      <c r="AB21" s="46" t="n">
        <v>0.0134</v>
      </c>
      <c r="AC21" s="20" t="n">
        <v>80.48999999999999</v>
      </c>
      <c r="AD21" s="91" t="n">
        <v>3.0286</v>
      </c>
      <c r="AE21" s="46" t="n"/>
      <c r="AF21" s="20" t="n"/>
      <c r="AG21" s="20" t="n">
        <v>54.9</v>
      </c>
      <c r="AH21" s="20" t="n"/>
      <c r="AI21" s="20" t="n">
        <v>54.9</v>
      </c>
      <c r="AJ21" s="46" t="n">
        <v>0.0489</v>
      </c>
      <c r="AK21" s="20" t="n">
        <v>80</v>
      </c>
      <c r="AL21" s="20" t="n">
        <v>96</v>
      </c>
      <c r="AM21" s="20" t="n">
        <v>51.18</v>
      </c>
      <c r="AN21" s="20" t="n">
        <v>80.48999999999999</v>
      </c>
      <c r="AO21" s="20" t="n">
        <v>54.9</v>
      </c>
      <c r="AP21" s="20" t="n">
        <v>80</v>
      </c>
      <c r="AQ21" s="92" t="n">
        <v>0.88</v>
      </c>
      <c r="AR21" s="20" t="n">
        <v>62.63984</v>
      </c>
      <c r="AS21" s="20" t="n">
        <v>71.18000000000001</v>
      </c>
      <c r="AT21" s="49" t="n">
        <v>110</v>
      </c>
      <c r="AU21" s="50">
        <f>IF(I21="","管理人规模；","")&amp;IF(J21="","产品规模标识；","")&amp;IF(AND(F21&lt;3,O21=""),"R_incep；","")&amp;IF(N21="","近三年收益；","")&amp;IF(U21="","近三年胜率；","")&amp;IF(AND(V21&lt;&gt;"",OR(V21&lt;0,V21&gt;1)),"胜率窗口口径不一致；","")&amp;IF(AA21="","近三年回撤；","")&amp;IF(AD21="","短期卡玛；","")&amp;IF(AND(P21&lt;&gt;"",AE21=""),"DD_long不可识别；","")</f>
        <v/>
      </c>
      <c r="AV21" s="51" t="n"/>
      <c r="AW21" s="22" t="inlineStr">
        <is>
          <t>20-50亿元</t>
        </is>
      </c>
      <c r="AX21" s="22" t="inlineStr">
        <is>
          <t>2026-03-16</t>
        </is>
      </c>
      <c r="AY21" s="22" t="inlineStr">
        <is>
          <t>上海致同投资管理有限公司</t>
        </is>
      </c>
      <c r="AZ21" s="22" t="inlineStr">
        <is>
          <t>2026-03-16</t>
        </is>
      </c>
      <c r="BA21" s="22" t="inlineStr">
        <is>
          <t>https://gs.amac.org.cn/amac-infodisc/res/pof/manager/101000004339.html</t>
        </is>
      </c>
      <c r="BB21" s="22" t="inlineStr">
        <is>
          <t>致同稳盈对冲私募基金</t>
        </is>
      </c>
      <c r="BC21" s="22" t="inlineStr">
        <is>
          <t>2026-07-06</t>
        </is>
      </c>
      <c r="BD21" s="22" t="inlineStr">
        <is>
          <t>已匹配</t>
        </is>
      </c>
      <c r="BE21" t="inlineStr">
        <is>
          <t>https://gs.amac.org.cn/amac-infodisc/res/pof/fund/1705051025108658.html</t>
        </is>
      </c>
      <c r="BF21" t="inlineStr">
        <is>
          <t>已核验</t>
        </is>
      </c>
    </row>
    <row r="22" hidden="1" ht="28" customHeight="1" s="73">
      <c r="A22" s="2" t="n">
        <v>6</v>
      </c>
      <c r="B22" s="18" t="inlineStr">
        <is>
          <t>哈福尊享一号</t>
        </is>
      </c>
      <c r="C22" s="18">
        <f>'sheet4-原始数据'!B7</f>
        <v/>
      </c>
      <c r="D22" s="18" t="inlineStr">
        <is>
          <t>哈福基金</t>
        </is>
      </c>
      <c r="E22" s="90" t="inlineStr">
        <is>
          <t>2017-05-10</t>
        </is>
      </c>
      <c r="F22" s="20" t="n">
        <v>9.3498</v>
      </c>
      <c r="G22" s="2">
        <f>IF(F22="","",IF(F22&lt;1,"不入池","入池"))</f>
        <v/>
      </c>
      <c r="H22" s="42" t="inlineStr">
        <is>
          <t>0-5亿元</t>
        </is>
      </c>
      <c r="I22" s="20" t="n">
        <v>60</v>
      </c>
      <c r="J22" s="43" t="inlineStr">
        <is>
          <t>无低于1000万元标识</t>
        </is>
      </c>
      <c r="K22" s="20" t="n">
        <v>100</v>
      </c>
      <c r="L22" s="20" t="n">
        <v>100</v>
      </c>
      <c r="M22" s="44" t="n">
        <v>0.0289</v>
      </c>
      <c r="N22" s="44" t="n">
        <v>0.0225</v>
      </c>
      <c r="O22" s="45" t="n"/>
      <c r="P22" s="46" t="n">
        <v>0.01931494407722978</v>
      </c>
      <c r="Q22" s="20" t="n">
        <v>29.51</v>
      </c>
      <c r="R22" s="20" t="n">
        <v>9</v>
      </c>
      <c r="S22" s="20" t="n">
        <v>21.31</v>
      </c>
      <c r="T22" s="44" t="n">
        <v>0.6923</v>
      </c>
      <c r="U22" s="44" t="n">
        <v>0.7297</v>
      </c>
      <c r="V22" s="46" t="n">
        <v>0.7499583333333333</v>
      </c>
      <c r="W22" s="20" t="n">
        <v>69.23</v>
      </c>
      <c r="X22" s="20" t="n">
        <v>74.99583333333332</v>
      </c>
      <c r="Y22" s="20" t="n">
        <v>71.54000000000001</v>
      </c>
      <c r="Z22" s="46" t="n">
        <v>0.0284029484029484</v>
      </c>
      <c r="AA22" s="44" t="n">
        <v>0.0658</v>
      </c>
      <c r="AB22" s="46" t="n">
        <v>0.0658</v>
      </c>
      <c r="AC22" s="20" t="n">
        <v>36.93</v>
      </c>
      <c r="AD22" s="91" t="n">
        <v>1.0175</v>
      </c>
      <c r="AE22" s="46" t="n">
        <v>0.0658</v>
      </c>
      <c r="AF22" s="20" t="n">
        <v>0.2935401835445255</v>
      </c>
      <c r="AG22" s="20" t="n">
        <v>34.62</v>
      </c>
      <c r="AH22" s="20" t="n">
        <v>13.24</v>
      </c>
      <c r="AI22" s="20" t="n">
        <v>26.07</v>
      </c>
      <c r="AJ22" s="46" t="n">
        <v>0.0225</v>
      </c>
      <c r="AK22" s="20" t="n">
        <v>100</v>
      </c>
      <c r="AL22" s="20" t="n">
        <v>84</v>
      </c>
      <c r="AM22" s="20" t="n">
        <v>36.38</v>
      </c>
      <c r="AN22" s="20" t="n">
        <v>36.93</v>
      </c>
      <c r="AO22" s="20" t="n">
        <v>26.07</v>
      </c>
      <c r="AP22" s="20" t="n">
        <v>100</v>
      </c>
      <c r="AQ22" s="92" t="n">
        <v>1</v>
      </c>
      <c r="AR22" s="20" t="n">
        <v>46.92792</v>
      </c>
      <c r="AS22" s="20" t="n">
        <v>46.93</v>
      </c>
      <c r="AT22" s="49" t="n">
        <v>236</v>
      </c>
      <c r="AU22" s="50">
        <f>IF(I22="","管理人规模；","")&amp;IF(J22="","产品规模标识；","")&amp;IF(AND(F22&lt;3,O22=""),"R_incep；","")&amp;IF(N22="","近三年收益；","")&amp;IF(U22="","近三年胜率；","")&amp;IF(AND(V22&lt;&gt;"",OR(V22&lt;0,V22&gt;1)),"胜率窗口口径不一致；","")&amp;IF(AA22="","近三年回撤；","")&amp;IF(AD22="","短期卡玛；","")&amp;IF(AND(P22&lt;&gt;"",AE22=""),"DD_long不可识别；","")</f>
        <v/>
      </c>
      <c r="AV22" s="51" t="n">
        <v>46.92792</v>
      </c>
      <c r="AW22" s="22" t="inlineStr">
        <is>
          <t>0-5亿元</t>
        </is>
      </c>
      <c r="AX22" s="22" t="inlineStr">
        <is>
          <t>2026-06-05</t>
        </is>
      </c>
      <c r="AY22" s="22" t="inlineStr">
        <is>
          <t>广东哈福私募证券投资基金管理有限公司</t>
        </is>
      </c>
      <c r="AZ22" s="22" t="inlineStr">
        <is>
          <t>2026-06-05</t>
        </is>
      </c>
      <c r="BA22" s="22" t="inlineStr">
        <is>
          <t>https://gs.amac.org.cn/amac-infodisc/res/pof/manager/101000010078.html</t>
        </is>
      </c>
      <c r="BB22" s="22" t="inlineStr">
        <is>
          <t>哈福尊享一号私募证券投资基金</t>
        </is>
      </c>
      <c r="BC22" s="22" t="inlineStr">
        <is>
          <t>2024-10-29</t>
        </is>
      </c>
      <c r="BD22" s="22" t="inlineStr">
        <is>
          <t>已匹配</t>
        </is>
      </c>
      <c r="BE22" t="inlineStr">
        <is>
          <t>https://gs.amac.org.cn/amac-infodisc/res/pof/fund/1705180919103330.html</t>
        </is>
      </c>
      <c r="BF22" t="inlineStr">
        <is>
          <t>已核验</t>
        </is>
      </c>
    </row>
    <row r="23" hidden="1" ht="28" customHeight="1" s="73">
      <c r="A23" s="2" t="n">
        <v>7</v>
      </c>
      <c r="B23" s="18" t="inlineStr">
        <is>
          <t>远澜翠柏1号</t>
        </is>
      </c>
      <c r="C23" s="18">
        <f>'sheet4-原始数据'!B8</f>
        <v/>
      </c>
      <c r="D23" s="18" t="inlineStr">
        <is>
          <t>上海远澜</t>
        </is>
      </c>
      <c r="E23" s="90" t="inlineStr">
        <is>
          <t>2017-05-12</t>
        </is>
      </c>
      <c r="F23" s="20" t="n">
        <v>9.3443</v>
      </c>
      <c r="G23" s="2">
        <f>IF(F23="","",IF(F23&lt;1,"不入池","入池"))</f>
        <v/>
      </c>
      <c r="H23" s="42" t="inlineStr">
        <is>
          <t>100亿元以上</t>
        </is>
      </c>
      <c r="I23" s="20" t="n">
        <v>100</v>
      </c>
      <c r="J23" s="43" t="inlineStr">
        <is>
          <t>无低于1000万元标识</t>
        </is>
      </c>
      <c r="K23" s="20" t="n">
        <v>100</v>
      </c>
      <c r="L23" s="20" t="n">
        <v>100</v>
      </c>
      <c r="M23" s="44" t="n">
        <v>0.0546</v>
      </c>
      <c r="N23" s="44" t="n">
        <v>0.0457</v>
      </c>
      <c r="O23" s="45" t="n"/>
      <c r="P23" s="46" t="n">
        <v>0.04127820563454132</v>
      </c>
      <c r="Q23" s="20" t="n">
        <v>47.22</v>
      </c>
      <c r="R23" s="20" t="n">
        <v>29</v>
      </c>
      <c r="S23" s="20" t="n">
        <v>39.93</v>
      </c>
      <c r="T23" s="44" t="n">
        <v>0.4615</v>
      </c>
      <c r="U23" s="44" t="n">
        <v>0.5135000000000001</v>
      </c>
      <c r="V23" s="46" t="n">
        <v>0.5416666666666667</v>
      </c>
      <c r="W23" s="20" t="n">
        <v>46.15</v>
      </c>
      <c r="X23" s="20" t="n">
        <v>54.16666666666667</v>
      </c>
      <c r="Y23" s="20" t="n">
        <v>49.36</v>
      </c>
      <c r="Z23" s="46" t="n">
        <v>0.1538895152198422</v>
      </c>
      <c r="AA23" s="44" t="n">
        <v>0.154</v>
      </c>
      <c r="AB23" s="46" t="n">
        <v>0.154</v>
      </c>
      <c r="AC23" s="20" t="n">
        <v>15.33</v>
      </c>
      <c r="AD23" s="91" t="n">
        <v>0.3548</v>
      </c>
      <c r="AE23" s="46" t="n">
        <v>0.154</v>
      </c>
      <c r="AF23" s="20" t="n">
        <v>0.2680402963281904</v>
      </c>
      <c r="AG23" s="20" t="n">
        <v>22.73</v>
      </c>
      <c r="AH23" s="20" t="n">
        <v>12.5</v>
      </c>
      <c r="AI23" s="20" t="n">
        <v>18.64</v>
      </c>
      <c r="AJ23" s="46" t="n">
        <v>0.0457</v>
      </c>
      <c r="AK23" s="20" t="n">
        <v>100</v>
      </c>
      <c r="AL23" s="20" t="n">
        <v>100</v>
      </c>
      <c r="AM23" s="20" t="n">
        <v>42.76</v>
      </c>
      <c r="AN23" s="20" t="n">
        <v>15.33</v>
      </c>
      <c r="AO23" s="20" t="n">
        <v>18.64</v>
      </c>
      <c r="AP23" s="20" t="n">
        <v>100</v>
      </c>
      <c r="AQ23" s="92" t="n">
        <v>1</v>
      </c>
      <c r="AR23" s="20" t="n">
        <v>42.97578</v>
      </c>
      <c r="AS23" s="20" t="n">
        <v>42.98</v>
      </c>
      <c r="AT23" s="49" t="n">
        <v>253</v>
      </c>
      <c r="AU23" s="50">
        <f>IF(I23="","管理人规模；","")&amp;IF(J23="","产品规模标识；","")&amp;IF(AND(F23&lt;3,O23=""),"R_incep；","")&amp;IF(N23="","近三年收益；","")&amp;IF(U23="","近三年胜率；","")&amp;IF(AND(V23&lt;&gt;"",OR(V23&lt;0,V23&gt;1)),"胜率窗口口径不一致；","")&amp;IF(AA23="","近三年回撤；","")&amp;IF(AD23="","短期卡玛；","")&amp;IF(AND(P23&lt;&gt;"",AE23=""),"DD_long不可识别；","")</f>
        <v/>
      </c>
      <c r="AV23" s="51" t="n">
        <v>42.97578</v>
      </c>
      <c r="AW23" s="22" t="inlineStr">
        <is>
          <t>100亿元以上</t>
        </is>
      </c>
      <c r="AX23" s="22" t="inlineStr">
        <is>
          <t>2026-05-08</t>
        </is>
      </c>
      <c r="AY23" s="22" t="inlineStr">
        <is>
          <t>上海远澜私募基金管理有限公司</t>
        </is>
      </c>
      <c r="AZ23" s="22" t="inlineStr">
        <is>
          <t>2026-05-08</t>
        </is>
      </c>
      <c r="BA23" s="22" t="inlineStr">
        <is>
          <t>https://gs.amac.org.cn/amac-infodisc/res/pof/manager/101000022626.html</t>
        </is>
      </c>
      <c r="BB23" s="22" t="inlineStr">
        <is>
          <t>远澜翠柏1号私募证券投资基金</t>
        </is>
      </c>
      <c r="BC23" s="22" t="inlineStr">
        <is>
          <t>2024-11-07</t>
        </is>
      </c>
      <c r="BD23" s="22" t="inlineStr">
        <is>
          <t>已匹配</t>
        </is>
      </c>
      <c r="BE23" t="inlineStr">
        <is>
          <t>https://gs.amac.org.cn/amac-infodisc/res/pof/fund/1706161700107643.html</t>
        </is>
      </c>
      <c r="BF23" t="inlineStr">
        <is>
          <t>已核验</t>
        </is>
      </c>
    </row>
    <row r="24" hidden="1" ht="28" customHeight="1" s="73">
      <c r="A24" s="2" t="n">
        <v>8</v>
      </c>
      <c r="B24" s="18" t="inlineStr">
        <is>
          <t>擎丰1号</t>
        </is>
      </c>
      <c r="C24" s="18">
        <f>'sheet4-原始数据'!B9</f>
        <v/>
      </c>
      <c r="D24" s="18" t="inlineStr">
        <is>
          <t>上海擎丰</t>
        </is>
      </c>
      <c r="E24" s="90" t="inlineStr">
        <is>
          <t>2018-06-06</t>
        </is>
      </c>
      <c r="F24" s="20" t="n">
        <v>8.2765</v>
      </c>
      <c r="G24" s="2">
        <f>IF(F24="","",IF(F24&lt;1,"不入池","入池"))</f>
        <v/>
      </c>
      <c r="H24" s="42" t="inlineStr">
        <is>
          <t>0-5亿元</t>
        </is>
      </c>
      <c r="I24" s="20" t="n">
        <v>60</v>
      </c>
      <c r="J24" s="43" t="inlineStr">
        <is>
          <t>无低于1000万元标识</t>
        </is>
      </c>
      <c r="K24" s="20" t="n">
        <v>100</v>
      </c>
      <c r="L24" s="20" t="n">
        <v>100</v>
      </c>
      <c r="M24" s="44" t="n">
        <v>0.0786</v>
      </c>
      <c r="N24" s="44" t="n">
        <v>0.0506</v>
      </c>
      <c r="O24" s="45" t="n"/>
      <c r="P24" s="46" t="n">
        <v>0.03687376651714547</v>
      </c>
      <c r="Q24" s="20" t="n">
        <v>64.93000000000001</v>
      </c>
      <c r="R24" s="20" t="n">
        <v>22.5</v>
      </c>
      <c r="S24" s="20" t="n">
        <v>47.96</v>
      </c>
      <c r="T24" s="44" t="n">
        <v>0.9231</v>
      </c>
      <c r="U24" s="44" t="n">
        <v>0.8378</v>
      </c>
      <c r="V24" s="46" t="n">
        <v>0.7915958333333334</v>
      </c>
      <c r="W24" s="20" t="n">
        <v>92.31</v>
      </c>
      <c r="X24" s="20" t="n">
        <v>79.15958333333334</v>
      </c>
      <c r="Y24" s="20" t="n">
        <v>87.05</v>
      </c>
      <c r="Z24" s="46" t="n">
        <v>0.00690030550970959</v>
      </c>
      <c r="AA24" s="44" t="n">
        <v>0.0069</v>
      </c>
      <c r="AB24" s="46" t="n">
        <v>0.00690030550970959</v>
      </c>
      <c r="AC24" s="20" t="n">
        <v>89.90000000000001</v>
      </c>
      <c r="AD24" s="91" t="n">
        <v>11.3908</v>
      </c>
      <c r="AE24" s="46" t="n"/>
      <c r="AF24" s="20" t="n"/>
      <c r="AG24" s="20" t="n">
        <v>84.27</v>
      </c>
      <c r="AH24" s="20" t="n"/>
      <c r="AI24" s="20" t="n">
        <v>84.27</v>
      </c>
      <c r="AJ24" s="46" t="n">
        <v>0.0506</v>
      </c>
      <c r="AK24" s="20" t="n">
        <v>100</v>
      </c>
      <c r="AL24" s="20" t="n">
        <v>84</v>
      </c>
      <c r="AM24" s="20" t="n">
        <v>59.69</v>
      </c>
      <c r="AN24" s="20" t="n">
        <v>89.90000000000001</v>
      </c>
      <c r="AO24" s="20" t="n">
        <v>84.27</v>
      </c>
      <c r="AP24" s="20" t="n">
        <v>100</v>
      </c>
      <c r="AQ24" s="92" t="n">
        <v>0.88</v>
      </c>
      <c r="AR24" s="20" t="n">
        <v>72.18071</v>
      </c>
      <c r="AS24" s="20" t="n">
        <v>82.02</v>
      </c>
      <c r="AT24" s="49" t="n">
        <v>51</v>
      </c>
      <c r="AU24" s="50">
        <f>IF(I24="","管理人规模；","")&amp;IF(J24="","产品规模标识；","")&amp;IF(AND(F24&lt;3,O24=""),"R_incep；","")&amp;IF(N24="","近三年收益；","")&amp;IF(U24="","近三年胜率；","")&amp;IF(AND(V24&lt;&gt;"",OR(V24&lt;0,V24&gt;1)),"胜率窗口口径不一致；","")&amp;IF(AA24="","近三年回撤；","")&amp;IF(AD24="","短期卡玛；","")&amp;IF(AND(P24&lt;&gt;"",AE24=""),"DD_long不可识别；","")</f>
        <v/>
      </c>
      <c r="AV24" s="51" t="n"/>
      <c r="AW24" s="22" t="inlineStr">
        <is>
          <t>0-5亿元</t>
        </is>
      </c>
      <c r="AX24" s="22" t="inlineStr">
        <is>
          <t>2026-08-06</t>
        </is>
      </c>
      <c r="AY24" s="22" t="inlineStr">
        <is>
          <t>上海擎丰私募基金管理有限公司</t>
        </is>
      </c>
      <c r="AZ24" s="22" t="inlineStr">
        <is>
          <t>2026-08-06</t>
        </is>
      </c>
      <c r="BA24" s="22" t="inlineStr">
        <is>
          <t>https://gs.amac.org.cn/amac-infodisc/res/pof/manager/1707071820104466.html</t>
        </is>
      </c>
      <c r="BB24" s="22" t="inlineStr">
        <is>
          <t>擎丰1号私募投资基金</t>
        </is>
      </c>
      <c r="BC24" s="22" t="inlineStr">
        <is>
          <t>2023-01-16</t>
        </is>
      </c>
      <c r="BD24" s="22" t="inlineStr">
        <is>
          <t>已匹配</t>
        </is>
      </c>
      <c r="BE24" t="inlineStr">
        <is>
          <t>https://gs.amac.org.cn/amac-infodisc/res/pof/fund/1806141444102951.html</t>
        </is>
      </c>
      <c r="BF24" t="inlineStr">
        <is>
          <t>已核验</t>
        </is>
      </c>
    </row>
    <row r="25" hidden="1" ht="28" customHeight="1" s="73">
      <c r="A25" s="2" t="n">
        <v>9</v>
      </c>
      <c r="B25" s="18" t="inlineStr">
        <is>
          <t>新时代智能量化3号</t>
        </is>
      </c>
      <c r="C25" s="18">
        <f>'sheet4-原始数据'!B10</f>
        <v/>
      </c>
      <c r="D25" s="18" t="inlineStr">
        <is>
          <t>杭州探融投资</t>
        </is>
      </c>
      <c r="E25" s="90" t="inlineStr">
        <is>
          <t>2018-10-29</t>
        </is>
      </c>
      <c r="F25" s="20" t="n">
        <v>7.8795</v>
      </c>
      <c r="G25" s="2">
        <f>IF(F25="","",IF(F25&lt;1,"不入池","入池"))</f>
        <v/>
      </c>
      <c r="H25" s="42" t="inlineStr">
        <is>
          <t>0-5亿元</t>
        </is>
      </c>
      <c r="I25" s="20" t="n">
        <v>60</v>
      </c>
      <c r="J25" s="43" t="inlineStr">
        <is>
          <t>无低于1000万元标识</t>
        </is>
      </c>
      <c r="K25" s="20" t="n">
        <v>100</v>
      </c>
      <c r="L25" s="20" t="n">
        <v>100</v>
      </c>
      <c r="M25" s="44" t="n">
        <v>0.012</v>
      </c>
      <c r="N25" s="44" t="n">
        <v>0.0312</v>
      </c>
      <c r="O25" s="45" t="n"/>
      <c r="P25" s="46" t="n">
        <v>0.04093617189550769</v>
      </c>
      <c r="Q25" s="20" t="n">
        <v>21.53</v>
      </c>
      <c r="R25" s="20" t="n">
        <v>28.5</v>
      </c>
      <c r="S25" s="20" t="n">
        <v>24.32</v>
      </c>
      <c r="T25" s="44" t="n">
        <v>0.4615</v>
      </c>
      <c r="U25" s="44" t="n">
        <v>0.5676</v>
      </c>
      <c r="V25" s="46" t="n">
        <v>0.6250708333333334</v>
      </c>
      <c r="W25" s="20" t="n">
        <v>46.15</v>
      </c>
      <c r="X25" s="20" t="n">
        <v>62.50708333333333</v>
      </c>
      <c r="Y25" s="20" t="n">
        <v>52.69</v>
      </c>
      <c r="Z25" s="46" t="n">
        <v>0.03299422601044817</v>
      </c>
      <c r="AA25" s="44" t="n">
        <v>0.033</v>
      </c>
      <c r="AB25" s="46" t="n">
        <v>0.033</v>
      </c>
      <c r="AC25" s="20" t="n">
        <v>56.79</v>
      </c>
      <c r="AD25" s="91" t="n">
        <v>0.3637</v>
      </c>
      <c r="AE25" s="46" t="n"/>
      <c r="AF25" s="20" t="n"/>
      <c r="AG25" s="20" t="n">
        <v>23.43</v>
      </c>
      <c r="AH25" s="20" t="n"/>
      <c r="AI25" s="20" t="n">
        <v>23.43</v>
      </c>
      <c r="AJ25" s="46" t="n">
        <v>0.0312</v>
      </c>
      <c r="AK25" s="20" t="n">
        <v>80</v>
      </c>
      <c r="AL25" s="20" t="n">
        <v>84</v>
      </c>
      <c r="AM25" s="20" t="n">
        <v>32.83</v>
      </c>
      <c r="AN25" s="20" t="n">
        <v>56.79</v>
      </c>
      <c r="AO25" s="20" t="n">
        <v>23.43</v>
      </c>
      <c r="AP25" s="20" t="n">
        <v>80</v>
      </c>
      <c r="AQ25" s="92" t="n">
        <v>0.88</v>
      </c>
      <c r="AR25" s="20" t="n">
        <v>45.58099</v>
      </c>
      <c r="AS25" s="20" t="n">
        <v>51.8</v>
      </c>
      <c r="AT25" s="49" t="n">
        <v>212</v>
      </c>
      <c r="AU25" s="50">
        <f>IF(I25="","管理人规模；","")&amp;IF(J25="","产品规模标识；","")&amp;IF(AND(F25&lt;3,O25=""),"R_incep；","")&amp;IF(N25="","近三年收益；","")&amp;IF(U25="","近三年胜率；","")&amp;IF(AND(V25&lt;&gt;"",OR(V25&lt;0,V25&gt;1)),"胜率窗口口径不一致；","")&amp;IF(AA25="","近三年回撤；","")&amp;IF(AD25="","短期卡玛；","")&amp;IF(AND(P25&lt;&gt;"",AE25=""),"DD_long不可识别；","")</f>
        <v/>
      </c>
      <c r="AV25" s="51" t="n"/>
      <c r="AW25" s="22" t="inlineStr">
        <is>
          <t>0-5亿元</t>
        </is>
      </c>
      <c r="AX25" s="22" t="inlineStr">
        <is>
          <t>2025-05-22</t>
        </is>
      </c>
      <c r="AY25" s="22" t="inlineStr">
        <is>
          <t>杭州探融投资管理有限公司</t>
        </is>
      </c>
      <c r="AZ25" s="22" t="inlineStr">
        <is>
          <t>2025-05-22</t>
        </is>
      </c>
      <c r="BA25" s="22" t="inlineStr">
        <is>
          <t>https://gs.amac.org.cn/amac-infodisc/res/pof/manager/101000049159.html</t>
        </is>
      </c>
      <c r="BB25" s="22" t="inlineStr">
        <is>
          <t>新时代智能量化3号私募投资基金</t>
        </is>
      </c>
      <c r="BC25" s="22" t="inlineStr">
        <is>
          <t>2026-05-12</t>
        </is>
      </c>
      <c r="BD25" s="22" t="inlineStr">
        <is>
          <t>已匹配</t>
        </is>
      </c>
      <c r="BE25" t="inlineStr">
        <is>
          <t>https://gs.amac.org.cn/amac-infodisc/res/pof/fund/1811011729102590.html</t>
        </is>
      </c>
      <c r="BF25" t="inlineStr">
        <is>
          <t>已核验</t>
        </is>
      </c>
    </row>
    <row r="26" hidden="1" ht="28" customHeight="1" s="73">
      <c r="A26" s="2" t="n">
        <v>10</v>
      </c>
      <c r="B26" s="18" t="inlineStr">
        <is>
          <t>悬铃C号2期</t>
        </is>
      </c>
      <c r="C26" s="18">
        <f>'sheet4-原始数据'!B11</f>
        <v/>
      </c>
      <c r="D26" s="18" t="inlineStr">
        <is>
          <t>上海悬铃</t>
        </is>
      </c>
      <c r="E26" s="90" t="inlineStr">
        <is>
          <t>2019-04-24</t>
        </is>
      </c>
      <c r="F26" s="20" t="n">
        <v>7.3949</v>
      </c>
      <c r="G26" s="2">
        <f>IF(F26="","",IF(F26&lt;1,"不入池","入池"))</f>
        <v/>
      </c>
      <c r="H26" s="42" t="inlineStr">
        <is>
          <t>20-50亿元</t>
        </is>
      </c>
      <c r="I26" s="20" t="n">
        <v>90</v>
      </c>
      <c r="J26" s="43" t="inlineStr">
        <is>
          <t>无低于1000万元标识</t>
        </is>
      </c>
      <c r="K26" s="20" t="n">
        <v>100</v>
      </c>
      <c r="L26" s="20" t="n">
        <v>100</v>
      </c>
      <c r="M26" s="44" t="n">
        <v>-0.08650000000000001</v>
      </c>
      <c r="N26" s="44" t="n">
        <v>0.0183</v>
      </c>
      <c r="O26" s="45" t="n"/>
      <c r="P26" s="46" t="n">
        <v>0.07512593856921979</v>
      </c>
      <c r="Q26" s="20" t="n">
        <v>5.21</v>
      </c>
      <c r="R26" s="20" t="n">
        <v>60</v>
      </c>
      <c r="S26" s="20" t="n">
        <v>27.13</v>
      </c>
      <c r="T26" s="44" t="n">
        <v>0.3077</v>
      </c>
      <c r="U26" s="44" t="n">
        <v>0.5676</v>
      </c>
      <c r="V26" s="46" t="n">
        <v>0.7083791666666667</v>
      </c>
      <c r="W26" s="20" t="n">
        <v>30.77</v>
      </c>
      <c r="X26" s="20" t="n">
        <v>70.83791666666667</v>
      </c>
      <c r="Y26" s="20" t="n">
        <v>46.8</v>
      </c>
      <c r="Z26" s="46" t="n">
        <v>0.08786185881157949</v>
      </c>
      <c r="AA26" s="44" t="n">
        <v>0.1306</v>
      </c>
      <c r="AB26" s="46" t="n">
        <v>0.1306</v>
      </c>
      <c r="AC26" s="20" t="n">
        <v>19.16</v>
      </c>
      <c r="AD26" s="91" t="n">
        <v>-0.9845</v>
      </c>
      <c r="AE26" s="46" t="n">
        <v>0.1306</v>
      </c>
      <c r="AF26" s="20" t="n">
        <v>0.5752368956295543</v>
      </c>
      <c r="AG26" s="20" t="n">
        <v>0</v>
      </c>
      <c r="AH26" s="20" t="n">
        <v>20.59</v>
      </c>
      <c r="AI26" s="20" t="n">
        <v>8.24</v>
      </c>
      <c r="AJ26" s="46" t="n">
        <v>0.0183</v>
      </c>
      <c r="AK26" s="20" t="n">
        <v>80</v>
      </c>
      <c r="AL26" s="20" t="n">
        <v>96</v>
      </c>
      <c r="AM26" s="20" t="n">
        <v>33.03</v>
      </c>
      <c r="AN26" s="20" t="n">
        <v>19.16</v>
      </c>
      <c r="AO26" s="20" t="n">
        <v>8.24</v>
      </c>
      <c r="AP26" s="20" t="n">
        <v>80</v>
      </c>
      <c r="AQ26" s="92" t="n">
        <v>1</v>
      </c>
      <c r="AR26" s="20" t="n">
        <v>36.26627</v>
      </c>
      <c r="AS26" s="20" t="n">
        <v>36.27</v>
      </c>
      <c r="AT26" s="49" t="n">
        <v>281</v>
      </c>
      <c r="AU26" s="50">
        <f>IF(I26="","管理人规模；","")&amp;IF(J26="","产品规模标识；","")&amp;IF(AND(F26&lt;3,O26=""),"R_incep；","")&amp;IF(N26="","近三年收益；","")&amp;IF(U26="","近三年胜率；","")&amp;IF(AND(V26&lt;&gt;"",OR(V26&lt;0,V26&gt;1)),"胜率窗口口径不一致；","")&amp;IF(AA26="","近三年回撤；","")&amp;IF(AD26="","短期卡玛；","")&amp;IF(AND(P26&lt;&gt;"",AE26=""),"DD_long不可识别；","")</f>
        <v/>
      </c>
      <c r="AV26" s="51" t="n">
        <v>36.26627</v>
      </c>
      <c r="AW26" s="22" t="inlineStr">
        <is>
          <t>20-50亿元</t>
        </is>
      </c>
      <c r="AX26" s="22" t="inlineStr">
        <is>
          <t>2026-07-13</t>
        </is>
      </c>
      <c r="AY26" s="22" t="inlineStr">
        <is>
          <t>上海悬铃私募基金管理有限公司</t>
        </is>
      </c>
      <c r="AZ26" s="22" t="inlineStr">
        <is>
          <t>2026-07-13</t>
        </is>
      </c>
      <c r="BA26" s="22" t="inlineStr">
        <is>
          <t>https://gs.amac.org.cn/amac-infodisc/res/pof/manager/1701161209103763.html</t>
        </is>
      </c>
      <c r="BB26" s="22" t="inlineStr">
        <is>
          <t>悬铃C号2期私募证券投资基金</t>
        </is>
      </c>
      <c r="BC26" s="22" t="inlineStr">
        <is>
          <t>2025-03-12</t>
        </is>
      </c>
      <c r="BD26" s="22" t="inlineStr">
        <is>
          <t>已匹配</t>
        </is>
      </c>
      <c r="BE26" t="inlineStr">
        <is>
          <t>https://gs.amac.org.cn/amac-infodisc/res/pof/fund/1904291722104146.html</t>
        </is>
      </c>
      <c r="BF26" t="inlineStr">
        <is>
          <t>已核验</t>
        </is>
      </c>
    </row>
    <row r="27" hidden="1" ht="28" customHeight="1" s="73">
      <c r="A27" s="2" t="n">
        <v>11</v>
      </c>
      <c r="B27" s="18" t="inlineStr">
        <is>
          <t>爱凡哲九号</t>
        </is>
      </c>
      <c r="C27" s="18">
        <f>'sheet4-原始数据'!B12</f>
        <v/>
      </c>
      <c r="D27" s="18" t="inlineStr">
        <is>
          <t>爱凡哲投资</t>
        </is>
      </c>
      <c r="E27" s="90" t="inlineStr">
        <is>
          <t>2019-09-02</t>
        </is>
      </c>
      <c r="F27" s="20" t="n">
        <v>7.0363</v>
      </c>
      <c r="G27" s="2">
        <f>IF(F27="","",IF(F27&lt;1,"不入池","入池"))</f>
        <v/>
      </c>
      <c r="H27" s="42" t="inlineStr">
        <is>
          <t>20-50亿元</t>
        </is>
      </c>
      <c r="I27" s="20" t="n">
        <v>90</v>
      </c>
      <c r="J27" s="43" t="inlineStr">
        <is>
          <t>无低于1000万元标识</t>
        </is>
      </c>
      <c r="K27" s="20" t="n">
        <v>100</v>
      </c>
      <c r="L27" s="20" t="n">
        <v>100</v>
      </c>
      <c r="M27" s="44" t="n">
        <v>0.1158</v>
      </c>
      <c r="N27" s="44" t="n">
        <v>0.1178</v>
      </c>
      <c r="O27" s="45" t="n"/>
      <c r="P27" s="46" t="n">
        <v>0.1188013439256066</v>
      </c>
      <c r="Q27" s="20" t="n">
        <v>81.59999999999999</v>
      </c>
      <c r="R27" s="20" t="n">
        <v>79.5</v>
      </c>
      <c r="S27" s="20" t="n">
        <v>80.76000000000001</v>
      </c>
      <c r="T27" s="44" t="n">
        <v>0.8462000000000001</v>
      </c>
      <c r="U27" s="44" t="n">
        <v>0.8919</v>
      </c>
      <c r="V27" s="46" t="n">
        <v>0.9166541666666669</v>
      </c>
      <c r="W27" s="20" t="n">
        <v>84.62</v>
      </c>
      <c r="X27" s="20" t="n">
        <v>91.66541666666669</v>
      </c>
      <c r="Y27" s="20" t="n">
        <v>87.44</v>
      </c>
      <c r="Z27" s="46" t="n">
        <v>0.003585783205653028</v>
      </c>
      <c r="AA27" s="44" t="n">
        <v>0.0129</v>
      </c>
      <c r="AB27" s="46" t="n">
        <v>0.0129</v>
      </c>
      <c r="AC27" s="20" t="n">
        <v>82.23</v>
      </c>
      <c r="AD27" s="91" t="n">
        <v>32.2942</v>
      </c>
      <c r="AE27" s="46" t="n">
        <v>0.0129</v>
      </c>
      <c r="AF27" s="20" t="n">
        <v>9.209406505860976</v>
      </c>
      <c r="AG27" s="20" t="n">
        <v>94.76000000000001</v>
      </c>
      <c r="AH27" s="20" t="n">
        <v>90.44</v>
      </c>
      <c r="AI27" s="20" t="n">
        <v>93.03</v>
      </c>
      <c r="AJ27" s="46" t="n">
        <v>0.1178</v>
      </c>
      <c r="AK27" s="20" t="n">
        <v>80</v>
      </c>
      <c r="AL27" s="20" t="n">
        <v>96</v>
      </c>
      <c r="AM27" s="20" t="n">
        <v>82.76000000000001</v>
      </c>
      <c r="AN27" s="20" t="n">
        <v>82.23</v>
      </c>
      <c r="AO27" s="20" t="n">
        <v>93.03</v>
      </c>
      <c r="AP27" s="20" t="n">
        <v>80</v>
      </c>
      <c r="AQ27" s="92" t="n">
        <v>1</v>
      </c>
      <c r="AR27" s="20" t="n">
        <v>87.41978999999999</v>
      </c>
      <c r="AS27" s="20" t="n">
        <v>87.42</v>
      </c>
      <c r="AT27" s="49" t="n">
        <v>20</v>
      </c>
      <c r="AU27" s="50">
        <f>IF(I27="","管理人规模；","")&amp;IF(J27="","产品规模标识；","")&amp;IF(AND(F27&lt;3,O27=""),"R_incep；","")&amp;IF(N27="","近三年收益；","")&amp;IF(U27="","近三年胜率；","")&amp;IF(AND(V27&lt;&gt;"",OR(V27&lt;0,V27&gt;1)),"胜率窗口口径不一致；","")&amp;IF(AA27="","近三年回撤；","")&amp;IF(AD27="","短期卡玛；","")&amp;IF(AND(P27&lt;&gt;"",AE27=""),"DD_long不可识别；","")</f>
        <v/>
      </c>
      <c r="AV27" s="51" t="n">
        <v>87.41978999999999</v>
      </c>
      <c r="AW27" s="22" t="inlineStr">
        <is>
          <t>20-50亿元</t>
        </is>
      </c>
      <c r="AX27" s="22" t="inlineStr">
        <is>
          <t>2025-04-30</t>
        </is>
      </c>
      <c r="AY27" s="22" t="inlineStr">
        <is>
          <t>爱凡哲投资管理有限公司</t>
        </is>
      </c>
      <c r="AZ27" s="22" t="inlineStr">
        <is>
          <t>2025-04-30</t>
        </is>
      </c>
      <c r="BA27" s="22" t="inlineStr">
        <is>
          <t>https://gs.amac.org.cn/amac-infodisc/res/pof/manager/1709181131101311.html</t>
        </is>
      </c>
      <c r="BB27" s="22" t="inlineStr">
        <is>
          <t>爱凡哲九号私募证券投资基金</t>
        </is>
      </c>
      <c r="BC27" s="22" t="inlineStr">
        <is>
          <t>2026-08-06</t>
        </is>
      </c>
      <c r="BD27" s="22" t="inlineStr">
        <is>
          <t>已匹配</t>
        </is>
      </c>
      <c r="BE27" t="inlineStr">
        <is>
          <t>https://gs.amac.org.cn/amac-infodisc/res/pof/fund/1909051919107161.html</t>
        </is>
      </c>
      <c r="BF27" t="inlineStr">
        <is>
          <t>已核验</t>
        </is>
      </c>
    </row>
    <row r="28" hidden="1" ht="28" customHeight="1" s="73">
      <c r="A28" s="2" t="n">
        <v>12</v>
      </c>
      <c r="B28" s="18" t="inlineStr">
        <is>
          <t>恒如套利三号</t>
        </is>
      </c>
      <c r="C28" s="18">
        <f>'sheet4-原始数据'!B13</f>
        <v/>
      </c>
      <c r="D28" s="18" t="inlineStr">
        <is>
          <t>上海恒如投资</t>
        </is>
      </c>
      <c r="E28" s="90" t="inlineStr">
        <is>
          <t>2019-09-19</t>
        </is>
      </c>
      <c r="F28" s="20" t="n">
        <v>6.9897</v>
      </c>
      <c r="G28" s="2">
        <f>IF(F28="","",IF(F28&lt;1,"不入池","入池"))</f>
        <v/>
      </c>
      <c r="H28" s="42" t="inlineStr">
        <is>
          <t>5-10亿元</t>
        </is>
      </c>
      <c r="I28" s="20" t="n">
        <v>70</v>
      </c>
      <c r="J28" s="43" t="inlineStr">
        <is>
          <t>无低于1000万元标识</t>
        </is>
      </c>
      <c r="K28" s="20" t="n">
        <v>100</v>
      </c>
      <c r="L28" s="20" t="n">
        <v>100</v>
      </c>
      <c r="M28" s="44" t="n">
        <v>0.0213</v>
      </c>
      <c r="N28" s="44" t="n">
        <v>0.057</v>
      </c>
      <c r="O28" s="45" t="n"/>
      <c r="P28" s="46" t="n">
        <v>0.07531527487063827</v>
      </c>
      <c r="Q28" s="20" t="n">
        <v>24.65</v>
      </c>
      <c r="R28" s="20" t="n">
        <v>60.5</v>
      </c>
      <c r="S28" s="20" t="n">
        <v>38.99</v>
      </c>
      <c r="T28" s="44" t="n">
        <v>0.6153999999999999</v>
      </c>
      <c r="U28" s="44" t="n">
        <v>0.7297</v>
      </c>
      <c r="V28" s="46" t="n">
        <v>0.7916124999999999</v>
      </c>
      <c r="W28" s="20" t="n">
        <v>61.53999999999999</v>
      </c>
      <c r="X28" s="20" t="n">
        <v>79.16125</v>
      </c>
      <c r="Y28" s="20" t="n">
        <v>68.59</v>
      </c>
      <c r="Z28" s="46" t="n">
        <v>0.007935325236569554</v>
      </c>
      <c r="AA28" s="44" t="n">
        <v>0.015</v>
      </c>
      <c r="AB28" s="46" t="n">
        <v>0.015</v>
      </c>
      <c r="AC28" s="20" t="n">
        <v>78.05</v>
      </c>
      <c r="AD28" s="91" t="n">
        <v>2.6842</v>
      </c>
      <c r="AE28" s="46" t="n">
        <v>0.015</v>
      </c>
      <c r="AF28" s="20" t="n">
        <v>5.021018324709218</v>
      </c>
      <c r="AG28" s="20" t="n">
        <v>52.8</v>
      </c>
      <c r="AH28" s="20" t="n">
        <v>86.03</v>
      </c>
      <c r="AI28" s="20" t="n">
        <v>66.09</v>
      </c>
      <c r="AJ28" s="46" t="n">
        <v>0.057</v>
      </c>
      <c r="AK28" s="20" t="n">
        <v>80</v>
      </c>
      <c r="AL28" s="20" t="n">
        <v>88</v>
      </c>
      <c r="AM28" s="20" t="n">
        <v>47.87</v>
      </c>
      <c r="AN28" s="20" t="n">
        <v>78.05</v>
      </c>
      <c r="AO28" s="20" t="n">
        <v>66.09</v>
      </c>
      <c r="AP28" s="20" t="n">
        <v>80</v>
      </c>
      <c r="AQ28" s="92" t="n">
        <v>1</v>
      </c>
      <c r="AR28" s="20" t="n">
        <v>70.11400999999999</v>
      </c>
      <c r="AS28" s="20" t="n">
        <v>70.11</v>
      </c>
      <c r="AT28" s="49" t="n">
        <v>119</v>
      </c>
      <c r="AU28" s="50">
        <f>IF(I28="","管理人规模；","")&amp;IF(J28="","产品规模标识；","")&amp;IF(AND(F28&lt;3,O28=""),"R_incep；","")&amp;IF(N28="","近三年收益；","")&amp;IF(U28="","近三年胜率；","")&amp;IF(AND(V28&lt;&gt;"",OR(V28&lt;0,V28&gt;1)),"胜率窗口口径不一致；","")&amp;IF(AA28="","近三年回撤；","")&amp;IF(AD28="","短期卡玛；","")&amp;IF(AND(P28&lt;&gt;"",AE28=""),"DD_long不可识别；","")</f>
        <v/>
      </c>
      <c r="AV28" s="51" t="n">
        <v>70.11400999999999</v>
      </c>
      <c r="AW28" s="22" t="inlineStr">
        <is>
          <t>5-10亿元</t>
        </is>
      </c>
      <c r="AX28" s="22" t="inlineStr">
        <is>
          <t>2026-05-28</t>
        </is>
      </c>
      <c r="AY28" s="22" t="inlineStr">
        <is>
          <t>上海恒如投资管理有限公司</t>
        </is>
      </c>
      <c r="AZ28" s="22" t="inlineStr">
        <is>
          <t>2026-05-28</t>
        </is>
      </c>
      <c r="BA28" s="22" t="inlineStr">
        <is>
          <t>https://gs.amac.org.cn/amac-infodisc/res/pof/manager/101000001221.html</t>
        </is>
      </c>
      <c r="BB28" s="22" t="inlineStr">
        <is>
          <t>恒如套利三号私募证券投资基金</t>
        </is>
      </c>
      <c r="BC28" s="22" t="inlineStr">
        <is>
          <t>2024-11-21</t>
        </is>
      </c>
      <c r="BD28" s="22" t="inlineStr">
        <is>
          <t>已匹配</t>
        </is>
      </c>
      <c r="BE28" t="inlineStr">
        <is>
          <t>https://gs.amac.org.cn/amac-infodisc/res/pof/fund/1910121042102347.html</t>
        </is>
      </c>
      <c r="BF28" t="inlineStr">
        <is>
          <t>已核验</t>
        </is>
      </c>
    </row>
    <row r="29" hidden="1" ht="28" customHeight="1" s="73">
      <c r="A29" s="2" t="n">
        <v>13</v>
      </c>
      <c r="B29" s="18" t="inlineStr">
        <is>
          <t>鹿秀驯鹿二号</t>
        </is>
      </c>
      <c r="C29" s="18">
        <f>'sheet4-原始数据'!B14</f>
        <v/>
      </c>
      <c r="D29" s="18" t="inlineStr">
        <is>
          <t>青岛鹿秀投资</t>
        </is>
      </c>
      <c r="E29" s="90" t="inlineStr">
        <is>
          <t>2019-10-17</t>
        </is>
      </c>
      <c r="F29" s="20" t="n">
        <v>6.9131</v>
      </c>
      <c r="G29" s="2">
        <f>IF(F29="","",IF(F29&lt;1,"不入池","入池"))</f>
        <v/>
      </c>
      <c r="H29" s="42" t="inlineStr">
        <is>
          <t>50-100亿元</t>
        </is>
      </c>
      <c r="I29" s="20" t="n">
        <v>90</v>
      </c>
      <c r="J29" s="43" t="inlineStr">
        <is>
          <t>低于1000万元</t>
        </is>
      </c>
      <c r="K29" s="20" t="n">
        <v>0</v>
      </c>
      <c r="L29" s="20" t="n">
        <v>100</v>
      </c>
      <c r="M29" s="44" t="n">
        <v>0.0399</v>
      </c>
      <c r="N29" s="44" t="n">
        <v>0.0246</v>
      </c>
      <c r="O29" s="45" t="n"/>
      <c r="P29" s="46" t="n">
        <v>0.01703462371975939</v>
      </c>
      <c r="Q29" s="20" t="n">
        <v>38.19</v>
      </c>
      <c r="R29" s="20" t="n">
        <v>7.5</v>
      </c>
      <c r="S29" s="20" t="n">
        <v>25.91</v>
      </c>
      <c r="T29" s="44" t="n">
        <v>0.9231</v>
      </c>
      <c r="U29" s="44" t="n">
        <v>0.8108</v>
      </c>
      <c r="V29" s="46" t="n">
        <v>0.7499708333333333</v>
      </c>
      <c r="W29" s="20" t="n">
        <v>92.31</v>
      </c>
      <c r="X29" s="20" t="n">
        <v>74.99708333333332</v>
      </c>
      <c r="Y29" s="20" t="n">
        <v>85.38</v>
      </c>
      <c r="Z29" s="46" t="n">
        <v>0.0002169185604001305</v>
      </c>
      <c r="AA29" s="44" t="n">
        <v>0.0463</v>
      </c>
      <c r="AB29" s="46" t="n">
        <v>0.0463</v>
      </c>
      <c r="AC29" s="20" t="n">
        <v>46.69</v>
      </c>
      <c r="AD29" s="91" t="n">
        <v>183.94</v>
      </c>
      <c r="AE29" s="46" t="n">
        <v>0.0463</v>
      </c>
      <c r="AF29" s="20" t="n">
        <v>0.3679184388716931</v>
      </c>
      <c r="AG29" s="20" t="n">
        <v>100</v>
      </c>
      <c r="AH29" s="20" t="n">
        <v>16.18</v>
      </c>
      <c r="AI29" s="20" t="n">
        <v>66.47</v>
      </c>
      <c r="AJ29" s="46" t="n">
        <v>0.0246</v>
      </c>
      <c r="AK29" s="20" t="n">
        <v>100</v>
      </c>
      <c r="AL29" s="20" t="n">
        <v>66</v>
      </c>
      <c r="AM29" s="20" t="n">
        <v>43.76</v>
      </c>
      <c r="AN29" s="20" t="n">
        <v>46.69</v>
      </c>
      <c r="AO29" s="20" t="n">
        <v>66.47</v>
      </c>
      <c r="AP29" s="20" t="n">
        <v>100</v>
      </c>
      <c r="AQ29" s="92" t="n">
        <v>1</v>
      </c>
      <c r="AR29" s="20" t="n">
        <v>60.26515</v>
      </c>
      <c r="AS29" s="20" t="n">
        <v>60.27</v>
      </c>
      <c r="AT29" s="49" t="n">
        <v>167</v>
      </c>
      <c r="AU29" s="50">
        <f>IF(I29="","管理人规模；","")&amp;IF(J29="","产品规模标识；","")&amp;IF(AND(F29&lt;3,O29=""),"R_incep；","")&amp;IF(N29="","近三年收益；","")&amp;IF(U29="","近三年胜率；","")&amp;IF(AND(V29&lt;&gt;"",OR(V29&lt;0,V29&gt;1)),"胜率窗口口径不一致；","")&amp;IF(AA29="","近三年回撤；","")&amp;IF(AD29="","短期卡玛；","")&amp;IF(AND(P29&lt;&gt;"",AE29=""),"DD_long不可识别；","")</f>
        <v/>
      </c>
      <c r="AV29" s="51" t="n">
        <v>60.26515</v>
      </c>
      <c r="AW29" s="22" t="inlineStr">
        <is>
          <t>50-100亿元</t>
        </is>
      </c>
      <c r="AX29" s="22" t="inlineStr">
        <is>
          <t>2025-01-10</t>
        </is>
      </c>
      <c r="AY29" s="22" t="inlineStr">
        <is>
          <t>青岛鹿秀投资管理有限公司</t>
        </is>
      </c>
      <c r="AZ29" s="22" t="inlineStr">
        <is>
          <t>2025-01-10</t>
        </is>
      </c>
      <c r="BA29" s="22" t="inlineStr">
        <is>
          <t>https://gs.amac.org.cn/amac-infodisc/res/pof/manager/1612231708101923.html</t>
        </is>
      </c>
      <c r="BB29" s="22" t="inlineStr">
        <is>
          <t>鹿秀驯鹿二号私募证券投资基金</t>
        </is>
      </c>
      <c r="BC29" s="22" t="inlineStr">
        <is>
          <t>2026-07-15</t>
        </is>
      </c>
      <c r="BD29" s="22" t="inlineStr">
        <is>
          <t>已匹配</t>
        </is>
      </c>
      <c r="BE29" t="inlineStr">
        <is>
          <t>https://gs.amac.org.cn/amac-infodisc/res/pof/fund/1910231722102267.html</t>
        </is>
      </c>
      <c r="BF29" t="inlineStr">
        <is>
          <t>已核验</t>
        </is>
      </c>
    </row>
    <row r="30" hidden="1" ht="28" customHeight="1" s="73">
      <c r="A30" s="2" t="n">
        <v>14</v>
      </c>
      <c r="B30" s="18" t="inlineStr">
        <is>
          <t>本利达利磐一号</t>
        </is>
      </c>
      <c r="C30" s="18">
        <f>'sheet4-原始数据'!B15</f>
        <v/>
      </c>
      <c r="D30" s="18" t="inlineStr">
        <is>
          <t>深圳本利达资管</t>
        </is>
      </c>
      <c r="E30" s="90" t="inlineStr">
        <is>
          <t>2019-11-01</t>
        </is>
      </c>
      <c r="F30" s="20" t="n">
        <v>6.872</v>
      </c>
      <c r="G30" s="2">
        <f>IF(F30="","",IF(F30&lt;1,"不入池","入池"))</f>
        <v/>
      </c>
      <c r="H30" s="42" t="inlineStr">
        <is>
          <t>0-5亿元</t>
        </is>
      </c>
      <c r="I30" s="20" t="n">
        <v>60</v>
      </c>
      <c r="J30" s="43" t="inlineStr">
        <is>
          <t>无低于1000万元标识</t>
        </is>
      </c>
      <c r="K30" s="20" t="n">
        <v>100</v>
      </c>
      <c r="L30" s="20" t="n">
        <v>100</v>
      </c>
      <c r="M30" s="44" t="n">
        <v>0.11</v>
      </c>
      <c r="N30" s="44" t="n">
        <v>0.1208</v>
      </c>
      <c r="O30" s="45" t="n"/>
      <c r="P30" s="46" t="n">
        <v>0.1262393417367711</v>
      </c>
      <c r="Q30" s="20" t="n">
        <v>80.20999999999999</v>
      </c>
      <c r="R30" s="20" t="n">
        <v>82</v>
      </c>
      <c r="S30" s="20" t="n">
        <v>80.93000000000001</v>
      </c>
      <c r="T30" s="44" t="n">
        <v>0.7692</v>
      </c>
      <c r="U30" s="44" t="n">
        <v>0.6757</v>
      </c>
      <c r="V30" s="46" t="n">
        <v>0.6250541666666666</v>
      </c>
      <c r="W30" s="20" t="n">
        <v>76.92</v>
      </c>
      <c r="X30" s="20" t="n">
        <v>62.50541666666665</v>
      </c>
      <c r="Y30" s="20" t="n">
        <v>71.15000000000001</v>
      </c>
      <c r="Z30" s="46" t="n">
        <v>0.1135073779795687</v>
      </c>
      <c r="AA30" s="44" t="n">
        <v>0.1144</v>
      </c>
      <c r="AB30" s="46" t="n">
        <v>0.1144</v>
      </c>
      <c r="AC30" s="20" t="n">
        <v>24.04</v>
      </c>
      <c r="AD30" s="91" t="n">
        <v>0.9691</v>
      </c>
      <c r="AE30" s="46" t="n">
        <v>0.1144</v>
      </c>
      <c r="AF30" s="20" t="n">
        <v>1.1034907494473</v>
      </c>
      <c r="AG30" s="20" t="n">
        <v>33.92</v>
      </c>
      <c r="AH30" s="20" t="n">
        <v>44.85</v>
      </c>
      <c r="AI30" s="20" t="n">
        <v>38.29</v>
      </c>
      <c r="AJ30" s="46" t="n">
        <v>0.1208</v>
      </c>
      <c r="AK30" s="20" t="n">
        <v>80</v>
      </c>
      <c r="AL30" s="20" t="n">
        <v>84</v>
      </c>
      <c r="AM30" s="20" t="n">
        <v>77.98999999999999</v>
      </c>
      <c r="AN30" s="20" t="n">
        <v>24.04</v>
      </c>
      <c r="AO30" s="20" t="n">
        <v>38.29</v>
      </c>
      <c r="AP30" s="20" t="n">
        <v>80</v>
      </c>
      <c r="AQ30" s="92" t="n">
        <v>1</v>
      </c>
      <c r="AR30" s="20" t="n">
        <v>53.69649</v>
      </c>
      <c r="AS30" s="20" t="n">
        <v>53.7</v>
      </c>
      <c r="AT30" s="49" t="n">
        <v>203</v>
      </c>
      <c r="AU30" s="50">
        <f>IF(I30="","管理人规模；","")&amp;IF(J30="","产品规模标识；","")&amp;IF(AND(F30&lt;3,O30=""),"R_incep；","")&amp;IF(N30="","近三年收益；","")&amp;IF(U30="","近三年胜率；","")&amp;IF(AND(V30&lt;&gt;"",OR(V30&lt;0,V30&gt;1)),"胜率窗口口径不一致；","")&amp;IF(AA30="","近三年回撤；","")&amp;IF(AD30="","短期卡玛；","")&amp;IF(AND(P30&lt;&gt;"",AE30=""),"DD_long不可识别；","")</f>
        <v/>
      </c>
      <c r="AV30" s="51" t="n">
        <v>53.69649</v>
      </c>
      <c r="AW30" s="22" t="inlineStr">
        <is>
          <t>0-5亿元</t>
        </is>
      </c>
      <c r="AX30" s="22" t="inlineStr">
        <is>
          <t>2026-06-16</t>
        </is>
      </c>
      <c r="AY30" s="22" t="inlineStr">
        <is>
          <t>深圳市本利达资产管理有限公司</t>
        </is>
      </c>
      <c r="AZ30" s="22" t="inlineStr">
        <is>
          <t>2026-06-16</t>
        </is>
      </c>
      <c r="BA30" s="22" t="inlineStr">
        <is>
          <t>https://gs.amac.org.cn/amac-infodisc/res/pof/manager/101000028552.html</t>
        </is>
      </c>
      <c r="BB30" s="22" t="inlineStr">
        <is>
          <t>本利达利磐一号私募证券投资基金</t>
        </is>
      </c>
      <c r="BC30" s="22" t="inlineStr">
        <is>
          <t>2025-04-01</t>
        </is>
      </c>
      <c r="BD30" s="22" t="inlineStr">
        <is>
          <t>已匹配</t>
        </is>
      </c>
      <c r="BE30" t="inlineStr">
        <is>
          <t>https://gs.amac.org.cn/amac-infodisc/res/pof/fund/1911061732126237.html</t>
        </is>
      </c>
      <c r="BF30" t="inlineStr">
        <is>
          <t>已核验</t>
        </is>
      </c>
    </row>
    <row r="31" hidden="1" ht="28" customHeight="1" s="73">
      <c r="A31" s="2" t="n">
        <v>15</v>
      </c>
      <c r="B31" s="18" t="inlineStr">
        <is>
          <t>和熙新月1号</t>
        </is>
      </c>
      <c r="C31" s="18">
        <f>'sheet4-原始数据'!B16</f>
        <v/>
      </c>
      <c r="D31" s="18" t="inlineStr">
        <is>
          <t>浙江和熙资管</t>
        </is>
      </c>
      <c r="E31" s="90" t="inlineStr">
        <is>
          <t>2019-11-14</t>
        </is>
      </c>
      <c r="F31" s="20" t="n">
        <v>6.8364</v>
      </c>
      <c r="G31" s="2">
        <f>IF(F31="","",IF(F31&lt;1,"不入池","入池"))</f>
        <v/>
      </c>
      <c r="H31" s="42" t="inlineStr">
        <is>
          <t>5-10亿元</t>
        </is>
      </c>
      <c r="I31" s="20" t="n">
        <v>70</v>
      </c>
      <c r="J31" s="43" t="inlineStr">
        <is>
          <t>无低于1000万元标识</t>
        </is>
      </c>
      <c r="K31" s="20" t="n">
        <v>100</v>
      </c>
      <c r="L31" s="20" t="n">
        <v>100</v>
      </c>
      <c r="M31" s="44" t="n">
        <v>-0.0029</v>
      </c>
      <c r="N31" s="44" t="n">
        <v>0.0207</v>
      </c>
      <c r="O31" s="45" t="n"/>
      <c r="P31" s="46" t="n">
        <v>0.03270864840244614</v>
      </c>
      <c r="Q31" s="20" t="n">
        <v>15.63</v>
      </c>
      <c r="R31" s="20" t="n">
        <v>18.5</v>
      </c>
      <c r="S31" s="20" t="n">
        <v>16.78</v>
      </c>
      <c r="T31" s="44" t="n">
        <v>0.4615</v>
      </c>
      <c r="U31" s="44" t="n">
        <v>0.4865</v>
      </c>
      <c r="V31" s="46" t="n">
        <v>0.5000416666666666</v>
      </c>
      <c r="W31" s="20" t="n">
        <v>46.15</v>
      </c>
      <c r="X31" s="20" t="n">
        <v>50.00416666666666</v>
      </c>
      <c r="Y31" s="20" t="n">
        <v>47.69</v>
      </c>
      <c r="Z31" s="46" t="n">
        <v>0.086053412462908</v>
      </c>
      <c r="AA31" s="44" t="n">
        <v>0.08529999999999999</v>
      </c>
      <c r="AB31" s="46" t="n">
        <v>0.086053412462908</v>
      </c>
      <c r="AC31" s="20" t="n">
        <v>30.31</v>
      </c>
      <c r="AD31" s="91" t="n">
        <v>-0.0337</v>
      </c>
      <c r="AE31" s="46" t="n"/>
      <c r="AF31" s="20" t="n"/>
      <c r="AG31" s="20" t="n">
        <v>16.43</v>
      </c>
      <c r="AH31" s="20" t="n"/>
      <c r="AI31" s="20" t="n">
        <v>16.43</v>
      </c>
      <c r="AJ31" s="46" t="n">
        <v>0.0207</v>
      </c>
      <c r="AK31" s="20" t="n">
        <v>80</v>
      </c>
      <c r="AL31" s="20" t="n">
        <v>88</v>
      </c>
      <c r="AM31" s="20" t="n">
        <v>26.05</v>
      </c>
      <c r="AN31" s="20" t="n">
        <v>30.31</v>
      </c>
      <c r="AO31" s="20" t="n">
        <v>16.43</v>
      </c>
      <c r="AP31" s="20" t="n">
        <v>80</v>
      </c>
      <c r="AQ31" s="92" t="n">
        <v>0.88</v>
      </c>
      <c r="AR31" s="20" t="n">
        <v>36.94532</v>
      </c>
      <c r="AS31" s="20" t="n">
        <v>41.98</v>
      </c>
      <c r="AT31" s="49" t="n">
        <v>254</v>
      </c>
      <c r="AU31" s="50">
        <f>IF(I31="","管理人规模；","")&amp;IF(J31="","产品规模标识；","")&amp;IF(AND(F31&lt;3,O31=""),"R_incep；","")&amp;IF(N31="","近三年收益；","")&amp;IF(U31="","近三年胜率；","")&amp;IF(AND(V31&lt;&gt;"",OR(V31&lt;0,V31&gt;1)),"胜率窗口口径不一致；","")&amp;IF(AA31="","近三年回撤；","")&amp;IF(AD31="","短期卡玛；","")&amp;IF(AND(P31&lt;&gt;"",AE31=""),"DD_long不可识别；","")</f>
        <v/>
      </c>
      <c r="AV31" s="51" t="n"/>
      <c r="AW31" s="22" t="inlineStr">
        <is>
          <t>5-10亿元</t>
        </is>
      </c>
      <c r="AX31" s="22" t="inlineStr">
        <is>
          <t>2026-02-10</t>
        </is>
      </c>
      <c r="AY31" s="22" t="inlineStr">
        <is>
          <t>浙江和熙资产管理有限公司</t>
        </is>
      </c>
      <c r="AZ31" s="22" t="inlineStr">
        <is>
          <t>2026-02-10</t>
        </is>
      </c>
      <c r="BA31" s="22" t="inlineStr">
        <is>
          <t>https://gs.amac.org.cn/amac-infodisc/res/pof/manager/101000072213.html</t>
        </is>
      </c>
      <c r="BB31" s="22" t="inlineStr">
        <is>
          <t>和熙新月1号私募证券投资基金</t>
        </is>
      </c>
      <c r="BC31" s="22" t="inlineStr">
        <is>
          <t>2025-03-20</t>
        </is>
      </c>
      <c r="BD31" s="22" t="inlineStr">
        <is>
          <t>已匹配</t>
        </is>
      </c>
      <c r="BE31" t="inlineStr">
        <is>
          <t>https://gs.amac.org.cn/amac-infodisc/res/pof/fund/1911201726147441.html</t>
        </is>
      </c>
      <c r="BF31" t="inlineStr">
        <is>
          <t>已核验</t>
        </is>
      </c>
    </row>
    <row r="32" hidden="1" ht="28" customHeight="1" s="73">
      <c r="A32" s="2" t="n">
        <v>16</v>
      </c>
      <c r="B32" s="18" t="inlineStr">
        <is>
          <t>鹿秀统计套利1号</t>
        </is>
      </c>
      <c r="C32" s="18">
        <f>'sheet4-原始数据'!B17</f>
        <v/>
      </c>
      <c r="D32" s="18" t="inlineStr">
        <is>
          <t>青岛鹿秀投资</t>
        </is>
      </c>
      <c r="E32" s="90" t="inlineStr">
        <is>
          <t>2019-12-02</t>
        </is>
      </c>
      <c r="F32" s="20" t="n">
        <v>6.7871</v>
      </c>
      <c r="G32" s="2">
        <f>IF(F32="","",IF(F32&lt;1,"不入池","入池"))</f>
        <v/>
      </c>
      <c r="H32" s="42" t="inlineStr">
        <is>
          <t>50-100亿元</t>
        </is>
      </c>
      <c r="I32" s="20" t="n">
        <v>90</v>
      </c>
      <c r="J32" s="43" t="inlineStr">
        <is>
          <t>无低于1000万元标识</t>
        </is>
      </c>
      <c r="K32" s="20" t="n">
        <v>100</v>
      </c>
      <c r="L32" s="20" t="n">
        <v>100</v>
      </c>
      <c r="M32" s="44" t="n">
        <v>0.0304</v>
      </c>
      <c r="N32" s="44" t="n">
        <v>0.0355</v>
      </c>
      <c r="O32" s="45" t="n"/>
      <c r="P32" s="46" t="n">
        <v>0.03805945818983991</v>
      </c>
      <c r="Q32" s="20" t="n">
        <v>30.73</v>
      </c>
      <c r="R32" s="20" t="n">
        <v>24.25</v>
      </c>
      <c r="S32" s="20" t="n">
        <v>28.14</v>
      </c>
      <c r="T32" s="44" t="n">
        <v>1</v>
      </c>
      <c r="U32" s="44" t="n">
        <v>0.9189000000000001</v>
      </c>
      <c r="V32" s="46" t="n">
        <v>0.8749708333333336</v>
      </c>
      <c r="W32" s="20" t="n">
        <v>100</v>
      </c>
      <c r="X32" s="20" t="n">
        <v>87.49708333333336</v>
      </c>
      <c r="Y32" s="20" t="n">
        <v>95</v>
      </c>
      <c r="Z32" s="46" t="n">
        <v>0.0007932324745200161</v>
      </c>
      <c r="AA32" s="44" t="n">
        <v>0.0009</v>
      </c>
      <c r="AB32" s="46" t="n">
        <v>0.0009</v>
      </c>
      <c r="AC32" s="20" t="n">
        <v>99.65000000000001</v>
      </c>
      <c r="AD32" s="91" t="n">
        <v>38.3242</v>
      </c>
      <c r="AE32" s="46" t="n">
        <v>0.0009</v>
      </c>
      <c r="AF32" s="20" t="n">
        <v>42.2882868775999</v>
      </c>
      <c r="AG32" s="20" t="n">
        <v>96.15000000000001</v>
      </c>
      <c r="AH32" s="20" t="n">
        <v>100</v>
      </c>
      <c r="AI32" s="20" t="n">
        <v>97.69</v>
      </c>
      <c r="AJ32" s="46" t="n">
        <v>0.0355</v>
      </c>
      <c r="AK32" s="20" t="n">
        <v>80</v>
      </c>
      <c r="AL32" s="20" t="n">
        <v>96</v>
      </c>
      <c r="AM32" s="20" t="n">
        <v>48.2</v>
      </c>
      <c r="AN32" s="20" t="n">
        <v>99.65000000000001</v>
      </c>
      <c r="AO32" s="20" t="n">
        <v>97.69</v>
      </c>
      <c r="AP32" s="20" t="n">
        <v>80</v>
      </c>
      <c r="AQ32" s="92" t="n">
        <v>1</v>
      </c>
      <c r="AR32" s="20" t="n">
        <v>86.25875000000001</v>
      </c>
      <c r="AS32" s="20" t="n">
        <v>86.26000000000001</v>
      </c>
      <c r="AT32" s="49" t="n">
        <v>25</v>
      </c>
      <c r="AU32" s="50">
        <f>IF(I32="","管理人规模；","")&amp;IF(J32="","产品规模标识；","")&amp;IF(AND(F32&lt;3,O32=""),"R_incep；","")&amp;IF(N32="","近三年收益；","")&amp;IF(U32="","近三年胜率；","")&amp;IF(AND(V32&lt;&gt;"",OR(V32&lt;0,V32&gt;1)),"胜率窗口口径不一致；","")&amp;IF(AA32="","近三年回撤；","")&amp;IF(AD32="","短期卡玛；","")&amp;IF(AND(P32&lt;&gt;"",AE32=""),"DD_long不可识别；","")</f>
        <v/>
      </c>
      <c r="AV32" s="51" t="n">
        <v>86.25875000000001</v>
      </c>
      <c r="AW32" s="22" t="inlineStr">
        <is>
          <t>50-100亿元</t>
        </is>
      </c>
      <c r="AX32" s="22" t="inlineStr">
        <is>
          <t>2025-01-10</t>
        </is>
      </c>
      <c r="AY32" s="22" t="inlineStr">
        <is>
          <t>青岛鹿秀投资管理有限公司</t>
        </is>
      </c>
      <c r="AZ32" s="22" t="inlineStr">
        <is>
          <t>2025-01-10</t>
        </is>
      </c>
      <c r="BA32" s="22" t="inlineStr">
        <is>
          <t>https://gs.amac.org.cn/amac-infodisc/res/pof/manager/1612231708101923.html</t>
        </is>
      </c>
      <c r="BB32" s="22" t="inlineStr">
        <is>
          <t>鹿秀统计套利1号私募证券基金</t>
        </is>
      </c>
      <c r="BC32" s="22" t="inlineStr">
        <is>
          <t>2026-07-14</t>
        </is>
      </c>
      <c r="BD32" s="22" t="inlineStr">
        <is>
          <t>已匹配</t>
        </is>
      </c>
      <c r="BE32" t="inlineStr">
        <is>
          <t>https://gs.amac.org.cn/amac-infodisc/res/pof/fund/1912061240100295.html</t>
        </is>
      </c>
      <c r="BF32" t="inlineStr">
        <is>
          <t>已核验</t>
        </is>
      </c>
    </row>
    <row r="33" hidden="1" ht="28" customHeight="1" s="73">
      <c r="A33" s="2" t="n">
        <v>17</v>
      </c>
      <c r="B33" s="18" t="inlineStr">
        <is>
          <t>唐龙量化对冲99号</t>
        </is>
      </c>
      <c r="C33" s="18">
        <f>'sheet4-原始数据'!B18</f>
        <v/>
      </c>
      <c r="D33" s="18" t="inlineStr">
        <is>
          <t>福建平潭唐龙资管</t>
        </is>
      </c>
      <c r="E33" s="90" t="inlineStr">
        <is>
          <t>2020-02-24</t>
        </is>
      </c>
      <c r="F33" s="20" t="n">
        <v>6.5572</v>
      </c>
      <c r="G33" s="2">
        <f>IF(F33="","",IF(F33&lt;1,"不入池","入池"))</f>
        <v/>
      </c>
      <c r="H33" s="42" t="inlineStr">
        <is>
          <t>5-10亿元</t>
        </is>
      </c>
      <c r="I33" s="20" t="n">
        <v>70</v>
      </c>
      <c r="J33" s="43" t="inlineStr">
        <is>
          <t>无低于1000万元标识</t>
        </is>
      </c>
      <c r="K33" s="20" t="n">
        <v>100</v>
      </c>
      <c r="L33" s="20" t="n">
        <v>100</v>
      </c>
      <c r="M33" s="44" t="n">
        <v>0.0177</v>
      </c>
      <c r="N33" s="44" t="n">
        <v>0.0434</v>
      </c>
      <c r="O33" s="45" t="n"/>
      <c r="P33" s="46" t="n">
        <v>0.05649236124459667</v>
      </c>
      <c r="Q33" s="20" t="n">
        <v>23.26</v>
      </c>
      <c r="R33" s="20" t="n">
        <v>45</v>
      </c>
      <c r="S33" s="20" t="n">
        <v>31.96</v>
      </c>
      <c r="T33" s="44" t="n">
        <v>0.6153999999999999</v>
      </c>
      <c r="U33" s="44" t="n">
        <v>0.6757</v>
      </c>
      <c r="V33" s="46" t="n">
        <v>0.7083624999999999</v>
      </c>
      <c r="W33" s="20" t="n">
        <v>61.53999999999999</v>
      </c>
      <c r="X33" s="20" t="n">
        <v>70.83624999999999</v>
      </c>
      <c r="Y33" s="20" t="n">
        <v>65.26000000000001</v>
      </c>
      <c r="Z33" s="46" t="n">
        <v>0.003309153454980557</v>
      </c>
      <c r="AA33" s="44" t="n">
        <v>0.1407</v>
      </c>
      <c r="AB33" s="46" t="n">
        <v>0.1407</v>
      </c>
      <c r="AC33" s="20" t="n">
        <v>16.38</v>
      </c>
      <c r="AD33" s="91" t="n">
        <v>5.3488</v>
      </c>
      <c r="AE33" s="46" t="n">
        <v>0.1407</v>
      </c>
      <c r="AF33" s="20" t="n">
        <v>0.4015093194356551</v>
      </c>
      <c r="AG33" s="20" t="n">
        <v>67.13</v>
      </c>
      <c r="AH33" s="20" t="n">
        <v>16.91</v>
      </c>
      <c r="AI33" s="20" t="n">
        <v>47.04</v>
      </c>
      <c r="AJ33" s="46" t="n">
        <v>0.0434</v>
      </c>
      <c r="AK33" s="20" t="n">
        <v>80</v>
      </c>
      <c r="AL33" s="20" t="n">
        <v>88</v>
      </c>
      <c r="AM33" s="20" t="n">
        <v>41.95</v>
      </c>
      <c r="AN33" s="20" t="n">
        <v>16.38</v>
      </c>
      <c r="AO33" s="20" t="n">
        <v>47.04</v>
      </c>
      <c r="AP33" s="20" t="n">
        <v>80</v>
      </c>
      <c r="AQ33" s="92" t="n">
        <v>1</v>
      </c>
      <c r="AR33" s="20" t="n">
        <v>47.79695</v>
      </c>
      <c r="AS33" s="20" t="n">
        <v>47.8</v>
      </c>
      <c r="AT33" s="49" t="n">
        <v>232</v>
      </c>
      <c r="AU33" s="50">
        <f>IF(I33="","管理人规模；","")&amp;IF(J33="","产品规模标识；","")&amp;IF(AND(F33&lt;3,O33=""),"R_incep；","")&amp;IF(N33="","近三年收益；","")&amp;IF(U33="","近三年胜率；","")&amp;IF(AND(V33&lt;&gt;"",OR(V33&lt;0,V33&gt;1)),"胜率窗口口径不一致；","")&amp;IF(AA33="","近三年回撤；","")&amp;IF(AD33="","短期卡玛；","")&amp;IF(AND(P33&lt;&gt;"",AE33=""),"DD_long不可识别；","")</f>
        <v/>
      </c>
      <c r="AV33" s="51" t="n">
        <v>47.79695</v>
      </c>
      <c r="AW33" s="22" t="inlineStr">
        <is>
          <t>5-10亿元</t>
        </is>
      </c>
      <c r="AX33" s="22" t="inlineStr">
        <is>
          <t>2026-03-31</t>
        </is>
      </c>
      <c r="AY33" s="22" t="inlineStr">
        <is>
          <t>福建平潭唐龙资产管理有限公司</t>
        </is>
      </c>
      <c r="AZ33" s="22" t="inlineStr">
        <is>
          <t>2026-03-31</t>
        </is>
      </c>
      <c r="BA33" s="22" t="inlineStr">
        <is>
          <t>https://gs.amac.org.cn/amac-infodisc/res/pof/manager/1708091719102142.html</t>
        </is>
      </c>
      <c r="BB33" s="22" t="inlineStr">
        <is>
          <t>唐龙量化对冲99号私募证券投资基金</t>
        </is>
      </c>
      <c r="BC33" s="22" t="inlineStr">
        <is>
          <t>2023-11-29</t>
        </is>
      </c>
      <c r="BD33" s="22" t="inlineStr">
        <is>
          <t>已匹配</t>
        </is>
      </c>
      <c r="BE33" t="inlineStr">
        <is>
          <t>https://gs.amac.org.cn/amac-infodisc/res/pof/fund/2002251051107073.html</t>
        </is>
      </c>
      <c r="BF33" t="inlineStr">
        <is>
          <t>已核验</t>
        </is>
      </c>
    </row>
    <row r="34" hidden="1" ht="28" customHeight="1" s="73">
      <c r="A34" s="2" t="n">
        <v>18</v>
      </c>
      <c r="B34" s="18" t="inlineStr">
        <is>
          <t>凡德量化八号</t>
        </is>
      </c>
      <c r="C34" s="18">
        <f>'sheet4-原始数据'!B19</f>
        <v/>
      </c>
      <c r="D34" s="18" t="inlineStr">
        <is>
          <t>广东凡德投资</t>
        </is>
      </c>
      <c r="E34" s="90" t="inlineStr">
        <is>
          <t>2020-03-02</t>
        </is>
      </c>
      <c r="F34" s="20" t="n">
        <v>6.538</v>
      </c>
      <c r="G34" s="2">
        <f>IF(F34="","",IF(F34&lt;1,"不入池","入池"))</f>
        <v/>
      </c>
      <c r="H34" s="42" t="inlineStr">
        <is>
          <t>5-10亿元</t>
        </is>
      </c>
      <c r="I34" s="20" t="n">
        <v>70</v>
      </c>
      <c r="J34" s="43" t="inlineStr">
        <is>
          <t>无低于1000万元标识</t>
        </is>
      </c>
      <c r="K34" s="20" t="n">
        <v>100</v>
      </c>
      <c r="L34" s="20" t="n">
        <v>100</v>
      </c>
      <c r="M34" s="44" t="n">
        <v>-0.0136</v>
      </c>
      <c r="N34" s="44" t="n">
        <v>0.0421</v>
      </c>
      <c r="O34" s="45" t="n"/>
      <c r="P34" s="46" t="n">
        <v>0.07111860281418281</v>
      </c>
      <c r="Q34" s="20" t="n">
        <v>13.72</v>
      </c>
      <c r="R34" s="20" t="n">
        <v>57.5</v>
      </c>
      <c r="S34" s="20" t="n">
        <v>31.23</v>
      </c>
      <c r="T34" s="44" t="n">
        <v>0.5385</v>
      </c>
      <c r="U34" s="44" t="n">
        <v>0.5676</v>
      </c>
      <c r="V34" s="46" t="n">
        <v>0.5833625000000001</v>
      </c>
      <c r="W34" s="20" t="n">
        <v>53.84999999999999</v>
      </c>
      <c r="X34" s="20" t="n">
        <v>58.33625000000001</v>
      </c>
      <c r="Y34" s="20" t="n">
        <v>55.64</v>
      </c>
      <c r="Z34" s="46" t="n">
        <v>0.1226330027051398</v>
      </c>
      <c r="AA34" s="44" t="n">
        <v>0.1226</v>
      </c>
      <c r="AB34" s="46" t="n">
        <v>0.1226330027051398</v>
      </c>
      <c r="AC34" s="20" t="n">
        <v>20.21</v>
      </c>
      <c r="AD34" s="91" t="n">
        <v>-0.1109</v>
      </c>
      <c r="AE34" s="46" t="n"/>
      <c r="AF34" s="20" t="n"/>
      <c r="AG34" s="20" t="n">
        <v>14.34</v>
      </c>
      <c r="AH34" s="20" t="n"/>
      <c r="AI34" s="20" t="n">
        <v>14.34</v>
      </c>
      <c r="AJ34" s="46" t="n">
        <v>0.0421</v>
      </c>
      <c r="AK34" s="20" t="n">
        <v>80</v>
      </c>
      <c r="AL34" s="20" t="n">
        <v>88</v>
      </c>
      <c r="AM34" s="20" t="n">
        <v>38.56</v>
      </c>
      <c r="AN34" s="20" t="n">
        <v>20.21</v>
      </c>
      <c r="AO34" s="20" t="n">
        <v>14.34</v>
      </c>
      <c r="AP34" s="20" t="n">
        <v>80</v>
      </c>
      <c r="AQ34" s="92" t="n">
        <v>0.88</v>
      </c>
      <c r="AR34" s="20" t="n">
        <v>36.54485</v>
      </c>
      <c r="AS34" s="20" t="n">
        <v>41.53</v>
      </c>
      <c r="AT34" s="49" t="n">
        <v>257</v>
      </c>
      <c r="AU34" s="50">
        <f>IF(I34="","管理人规模；","")&amp;IF(J34="","产品规模标识；","")&amp;IF(AND(F34&lt;3,O34=""),"R_incep；","")&amp;IF(N34="","近三年收益；","")&amp;IF(U34="","近三年胜率；","")&amp;IF(AND(V34&lt;&gt;"",OR(V34&lt;0,V34&gt;1)),"胜率窗口口径不一致；","")&amp;IF(AA34="","近三年回撤；","")&amp;IF(AD34="","短期卡玛；","")&amp;IF(AND(P34&lt;&gt;"",AE34=""),"DD_long不可识别；","")</f>
        <v/>
      </c>
      <c r="AV34" s="51" t="n"/>
      <c r="AW34" s="22" t="inlineStr">
        <is>
          <t>5-10亿元</t>
        </is>
      </c>
      <c r="AX34" s="22" t="inlineStr">
        <is>
          <t>2026-04-15</t>
        </is>
      </c>
      <c r="AY34" s="22" t="inlineStr">
        <is>
          <t>广东凡德投资有限公司</t>
        </is>
      </c>
      <c r="AZ34" s="22" t="inlineStr">
        <is>
          <t>2026-04-15</t>
        </is>
      </c>
      <c r="BA34" s="22" t="inlineStr">
        <is>
          <t>https://gs.amac.org.cn/amac-infodisc/res/pof/manager/101000000695.html</t>
        </is>
      </c>
      <c r="BB34" s="22" t="inlineStr">
        <is>
          <t>凡德量化八号私募证券投资基金</t>
        </is>
      </c>
      <c r="BC34" s="22" t="inlineStr">
        <is>
          <t>2025-03-27</t>
        </is>
      </c>
      <c r="BD34" s="22" t="inlineStr">
        <is>
          <t>已匹配</t>
        </is>
      </c>
      <c r="BE34" t="inlineStr">
        <is>
          <t>https://gs.amac.org.cn/amac-infodisc/res/pof/fund/2003030835104240.html</t>
        </is>
      </c>
      <c r="BF34" t="inlineStr">
        <is>
          <t>已核验</t>
        </is>
      </c>
    </row>
    <row r="35" hidden="1" ht="28" customHeight="1" s="73">
      <c r="A35" s="2" t="n">
        <v>19</v>
      </c>
      <c r="B35" s="18" t="inlineStr">
        <is>
          <t>百奕传家一号</t>
        </is>
      </c>
      <c r="C35" s="18">
        <f>'sheet4-原始数据'!B20</f>
        <v/>
      </c>
      <c r="D35" s="18" t="inlineStr">
        <is>
          <t>上海百奕投资</t>
        </is>
      </c>
      <c r="E35" s="90" t="inlineStr">
        <is>
          <t>2020-03-23</t>
        </is>
      </c>
      <c r="F35" s="20" t="n">
        <v>6.4805</v>
      </c>
      <c r="G35" s="2">
        <f>IF(F35="","",IF(F35&lt;1,"不入池","入池"))</f>
        <v/>
      </c>
      <c r="H35" s="42" t="inlineStr">
        <is>
          <t>0-5亿元</t>
        </is>
      </c>
      <c r="I35" s="20" t="n">
        <v>60</v>
      </c>
      <c r="J35" s="43" t="inlineStr">
        <is>
          <t>无低于1000万元标识</t>
        </is>
      </c>
      <c r="K35" s="20" t="n">
        <v>100</v>
      </c>
      <c r="L35" s="20" t="n">
        <v>100</v>
      </c>
      <c r="M35" s="44" t="n">
        <v>0.1386</v>
      </c>
      <c r="N35" s="44" t="n">
        <v>0.05980000000000001</v>
      </c>
      <c r="O35" s="45" t="n"/>
      <c r="P35" s="46" t="n">
        <v>0.02246931412353792</v>
      </c>
      <c r="Q35" s="20" t="n">
        <v>86.11</v>
      </c>
      <c r="R35" s="20" t="n">
        <v>11.5</v>
      </c>
      <c r="S35" s="20" t="n">
        <v>56.27</v>
      </c>
      <c r="T35" s="44" t="n">
        <v>0.5385</v>
      </c>
      <c r="U35" s="44" t="n">
        <v>0.6215999999999999</v>
      </c>
      <c r="V35" s="46" t="n">
        <v>0.6666124999999999</v>
      </c>
      <c r="W35" s="20" t="n">
        <v>53.84999999999999</v>
      </c>
      <c r="X35" s="20" t="n">
        <v>66.66125</v>
      </c>
      <c r="Y35" s="20" t="n">
        <v>58.97</v>
      </c>
      <c r="Z35" s="46" t="n">
        <v>0.04005433054937433</v>
      </c>
      <c r="AA35" s="44" t="n">
        <v>0.1117</v>
      </c>
      <c r="AB35" s="46" t="n">
        <v>0.1117</v>
      </c>
      <c r="AC35" s="20" t="n">
        <v>24.74</v>
      </c>
      <c r="AD35" s="91" t="n">
        <v>3.4603</v>
      </c>
      <c r="AE35" s="46" t="n">
        <v>0.1117</v>
      </c>
      <c r="AF35" s="20" t="n">
        <v>0.2011576913476985</v>
      </c>
      <c r="AG35" s="20" t="n">
        <v>59.09</v>
      </c>
      <c r="AH35" s="20" t="n">
        <v>11.03</v>
      </c>
      <c r="AI35" s="20" t="n">
        <v>39.87</v>
      </c>
      <c r="AJ35" s="46" t="n">
        <v>0.05980000000000001</v>
      </c>
      <c r="AK35" s="20" t="n">
        <v>100</v>
      </c>
      <c r="AL35" s="20" t="n">
        <v>84</v>
      </c>
      <c r="AM35" s="20" t="n">
        <v>57.08</v>
      </c>
      <c r="AN35" s="20" t="n">
        <v>24.74</v>
      </c>
      <c r="AO35" s="20" t="n">
        <v>39.87</v>
      </c>
      <c r="AP35" s="20" t="n">
        <v>100</v>
      </c>
      <c r="AQ35" s="92" t="n">
        <v>1</v>
      </c>
      <c r="AR35" s="20" t="n">
        <v>52.16051</v>
      </c>
      <c r="AS35" s="20" t="n">
        <v>52.16</v>
      </c>
      <c r="AT35" s="49" t="n">
        <v>211</v>
      </c>
      <c r="AU35" s="50">
        <f>IF(I35="","管理人规模；","")&amp;IF(J35="","产品规模标识；","")&amp;IF(AND(F35&lt;3,O35=""),"R_incep；","")&amp;IF(N35="","近三年收益；","")&amp;IF(U35="","近三年胜率；","")&amp;IF(AND(V35&lt;&gt;"",OR(V35&lt;0,V35&gt;1)),"胜率窗口口径不一致；","")&amp;IF(AA35="","近三年回撤；","")&amp;IF(AD35="","短期卡玛；","")&amp;IF(AND(P35&lt;&gt;"",AE35=""),"DD_long不可识别；","")</f>
        <v/>
      </c>
      <c r="AV35" s="51" t="n">
        <v>52.16051</v>
      </c>
      <c r="AW35" s="22" t="inlineStr">
        <is>
          <t>0-5亿元</t>
        </is>
      </c>
      <c r="AX35" s="22" t="inlineStr">
        <is>
          <t>2026-07-24</t>
        </is>
      </c>
      <c r="AY35" s="22" t="inlineStr">
        <is>
          <t>上海百奕投资管理中心（有限合伙）</t>
        </is>
      </c>
      <c r="AZ35" s="22" t="inlineStr">
        <is>
          <t>2026-07-24</t>
        </is>
      </c>
      <c r="BA35" s="22" t="inlineStr">
        <is>
          <t>https://gs.amac.org.cn/amac-infodisc/res/pof/manager/101000019935.html</t>
        </is>
      </c>
      <c r="BB35" s="22" t="inlineStr">
        <is>
          <t>百奕传家一号私募证券投资基金</t>
        </is>
      </c>
      <c r="BC35" s="22" t="inlineStr">
        <is>
          <t>2025-04-24</t>
        </is>
      </c>
      <c r="BD35" s="22" t="inlineStr">
        <is>
          <t>已匹配</t>
        </is>
      </c>
      <c r="BE35" t="inlineStr">
        <is>
          <t>https://gs.amac.org.cn/amac-infodisc/res/pof/fund/2003301654103531.html</t>
        </is>
      </c>
      <c r="BF35" t="inlineStr">
        <is>
          <t>已核验</t>
        </is>
      </c>
    </row>
    <row r="36" hidden="1" ht="28" customHeight="1" s="73">
      <c r="A36" s="2" t="n">
        <v>20</v>
      </c>
      <c r="B36" s="18" t="inlineStr">
        <is>
          <t>蒙森斯道特恒星三号</t>
        </is>
      </c>
      <c r="C36" s="18">
        <f>'sheet4-原始数据'!B21</f>
        <v/>
      </c>
      <c r="D36" s="18" t="inlineStr">
        <is>
          <t>上海蒙森投资</t>
        </is>
      </c>
      <c r="E36" s="90" t="inlineStr">
        <is>
          <t>2020-04-03</t>
        </is>
      </c>
      <c r="F36" s="20" t="n">
        <v>6.4504</v>
      </c>
      <c r="G36" s="2">
        <f>IF(F36="","",IF(F36&lt;1,"不入池","入池"))</f>
        <v/>
      </c>
      <c r="H36" s="42" t="inlineStr">
        <is>
          <t>0-5亿元</t>
        </is>
      </c>
      <c r="I36" s="20" t="n">
        <v>60</v>
      </c>
      <c r="J36" s="43" t="inlineStr">
        <is>
          <t>无低于1000万元标识</t>
        </is>
      </c>
      <c r="K36" s="20" t="n">
        <v>100</v>
      </c>
      <c r="L36" s="20" t="n">
        <v>100</v>
      </c>
      <c r="M36" s="44" t="n">
        <v>0.07150000000000001</v>
      </c>
      <c r="N36" s="44" t="n">
        <v>0.0706</v>
      </c>
      <c r="O36" s="45" t="n"/>
      <c r="P36" s="46" t="n">
        <v>0.07015028352079855</v>
      </c>
      <c r="Q36" s="20" t="n">
        <v>59.72</v>
      </c>
      <c r="R36" s="20" t="n">
        <v>57</v>
      </c>
      <c r="S36" s="20" t="n">
        <v>58.63</v>
      </c>
      <c r="T36" s="44" t="n">
        <v>0.3077</v>
      </c>
      <c r="U36" s="44" t="n">
        <v>0.4865</v>
      </c>
      <c r="V36" s="46" t="n">
        <v>0.5833499999999999</v>
      </c>
      <c r="W36" s="20" t="n">
        <v>30.77</v>
      </c>
      <c r="X36" s="20" t="n">
        <v>58.33499999999999</v>
      </c>
      <c r="Y36" s="20" t="n">
        <v>41.8</v>
      </c>
      <c r="Z36" s="46" t="n">
        <v>0.03341121495327103</v>
      </c>
      <c r="AA36" s="44" t="n">
        <v>0.07969999999999999</v>
      </c>
      <c r="AB36" s="46" t="n">
        <v>0.07969999999999999</v>
      </c>
      <c r="AC36" s="20" t="n">
        <v>33.1</v>
      </c>
      <c r="AD36" s="91" t="n">
        <v>2.14</v>
      </c>
      <c r="AE36" s="46" t="n">
        <v>0.07969999999999999</v>
      </c>
      <c r="AF36" s="20" t="n">
        <v>0.8801792160702454</v>
      </c>
      <c r="AG36" s="20" t="n">
        <v>49.65</v>
      </c>
      <c r="AH36" s="20" t="n">
        <v>37.5</v>
      </c>
      <c r="AI36" s="20" t="n">
        <v>44.79</v>
      </c>
      <c r="AJ36" s="46" t="n">
        <v>0.0706</v>
      </c>
      <c r="AK36" s="20" t="n">
        <v>100</v>
      </c>
      <c r="AL36" s="20" t="n">
        <v>84</v>
      </c>
      <c r="AM36" s="20" t="n">
        <v>53.58</v>
      </c>
      <c r="AN36" s="20" t="n">
        <v>33.1</v>
      </c>
      <c r="AO36" s="20" t="n">
        <v>44.79</v>
      </c>
      <c r="AP36" s="20" t="n">
        <v>100</v>
      </c>
      <c r="AQ36" s="92" t="n">
        <v>1</v>
      </c>
      <c r="AR36" s="20" t="n">
        <v>55.02824</v>
      </c>
      <c r="AS36" s="20" t="n">
        <v>55.03</v>
      </c>
      <c r="AT36" s="49" t="n">
        <v>194</v>
      </c>
      <c r="AU36" s="50">
        <f>IF(I36="","管理人规模；","")&amp;IF(J36="","产品规模标识；","")&amp;IF(AND(F36&lt;3,O36=""),"R_incep；","")&amp;IF(N36="","近三年收益；","")&amp;IF(U36="","近三年胜率；","")&amp;IF(AND(V36&lt;&gt;"",OR(V36&lt;0,V36&gt;1)),"胜率窗口口径不一致；","")&amp;IF(AA36="","近三年回撤；","")&amp;IF(AD36="","短期卡玛；","")&amp;IF(AND(P36&lt;&gt;"",AE36=""),"DD_long不可识别；","")</f>
        <v/>
      </c>
      <c r="AV36" s="51" t="n">
        <v>55.02824</v>
      </c>
      <c r="AW36" s="22" t="inlineStr">
        <is>
          <t>0-5亿元</t>
        </is>
      </c>
      <c r="AX36" s="22" t="inlineStr">
        <is>
          <t>2026-03-30</t>
        </is>
      </c>
      <c r="AY36" s="22" t="inlineStr">
        <is>
          <t>蒙森（上海）投资管理有限公司</t>
        </is>
      </c>
      <c r="AZ36" s="22" t="inlineStr">
        <is>
          <t>2026-03-30</t>
        </is>
      </c>
      <c r="BA36" s="22" t="inlineStr">
        <is>
          <t>https://gs.amac.org.cn/amac-infodisc/res/pof/manager/101000010726.html</t>
        </is>
      </c>
      <c r="BB36" s="22" t="inlineStr">
        <is>
          <t>蒙森斯道特恒星三号私募证券投资基金</t>
        </is>
      </c>
      <c r="BC36" s="22" t="inlineStr">
        <is>
          <t>2025-05-07</t>
        </is>
      </c>
      <c r="BD36" s="22" t="inlineStr">
        <is>
          <t>已匹配</t>
        </is>
      </c>
      <c r="BE36" t="inlineStr">
        <is>
          <t>https://gs.amac.org.cn/amac-infodisc/res/pof/fund/2004141727126733.html</t>
        </is>
      </c>
      <c r="BF36" t="inlineStr">
        <is>
          <t>已核验</t>
        </is>
      </c>
    </row>
    <row r="37" hidden="1" ht="28" customHeight="1" s="73">
      <c r="A37" s="2" t="n">
        <v>21</v>
      </c>
      <c r="B37" s="18" t="inlineStr">
        <is>
          <t>银瓴运通对冲套利致远3号</t>
        </is>
      </c>
      <c r="C37" s="18">
        <f>'sheet4-原始数据'!B22</f>
        <v/>
      </c>
      <c r="D37" s="18" t="inlineStr">
        <is>
          <t>广西银瓴资产</t>
        </is>
      </c>
      <c r="E37" s="90" t="inlineStr">
        <is>
          <t>2020-06-16</t>
        </is>
      </c>
      <c r="F37" s="20" t="n">
        <v>6.2478</v>
      </c>
      <c r="G37" s="2">
        <f>IF(F37="","",IF(F37&lt;1,"不入池","入池"))</f>
        <v/>
      </c>
      <c r="H37" s="42" t="inlineStr">
        <is>
          <t>0-5亿元</t>
        </is>
      </c>
      <c r="I37" s="20" t="n">
        <v>60</v>
      </c>
      <c r="J37" s="43" t="inlineStr">
        <is>
          <t>低于1000万元</t>
        </is>
      </c>
      <c r="K37" s="20" t="n">
        <v>0</v>
      </c>
      <c r="L37" s="20" t="n">
        <v>100</v>
      </c>
      <c r="M37" s="44" t="n">
        <v>-0.0415</v>
      </c>
      <c r="N37" s="44" t="n">
        <v>0.0004</v>
      </c>
      <c r="O37" s="45" t="n"/>
      <c r="P37" s="46" t="n">
        <v>0.02203193442058482</v>
      </c>
      <c r="Q37" s="20" t="n">
        <v>9.029999999999999</v>
      </c>
      <c r="R37" s="20" t="n">
        <v>11</v>
      </c>
      <c r="S37" s="20" t="n">
        <v>9.82</v>
      </c>
      <c r="T37" s="44" t="n">
        <v>0.6153999999999999</v>
      </c>
      <c r="U37" s="44" t="n">
        <v>0.5405</v>
      </c>
      <c r="V37" s="46" t="n">
        <v>0.4999291666666667</v>
      </c>
      <c r="W37" s="20" t="n">
        <v>61.53999999999999</v>
      </c>
      <c r="X37" s="20" t="n">
        <v>49.99291666666667</v>
      </c>
      <c r="Y37" s="20" t="n">
        <v>56.92</v>
      </c>
      <c r="Z37" s="46" t="n">
        <v>0.1029521210617713</v>
      </c>
      <c r="AA37" s="44" t="n">
        <v>0.113</v>
      </c>
      <c r="AB37" s="46" t="n">
        <v>0.113</v>
      </c>
      <c r="AC37" s="20" t="n">
        <v>24.39</v>
      </c>
      <c r="AD37" s="91" t="n">
        <v>-0.4031</v>
      </c>
      <c r="AE37" s="46" t="n">
        <v>0.113</v>
      </c>
      <c r="AF37" s="20" t="n">
        <v>0.1949728709786267</v>
      </c>
      <c r="AG37" s="20" t="n">
        <v>7.34</v>
      </c>
      <c r="AH37" s="20" t="n">
        <v>10.29</v>
      </c>
      <c r="AI37" s="20" t="n">
        <v>8.52</v>
      </c>
      <c r="AJ37" s="46" t="n">
        <v>0.0004</v>
      </c>
      <c r="AK37" s="20" t="n">
        <v>80</v>
      </c>
      <c r="AL37" s="20" t="n">
        <v>54</v>
      </c>
      <c r="AM37" s="20" t="n">
        <v>23.95</v>
      </c>
      <c r="AN37" s="20" t="n">
        <v>24.39</v>
      </c>
      <c r="AO37" s="20" t="n">
        <v>8.52</v>
      </c>
      <c r="AP37" s="20" t="n">
        <v>80</v>
      </c>
      <c r="AQ37" s="92" t="n">
        <v>1</v>
      </c>
      <c r="AR37" s="20" t="n">
        <v>29.54329</v>
      </c>
      <c r="AS37" s="20" t="n">
        <v>29.54</v>
      </c>
      <c r="AT37" s="49" t="n">
        <v>296</v>
      </c>
      <c r="AU37" s="50">
        <f>IF(I37="","管理人规模；","")&amp;IF(J37="","产品规模标识；","")&amp;IF(AND(F37&lt;3,O37=""),"R_incep；","")&amp;IF(N37="","近三年收益；","")&amp;IF(U37="","近三年胜率；","")&amp;IF(AND(V37&lt;&gt;"",OR(V37&lt;0,V37&gt;1)),"胜率窗口口径不一致；","")&amp;IF(AA37="","近三年回撤；","")&amp;IF(AD37="","短期卡玛；","")&amp;IF(AND(P37&lt;&gt;"",AE37=""),"DD_long不可识别；","")</f>
        <v/>
      </c>
      <c r="AV37" s="51" t="n">
        <v>29.54329</v>
      </c>
      <c r="AW37" s="22" t="inlineStr">
        <is>
          <t>0-5亿元</t>
        </is>
      </c>
      <c r="AX37" s="22" t="inlineStr">
        <is>
          <t>2026-07-09</t>
        </is>
      </c>
      <c r="AY37" s="22" t="inlineStr">
        <is>
          <t>广西银瓴资产管理有限公司</t>
        </is>
      </c>
      <c r="AZ37" s="22" t="inlineStr">
        <is>
          <t>2026-07-09</t>
        </is>
      </c>
      <c r="BA37" s="22" t="inlineStr">
        <is>
          <t>https://gs.amac.org.cn/amac-infodisc/res/pof/manager/101000035485.html</t>
        </is>
      </c>
      <c r="BB37" s="22" t="inlineStr">
        <is>
          <t>银瓴运通对冲套利致远3号私募证券投资基金</t>
        </is>
      </c>
      <c r="BC37" s="22" t="inlineStr">
        <is>
          <t>2024-12-04</t>
        </is>
      </c>
      <c r="BD37" s="22" t="inlineStr">
        <is>
          <t>已匹配</t>
        </is>
      </c>
      <c r="BE37" t="inlineStr">
        <is>
          <t>https://gs.amac.org.cn/amac-infodisc/res/pof/fund/2006181800104261.html</t>
        </is>
      </c>
      <c r="BF37" t="inlineStr">
        <is>
          <t>已核验</t>
        </is>
      </c>
    </row>
    <row r="38" hidden="1" ht="28" customHeight="1" s="73">
      <c r="A38" s="2" t="n">
        <v>22</v>
      </c>
      <c r="B38" s="18" t="inlineStr">
        <is>
          <t>银瓴运通对冲套利进取2号</t>
        </is>
      </c>
      <c r="C38" s="18">
        <f>'sheet4-原始数据'!B23</f>
        <v/>
      </c>
      <c r="D38" s="18" t="inlineStr">
        <is>
          <t>广西银瓴资产</t>
        </is>
      </c>
      <c r="E38" s="90" t="inlineStr">
        <is>
          <t>2020-06-16</t>
        </is>
      </c>
      <c r="F38" s="20" t="n">
        <v>6.2478</v>
      </c>
      <c r="G38" s="2">
        <f>IF(F38="","",IF(F38&lt;1,"不入池","入池"))</f>
        <v/>
      </c>
      <c r="H38" s="42" t="inlineStr">
        <is>
          <t>0-5亿元</t>
        </is>
      </c>
      <c r="I38" s="20" t="n">
        <v>60</v>
      </c>
      <c r="J38" s="43" t="inlineStr">
        <is>
          <t>无低于1000万元标识</t>
        </is>
      </c>
      <c r="K38" s="20" t="n">
        <v>100</v>
      </c>
      <c r="L38" s="20" t="n">
        <v>100</v>
      </c>
      <c r="M38" s="44" t="n">
        <v>-0.015</v>
      </c>
      <c r="N38" s="44" t="n">
        <v>-0.0118</v>
      </c>
      <c r="O38" s="45" t="n"/>
      <c r="P38" s="46" t="n">
        <v>-0.01019610363112589</v>
      </c>
      <c r="Q38" s="20" t="n">
        <v>13.19</v>
      </c>
      <c r="R38" s="20" t="n">
        <v>4</v>
      </c>
      <c r="S38" s="20" t="n">
        <v>9.51</v>
      </c>
      <c r="T38" s="44" t="n">
        <v>0.3846</v>
      </c>
      <c r="U38" s="44" t="n">
        <v>0.4324</v>
      </c>
      <c r="V38" s="46" t="n">
        <v>0.4582916666666668</v>
      </c>
      <c r="W38" s="20" t="n">
        <v>38.46</v>
      </c>
      <c r="X38" s="20" t="n">
        <v>45.82916666666668</v>
      </c>
      <c r="Y38" s="20" t="n">
        <v>41.41</v>
      </c>
      <c r="Z38" s="46" t="n">
        <v>0.07614213197969542</v>
      </c>
      <c r="AA38" s="44" t="n">
        <v>0.1738</v>
      </c>
      <c r="AB38" s="46" t="n">
        <v>0.1738</v>
      </c>
      <c r="AC38" s="20" t="n">
        <v>13.59</v>
      </c>
      <c r="AD38" s="91" t="n">
        <v>-0.197</v>
      </c>
      <c r="AE38" s="46" t="n">
        <v>0.1738</v>
      </c>
      <c r="AF38" s="20" t="n">
        <v>-0.05866572860256552</v>
      </c>
      <c r="AG38" s="20" t="n">
        <v>11.19</v>
      </c>
      <c r="AH38" s="20" t="n">
        <v>5.88</v>
      </c>
      <c r="AI38" s="20" t="n">
        <v>9.07</v>
      </c>
      <c r="AJ38" s="46" t="n">
        <v>-0.0118</v>
      </c>
      <c r="AK38" s="20" t="n">
        <v>80</v>
      </c>
      <c r="AL38" s="20" t="n">
        <v>84</v>
      </c>
      <c r="AM38" s="20" t="n">
        <v>19.08</v>
      </c>
      <c r="AN38" s="20" t="n">
        <v>13.59</v>
      </c>
      <c r="AO38" s="20" t="n">
        <v>9.07</v>
      </c>
      <c r="AP38" s="20" t="n">
        <v>80</v>
      </c>
      <c r="AQ38" s="92" t="n">
        <v>1</v>
      </c>
      <c r="AR38" s="20" t="n">
        <v>30.53372</v>
      </c>
      <c r="AS38" s="20" t="n">
        <v>30.53</v>
      </c>
      <c r="AT38" s="49" t="n">
        <v>294</v>
      </c>
      <c r="AU38" s="50">
        <f>IF(I38="","管理人规模；","")&amp;IF(J38="","产品规模标识；","")&amp;IF(AND(F38&lt;3,O38=""),"R_incep；","")&amp;IF(N38="","近三年收益；","")&amp;IF(U38="","近三年胜率；","")&amp;IF(AND(V38&lt;&gt;"",OR(V38&lt;0,V38&gt;1)),"胜率窗口口径不一致；","")&amp;IF(AA38="","近三年回撤；","")&amp;IF(AD38="","短期卡玛；","")&amp;IF(AND(P38&lt;&gt;"",AE38=""),"DD_long不可识别；","")</f>
        <v/>
      </c>
      <c r="AV38" s="51" t="n">
        <v>30.53372</v>
      </c>
      <c r="AW38" s="22" t="inlineStr">
        <is>
          <t>0-5亿元</t>
        </is>
      </c>
      <c r="AX38" s="22" t="inlineStr">
        <is>
          <t>2026-07-09</t>
        </is>
      </c>
      <c r="AY38" s="22" t="inlineStr">
        <is>
          <t>广西银瓴资产管理有限公司</t>
        </is>
      </c>
      <c r="AZ38" s="22" t="inlineStr">
        <is>
          <t>2026-07-09</t>
        </is>
      </c>
      <c r="BA38" s="22" t="inlineStr">
        <is>
          <t>https://gs.amac.org.cn/amac-infodisc/res/pof/manager/101000035485.html</t>
        </is>
      </c>
      <c r="BB38" s="22" t="inlineStr">
        <is>
          <t>银瓴运通对冲套利进取2号私募证券投资基金</t>
        </is>
      </c>
      <c r="BC38" s="22" t="inlineStr">
        <is>
          <t>2024-12-04</t>
        </is>
      </c>
      <c r="BD38" s="22" t="inlineStr">
        <is>
          <t>已匹配</t>
        </is>
      </c>
      <c r="BE38" t="inlineStr">
        <is>
          <t>https://gs.amac.org.cn/amac-infodisc/res/pof/fund/2006192211107635.html</t>
        </is>
      </c>
      <c r="BF38" t="inlineStr">
        <is>
          <t>已核验</t>
        </is>
      </c>
    </row>
    <row r="39" hidden="1" ht="28" customHeight="1" s="73">
      <c r="A39" s="2" t="n">
        <v>23</v>
      </c>
      <c r="B39" s="18" t="inlineStr">
        <is>
          <t>铭杉量化稳健5号</t>
        </is>
      </c>
      <c r="C39" s="18">
        <f>'sheet4-原始数据'!B24</f>
        <v/>
      </c>
      <c r="D39" s="18" t="inlineStr">
        <is>
          <t>上海铭杉投资</t>
        </is>
      </c>
      <c r="E39" s="90" t="inlineStr">
        <is>
          <t>2020-09-14</t>
        </is>
      </c>
      <c r="F39" s="20" t="n">
        <v>6.0014</v>
      </c>
      <c r="G39" s="2">
        <f>IF(F39="","",IF(F39&lt;1,"不入池","入池"))</f>
        <v/>
      </c>
      <c r="H39" s="42" t="inlineStr">
        <is>
          <t>0-5亿元</t>
        </is>
      </c>
      <c r="I39" s="20" t="n">
        <v>60</v>
      </c>
      <c r="J39" s="43" t="inlineStr">
        <is>
          <t>低于1000万元</t>
        </is>
      </c>
      <c r="K39" s="20" t="n">
        <v>0</v>
      </c>
      <c r="L39" s="20" t="n">
        <v>100</v>
      </c>
      <c r="M39" s="44" t="n">
        <v>0.0563</v>
      </c>
      <c r="N39" s="44" t="n">
        <v>0.0578</v>
      </c>
      <c r="O39" s="45" t="n"/>
      <c r="P39" s="46" t="n">
        <v>0.05855079858980572</v>
      </c>
      <c r="Q39" s="20" t="n">
        <v>48.09</v>
      </c>
      <c r="R39" s="20" t="n">
        <v>48</v>
      </c>
      <c r="S39" s="20" t="n">
        <v>48.05</v>
      </c>
      <c r="T39" s="44" t="n">
        <v>0.7692</v>
      </c>
      <c r="U39" s="44" t="n">
        <v>0.8649</v>
      </c>
      <c r="V39" s="46" t="n">
        <v>0.9167375</v>
      </c>
      <c r="W39" s="20" t="n">
        <v>76.92</v>
      </c>
      <c r="X39" s="20" t="n">
        <v>91.67375</v>
      </c>
      <c r="Y39" s="20" t="n">
        <v>82.81999999999999</v>
      </c>
      <c r="Z39" s="46" t="n">
        <v>0.0251036696838632</v>
      </c>
      <c r="AA39" s="44" t="n">
        <v>0.0251</v>
      </c>
      <c r="AB39" s="46" t="n">
        <v>0.0251036696838632</v>
      </c>
      <c r="AC39" s="20" t="n">
        <v>66.55</v>
      </c>
      <c r="AD39" s="91" t="n">
        <v>2.2427</v>
      </c>
      <c r="AE39" s="46" t="n"/>
      <c r="AF39" s="20" t="n"/>
      <c r="AG39" s="20" t="n">
        <v>50</v>
      </c>
      <c r="AH39" s="20" t="n"/>
      <c r="AI39" s="20" t="n">
        <v>50</v>
      </c>
      <c r="AJ39" s="46" t="n">
        <v>0.0578</v>
      </c>
      <c r="AK39" s="20" t="n">
        <v>80</v>
      </c>
      <c r="AL39" s="20" t="n">
        <v>54</v>
      </c>
      <c r="AM39" s="20" t="n">
        <v>58.48</v>
      </c>
      <c r="AN39" s="20" t="n">
        <v>66.55</v>
      </c>
      <c r="AO39" s="20" t="n">
        <v>50</v>
      </c>
      <c r="AP39" s="20" t="n">
        <v>80</v>
      </c>
      <c r="AQ39" s="92" t="n">
        <v>0.88</v>
      </c>
      <c r="AR39" s="20" t="n">
        <v>53.43435</v>
      </c>
      <c r="AS39" s="20" t="n">
        <v>60.72</v>
      </c>
      <c r="AT39" s="49" t="n">
        <v>162</v>
      </c>
      <c r="AU39" s="50">
        <f>IF(I39="","管理人规模；","")&amp;IF(J39="","产品规模标识；","")&amp;IF(AND(F39&lt;3,O39=""),"R_incep；","")&amp;IF(N39="","近三年收益；","")&amp;IF(U39="","近三年胜率；","")&amp;IF(AND(V39&lt;&gt;"",OR(V39&lt;0,V39&gt;1)),"胜率窗口口径不一致；","")&amp;IF(AA39="","近三年回撤；","")&amp;IF(AD39="","短期卡玛；","")&amp;IF(AND(P39&lt;&gt;"",AE39=""),"DD_long不可识别；","")</f>
        <v/>
      </c>
      <c r="AV39" s="51" t="n"/>
      <c r="AW39" s="22" t="inlineStr">
        <is>
          <t>0-5亿元</t>
        </is>
      </c>
      <c r="AX39" s="22" t="inlineStr">
        <is>
          <t>2025-05-20</t>
        </is>
      </c>
      <c r="AY39" s="22" t="inlineStr">
        <is>
          <t>上海铭杉投资管理有限公司</t>
        </is>
      </c>
      <c r="AZ39" s="22" t="inlineStr">
        <is>
          <t>2025-05-20</t>
        </is>
      </c>
      <c r="BA39" s="22" t="inlineStr">
        <is>
          <t>https://gs.amac.org.cn/amac-infodisc/res/pof/manager/1708301158107602.html</t>
        </is>
      </c>
      <c r="BB39" s="22" t="inlineStr">
        <is>
          <t>铭杉量化稳健5号私募证券投资基金</t>
        </is>
      </c>
      <c r="BC39" s="22" t="inlineStr">
        <is>
          <t>2026-07-08</t>
        </is>
      </c>
      <c r="BD39" s="22" t="inlineStr">
        <is>
          <t>已匹配</t>
        </is>
      </c>
      <c r="BE39" t="inlineStr">
        <is>
          <t>https://gs.amac.org.cn/amac-infodisc/res/pof/fund/2009171717131963.html</t>
        </is>
      </c>
      <c r="BF39" t="inlineStr">
        <is>
          <t>已核验</t>
        </is>
      </c>
    </row>
    <row r="40" hidden="1" ht="28" customHeight="1" s="73">
      <c r="A40" s="2" t="n">
        <v>24</v>
      </c>
      <c r="B40" s="18" t="inlineStr">
        <is>
          <t>数为道策套利一号</t>
        </is>
      </c>
      <c r="C40" s="18">
        <f>'sheet4-原始数据'!B25</f>
        <v/>
      </c>
      <c r="D40" s="18" t="inlineStr">
        <is>
          <t>福州数为</t>
        </is>
      </c>
      <c r="E40" s="90" t="inlineStr">
        <is>
          <t>2020-10-19</t>
        </is>
      </c>
      <c r="F40" s="20" t="n">
        <v>5.9055</v>
      </c>
      <c r="G40" s="2">
        <f>IF(F40="","",IF(F40&lt;1,"不入池","入池"))</f>
        <v/>
      </c>
      <c r="H40" s="42" t="inlineStr">
        <is>
          <t>0-5亿元</t>
        </is>
      </c>
      <c r="I40" s="20" t="n">
        <v>60</v>
      </c>
      <c r="J40" s="43" t="inlineStr">
        <is>
          <t>低于1000万元</t>
        </is>
      </c>
      <c r="K40" s="20" t="n">
        <v>0</v>
      </c>
      <c r="L40" s="20" t="n">
        <v>100</v>
      </c>
      <c r="M40" s="44" t="n">
        <v>-0.3489</v>
      </c>
      <c r="N40" s="44" t="n">
        <v>-0.1122</v>
      </c>
      <c r="O40" s="45" t="n"/>
      <c r="P40" s="46" t="n">
        <v>0.03668989030580594</v>
      </c>
      <c r="Q40" s="20" t="n">
        <v>0.35</v>
      </c>
      <c r="R40" s="20" t="n">
        <v>22</v>
      </c>
      <c r="S40" s="20" t="n">
        <v>9.01</v>
      </c>
      <c r="T40" s="44" t="n">
        <v>0.2308</v>
      </c>
      <c r="U40" s="44" t="n">
        <v>0.4054</v>
      </c>
      <c r="V40" s="46" t="n">
        <v>0.499975</v>
      </c>
      <c r="W40" s="20" t="n">
        <v>23.08</v>
      </c>
      <c r="X40" s="20" t="n">
        <v>49.9975</v>
      </c>
      <c r="Y40" s="20" t="n">
        <v>33.85</v>
      </c>
      <c r="Z40" s="46" t="n">
        <v>0.3701856763925729</v>
      </c>
      <c r="AA40" s="44" t="n">
        <v>0.3702</v>
      </c>
      <c r="AB40" s="46" t="n">
        <v>0.3702</v>
      </c>
      <c r="AC40" s="20" t="n">
        <v>1.05</v>
      </c>
      <c r="AD40" s="91" t="n">
        <v>-0.9425</v>
      </c>
      <c r="AE40" s="46" t="n"/>
      <c r="AF40" s="20" t="n"/>
      <c r="AG40" s="20" t="n">
        <v>0.7</v>
      </c>
      <c r="AH40" s="20" t="n"/>
      <c r="AI40" s="20" t="n">
        <v>0.7</v>
      </c>
      <c r="AJ40" s="46" t="n">
        <v>-0.1122</v>
      </c>
      <c r="AK40" s="20" t="n">
        <v>60</v>
      </c>
      <c r="AL40" s="20" t="n">
        <v>54</v>
      </c>
      <c r="AM40" s="20" t="n">
        <v>16.46</v>
      </c>
      <c r="AN40" s="20" t="n">
        <v>1.05</v>
      </c>
      <c r="AO40" s="20" t="n">
        <v>0.7</v>
      </c>
      <c r="AP40" s="20" t="n">
        <v>60</v>
      </c>
      <c r="AQ40" s="92" t="n">
        <v>0.88</v>
      </c>
      <c r="AR40" s="20" t="n">
        <v>17.78072</v>
      </c>
      <c r="AS40" s="20" t="n">
        <v>20.21</v>
      </c>
      <c r="AT40" s="49" t="n">
        <v>314</v>
      </c>
      <c r="AU40" s="50">
        <f>IF(I40="","管理人规模；","")&amp;IF(J40="","产品规模标识；","")&amp;IF(AND(F40&lt;3,O40=""),"R_incep；","")&amp;IF(N40="","近三年收益；","")&amp;IF(U40="","近三年胜率；","")&amp;IF(AND(V40&lt;&gt;"",OR(V40&lt;0,V40&gt;1)),"胜率窗口口径不一致；","")&amp;IF(AA40="","近三年回撤；","")&amp;IF(AD40="","短期卡玛；","")&amp;IF(AND(P40&lt;&gt;"",AE40=""),"DD_long不可识别；","")</f>
        <v/>
      </c>
      <c r="AV40" s="51" t="n"/>
      <c r="AW40" s="22" t="inlineStr">
        <is>
          <t>0-5亿元</t>
        </is>
      </c>
      <c r="AX40" s="22" t="inlineStr">
        <is>
          <t>2025-07-31</t>
        </is>
      </c>
      <c r="AY40" s="22" t="inlineStr">
        <is>
          <t>福州数为私募基金管理有限公司</t>
        </is>
      </c>
      <c r="AZ40" s="22" t="inlineStr">
        <is>
          <t>2025-07-31</t>
        </is>
      </c>
      <c r="BA40" s="22" t="inlineStr">
        <is>
          <t>https://gs.amac.org.cn/amac-infodisc/res/pof/manager/1705081548107725.html</t>
        </is>
      </c>
      <c r="BB40" s="22" t="inlineStr">
        <is>
          <t>数为道策套利一号私募证券投资基金</t>
        </is>
      </c>
      <c r="BC40" s="22" t="inlineStr">
        <is>
          <t>2025-07-07</t>
        </is>
      </c>
      <c r="BD40" s="22" t="inlineStr">
        <is>
          <t>已匹配</t>
        </is>
      </c>
      <c r="BE40" t="inlineStr">
        <is>
          <t>https://gs.amac.org.cn/amac-infodisc/res/pof/fund/2010271707103406.html</t>
        </is>
      </c>
      <c r="BF40" t="inlineStr">
        <is>
          <t>已核验</t>
        </is>
      </c>
    </row>
    <row r="41" hidden="1" ht="28" customHeight="1" s="73">
      <c r="A41" s="2" t="n">
        <v>25</v>
      </c>
      <c r="B41" s="18" t="inlineStr">
        <is>
          <t>犇牛稳进3号</t>
        </is>
      </c>
      <c r="C41" s="18">
        <f>'sheet4-原始数据'!B26</f>
        <v/>
      </c>
      <c r="D41" s="18" t="inlineStr">
        <is>
          <t>上海犇牛</t>
        </is>
      </c>
      <c r="E41" s="90" t="inlineStr">
        <is>
          <t>2020-11-09</t>
        </is>
      </c>
      <c r="F41" s="20" t="n">
        <v>5.848</v>
      </c>
      <c r="G41" s="2">
        <f>IF(F41="","",IF(F41&lt;1,"不入池","入池"))</f>
        <v/>
      </c>
      <c r="H41" s="42" t="inlineStr">
        <is>
          <t>10-20亿元</t>
        </is>
      </c>
      <c r="I41" s="20" t="n">
        <v>80</v>
      </c>
      <c r="J41" s="43" t="inlineStr">
        <is>
          <t>无低于1000万元标识</t>
        </is>
      </c>
      <c r="K41" s="20" t="n">
        <v>100</v>
      </c>
      <c r="L41" s="20" t="n">
        <v>100</v>
      </c>
      <c r="M41" s="44" t="n">
        <v>0.0374</v>
      </c>
      <c r="N41" s="44" t="n">
        <v>0.0455</v>
      </c>
      <c r="O41" s="45" t="n"/>
      <c r="P41" s="46" t="n">
        <v>0.04957368597048295</v>
      </c>
      <c r="Q41" s="20" t="n">
        <v>34.03</v>
      </c>
      <c r="R41" s="20" t="n">
        <v>37</v>
      </c>
      <c r="S41" s="20" t="n">
        <v>35.22</v>
      </c>
      <c r="T41" s="44" t="n">
        <v>0.7692</v>
      </c>
      <c r="U41" s="44" t="n">
        <v>0.5946</v>
      </c>
      <c r="V41" s="46" t="n">
        <v>0.5000250000000001</v>
      </c>
      <c r="W41" s="20" t="n">
        <v>76.92</v>
      </c>
      <c r="X41" s="20" t="n">
        <v>50.0025</v>
      </c>
      <c r="Y41" s="20" t="n">
        <v>66.15000000000001</v>
      </c>
      <c r="Z41" s="46" t="n">
        <v>0.008427789170065574</v>
      </c>
      <c r="AA41" s="44" t="n">
        <v>0.0265</v>
      </c>
      <c r="AB41" s="46" t="n">
        <v>0.0265</v>
      </c>
      <c r="AC41" s="20" t="n">
        <v>63.41</v>
      </c>
      <c r="AD41" s="91" t="n">
        <v>4.4377</v>
      </c>
      <c r="AE41" s="46" t="n">
        <v>0.0265</v>
      </c>
      <c r="AF41" s="20" t="n">
        <v>1.870705130961621</v>
      </c>
      <c r="AG41" s="20" t="n">
        <v>64.34</v>
      </c>
      <c r="AH41" s="20" t="n">
        <v>63.97</v>
      </c>
      <c r="AI41" s="20" t="n">
        <v>64.19</v>
      </c>
      <c r="AJ41" s="46" t="n">
        <v>0.0455</v>
      </c>
      <c r="AK41" s="20" t="n">
        <v>80</v>
      </c>
      <c r="AL41" s="20" t="n">
        <v>92</v>
      </c>
      <c r="AM41" s="20" t="n">
        <v>44.5</v>
      </c>
      <c r="AN41" s="20" t="n">
        <v>63.41</v>
      </c>
      <c r="AO41" s="20" t="n">
        <v>64.19</v>
      </c>
      <c r="AP41" s="20" t="n">
        <v>80</v>
      </c>
      <c r="AQ41" s="92" t="n">
        <v>1</v>
      </c>
      <c r="AR41" s="20" t="n">
        <v>65.8098</v>
      </c>
      <c r="AS41" s="20" t="n">
        <v>65.81</v>
      </c>
      <c r="AT41" s="49" t="n">
        <v>142</v>
      </c>
      <c r="AU41" s="50">
        <f>IF(I41="","管理人规模；","")&amp;IF(J41="","产品规模标识；","")&amp;IF(AND(F41&lt;3,O41=""),"R_incep；","")&amp;IF(N41="","近三年收益；","")&amp;IF(U41="","近三年胜率；","")&amp;IF(AND(V41&lt;&gt;"",OR(V41&lt;0,V41&gt;1)),"胜率窗口口径不一致；","")&amp;IF(AA41="","近三年回撤；","")&amp;IF(AD41="","短期卡玛；","")&amp;IF(AND(P41&lt;&gt;"",AE41=""),"DD_long不可识别；","")</f>
        <v/>
      </c>
      <c r="AV41" s="51" t="n">
        <v>65.8098</v>
      </c>
      <c r="AW41" s="22" t="inlineStr">
        <is>
          <t>10-20亿元</t>
        </is>
      </c>
      <c r="AX41" s="22" t="inlineStr">
        <is>
          <t>2026-07-08</t>
        </is>
      </c>
      <c r="AY41" s="22" t="inlineStr">
        <is>
          <t>上海犇牛私募基金管理有限公司</t>
        </is>
      </c>
      <c r="AZ41" s="22" t="inlineStr">
        <is>
          <t>2026-07-08</t>
        </is>
      </c>
      <c r="BA41" s="22" t="inlineStr">
        <is>
          <t>https://gs.amac.org.cn/amac-infodisc/res/pof/manager/101000013203.html</t>
        </is>
      </c>
      <c r="BB41" s="22" t="inlineStr">
        <is>
          <t>犇牛稳进3号私募证券投资基金</t>
        </is>
      </c>
      <c r="BC41" s="22" t="inlineStr">
        <is>
          <t>2025-05-12</t>
        </is>
      </c>
      <c r="BD41" s="22" t="inlineStr">
        <is>
          <t>已匹配</t>
        </is>
      </c>
      <c r="BE41" t="inlineStr">
        <is>
          <t>https://gs.amac.org.cn/amac-infodisc/res/pof/fund/2011121710129780.html</t>
        </is>
      </c>
      <c r="BF41" t="inlineStr">
        <is>
          <t>已核验</t>
        </is>
      </c>
    </row>
    <row r="42" hidden="1" ht="28" customHeight="1" s="73">
      <c r="A42" s="2" t="n">
        <v>26</v>
      </c>
      <c r="B42" s="18" t="inlineStr">
        <is>
          <t>致同云峰A</t>
        </is>
      </c>
      <c r="C42" s="18">
        <f>'sheet4-原始数据'!B27</f>
        <v/>
      </c>
      <c r="D42" s="18" t="inlineStr">
        <is>
          <t>上海致同投资</t>
        </is>
      </c>
      <c r="E42" s="90" t="inlineStr">
        <is>
          <t>2020-11-10</t>
        </is>
      </c>
      <c r="F42" s="20" t="n">
        <v>5.8453</v>
      </c>
      <c r="G42" s="2">
        <f>IF(F42="","",IF(F42&lt;1,"不入池","入池"))</f>
        <v/>
      </c>
      <c r="H42" s="42" t="inlineStr">
        <is>
          <t>20-50亿元</t>
        </is>
      </c>
      <c r="I42" s="20" t="n">
        <v>90</v>
      </c>
      <c r="J42" s="43" t="inlineStr">
        <is>
          <t>无低于1000万元标识</t>
        </is>
      </c>
      <c r="K42" s="20" t="n">
        <v>100</v>
      </c>
      <c r="L42" s="20" t="n">
        <v>100</v>
      </c>
      <c r="M42" s="44" t="n">
        <v>0.0408</v>
      </c>
      <c r="N42" s="44" t="n">
        <v>0.04219999999999999</v>
      </c>
      <c r="O42" s="45" t="n"/>
      <c r="P42" s="46" t="n">
        <v>0.04290070602931029</v>
      </c>
      <c r="Q42" s="20" t="n">
        <v>40.63</v>
      </c>
      <c r="R42" s="20" t="n">
        <v>31</v>
      </c>
      <c r="S42" s="20" t="n">
        <v>36.78</v>
      </c>
      <c r="T42" s="44" t="n">
        <v>0.6923</v>
      </c>
      <c r="U42" s="44" t="n">
        <v>0.7297</v>
      </c>
      <c r="V42" s="46" t="n">
        <v>0.7499583333333333</v>
      </c>
      <c r="W42" s="20" t="n">
        <v>69.23</v>
      </c>
      <c r="X42" s="20" t="n">
        <v>74.99583333333332</v>
      </c>
      <c r="Y42" s="20" t="n">
        <v>71.54000000000001</v>
      </c>
      <c r="Z42" s="46" t="n">
        <v>0.01452267388054389</v>
      </c>
      <c r="AA42" s="44" t="n">
        <v>0.0145</v>
      </c>
      <c r="AB42" s="46" t="n">
        <v>0.01452267388054389</v>
      </c>
      <c r="AC42" s="20" t="n">
        <v>79.09</v>
      </c>
      <c r="AD42" s="91" t="n">
        <v>2.8094</v>
      </c>
      <c r="AE42" s="46" t="n"/>
      <c r="AF42" s="20" t="n"/>
      <c r="AG42" s="20" t="n">
        <v>53.5</v>
      </c>
      <c r="AH42" s="20" t="n"/>
      <c r="AI42" s="20" t="n">
        <v>53.5</v>
      </c>
      <c r="AJ42" s="46" t="n">
        <v>0.04219999999999999</v>
      </c>
      <c r="AK42" s="20" t="n">
        <v>80</v>
      </c>
      <c r="AL42" s="20" t="n">
        <v>96</v>
      </c>
      <c r="AM42" s="20" t="n">
        <v>47.21</v>
      </c>
      <c r="AN42" s="20" t="n">
        <v>79.09</v>
      </c>
      <c r="AO42" s="20" t="n">
        <v>53.5</v>
      </c>
      <c r="AP42" s="20" t="n">
        <v>80</v>
      </c>
      <c r="AQ42" s="92" t="n">
        <v>0.88</v>
      </c>
      <c r="AR42" s="20" t="n">
        <v>61.2436</v>
      </c>
      <c r="AS42" s="20" t="n">
        <v>69.59999999999999</v>
      </c>
      <c r="AT42" s="49" t="n">
        <v>123</v>
      </c>
      <c r="AU42" s="50">
        <f>IF(I42="","管理人规模；","")&amp;IF(J42="","产品规模标识；","")&amp;IF(AND(F42&lt;3,O42=""),"R_incep；","")&amp;IF(N42="","近三年收益；","")&amp;IF(U42="","近三年胜率；","")&amp;IF(AND(V42&lt;&gt;"",OR(V42&lt;0,V42&gt;1)),"胜率窗口口径不一致；","")&amp;IF(AA42="","近三年回撤；","")&amp;IF(AD42="","短期卡玛；","")&amp;IF(AND(P42&lt;&gt;"",AE42=""),"DD_long不可识别；","")</f>
        <v/>
      </c>
      <c r="AV42" s="51" t="n"/>
      <c r="AW42" s="22" t="inlineStr">
        <is>
          <t>20-50亿元</t>
        </is>
      </c>
      <c r="AX42" s="22" t="inlineStr">
        <is>
          <t>2026-03-16</t>
        </is>
      </c>
      <c r="AY42" s="22" t="inlineStr">
        <is>
          <t>上海致同投资管理有限公司</t>
        </is>
      </c>
      <c r="AZ42" s="22" t="inlineStr">
        <is>
          <t>2026-03-16</t>
        </is>
      </c>
      <c r="BA42" s="22" t="inlineStr">
        <is>
          <t>https://gs.amac.org.cn/amac-infodisc/res/pof/manager/101000004339.html</t>
        </is>
      </c>
      <c r="BB42" s="22" t="inlineStr">
        <is>
          <t>致同云峰A私募证券投资基金</t>
        </is>
      </c>
      <c r="BC42" s="22" t="inlineStr">
        <is>
          <t>2025-05-27</t>
        </is>
      </c>
      <c r="BD42" s="22" t="inlineStr">
        <is>
          <t>已匹配</t>
        </is>
      </c>
      <c r="BE42" t="inlineStr">
        <is>
          <t>https://gs.amac.org.cn/amac-infodisc/res/pof/fund/2011161541105858.html</t>
        </is>
      </c>
      <c r="BF42" t="inlineStr">
        <is>
          <t>已核验</t>
        </is>
      </c>
    </row>
    <row r="43" hidden="1" ht="28" customHeight="1" s="73">
      <c r="A43" s="2" t="n">
        <v>27</v>
      </c>
      <c r="B43" s="18" t="inlineStr">
        <is>
          <t>橡杉量化套利十号</t>
        </is>
      </c>
      <c r="C43" s="18">
        <f>'sheet4-原始数据'!B28</f>
        <v/>
      </c>
      <c r="D43" s="18" t="inlineStr">
        <is>
          <t>上海橡杉资管</t>
        </is>
      </c>
      <c r="E43" s="90" t="inlineStr">
        <is>
          <t>2020-11-24</t>
        </is>
      </c>
      <c r="F43" s="20" t="n">
        <v>5.807</v>
      </c>
      <c r="G43" s="2">
        <f>IF(F43="","",IF(F43&lt;1,"不入池","入池"))</f>
        <v/>
      </c>
      <c r="H43" s="42" t="inlineStr">
        <is>
          <t>5-10亿元</t>
        </is>
      </c>
      <c r="I43" s="20" t="n">
        <v>70</v>
      </c>
      <c r="J43" s="43" t="inlineStr">
        <is>
          <t>无低于1000万元标识</t>
        </is>
      </c>
      <c r="K43" s="20" t="n">
        <v>100</v>
      </c>
      <c r="L43" s="20" t="n">
        <v>100</v>
      </c>
      <c r="M43" s="44" t="n">
        <v>0.04650000000000001</v>
      </c>
      <c r="N43" s="44" t="n">
        <v>0.029</v>
      </c>
      <c r="O43" s="45" t="n"/>
      <c r="P43" s="46" t="n">
        <v>0.02036004859193774</v>
      </c>
      <c r="Q43" s="20" t="n">
        <v>43.4</v>
      </c>
      <c r="R43" s="20" t="n">
        <v>9.5</v>
      </c>
      <c r="S43" s="20" t="n">
        <v>29.84</v>
      </c>
      <c r="T43" s="44" t="n">
        <v>0.6153999999999999</v>
      </c>
      <c r="U43" s="44" t="n">
        <v>0.5946</v>
      </c>
      <c r="V43" s="46" t="n">
        <v>0.5833333333333334</v>
      </c>
      <c r="W43" s="20" t="n">
        <v>61.53999999999999</v>
      </c>
      <c r="X43" s="20" t="n">
        <v>58.33333333333334</v>
      </c>
      <c r="Y43" s="20" t="n">
        <v>60.26</v>
      </c>
      <c r="Z43" s="46" t="n">
        <v>0.008754094657178359</v>
      </c>
      <c r="AA43" s="44" t="n">
        <v>0.008800000000000001</v>
      </c>
      <c r="AB43" s="46" t="n">
        <v>0.008800000000000001</v>
      </c>
      <c r="AC43" s="20" t="n">
        <v>86.76000000000001</v>
      </c>
      <c r="AD43" s="91" t="n">
        <v>5.3118</v>
      </c>
      <c r="AE43" s="46" t="n"/>
      <c r="AF43" s="20" t="n"/>
      <c r="AG43" s="20" t="n">
        <v>66.78</v>
      </c>
      <c r="AH43" s="20" t="n"/>
      <c r="AI43" s="20" t="n">
        <v>66.78</v>
      </c>
      <c r="AJ43" s="46" t="n">
        <v>0.029</v>
      </c>
      <c r="AK43" s="20" t="n">
        <v>100</v>
      </c>
      <c r="AL43" s="20" t="n">
        <v>88</v>
      </c>
      <c r="AM43" s="20" t="n">
        <v>38.97</v>
      </c>
      <c r="AN43" s="20" t="n">
        <v>86.76000000000001</v>
      </c>
      <c r="AO43" s="20" t="n">
        <v>66.78</v>
      </c>
      <c r="AP43" s="20" t="n">
        <v>100</v>
      </c>
      <c r="AQ43" s="92" t="n">
        <v>0.88</v>
      </c>
      <c r="AR43" s="20" t="n">
        <v>64.70344</v>
      </c>
      <c r="AS43" s="20" t="n">
        <v>73.53</v>
      </c>
      <c r="AT43" s="49" t="n">
        <v>96</v>
      </c>
      <c r="AU43" s="50">
        <f>IF(I43="","管理人规模；","")&amp;IF(J43="","产品规模标识；","")&amp;IF(AND(F43&lt;3,O43=""),"R_incep；","")&amp;IF(N43="","近三年收益；","")&amp;IF(U43="","近三年胜率；","")&amp;IF(AND(V43&lt;&gt;"",OR(V43&lt;0,V43&gt;1)),"胜率窗口口径不一致；","")&amp;IF(AA43="","近三年回撤；","")&amp;IF(AD43="","短期卡玛；","")&amp;IF(AND(P43&lt;&gt;"",AE43=""),"DD_long不可识别；","")</f>
        <v/>
      </c>
      <c r="AV43" s="51" t="n"/>
      <c r="AW43" s="22" t="inlineStr">
        <is>
          <t>5-10亿元</t>
        </is>
      </c>
      <c r="AX43" s="22" t="inlineStr">
        <is>
          <t>2026-02-12</t>
        </is>
      </c>
      <c r="AY43" s="22" t="inlineStr">
        <is>
          <t>上海橡杉资产管理有限公司</t>
        </is>
      </c>
      <c r="AZ43" s="22" t="inlineStr">
        <is>
          <t>2026-02-12</t>
        </is>
      </c>
      <c r="BA43" s="22" t="inlineStr">
        <is>
          <t>https://gs.amac.org.cn/amac-infodisc/res/pof/manager/1609080127100430.html</t>
        </is>
      </c>
      <c r="BB43" s="22" t="inlineStr">
        <is>
          <t>橡杉量化套利十号私募证券投资基金</t>
        </is>
      </c>
      <c r="BC43" s="22" t="inlineStr">
        <is>
          <t>2026-07-29</t>
        </is>
      </c>
      <c r="BD43" s="22" t="inlineStr">
        <is>
          <t>已匹配</t>
        </is>
      </c>
      <c r="BE43" t="inlineStr">
        <is>
          <t>https://gs.amac.org.cn/amac-infodisc/res/pof/fund/2012021816130867.html</t>
        </is>
      </c>
      <c r="BF43" t="inlineStr">
        <is>
          <t>已核验</t>
        </is>
      </c>
    </row>
    <row r="44" hidden="1" ht="28" customHeight="1" s="73">
      <c r="A44" s="2" t="n">
        <v>28</v>
      </c>
      <c r="B44" s="18" t="inlineStr">
        <is>
          <t>裕锦量化专享1号</t>
        </is>
      </c>
      <c r="C44" s="18">
        <f>'sheet4-原始数据'!B29</f>
        <v/>
      </c>
      <c r="D44" s="18" t="inlineStr">
        <is>
          <t>深圳裕锦</t>
        </is>
      </c>
      <c r="E44" s="90" t="inlineStr">
        <is>
          <t>2020-12-01</t>
        </is>
      </c>
      <c r="F44" s="20" t="n">
        <v>5.7878</v>
      </c>
      <c r="G44" s="2">
        <f>IF(F44="","",IF(F44&lt;1,"不入池","入池"))</f>
        <v/>
      </c>
      <c r="H44" s="42" t="inlineStr">
        <is>
          <t>10-20亿元</t>
        </is>
      </c>
      <c r="I44" s="20" t="n">
        <v>80</v>
      </c>
      <c r="J44" s="43" t="inlineStr">
        <is>
          <t>无低于1000万元标识</t>
        </is>
      </c>
      <c r="K44" s="20" t="n">
        <v>100</v>
      </c>
      <c r="L44" s="20" t="n">
        <v>100</v>
      </c>
      <c r="M44" s="44" t="n">
        <v>0.1756</v>
      </c>
      <c r="N44" s="44" t="n">
        <v>0.172</v>
      </c>
      <c r="O44" s="45" t="n"/>
      <c r="P44" s="46" t="n">
        <v>0.170204136171562</v>
      </c>
      <c r="Q44" s="20" t="n">
        <v>89.58</v>
      </c>
      <c r="R44" s="20" t="n">
        <v>91</v>
      </c>
      <c r="S44" s="20" t="n">
        <v>90.15000000000001</v>
      </c>
      <c r="T44" s="44" t="n">
        <v>0.7692</v>
      </c>
      <c r="U44" s="44" t="n">
        <v>0.8378</v>
      </c>
      <c r="V44" s="46" t="n">
        <v>0.8749583333333334</v>
      </c>
      <c r="W44" s="20" t="n">
        <v>76.92</v>
      </c>
      <c r="X44" s="20" t="n">
        <v>87.49583333333334</v>
      </c>
      <c r="Y44" s="20" t="n">
        <v>81.15000000000001</v>
      </c>
      <c r="Z44" s="46" t="n">
        <v>0.004646904092768717</v>
      </c>
      <c r="AA44" s="44" t="n">
        <v>0.0105</v>
      </c>
      <c r="AB44" s="46" t="n">
        <v>0.0105</v>
      </c>
      <c r="AC44" s="20" t="n">
        <v>85.70999999999999</v>
      </c>
      <c r="AD44" s="91" t="n">
        <v>37.7886</v>
      </c>
      <c r="AE44" s="46" t="n">
        <v>0.0105</v>
      </c>
      <c r="AF44" s="20" t="n">
        <v>16.20991773062496</v>
      </c>
      <c r="AG44" s="20" t="n">
        <v>95.8</v>
      </c>
      <c r="AH44" s="20" t="n">
        <v>95.59</v>
      </c>
      <c r="AI44" s="20" t="n">
        <v>95.72</v>
      </c>
      <c r="AJ44" s="46" t="n">
        <v>0.172</v>
      </c>
      <c r="AK44" s="20" t="n">
        <v>100</v>
      </c>
      <c r="AL44" s="20" t="n">
        <v>92</v>
      </c>
      <c r="AM44" s="20" t="n">
        <v>87.45</v>
      </c>
      <c r="AN44" s="20" t="n">
        <v>85.70999999999999</v>
      </c>
      <c r="AO44" s="20" t="n">
        <v>95.72</v>
      </c>
      <c r="AP44" s="20" t="n">
        <v>100</v>
      </c>
      <c r="AQ44" s="92" t="n">
        <v>1</v>
      </c>
      <c r="AR44" s="20" t="n">
        <v>91.43204</v>
      </c>
      <c r="AS44" s="20" t="n">
        <v>91.43000000000001</v>
      </c>
      <c r="AT44" s="49" t="n">
        <v>8</v>
      </c>
      <c r="AU44" s="50">
        <f>IF(I44="","管理人规模；","")&amp;IF(J44="","产品规模标识；","")&amp;IF(AND(F44&lt;3,O44=""),"R_incep；","")&amp;IF(N44="","近三年收益；","")&amp;IF(U44="","近三年胜率；","")&amp;IF(AND(V44&lt;&gt;"",OR(V44&lt;0,V44&gt;1)),"胜率窗口口径不一致；","")&amp;IF(AA44="","近三年回撤；","")&amp;IF(AD44="","短期卡玛；","")&amp;IF(AND(P44&lt;&gt;"",AE44=""),"DD_long不可识别；","")</f>
        <v/>
      </c>
      <c r="AV44" s="51" t="n">
        <v>91.43204</v>
      </c>
      <c r="AW44" s="22" t="inlineStr">
        <is>
          <t>10-20亿元</t>
        </is>
      </c>
      <c r="AX44" s="22" t="inlineStr">
        <is>
          <t>2023-05-26</t>
        </is>
      </c>
      <c r="AY44" s="22" t="inlineStr">
        <is>
          <t>深圳裕锦私募证券基金管理有限公司</t>
        </is>
      </c>
      <c r="AZ44" s="22" t="inlineStr">
        <is>
          <t>2023-05-26</t>
        </is>
      </c>
      <c r="BA44" s="22" t="inlineStr">
        <is>
          <t>https://gs.amac.org.cn/amac-infodisc/res/pof/manager/2003241828108999.html</t>
        </is>
      </c>
      <c r="BB44" s="22" t="inlineStr">
        <is>
          <t>裕锦量化专享1号私募证券投资基金</t>
        </is>
      </c>
      <c r="BC44" s="22" t="inlineStr">
        <is>
          <t>2026-07-20</t>
        </is>
      </c>
      <c r="BD44" s="22" t="inlineStr">
        <is>
          <t>已匹配</t>
        </is>
      </c>
      <c r="BE44" t="inlineStr">
        <is>
          <t>https://gs.amac.org.cn/amac-infodisc/res/pof/fund/2012041657102605.html</t>
        </is>
      </c>
      <c r="BF44" t="inlineStr">
        <is>
          <t>已核验</t>
        </is>
      </c>
    </row>
    <row r="45" hidden="1" ht="28" customHeight="1" s="73">
      <c r="A45" s="2" t="n">
        <v>29</v>
      </c>
      <c r="B45" s="18" t="inlineStr">
        <is>
          <t>杭州探融-锦鲤智能量化3号</t>
        </is>
      </c>
      <c r="C45" s="18">
        <f>'sheet4-原始数据'!B30</f>
        <v/>
      </c>
      <c r="D45" s="18" t="inlineStr">
        <is>
          <t>杭州探融投资</t>
        </is>
      </c>
      <c r="E45" s="90" t="inlineStr">
        <is>
          <t>2021-04-19</t>
        </is>
      </c>
      <c r="F45" s="20" t="n">
        <v>5.4073</v>
      </c>
      <c r="G45" s="2">
        <f>IF(F45="","",IF(F45&lt;1,"不入池","入池"))</f>
        <v/>
      </c>
      <c r="H45" s="42" t="inlineStr">
        <is>
          <t>0-5亿元</t>
        </is>
      </c>
      <c r="I45" s="20" t="n">
        <v>60</v>
      </c>
      <c r="J45" s="43" t="inlineStr">
        <is>
          <t>无低于1000万元标识</t>
        </is>
      </c>
      <c r="K45" s="20" t="n">
        <v>100</v>
      </c>
      <c r="L45" s="20" t="n">
        <v>100</v>
      </c>
      <c r="M45" s="44" t="n">
        <v>0.0019</v>
      </c>
      <c r="N45" s="44" t="n">
        <v>0.0371</v>
      </c>
      <c r="O45" s="45" t="n"/>
      <c r="P45" s="46" t="n">
        <v>0.0551610784606078</v>
      </c>
      <c r="Q45" s="20" t="n">
        <v>17.36</v>
      </c>
      <c r="R45" s="20" t="n">
        <v>43.5</v>
      </c>
      <c r="S45" s="20" t="n">
        <v>27.82</v>
      </c>
      <c r="T45" s="44" t="n">
        <v>0.4615</v>
      </c>
      <c r="U45" s="44" t="n">
        <v>0.5946</v>
      </c>
      <c r="V45" s="46" t="n">
        <v>0.6666958333333334</v>
      </c>
      <c r="W45" s="20" t="n">
        <v>46.15</v>
      </c>
      <c r="X45" s="20" t="n">
        <v>66.66958333333334</v>
      </c>
      <c r="Y45" s="20" t="n">
        <v>54.36</v>
      </c>
      <c r="Z45" s="46" t="n">
        <v>0.02392947103274559</v>
      </c>
      <c r="AA45" s="44" t="n">
        <v>0.0244</v>
      </c>
      <c r="AB45" s="46" t="n">
        <v>0.0244</v>
      </c>
      <c r="AC45" s="20" t="n">
        <v>68.81999999999999</v>
      </c>
      <c r="AD45" s="91" t="n">
        <v>0.0794</v>
      </c>
      <c r="AE45" s="46" t="n">
        <v>0.0244</v>
      </c>
      <c r="AF45" s="20" t="n">
        <v>2.260699936910156</v>
      </c>
      <c r="AG45" s="20" t="n">
        <v>17.83</v>
      </c>
      <c r="AH45" s="20" t="n">
        <v>69.12</v>
      </c>
      <c r="AI45" s="20" t="n">
        <v>38.35</v>
      </c>
      <c r="AJ45" s="46" t="n">
        <v>0.0371</v>
      </c>
      <c r="AK45" s="20" t="n">
        <v>80</v>
      </c>
      <c r="AL45" s="20" t="n">
        <v>84</v>
      </c>
      <c r="AM45" s="20" t="n">
        <v>35.78</v>
      </c>
      <c r="AN45" s="20" t="n">
        <v>68.81999999999999</v>
      </c>
      <c r="AO45" s="20" t="n">
        <v>38.35</v>
      </c>
      <c r="AP45" s="20" t="n">
        <v>80</v>
      </c>
      <c r="AQ45" s="92" t="n">
        <v>1</v>
      </c>
      <c r="AR45" s="20" t="n">
        <v>56.46451</v>
      </c>
      <c r="AS45" s="20" t="n">
        <v>56.46</v>
      </c>
      <c r="AT45" s="49" t="n">
        <v>189</v>
      </c>
      <c r="AU45" s="50">
        <f>IF(I45="","管理人规模；","")&amp;IF(J45="","产品规模标识；","")&amp;IF(AND(F45&lt;3,O45=""),"R_incep；","")&amp;IF(N45="","近三年收益；","")&amp;IF(U45="","近三年胜率；","")&amp;IF(AND(V45&lt;&gt;"",OR(V45&lt;0,V45&gt;1)),"胜率窗口口径不一致；","")&amp;IF(AA45="","近三年回撤；","")&amp;IF(AD45="","短期卡玛；","")&amp;IF(AND(P45&lt;&gt;"",AE45=""),"DD_long不可识别；","")</f>
        <v/>
      </c>
      <c r="AV45" s="51" t="n">
        <v>56.46451</v>
      </c>
      <c r="AW45" s="22" t="inlineStr">
        <is>
          <t>0-5亿元</t>
        </is>
      </c>
      <c r="AX45" s="22" t="inlineStr">
        <is>
          <t>2025-05-22</t>
        </is>
      </c>
      <c r="AY45" s="22" t="inlineStr">
        <is>
          <t>杭州探融投资管理有限公司</t>
        </is>
      </c>
      <c r="AZ45" s="22" t="inlineStr">
        <is>
          <t>2025-05-22</t>
        </is>
      </c>
      <c r="BA45" s="22" t="inlineStr">
        <is>
          <t>https://gs.amac.org.cn/amac-infodisc/res/pof/manager/101000049159.html</t>
        </is>
      </c>
      <c r="BB45" s="22" t="inlineStr">
        <is>
          <t>杭州探融-锦鲤智能量化3号私募证券投资基金</t>
        </is>
      </c>
      <c r="BC45" s="22" t="inlineStr">
        <is>
          <t>2026-05-12</t>
        </is>
      </c>
      <c r="BD45" s="22" t="inlineStr">
        <is>
          <t>已匹配</t>
        </is>
      </c>
      <c r="BE45" t="inlineStr">
        <is>
          <t>https://gs.amac.org.cn/amac-infodisc/res/pof/fund/2104231724118753.html</t>
        </is>
      </c>
      <c r="BF45" t="inlineStr">
        <is>
          <t>已核验</t>
        </is>
      </c>
    </row>
    <row r="46" hidden="1" ht="28" customHeight="1" s="73">
      <c r="A46" s="2" t="n">
        <v>30</v>
      </c>
      <c r="B46" s="18" t="inlineStr">
        <is>
          <t>平凡笃行君享</t>
        </is>
      </c>
      <c r="C46" s="18">
        <f>'sheet4-原始数据'!B31</f>
        <v/>
      </c>
      <c r="D46" s="18" t="inlineStr">
        <is>
          <t>北京平凡</t>
        </is>
      </c>
      <c r="E46" s="90" t="inlineStr">
        <is>
          <t>2021-04-29</t>
        </is>
      </c>
      <c r="F46" s="20" t="n">
        <v>5.3799</v>
      </c>
      <c r="G46" s="2">
        <f>IF(F46="","",IF(F46&lt;1,"不入池","入池"))</f>
        <v/>
      </c>
      <c r="H46" s="42" t="inlineStr">
        <is>
          <t>50-100亿元</t>
        </is>
      </c>
      <c r="I46" s="20" t="n">
        <v>90</v>
      </c>
      <c r="J46" s="43" t="inlineStr">
        <is>
          <t>无低于1000万元标识</t>
        </is>
      </c>
      <c r="K46" s="20" t="n">
        <v>100</v>
      </c>
      <c r="L46" s="20" t="n">
        <v>100</v>
      </c>
      <c r="M46" s="44" t="n">
        <v>0.0702</v>
      </c>
      <c r="N46" s="44" t="n">
        <v>0.0288</v>
      </c>
      <c r="O46" s="45" t="n"/>
      <c r="P46" s="46" t="n">
        <v>0.008704504083159259</v>
      </c>
      <c r="Q46" s="20" t="n">
        <v>58.33</v>
      </c>
      <c r="R46" s="20" t="n">
        <v>6</v>
      </c>
      <c r="S46" s="20" t="n">
        <v>37.4</v>
      </c>
      <c r="T46" s="44" t="n">
        <v>0.6923</v>
      </c>
      <c r="U46" s="44" t="n">
        <v>0.5676</v>
      </c>
      <c r="V46" s="46" t="n">
        <v>0.5000541666666667</v>
      </c>
      <c r="W46" s="20" t="n">
        <v>69.23</v>
      </c>
      <c r="X46" s="20" t="n">
        <v>50.00541666666667</v>
      </c>
      <c r="Y46" s="20" t="n">
        <v>61.54</v>
      </c>
      <c r="Z46" s="46" t="n">
        <v>0.07958281373993878</v>
      </c>
      <c r="AA46" s="44" t="n">
        <v>0.0796</v>
      </c>
      <c r="AB46" s="46" t="n">
        <v>0.0796</v>
      </c>
      <c r="AC46" s="20" t="n">
        <v>33.45</v>
      </c>
      <c r="AD46" s="91" t="n">
        <v>0.8821</v>
      </c>
      <c r="AE46" s="46" t="n"/>
      <c r="AF46" s="20" t="n"/>
      <c r="AG46" s="20" t="n">
        <v>32.52</v>
      </c>
      <c r="AH46" s="20" t="n"/>
      <c r="AI46" s="20" t="n">
        <v>32.52</v>
      </c>
      <c r="AJ46" s="46" t="n">
        <v>0.0288</v>
      </c>
      <c r="AK46" s="20" t="n">
        <v>100</v>
      </c>
      <c r="AL46" s="20" t="n">
        <v>96</v>
      </c>
      <c r="AM46" s="20" t="n">
        <v>44.64</v>
      </c>
      <c r="AN46" s="20" t="n">
        <v>33.45</v>
      </c>
      <c r="AO46" s="20" t="n">
        <v>32.52</v>
      </c>
      <c r="AP46" s="20" t="n">
        <v>100</v>
      </c>
      <c r="AQ46" s="92" t="n">
        <v>0.88</v>
      </c>
      <c r="AR46" s="20" t="n">
        <v>47.54423</v>
      </c>
      <c r="AS46" s="20" t="n">
        <v>54.03</v>
      </c>
      <c r="AT46" s="49" t="n">
        <v>201</v>
      </c>
      <c r="AU46" s="50">
        <f>IF(I46="","管理人规模；","")&amp;IF(J46="","产品规模标识；","")&amp;IF(AND(F46&lt;3,O46=""),"R_incep；","")&amp;IF(N46="","近三年收益；","")&amp;IF(U46="","近三年胜率；","")&amp;IF(AND(V46&lt;&gt;"",OR(V46&lt;0,V46&gt;1)),"胜率窗口口径不一致；","")&amp;IF(AA46="","近三年回撤；","")&amp;IF(AD46="","短期卡玛；","")&amp;IF(AND(P46&lt;&gt;"",AE46=""),"DD_long不可识别；","")</f>
        <v/>
      </c>
      <c r="AV46" s="51" t="n"/>
      <c r="AW46" s="22" t="inlineStr">
        <is>
          <t>50-100亿元</t>
        </is>
      </c>
      <c r="AX46" s="22" t="inlineStr">
        <is>
          <t>2026-08-05</t>
        </is>
      </c>
      <c r="AY46" s="22" t="inlineStr">
        <is>
          <t>北京平凡私募基金管理有限公司</t>
        </is>
      </c>
      <c r="AZ46" s="22" t="inlineStr">
        <is>
          <t>2026-08-05</t>
        </is>
      </c>
      <c r="BA46" s="22" t="inlineStr">
        <is>
          <t>https://gs.amac.org.cn/amac-infodisc/res/pof/manager/101000030286.html</t>
        </is>
      </c>
      <c r="BB46" s="22" t="inlineStr">
        <is>
          <t>平凡笃行君享私募证券投资基金</t>
        </is>
      </c>
      <c r="BC46" s="22" t="inlineStr">
        <is>
          <t>2023-08-01</t>
        </is>
      </c>
      <c r="BD46" s="22" t="inlineStr">
        <is>
          <t>已匹配</t>
        </is>
      </c>
      <c r="BE46" t="inlineStr">
        <is>
          <t>https://gs.amac.org.cn/amac-infodisc/res/pof/fund/2105121734101958.html</t>
        </is>
      </c>
      <c r="BF46" t="inlineStr">
        <is>
          <t>已核验</t>
        </is>
      </c>
    </row>
    <row r="47" hidden="1" ht="28" customHeight="1" s="73">
      <c r="A47" s="2" t="n">
        <v>31</v>
      </c>
      <c r="B47" s="18" t="inlineStr">
        <is>
          <t>银瓴运通稳健1号五期</t>
        </is>
      </c>
      <c r="C47" s="18">
        <f>'sheet4-原始数据'!B32</f>
        <v/>
      </c>
      <c r="D47" s="18" t="inlineStr">
        <is>
          <t>广西银瓴资产</t>
        </is>
      </c>
      <c r="E47" s="90" t="inlineStr">
        <is>
          <t>2021-05-13</t>
        </is>
      </c>
      <c r="F47" s="20" t="n">
        <v>5.3415</v>
      </c>
      <c r="G47" s="2">
        <f>IF(F47="","",IF(F47&lt;1,"不入池","入池"))</f>
        <v/>
      </c>
      <c r="H47" s="42" t="inlineStr">
        <is>
          <t>0-5亿元</t>
        </is>
      </c>
      <c r="I47" s="20" t="n">
        <v>60</v>
      </c>
      <c r="J47" s="43" t="inlineStr">
        <is>
          <t>低于1000万元</t>
        </is>
      </c>
      <c r="K47" s="20" t="n">
        <v>0</v>
      </c>
      <c r="L47" s="20" t="n">
        <v>100</v>
      </c>
      <c r="M47" s="44" t="n">
        <v>0.0185</v>
      </c>
      <c r="N47" s="44" t="n">
        <v>0.0181</v>
      </c>
      <c r="O47" s="45" t="n"/>
      <c r="P47" s="46" t="n">
        <v>0.0179000589140188</v>
      </c>
      <c r="Q47" s="20" t="n">
        <v>23.96</v>
      </c>
      <c r="R47" s="20" t="n">
        <v>8</v>
      </c>
      <c r="S47" s="20" t="n">
        <v>17.58</v>
      </c>
      <c r="T47" s="44" t="n">
        <v>0.6153999999999999</v>
      </c>
      <c r="U47" s="44" t="n">
        <v>0.5676</v>
      </c>
      <c r="V47" s="46" t="n">
        <v>0.5417083333333333</v>
      </c>
      <c r="W47" s="20" t="n">
        <v>61.53999999999999</v>
      </c>
      <c r="X47" s="20" t="n">
        <v>54.17083333333333</v>
      </c>
      <c r="Y47" s="20" t="n">
        <v>58.59</v>
      </c>
      <c r="Z47" s="46" t="n">
        <v>0.06918474195961108</v>
      </c>
      <c r="AA47" s="44" t="n">
        <v>0.06900000000000001</v>
      </c>
      <c r="AB47" s="46" t="n">
        <v>0.06918474195961108</v>
      </c>
      <c r="AC47" s="20" t="n">
        <v>35.19</v>
      </c>
      <c r="AD47" s="91" t="n">
        <v>0.2674</v>
      </c>
      <c r="AE47" s="46" t="n"/>
      <c r="AF47" s="20" t="n"/>
      <c r="AG47" s="20" t="n">
        <v>20.28</v>
      </c>
      <c r="AH47" s="20" t="n"/>
      <c r="AI47" s="20" t="n">
        <v>20.28</v>
      </c>
      <c r="AJ47" s="46" t="n">
        <v>0.0181</v>
      </c>
      <c r="AK47" s="20" t="n">
        <v>100</v>
      </c>
      <c r="AL47" s="20" t="n">
        <v>54</v>
      </c>
      <c r="AM47" s="20" t="n">
        <v>29.88</v>
      </c>
      <c r="AN47" s="20" t="n">
        <v>35.19</v>
      </c>
      <c r="AO47" s="20" t="n">
        <v>20.28</v>
      </c>
      <c r="AP47" s="20" t="n">
        <v>100</v>
      </c>
      <c r="AQ47" s="92" t="n">
        <v>0.88</v>
      </c>
      <c r="AR47" s="20" t="n">
        <v>36.52408</v>
      </c>
      <c r="AS47" s="20" t="n">
        <v>41.5</v>
      </c>
      <c r="AT47" s="49" t="n">
        <v>258</v>
      </c>
      <c r="AU47" s="50">
        <f>IF(I47="","管理人规模；","")&amp;IF(J47="","产品规模标识；","")&amp;IF(AND(F47&lt;3,O47=""),"R_incep；","")&amp;IF(N47="","近三年收益；","")&amp;IF(U47="","近三年胜率；","")&amp;IF(AND(V47&lt;&gt;"",OR(V47&lt;0,V47&gt;1)),"胜率窗口口径不一致；","")&amp;IF(AA47="","近三年回撤；","")&amp;IF(AD47="","短期卡玛；","")&amp;IF(AND(P47&lt;&gt;"",AE47=""),"DD_long不可识别；","")</f>
        <v/>
      </c>
      <c r="AV47" s="51" t="n"/>
      <c r="AW47" s="22" t="inlineStr">
        <is>
          <t>0-5亿元</t>
        </is>
      </c>
      <c r="AX47" s="22" t="inlineStr">
        <is>
          <t>2026-07-09</t>
        </is>
      </c>
      <c r="AY47" s="22" t="inlineStr">
        <is>
          <t>广西银瓴资产管理有限公司</t>
        </is>
      </c>
      <c r="AZ47" s="22" t="inlineStr">
        <is>
          <t>2026-07-09</t>
        </is>
      </c>
      <c r="BA47" s="22" t="inlineStr">
        <is>
          <t>https://gs.amac.org.cn/amac-infodisc/res/pof/manager/101000035485.html</t>
        </is>
      </c>
      <c r="BB47" s="22" t="inlineStr">
        <is>
          <t>银瓴运通稳健1号私募证券投资基金五期</t>
        </is>
      </c>
      <c r="BC47" s="22" t="inlineStr">
        <is>
          <t>2025-07-30</t>
        </is>
      </c>
      <c r="BD47" s="22" t="inlineStr">
        <is>
          <t>已匹配</t>
        </is>
      </c>
      <c r="BE47" t="inlineStr">
        <is>
          <t>https://gs.amac.org.cn/amac-infodisc/res/pof/fund/2105191744101833.html</t>
        </is>
      </c>
      <c r="BF47" t="inlineStr">
        <is>
          <t>已核验</t>
        </is>
      </c>
    </row>
    <row r="48" hidden="1" ht="28" customHeight="1" s="73">
      <c r="A48" s="2" t="n">
        <v>32</v>
      </c>
      <c r="B48" s="18" t="inlineStr">
        <is>
          <t>荣熙商品1号</t>
        </is>
      </c>
      <c r="C48" s="18">
        <f>'sheet4-原始数据'!B33</f>
        <v/>
      </c>
      <c r="D48" s="18" t="inlineStr">
        <is>
          <t>上海荣熙</t>
        </is>
      </c>
      <c r="E48" s="90" t="inlineStr">
        <is>
          <t>2021-06-10</t>
        </is>
      </c>
      <c r="F48" s="20" t="n">
        <v>5.2649</v>
      </c>
      <c r="G48" s="2">
        <f>IF(F48="","",IF(F48&lt;1,"不入池","入池"))</f>
        <v/>
      </c>
      <c r="H48" s="42" t="inlineStr">
        <is>
          <t>5-10亿元</t>
        </is>
      </c>
      <c r="I48" s="20" t="n">
        <v>70</v>
      </c>
      <c r="J48" s="43" t="inlineStr">
        <is>
          <t>无低于1000万元标识</t>
        </is>
      </c>
      <c r="K48" s="20" t="n">
        <v>100</v>
      </c>
      <c r="L48" s="20" t="n">
        <v>100</v>
      </c>
      <c r="M48" s="44" t="n">
        <v>0.0144</v>
      </c>
      <c r="N48" s="44" t="n">
        <v>0.0688</v>
      </c>
      <c r="O48" s="45" t="n"/>
      <c r="P48" s="46" t="n">
        <v>0.09708441965446779</v>
      </c>
      <c r="Q48" s="20" t="n">
        <v>22.22</v>
      </c>
      <c r="R48" s="20" t="n">
        <v>71</v>
      </c>
      <c r="S48" s="20" t="n">
        <v>41.73</v>
      </c>
      <c r="T48" s="44" t="n">
        <v>0.4615</v>
      </c>
      <c r="U48" s="44" t="n">
        <v>0.5405</v>
      </c>
      <c r="V48" s="46" t="n">
        <v>0.5832916666666667</v>
      </c>
      <c r="W48" s="20" t="n">
        <v>46.15</v>
      </c>
      <c r="X48" s="20" t="n">
        <v>58.32916666666667</v>
      </c>
      <c r="Y48" s="20" t="n">
        <v>51.02</v>
      </c>
      <c r="Z48" s="46" t="n">
        <v>0.05311693102176318</v>
      </c>
      <c r="AA48" s="44" t="n">
        <v>0.05860000000000001</v>
      </c>
      <c r="AB48" s="46" t="n">
        <v>0.05860000000000001</v>
      </c>
      <c r="AC48" s="20" t="n">
        <v>39.72</v>
      </c>
      <c r="AD48" s="91" t="n">
        <v>0.2711</v>
      </c>
      <c r="AE48" s="46" t="n">
        <v>0.05860000000000001</v>
      </c>
      <c r="AF48" s="20" t="n">
        <v>1.656730710827095</v>
      </c>
      <c r="AG48" s="20" t="n">
        <v>20.63</v>
      </c>
      <c r="AH48" s="20" t="n">
        <v>59.56</v>
      </c>
      <c r="AI48" s="20" t="n">
        <v>36.2</v>
      </c>
      <c r="AJ48" s="46" t="n">
        <v>0.0688</v>
      </c>
      <c r="AK48" s="20" t="n">
        <v>80</v>
      </c>
      <c r="AL48" s="20" t="n">
        <v>88</v>
      </c>
      <c r="AM48" s="20" t="n">
        <v>44.52</v>
      </c>
      <c r="AN48" s="20" t="n">
        <v>39.72</v>
      </c>
      <c r="AO48" s="20" t="n">
        <v>36.2</v>
      </c>
      <c r="AP48" s="20" t="n">
        <v>80</v>
      </c>
      <c r="AQ48" s="92" t="n">
        <v>1</v>
      </c>
      <c r="AR48" s="20" t="n">
        <v>50.89438</v>
      </c>
      <c r="AS48" s="20" t="n">
        <v>50.89</v>
      </c>
      <c r="AT48" s="49" t="n">
        <v>219</v>
      </c>
      <c r="AU48" s="50">
        <f>IF(I48="","管理人规模；","")&amp;IF(J48="","产品规模标识；","")&amp;IF(AND(F48&lt;3,O48=""),"R_incep；","")&amp;IF(N48="","近三年收益；","")&amp;IF(U48="","近三年胜率；","")&amp;IF(AND(V48&lt;&gt;"",OR(V48&lt;0,V48&gt;1)),"胜率窗口口径不一致；","")&amp;IF(AA48="","近三年回撤；","")&amp;IF(AD48="","短期卡玛；","")&amp;IF(AND(P48&lt;&gt;"",AE48=""),"DD_long不可识别；","")</f>
        <v/>
      </c>
      <c r="AV48" s="51" t="n">
        <v>50.89438</v>
      </c>
      <c r="AW48" s="22" t="inlineStr">
        <is>
          <t>5-10亿元</t>
        </is>
      </c>
      <c r="AX48" s="22" t="inlineStr">
        <is>
          <t>2026-07-22</t>
        </is>
      </c>
      <c r="AY48" s="22" t="inlineStr">
        <is>
          <t>上海荣熙私募基金管理有限公司</t>
        </is>
      </c>
      <c r="AZ48" s="22" t="inlineStr">
        <is>
          <t>2026-07-22</t>
        </is>
      </c>
      <c r="BA48" s="22" t="inlineStr">
        <is>
          <t>https://gs.amac.org.cn/amac-infodisc/res/pof/manager/101000027208.html</t>
        </is>
      </c>
      <c r="BB48" s="22" t="inlineStr">
        <is>
          <t>荣熙商品1号私募证券投资基金</t>
        </is>
      </c>
      <c r="BC48" s="22" t="inlineStr">
        <is>
          <t>2022-01-12</t>
        </is>
      </c>
      <c r="BD48" s="22" t="inlineStr">
        <is>
          <t>已匹配</t>
        </is>
      </c>
      <c r="BE48" t="inlineStr">
        <is>
          <t>https://gs.amac.org.cn/amac-infodisc/res/pof/fund/2106221011108981.html</t>
        </is>
      </c>
      <c r="BF48" t="inlineStr">
        <is>
          <t>已核验</t>
        </is>
      </c>
    </row>
    <row r="49" hidden="1" ht="28" customHeight="1" s="73">
      <c r="A49" s="2" t="n">
        <v>33</v>
      </c>
      <c r="B49" s="18" t="inlineStr">
        <is>
          <t>银瓴多德价值投资1号</t>
        </is>
      </c>
      <c r="C49" s="18">
        <f>'sheet4-原始数据'!B34</f>
        <v/>
      </c>
      <c r="D49" s="18" t="inlineStr">
        <is>
          <t>广西银瓴资产</t>
        </is>
      </c>
      <c r="E49" s="90" t="inlineStr">
        <is>
          <t>2021-07-05</t>
        </is>
      </c>
      <c r="F49" s="20" t="n">
        <v>5.1964</v>
      </c>
      <c r="G49" s="2">
        <f>IF(F49="","",IF(F49&lt;1,"不入池","入池"))</f>
        <v/>
      </c>
      <c r="H49" s="42" t="inlineStr">
        <is>
          <t>0-5亿元</t>
        </is>
      </c>
      <c r="I49" s="20" t="n">
        <v>60</v>
      </c>
      <c r="J49" s="43" t="inlineStr">
        <is>
          <t>低于1000万元</t>
        </is>
      </c>
      <c r="K49" s="20" t="n">
        <v>0</v>
      </c>
      <c r="L49" s="20" t="n">
        <v>100</v>
      </c>
      <c r="M49" s="44" t="n">
        <v>-0.0258</v>
      </c>
      <c r="N49" s="44" t="n">
        <v>-0.0271</v>
      </c>
      <c r="O49" s="45" t="n"/>
      <c r="P49" s="46" t="n">
        <v>-0.02774934932147444</v>
      </c>
      <c r="Q49" s="20" t="n">
        <v>10.76</v>
      </c>
      <c r="R49" s="20" t="n">
        <v>1.5</v>
      </c>
      <c r="S49" s="20" t="n">
        <v>7.06</v>
      </c>
      <c r="T49" s="44" t="n">
        <v>0.4615</v>
      </c>
      <c r="U49" s="44" t="n">
        <v>0.4595</v>
      </c>
      <c r="V49" s="46" t="n">
        <v>0.4584166666666667</v>
      </c>
      <c r="W49" s="20" t="n">
        <v>46.15</v>
      </c>
      <c r="X49" s="20" t="n">
        <v>45.84166666666667</v>
      </c>
      <c r="Y49" s="20" t="n">
        <v>46.03</v>
      </c>
      <c r="Z49" s="46" t="n">
        <v>0.1619585687382298</v>
      </c>
      <c r="AA49" s="44" t="n">
        <v>0.2391</v>
      </c>
      <c r="AB49" s="46" t="n">
        <v>0.2391</v>
      </c>
      <c r="AC49" s="20" t="n">
        <v>8.01</v>
      </c>
      <c r="AD49" s="91" t="n">
        <v>-0.1593</v>
      </c>
      <c r="AE49" s="46" t="n">
        <v>0.2391</v>
      </c>
      <c r="AF49" s="20" t="n">
        <v>-0.1160575044812816</v>
      </c>
      <c r="AG49" s="20" t="n">
        <v>13.29</v>
      </c>
      <c r="AH49" s="20" t="n">
        <v>2.21</v>
      </c>
      <c r="AI49" s="20" t="n">
        <v>8.859999999999999</v>
      </c>
      <c r="AJ49" s="46" t="n">
        <v>-0.0271</v>
      </c>
      <c r="AK49" s="20" t="n">
        <v>100</v>
      </c>
      <c r="AL49" s="20" t="n">
        <v>54</v>
      </c>
      <c r="AM49" s="20" t="n">
        <v>18.75</v>
      </c>
      <c r="AN49" s="20" t="n">
        <v>8.01</v>
      </c>
      <c r="AO49" s="20" t="n">
        <v>8.859999999999999</v>
      </c>
      <c r="AP49" s="20" t="n">
        <v>100</v>
      </c>
      <c r="AQ49" s="92" t="n">
        <v>1</v>
      </c>
      <c r="AR49" s="20" t="n">
        <v>26.50934</v>
      </c>
      <c r="AS49" s="20" t="n">
        <v>26.51</v>
      </c>
      <c r="AT49" s="49" t="n">
        <v>306</v>
      </c>
      <c r="AU49" s="50">
        <f>IF(I49="","管理人规模；","")&amp;IF(J49="","产品规模标识；","")&amp;IF(AND(F49&lt;3,O49=""),"R_incep；","")&amp;IF(N49="","近三年收益；","")&amp;IF(U49="","近三年胜率；","")&amp;IF(AND(V49&lt;&gt;"",OR(V49&lt;0,V49&gt;1)),"胜率窗口口径不一致；","")&amp;IF(AA49="","近三年回撤；","")&amp;IF(AD49="","短期卡玛；","")&amp;IF(AND(P49&lt;&gt;"",AE49=""),"DD_long不可识别；","")</f>
        <v/>
      </c>
      <c r="AV49" s="51" t="n">
        <v>26.50934</v>
      </c>
      <c r="AW49" s="22" t="inlineStr">
        <is>
          <t>0-5亿元</t>
        </is>
      </c>
      <c r="AX49" s="22" t="inlineStr">
        <is>
          <t>2026-07-09</t>
        </is>
      </c>
      <c r="AY49" s="22" t="inlineStr">
        <is>
          <t>广西银瓴资产管理有限公司</t>
        </is>
      </c>
      <c r="AZ49" s="22" t="inlineStr">
        <is>
          <t>2026-07-09</t>
        </is>
      </c>
      <c r="BA49" s="22" t="inlineStr">
        <is>
          <t>https://gs.amac.org.cn/amac-infodisc/res/pof/manager/101000035485.html</t>
        </is>
      </c>
      <c r="BB49" s="22" t="inlineStr">
        <is>
          <t>银瓴多德价值投资1号私募证券投资基金</t>
        </is>
      </c>
      <c r="BC49" s="22" t="inlineStr">
        <is>
          <t>2025-12-15</t>
        </is>
      </c>
      <c r="BD49" s="22" t="inlineStr">
        <is>
          <t>已匹配</t>
        </is>
      </c>
      <c r="BE49" t="inlineStr">
        <is>
          <t>https://gs.amac.org.cn/amac-infodisc/res/pof/fund/2107081734103311.html</t>
        </is>
      </c>
      <c r="BF49" t="inlineStr">
        <is>
          <t>已核验</t>
        </is>
      </c>
    </row>
    <row r="50" hidden="1" ht="28" customHeight="1" s="73">
      <c r="A50" s="2" t="n">
        <v>34</v>
      </c>
      <c r="B50" s="18" t="inlineStr">
        <is>
          <t>银瓴运通对冲套利宝城6号</t>
        </is>
      </c>
      <c r="C50" s="18">
        <f>'sheet4-原始数据'!B35</f>
        <v/>
      </c>
      <c r="D50" s="18" t="inlineStr">
        <is>
          <t>广西银瓴资产</t>
        </is>
      </c>
      <c r="E50" s="90" t="inlineStr">
        <is>
          <t>2021-07-15</t>
        </is>
      </c>
      <c r="F50" s="20" t="n">
        <v>5.1691</v>
      </c>
      <c r="G50" s="2">
        <f>IF(F50="","",IF(F50&lt;1,"不入池","入池"))</f>
        <v/>
      </c>
      <c r="H50" s="42" t="inlineStr">
        <is>
          <t>0-5亿元</t>
        </is>
      </c>
      <c r="I50" s="20" t="n">
        <v>60</v>
      </c>
      <c r="J50" s="43" t="inlineStr">
        <is>
          <t>低于1000万元</t>
        </is>
      </c>
      <c r="K50" s="20" t="n">
        <v>0</v>
      </c>
      <c r="L50" s="20" t="n">
        <v>100</v>
      </c>
      <c r="M50" s="44" t="n">
        <v>-0.0915</v>
      </c>
      <c r="N50" s="44" t="n">
        <v>-0.0412</v>
      </c>
      <c r="O50" s="45" t="n"/>
      <c r="P50" s="46" t="n">
        <v>-0.01501510116534988</v>
      </c>
      <c r="Q50" s="20" t="n">
        <v>4.51</v>
      </c>
      <c r="R50" s="20" t="n">
        <v>3</v>
      </c>
      <c r="S50" s="20" t="n">
        <v>3.91</v>
      </c>
      <c r="T50" s="44" t="n">
        <v>0.4615</v>
      </c>
      <c r="U50" s="44" t="n">
        <v>0.4595</v>
      </c>
      <c r="V50" s="46" t="n">
        <v>0.4584166666666667</v>
      </c>
      <c r="W50" s="20" t="n">
        <v>46.15</v>
      </c>
      <c r="X50" s="20" t="n">
        <v>45.84166666666667</v>
      </c>
      <c r="Y50" s="20" t="n">
        <v>46.03</v>
      </c>
      <c r="Z50" s="46" t="n">
        <v>0.159881181198672</v>
      </c>
      <c r="AA50" s="44" t="n">
        <v>0.1989</v>
      </c>
      <c r="AB50" s="46" t="n">
        <v>0.1989</v>
      </c>
      <c r="AC50" s="20" t="n">
        <v>10.1</v>
      </c>
      <c r="AD50" s="91" t="n">
        <v>-0.5723</v>
      </c>
      <c r="AE50" s="46" t="n">
        <v>0.1989</v>
      </c>
      <c r="AF50" s="20" t="n">
        <v>-0.07549070470261375</v>
      </c>
      <c r="AG50" s="20" t="n">
        <v>5.77</v>
      </c>
      <c r="AH50" s="20" t="n">
        <v>3.68</v>
      </c>
      <c r="AI50" s="20" t="n">
        <v>4.93</v>
      </c>
      <c r="AJ50" s="46" t="n">
        <v>-0.0412</v>
      </c>
      <c r="AK50" s="20" t="n">
        <v>80</v>
      </c>
      <c r="AL50" s="20" t="n">
        <v>54</v>
      </c>
      <c r="AM50" s="20" t="n">
        <v>16.54</v>
      </c>
      <c r="AN50" s="20" t="n">
        <v>10.1</v>
      </c>
      <c r="AO50" s="20" t="n">
        <v>4.93</v>
      </c>
      <c r="AP50" s="20" t="n">
        <v>80</v>
      </c>
      <c r="AQ50" s="92" t="n">
        <v>1</v>
      </c>
      <c r="AR50" s="20" t="n">
        <v>23.41364</v>
      </c>
      <c r="AS50" s="20" t="n">
        <v>23.41</v>
      </c>
      <c r="AT50" s="49" t="n">
        <v>310</v>
      </c>
      <c r="AU50" s="50">
        <f>IF(I50="","管理人规模；","")&amp;IF(J50="","产品规模标识；","")&amp;IF(AND(F50&lt;3,O50=""),"R_incep；","")&amp;IF(N50="","近三年收益；","")&amp;IF(U50="","近三年胜率；","")&amp;IF(AND(V50&lt;&gt;"",OR(V50&lt;0,V50&gt;1)),"胜率窗口口径不一致；","")&amp;IF(AA50="","近三年回撤；","")&amp;IF(AD50="","短期卡玛；","")&amp;IF(AND(P50&lt;&gt;"",AE50=""),"DD_long不可识别；","")</f>
        <v/>
      </c>
      <c r="AV50" s="51" t="n">
        <v>23.41364</v>
      </c>
      <c r="AW50" s="22" t="inlineStr">
        <is>
          <t>0-5亿元</t>
        </is>
      </c>
      <c r="AX50" s="22" t="inlineStr">
        <is>
          <t>2026-07-09</t>
        </is>
      </c>
      <c r="AY50" s="22" t="inlineStr">
        <is>
          <t>广西银瓴资产管理有限公司</t>
        </is>
      </c>
      <c r="AZ50" s="22" t="inlineStr">
        <is>
          <t>2026-07-09</t>
        </is>
      </c>
      <c r="BA50" s="22" t="inlineStr">
        <is>
          <t>https://gs.amac.org.cn/amac-infodisc/res/pof/manager/101000035485.html</t>
        </is>
      </c>
      <c r="BB50" s="22" t="inlineStr">
        <is>
          <t>银瓴运通对冲套利宝城6号私募证券投资基金</t>
        </is>
      </c>
      <c r="BC50" s="22" t="inlineStr">
        <is>
          <t>2026-03-25</t>
        </is>
      </c>
      <c r="BD50" s="22" t="inlineStr">
        <is>
          <t>已匹配</t>
        </is>
      </c>
      <c r="BE50" t="inlineStr">
        <is>
          <t>https://gs.amac.org.cn/amac-infodisc/res/pof/fund/2107201405108222.html</t>
        </is>
      </c>
      <c r="BF50" t="inlineStr">
        <is>
          <t>已核验</t>
        </is>
      </c>
    </row>
    <row r="51" hidden="1" ht="28" customHeight="1" s="73">
      <c r="A51" s="2" t="n">
        <v>35</v>
      </c>
      <c r="B51" s="18" t="inlineStr">
        <is>
          <t>银瓴运通对冲套利进取2号二期</t>
        </is>
      </c>
      <c r="C51" s="18">
        <f>'sheet4-原始数据'!B36</f>
        <v/>
      </c>
      <c r="D51" s="18" t="inlineStr">
        <is>
          <t>广西银瓴资产</t>
        </is>
      </c>
      <c r="E51" s="90" t="inlineStr">
        <is>
          <t>2021-07-15</t>
        </is>
      </c>
      <c r="F51" s="20" t="n">
        <v>5.1691</v>
      </c>
      <c r="G51" s="2">
        <f>IF(F51="","",IF(F51&lt;1,"不入池","入池"))</f>
        <v/>
      </c>
      <c r="H51" s="42" t="inlineStr">
        <is>
          <t>0-5亿元</t>
        </is>
      </c>
      <c r="I51" s="20" t="n">
        <v>60</v>
      </c>
      <c r="J51" s="43" t="inlineStr">
        <is>
          <t>低于1000万元</t>
        </is>
      </c>
      <c r="K51" s="20" t="n">
        <v>0</v>
      </c>
      <c r="L51" s="20" t="n">
        <v>100</v>
      </c>
      <c r="M51" s="44" t="n">
        <v>0.0309</v>
      </c>
      <c r="N51" s="44" t="n">
        <v>0.048</v>
      </c>
      <c r="O51" s="45" t="n"/>
      <c r="P51" s="46" t="n">
        <v>0.05665607476398349</v>
      </c>
      <c r="Q51" s="20" t="n">
        <v>31.6</v>
      </c>
      <c r="R51" s="20" t="n">
        <v>45.5</v>
      </c>
      <c r="S51" s="20" t="n">
        <v>37.16</v>
      </c>
      <c r="T51" s="44" t="n">
        <v>0.5385</v>
      </c>
      <c r="U51" s="44" t="n">
        <v>0.6215999999999999</v>
      </c>
      <c r="V51" s="46" t="n">
        <v>0.6666124999999999</v>
      </c>
      <c r="W51" s="20" t="n">
        <v>53.84999999999999</v>
      </c>
      <c r="X51" s="20" t="n">
        <v>66.66125</v>
      </c>
      <c r="Y51" s="20" t="n">
        <v>58.97</v>
      </c>
      <c r="Z51" s="46" t="n">
        <v>0.05979102167182661</v>
      </c>
      <c r="AA51" s="44" t="n">
        <v>0.0788</v>
      </c>
      <c r="AB51" s="46" t="n">
        <v>0.0788</v>
      </c>
      <c r="AC51" s="20" t="n">
        <v>34.15</v>
      </c>
      <c r="AD51" s="91" t="n">
        <v>0.5168</v>
      </c>
      <c r="AE51" s="46" t="n">
        <v>0.0788</v>
      </c>
      <c r="AF51" s="20" t="n">
        <v>0.7189857203551204</v>
      </c>
      <c r="AG51" s="20" t="n">
        <v>25.87</v>
      </c>
      <c r="AH51" s="20" t="n">
        <v>27.21</v>
      </c>
      <c r="AI51" s="20" t="n">
        <v>26.41</v>
      </c>
      <c r="AJ51" s="46" t="n">
        <v>0.048</v>
      </c>
      <c r="AK51" s="20" t="n">
        <v>80</v>
      </c>
      <c r="AL51" s="20" t="n">
        <v>54</v>
      </c>
      <c r="AM51" s="20" t="n">
        <v>43.7</v>
      </c>
      <c r="AN51" s="20" t="n">
        <v>34.15</v>
      </c>
      <c r="AO51" s="20" t="n">
        <v>26.41</v>
      </c>
      <c r="AP51" s="20" t="n">
        <v>80</v>
      </c>
      <c r="AQ51" s="92" t="n">
        <v>1</v>
      </c>
      <c r="AR51" s="20" t="n">
        <v>41.30017</v>
      </c>
      <c r="AS51" s="20" t="n">
        <v>41.3</v>
      </c>
      <c r="AT51" s="49" t="n">
        <v>259</v>
      </c>
      <c r="AU51" s="50">
        <f>IF(I51="","管理人规模；","")&amp;IF(J51="","产品规模标识；","")&amp;IF(AND(F51&lt;3,O51=""),"R_incep；","")&amp;IF(N51="","近三年收益；","")&amp;IF(U51="","近三年胜率；","")&amp;IF(AND(V51&lt;&gt;"",OR(V51&lt;0,V51&gt;1)),"胜率窗口口径不一致；","")&amp;IF(AA51="","近三年回撤；","")&amp;IF(AD51="","短期卡玛；","")&amp;IF(AND(P51&lt;&gt;"",AE51=""),"DD_long不可识别；","")</f>
        <v/>
      </c>
      <c r="AV51" s="51" t="n">
        <v>41.30017</v>
      </c>
      <c r="AW51" s="22" t="inlineStr">
        <is>
          <t>0-5亿元</t>
        </is>
      </c>
      <c r="AX51" s="22" t="inlineStr">
        <is>
          <t>2026-07-09</t>
        </is>
      </c>
      <c r="AY51" s="22" t="inlineStr">
        <is>
          <t>广西银瓴资产管理有限公司</t>
        </is>
      </c>
      <c r="AZ51" s="22" t="inlineStr">
        <is>
          <t>2026-07-09</t>
        </is>
      </c>
      <c r="BA51" s="22" t="inlineStr">
        <is>
          <t>https://gs.amac.org.cn/amac-infodisc/res/pof/manager/101000035485.html</t>
        </is>
      </c>
      <c r="BB51" s="22" t="inlineStr">
        <is>
          <t>银瓴运通对冲套利进取2号私募证券投资基金二期</t>
        </is>
      </c>
      <c r="BC51" s="22" t="inlineStr">
        <is>
          <t>2026-06-17</t>
        </is>
      </c>
      <c r="BD51" s="22" t="inlineStr">
        <is>
          <t>已匹配</t>
        </is>
      </c>
      <c r="BE51" t="inlineStr">
        <is>
          <t>https://gs.amac.org.cn/amac-infodisc/res/pof/fund/2107201405108177.html</t>
        </is>
      </c>
      <c r="BF51" t="inlineStr">
        <is>
          <t>已核验</t>
        </is>
      </c>
    </row>
    <row r="52" hidden="1" ht="28" customHeight="1" s="73">
      <c r="A52" s="2" t="n">
        <v>36</v>
      </c>
      <c r="B52" s="18" t="inlineStr">
        <is>
          <t>福邑共赢一号</t>
        </is>
      </c>
      <c r="C52" s="18">
        <f>'sheet4-原始数据'!B37</f>
        <v/>
      </c>
      <c r="D52" s="18" t="inlineStr">
        <is>
          <t>上海福邑</t>
        </is>
      </c>
      <c r="E52" s="90" t="inlineStr">
        <is>
          <t>2021-08-24</t>
        </is>
      </c>
      <c r="F52" s="20" t="n">
        <v>5.0595</v>
      </c>
      <c r="G52" s="2">
        <f>IF(F52="","",IF(F52&lt;1,"不入池","入池"))</f>
        <v/>
      </c>
      <c r="H52" s="42" t="inlineStr">
        <is>
          <t>0-5亿元</t>
        </is>
      </c>
      <c r="I52" s="20" t="n">
        <v>60</v>
      </c>
      <c r="J52" s="43" t="inlineStr">
        <is>
          <t>无低于1000万元标识</t>
        </is>
      </c>
      <c r="K52" s="20" t="n">
        <v>100</v>
      </c>
      <c r="L52" s="20" t="n">
        <v>100</v>
      </c>
      <c r="M52" s="44" t="n">
        <v>0.218</v>
      </c>
      <c r="N52" s="44" t="n">
        <v>0.09089999999999999</v>
      </c>
      <c r="O52" s="45" t="n"/>
      <c r="P52" s="46" t="n">
        <v>0.03241372267579523</v>
      </c>
      <c r="Q52" s="20" t="n">
        <v>92.70999999999999</v>
      </c>
      <c r="R52" s="20" t="n">
        <v>18</v>
      </c>
      <c r="S52" s="20" t="n">
        <v>62.83</v>
      </c>
      <c r="T52" s="44" t="n">
        <v>0.6153999999999999</v>
      </c>
      <c r="U52" s="44" t="n">
        <v>0.5405</v>
      </c>
      <c r="V52" s="46" t="n">
        <v>0.4999291666666667</v>
      </c>
      <c r="W52" s="20" t="n">
        <v>61.53999999999999</v>
      </c>
      <c r="X52" s="20" t="n">
        <v>49.99291666666667</v>
      </c>
      <c r="Y52" s="20" t="n">
        <v>56.92</v>
      </c>
      <c r="Z52" s="46" t="n">
        <v>0.2003492326072971</v>
      </c>
      <c r="AA52" s="44" t="n">
        <v>0.2004</v>
      </c>
      <c r="AB52" s="46" t="n">
        <v>0.2004</v>
      </c>
      <c r="AC52" s="20" t="n">
        <v>9.76</v>
      </c>
      <c r="AD52" s="91" t="n">
        <v>1.0881</v>
      </c>
      <c r="AE52" s="46" t="n"/>
      <c r="AF52" s="20" t="n"/>
      <c r="AG52" s="20" t="n">
        <v>36.01</v>
      </c>
      <c r="AH52" s="20" t="n"/>
      <c r="AI52" s="20" t="n">
        <v>36.01</v>
      </c>
      <c r="AJ52" s="46" t="n">
        <v>0.09089999999999999</v>
      </c>
      <c r="AK52" s="20" t="n">
        <v>100</v>
      </c>
      <c r="AL52" s="20" t="n">
        <v>84</v>
      </c>
      <c r="AM52" s="20" t="n">
        <v>61.05</v>
      </c>
      <c r="AN52" s="20" t="n">
        <v>9.76</v>
      </c>
      <c r="AO52" s="20" t="n">
        <v>36.01</v>
      </c>
      <c r="AP52" s="20" t="n">
        <v>100</v>
      </c>
      <c r="AQ52" s="92" t="n">
        <v>0.88</v>
      </c>
      <c r="AR52" s="20" t="n">
        <v>43.73271</v>
      </c>
      <c r="AS52" s="20" t="n">
        <v>49.7</v>
      </c>
      <c r="AT52" s="49" t="n">
        <v>226</v>
      </c>
      <c r="AU52" s="50">
        <f>IF(I52="","管理人规模；","")&amp;IF(J52="","产品规模标识；","")&amp;IF(AND(F52&lt;3,O52=""),"R_incep；","")&amp;IF(N52="","近三年收益；","")&amp;IF(U52="","近三年胜率；","")&amp;IF(AND(V52&lt;&gt;"",OR(V52&lt;0,V52&gt;1)),"胜率窗口口径不一致；","")&amp;IF(AA52="","近三年回撤；","")&amp;IF(AD52="","短期卡玛；","")&amp;IF(AND(P52&lt;&gt;"",AE52=""),"DD_long不可识别；","")</f>
        <v/>
      </c>
      <c r="AV52" s="51" t="n"/>
      <c r="AW52" s="22" t="inlineStr">
        <is>
          <t>0-5亿元</t>
        </is>
      </c>
      <c r="AX52" s="22" t="inlineStr">
        <is>
          <t>2026-02-09</t>
        </is>
      </c>
      <c r="AY52" s="22" t="inlineStr">
        <is>
          <t>上海福邑私募基金管理有限公司</t>
        </is>
      </c>
      <c r="AZ52" s="22" t="inlineStr">
        <is>
          <t>2026-02-09</t>
        </is>
      </c>
      <c r="BA52" s="22" t="inlineStr">
        <is>
          <t>https://gs.amac.org.cn/amac-infodisc/res/pof/manager/1710271949105945.html</t>
        </is>
      </c>
      <c r="BB52" s="22" t="inlineStr">
        <is>
          <t>福邑共赢一号私募证券投资基金</t>
        </is>
      </c>
      <c r="BC52" s="22" t="inlineStr">
        <is>
          <t>2025-03-27</t>
        </is>
      </c>
      <c r="BD52" s="22" t="inlineStr">
        <is>
          <t>已匹配</t>
        </is>
      </c>
      <c r="BE52" t="inlineStr">
        <is>
          <t>https://gs.amac.org.cn/amac-infodisc/res/pof/fund/2108261802107823.html</t>
        </is>
      </c>
      <c r="BF52" t="inlineStr">
        <is>
          <t>已核验</t>
        </is>
      </c>
    </row>
    <row r="53" hidden="1" ht="28" customHeight="1" s="73">
      <c r="A53" s="2" t="n">
        <v>37</v>
      </c>
      <c r="B53" s="18" t="inlineStr">
        <is>
          <t>银瓴汇金6号</t>
        </is>
      </c>
      <c r="C53" s="18">
        <f>'sheet4-原始数据'!B38</f>
        <v/>
      </c>
      <c r="D53" s="18" t="inlineStr">
        <is>
          <t>广西银瓴资产</t>
        </is>
      </c>
      <c r="E53" s="90" t="inlineStr">
        <is>
          <t>2021-09-01</t>
        </is>
      </c>
      <c r="F53" s="20" t="n">
        <v>5.0376</v>
      </c>
      <c r="G53" s="2">
        <f>IF(F53="","",IF(F53&lt;1,"不入池","入池"))</f>
        <v/>
      </c>
      <c r="H53" s="42" t="inlineStr">
        <is>
          <t>0-5亿元</t>
        </is>
      </c>
      <c r="I53" s="20" t="n">
        <v>60</v>
      </c>
      <c r="J53" s="43" t="inlineStr">
        <is>
          <t>低于1000万元</t>
        </is>
      </c>
      <c r="K53" s="20" t="n">
        <v>0</v>
      </c>
      <c r="L53" s="20" t="n">
        <v>100</v>
      </c>
      <c r="M53" s="44" t="n">
        <v>0.2044</v>
      </c>
      <c r="N53" s="44" t="n">
        <v>0.05110000000000001</v>
      </c>
      <c r="O53" s="45" t="n"/>
      <c r="P53" s="46" t="n">
        <v>-0.0180696565972287</v>
      </c>
      <c r="Q53" s="20" t="n">
        <v>91.67</v>
      </c>
      <c r="R53" s="20" t="n">
        <v>2.5</v>
      </c>
      <c r="S53" s="20" t="n">
        <v>56</v>
      </c>
      <c r="T53" s="44" t="n">
        <v>0.3846</v>
      </c>
      <c r="U53" s="44" t="n">
        <v>0.3784</v>
      </c>
      <c r="V53" s="46" t="n">
        <v>0.3750416666666667</v>
      </c>
      <c r="W53" s="20" t="n">
        <v>38.46</v>
      </c>
      <c r="X53" s="20" t="n">
        <v>37.50416666666667</v>
      </c>
      <c r="Y53" s="20" t="n">
        <v>38.08</v>
      </c>
      <c r="Z53" s="46" t="n">
        <v>0.1169202608397209</v>
      </c>
      <c r="AA53" s="44" t="n">
        <v>0.1169</v>
      </c>
      <c r="AB53" s="46" t="n">
        <v>0.1169202608397209</v>
      </c>
      <c r="AC53" s="20" t="n">
        <v>23</v>
      </c>
      <c r="AD53" s="91" t="n">
        <v>1.7482</v>
      </c>
      <c r="AE53" s="46" t="n"/>
      <c r="AF53" s="20" t="n"/>
      <c r="AG53" s="20" t="n">
        <v>44.41</v>
      </c>
      <c r="AH53" s="20" t="n"/>
      <c r="AI53" s="20" t="n">
        <v>44.41</v>
      </c>
      <c r="AJ53" s="46" t="n">
        <v>0.05110000000000001</v>
      </c>
      <c r="AK53" s="20" t="n">
        <v>100</v>
      </c>
      <c r="AL53" s="20" t="n">
        <v>54</v>
      </c>
      <c r="AM53" s="20" t="n">
        <v>50.62</v>
      </c>
      <c r="AN53" s="20" t="n">
        <v>23</v>
      </c>
      <c r="AO53" s="20" t="n">
        <v>44.41</v>
      </c>
      <c r="AP53" s="20" t="n">
        <v>100</v>
      </c>
      <c r="AQ53" s="92" t="n">
        <v>0.88</v>
      </c>
      <c r="AR53" s="20" t="n">
        <v>41.96874</v>
      </c>
      <c r="AS53" s="20" t="n">
        <v>47.69</v>
      </c>
      <c r="AT53" s="49" t="n">
        <v>234</v>
      </c>
      <c r="AU53" s="50">
        <f>IF(I53="","管理人规模；","")&amp;IF(J53="","产品规模标识；","")&amp;IF(AND(F53&lt;3,O53=""),"R_incep；","")&amp;IF(N53="","近三年收益；","")&amp;IF(U53="","近三年胜率；","")&amp;IF(AND(V53&lt;&gt;"",OR(V53&lt;0,V53&gt;1)),"胜率窗口口径不一致；","")&amp;IF(AA53="","近三年回撤；","")&amp;IF(AD53="","短期卡玛；","")&amp;IF(AND(P53&lt;&gt;"",AE53=""),"DD_long不可识别；","")</f>
        <v/>
      </c>
      <c r="AV53" s="51" t="n"/>
      <c r="AW53" s="22" t="inlineStr">
        <is>
          <t>0-5亿元</t>
        </is>
      </c>
      <c r="AX53" s="22" t="inlineStr">
        <is>
          <t>2026-07-09</t>
        </is>
      </c>
      <c r="AY53" s="22" t="inlineStr">
        <is>
          <t>广西银瓴资产管理有限公司</t>
        </is>
      </c>
      <c r="AZ53" s="22" t="inlineStr">
        <is>
          <t>2026-07-09</t>
        </is>
      </c>
      <c r="BA53" s="22" t="inlineStr">
        <is>
          <t>https://gs.amac.org.cn/amac-infodisc/res/pof/manager/101000035485.html</t>
        </is>
      </c>
      <c r="BB53" s="22" t="inlineStr">
        <is>
          <t>银瓴汇金6号私募证券投资基金</t>
        </is>
      </c>
      <c r="BC53" s="22" t="inlineStr">
        <is>
          <t>2025-06-24</t>
        </is>
      </c>
      <c r="BD53" s="22" t="inlineStr">
        <is>
          <t>已匹配</t>
        </is>
      </c>
      <c r="BE53" t="inlineStr">
        <is>
          <t>https://gs.amac.org.cn/amac-infodisc/res/pof/fund/2109061712115673.html</t>
        </is>
      </c>
      <c r="BF53" t="inlineStr">
        <is>
          <t>已核验</t>
        </is>
      </c>
    </row>
    <row r="54" hidden="1" ht="28" customHeight="1" s="73">
      <c r="A54" s="2" t="n">
        <v>38</v>
      </c>
      <c r="B54" s="18" t="inlineStr">
        <is>
          <t>岳皋泰山核心一号</t>
        </is>
      </c>
      <c r="C54" s="18">
        <f>'sheet4-原始数据'!B39</f>
        <v/>
      </c>
      <c r="D54" s="18" t="inlineStr">
        <is>
          <t>上海岳皋投资</t>
        </is>
      </c>
      <c r="E54" s="90" t="inlineStr">
        <is>
          <t>2021-09-08</t>
        </is>
      </c>
      <c r="F54" s="20" t="n">
        <v>5.0185</v>
      </c>
      <c r="G54" s="2">
        <f>IF(F54="","",IF(F54&lt;1,"不入池","入池"))</f>
        <v/>
      </c>
      <c r="H54" s="42" t="inlineStr">
        <is>
          <t>0-5亿元</t>
        </is>
      </c>
      <c r="I54" s="20" t="n">
        <v>60</v>
      </c>
      <c r="J54" s="43" t="inlineStr">
        <is>
          <t>无低于1000万元标识</t>
        </is>
      </c>
      <c r="K54" s="20" t="n">
        <v>100</v>
      </c>
      <c r="L54" s="20" t="n">
        <v>100</v>
      </c>
      <c r="M54" s="44" t="n">
        <v>0.0252</v>
      </c>
      <c r="N54" s="44" t="n">
        <v>0.0299</v>
      </c>
      <c r="O54" s="45" t="n"/>
      <c r="P54" s="46" t="n">
        <v>0.0322580739674414</v>
      </c>
      <c r="Q54" s="20" t="n">
        <v>26.74</v>
      </c>
      <c r="R54" s="20" t="n">
        <v>17.5</v>
      </c>
      <c r="S54" s="20" t="n">
        <v>23.04</v>
      </c>
      <c r="T54" s="44" t="n">
        <v>0.6923</v>
      </c>
      <c r="U54" s="44" t="n">
        <v>0.7027</v>
      </c>
      <c r="V54" s="46" t="n">
        <v>0.7083333333333334</v>
      </c>
      <c r="W54" s="20" t="n">
        <v>69.23</v>
      </c>
      <c r="X54" s="20" t="n">
        <v>70.83333333333334</v>
      </c>
      <c r="Y54" s="20" t="n">
        <v>69.87</v>
      </c>
      <c r="Z54" s="46" t="n">
        <v>0.02890239706388347</v>
      </c>
      <c r="AA54" s="44" t="n">
        <v>0.0464</v>
      </c>
      <c r="AB54" s="46" t="n">
        <v>0.0464</v>
      </c>
      <c r="AC54" s="20" t="n">
        <v>46.34</v>
      </c>
      <c r="AD54" s="91" t="n">
        <v>0.8719</v>
      </c>
      <c r="AE54" s="46" t="n">
        <v>0.0464</v>
      </c>
      <c r="AF54" s="20" t="n">
        <v>0.6952171113672717</v>
      </c>
      <c r="AG54" s="20" t="n">
        <v>32.17</v>
      </c>
      <c r="AH54" s="20" t="n">
        <v>26.47</v>
      </c>
      <c r="AI54" s="20" t="n">
        <v>29.89</v>
      </c>
      <c r="AJ54" s="46" t="n">
        <v>0.0299</v>
      </c>
      <c r="AK54" s="20" t="n">
        <v>80</v>
      </c>
      <c r="AL54" s="20" t="n">
        <v>84</v>
      </c>
      <c r="AM54" s="20" t="n">
        <v>37.09</v>
      </c>
      <c r="AN54" s="20" t="n">
        <v>46.34</v>
      </c>
      <c r="AO54" s="20" t="n">
        <v>29.89</v>
      </c>
      <c r="AP54" s="20" t="n">
        <v>80</v>
      </c>
      <c r="AQ54" s="92" t="n">
        <v>1</v>
      </c>
      <c r="AR54" s="20" t="n">
        <v>48.57044</v>
      </c>
      <c r="AS54" s="20" t="n">
        <v>48.57</v>
      </c>
      <c r="AT54" s="49" t="n">
        <v>230</v>
      </c>
      <c r="AU54" s="50">
        <f>IF(I54="","管理人规模；","")&amp;IF(J54="","产品规模标识；","")&amp;IF(AND(F54&lt;3,O54=""),"R_incep；","")&amp;IF(N54="","近三年收益；","")&amp;IF(U54="","近三年胜率；","")&amp;IF(AND(V54&lt;&gt;"",OR(V54&lt;0,V54&gt;1)),"胜率窗口口径不一致；","")&amp;IF(AA54="","近三年回撤；","")&amp;IF(AD54="","短期卡玛；","")&amp;IF(AND(P54&lt;&gt;"",AE54=""),"DD_long不可识别；","")</f>
        <v/>
      </c>
      <c r="AV54" s="51" t="n">
        <v>48.57044</v>
      </c>
      <c r="AW54" s="22" t="inlineStr">
        <is>
          <t>0-5亿元</t>
        </is>
      </c>
      <c r="AX54" s="22" t="inlineStr">
        <is>
          <t>2026-01-15</t>
        </is>
      </c>
      <c r="AY54" s="22" t="inlineStr">
        <is>
          <t>上海岳皋投资管理有限公司</t>
        </is>
      </c>
      <c r="AZ54" s="22" t="inlineStr">
        <is>
          <t>2026-01-15</t>
        </is>
      </c>
      <c r="BA54" s="22" t="inlineStr">
        <is>
          <t>https://gs.amac.org.cn/amac-infodisc/res/pof/manager/1812180906104012.html</t>
        </is>
      </c>
      <c r="BB54" s="22" t="inlineStr">
        <is>
          <t>岳皋泰山核心一号私募证券投资基金</t>
        </is>
      </c>
      <c r="BC54" s="22" t="inlineStr">
        <is>
          <t>2025-03-13</t>
        </is>
      </c>
      <c r="BD54" s="22" t="inlineStr">
        <is>
          <t>已匹配</t>
        </is>
      </c>
      <c r="BE54" t="inlineStr">
        <is>
          <t>https://gs.amac.org.cn/amac-infodisc/res/pof/fund/2109101536101557.html</t>
        </is>
      </c>
      <c r="BF54" t="inlineStr">
        <is>
          <t>已核验</t>
        </is>
      </c>
    </row>
    <row r="55" hidden="1" ht="28" customHeight="1" s="73">
      <c r="A55" s="2" t="n">
        <v>39</v>
      </c>
      <c r="B55" s="18" t="inlineStr">
        <is>
          <t>龙帆恒盛稳固8号</t>
        </is>
      </c>
      <c r="C55" s="18">
        <f>'sheet4-原始数据'!B40</f>
        <v/>
      </c>
      <c r="D55" s="18" t="inlineStr">
        <is>
          <t>厦门龙帆资管</t>
        </is>
      </c>
      <c r="E55" s="90" t="inlineStr">
        <is>
          <t>2021-09-23</t>
        </is>
      </c>
      <c r="F55" s="20" t="n">
        <v>4.9774</v>
      </c>
      <c r="G55" s="2">
        <f>IF(F55="","",IF(F55&lt;1,"不入池","入池"))</f>
        <v/>
      </c>
      <c r="H55" s="42" t="inlineStr">
        <is>
          <t>5-10亿元</t>
        </is>
      </c>
      <c r="I55" s="20" t="n">
        <v>70</v>
      </c>
      <c r="J55" s="43" t="inlineStr">
        <is>
          <t>无低于1000万元标识</t>
        </is>
      </c>
      <c r="K55" s="20" t="n">
        <v>100</v>
      </c>
      <c r="L55" s="20" t="n">
        <v>100</v>
      </c>
      <c r="M55" s="44" t="n">
        <v>0.091</v>
      </c>
      <c r="N55" s="44" t="n">
        <v>0.0528</v>
      </c>
      <c r="O55" s="45" t="n"/>
      <c r="P55" s="46" t="n">
        <v>0.03420453805672397</v>
      </c>
      <c r="Q55" s="20" t="n">
        <v>73.26000000000001</v>
      </c>
      <c r="R55" s="20" t="n">
        <v>20</v>
      </c>
      <c r="S55" s="20" t="n">
        <v>51.96</v>
      </c>
      <c r="T55" s="44" t="n">
        <v>0.8462000000000001</v>
      </c>
      <c r="U55" s="44" t="n">
        <v>0.7297</v>
      </c>
      <c r="V55" s="46" t="n">
        <v>0.6665958333333333</v>
      </c>
      <c r="W55" s="20" t="n">
        <v>84.62</v>
      </c>
      <c r="X55" s="20" t="n">
        <v>66.65958333333333</v>
      </c>
      <c r="Y55" s="20" t="n">
        <v>77.44</v>
      </c>
      <c r="Z55" s="46" t="n">
        <v>0.01430367808865137</v>
      </c>
      <c r="AA55" s="44" t="n">
        <v>0.05429999999999999</v>
      </c>
      <c r="AB55" s="46" t="n">
        <v>0.05429999999999999</v>
      </c>
      <c r="AC55" s="20" t="n">
        <v>41.99</v>
      </c>
      <c r="AD55" s="91" t="n">
        <v>6.362</v>
      </c>
      <c r="AE55" s="46" t="n">
        <v>0.05429999999999999</v>
      </c>
      <c r="AF55" s="20" t="n">
        <v>0.6299178279323014</v>
      </c>
      <c r="AG55" s="20" t="n">
        <v>72.38</v>
      </c>
      <c r="AH55" s="20" t="n">
        <v>22.06</v>
      </c>
      <c r="AI55" s="20" t="n">
        <v>52.25</v>
      </c>
      <c r="AJ55" s="46" t="n">
        <v>0.0528</v>
      </c>
      <c r="AK55" s="20" t="n">
        <v>100</v>
      </c>
      <c r="AL55" s="20" t="n">
        <v>88</v>
      </c>
      <c r="AM55" s="20" t="n">
        <v>59.6</v>
      </c>
      <c r="AN55" s="20" t="n">
        <v>41.99</v>
      </c>
      <c r="AO55" s="20" t="n">
        <v>52.25</v>
      </c>
      <c r="AP55" s="20" t="n">
        <v>100</v>
      </c>
      <c r="AQ55" s="92" t="n">
        <v>1</v>
      </c>
      <c r="AR55" s="20" t="n">
        <v>61.29309</v>
      </c>
      <c r="AS55" s="20" t="n">
        <v>61.29</v>
      </c>
      <c r="AT55" s="49" t="n">
        <v>158</v>
      </c>
      <c r="AU55" s="50">
        <f>IF(I55="","管理人规模；","")&amp;IF(J55="","产品规模标识；","")&amp;IF(AND(F55&lt;3,O55=""),"R_incep；","")&amp;IF(N55="","近三年收益；","")&amp;IF(U55="","近三年胜率；","")&amp;IF(AND(V55&lt;&gt;"",OR(V55&lt;0,V55&gt;1)),"胜率窗口口径不一致；","")&amp;IF(AA55="","近三年回撤；","")&amp;IF(AD55="","短期卡玛；","")&amp;IF(AND(P55&lt;&gt;"",AE55=""),"DD_long不可识别；","")</f>
        <v/>
      </c>
      <c r="AV55" s="51" t="n">
        <v>61.29309</v>
      </c>
      <c r="AW55" s="22" t="inlineStr">
        <is>
          <t>5-10亿元</t>
        </is>
      </c>
      <c r="AX55" s="22" t="inlineStr">
        <is>
          <t>2026-03-11</t>
        </is>
      </c>
      <c r="AY55" s="22" t="inlineStr">
        <is>
          <t>厦门龙帆资产管理有限公司</t>
        </is>
      </c>
      <c r="AZ55" s="22" t="inlineStr">
        <is>
          <t>2026-09-07</t>
        </is>
      </c>
      <c r="BA55" s="22" t="inlineStr">
        <is>
          <t>https://gs.amac.org.cn/amac-infodisc/res/pof/manager/1611020850101525.html</t>
        </is>
      </c>
      <c r="BB55" s="22" t="inlineStr">
        <is>
          <t>龙帆恒盛稳固8号私募证券投资基金</t>
        </is>
      </c>
      <c r="BC55" s="22" t="inlineStr">
        <is>
          <t>2026-07-27</t>
        </is>
      </c>
      <c r="BD55" s="22" t="inlineStr">
        <is>
          <t>已匹配</t>
        </is>
      </c>
      <c r="BE55" t="inlineStr">
        <is>
          <t>https://gs.amac.org.cn/amac-infodisc/res/pof/fund/2109231448100717.html</t>
        </is>
      </c>
      <c r="BF55" t="inlineStr">
        <is>
          <t>已核验</t>
        </is>
      </c>
    </row>
    <row r="56" hidden="1" ht="28" customHeight="1" s="73">
      <c r="A56" s="2" t="n">
        <v>40</v>
      </c>
      <c r="B56" s="18" t="inlineStr">
        <is>
          <t>龙帆恒盛稳固9号</t>
        </is>
      </c>
      <c r="C56" s="18">
        <f>'sheet4-原始数据'!B41</f>
        <v/>
      </c>
      <c r="D56" s="18" t="inlineStr">
        <is>
          <t>厦门龙帆资管</t>
        </is>
      </c>
      <c r="E56" s="90" t="inlineStr">
        <is>
          <t>2021-10-20</t>
        </is>
      </c>
      <c r="F56" s="20" t="n">
        <v>4.9035</v>
      </c>
      <c r="G56" s="2">
        <f>IF(F56="","",IF(F56&lt;1,"不入池","入池"))</f>
        <v/>
      </c>
      <c r="H56" s="42" t="inlineStr">
        <is>
          <t>5-10亿元</t>
        </is>
      </c>
      <c r="I56" s="20" t="n">
        <v>70</v>
      </c>
      <c r="J56" s="43" t="inlineStr">
        <is>
          <t>无低于1000万元标识</t>
        </is>
      </c>
      <c r="K56" s="20" t="n">
        <v>100</v>
      </c>
      <c r="L56" s="20" t="n">
        <v>100</v>
      </c>
      <c r="M56" s="44" t="n">
        <v>0.0868</v>
      </c>
      <c r="N56" s="44" t="n">
        <v>0.0501</v>
      </c>
      <c r="O56" s="45" t="n"/>
      <c r="P56" s="46" t="n">
        <v>0.03221739331232754</v>
      </c>
      <c r="Q56" s="20" t="n">
        <v>69.62</v>
      </c>
      <c r="R56" s="20" t="n">
        <v>17</v>
      </c>
      <c r="S56" s="20" t="n">
        <v>48.57</v>
      </c>
      <c r="T56" s="44" t="n">
        <v>0.7692</v>
      </c>
      <c r="U56" s="44" t="n">
        <v>0.7297</v>
      </c>
      <c r="V56" s="46" t="n">
        <v>0.7083041666666666</v>
      </c>
      <c r="W56" s="20" t="n">
        <v>76.92</v>
      </c>
      <c r="X56" s="20" t="n">
        <v>70.83041666666666</v>
      </c>
      <c r="Y56" s="20" t="n">
        <v>74.48</v>
      </c>
      <c r="Z56" s="46" t="n">
        <v>0.004204896669993121</v>
      </c>
      <c r="AA56" s="44" t="n">
        <v>0.013</v>
      </c>
      <c r="AB56" s="46" t="n">
        <v>0.013</v>
      </c>
      <c r="AC56" s="20" t="n">
        <v>81.53</v>
      </c>
      <c r="AD56" s="91" t="n">
        <v>20.6426</v>
      </c>
      <c r="AE56" s="46" t="n">
        <v>0.013</v>
      </c>
      <c r="AF56" s="20" t="n">
        <v>2.478261024025195</v>
      </c>
      <c r="AG56" s="20" t="n">
        <v>91.61</v>
      </c>
      <c r="AH56" s="20" t="n">
        <v>70.59</v>
      </c>
      <c r="AI56" s="20" t="n">
        <v>83.2</v>
      </c>
      <c r="AJ56" s="46" t="n">
        <v>0.0501</v>
      </c>
      <c r="AK56" s="20" t="n">
        <v>100</v>
      </c>
      <c r="AL56" s="20" t="n">
        <v>88</v>
      </c>
      <c r="AM56" s="20" t="n">
        <v>56.35</v>
      </c>
      <c r="AN56" s="20" t="n">
        <v>81.53</v>
      </c>
      <c r="AO56" s="20" t="n">
        <v>83.2</v>
      </c>
      <c r="AP56" s="20" t="n">
        <v>100</v>
      </c>
      <c r="AQ56" s="92" t="n">
        <v>1</v>
      </c>
      <c r="AR56" s="20" t="n">
        <v>79.81223</v>
      </c>
      <c r="AS56" s="20" t="n">
        <v>79.81</v>
      </c>
      <c r="AT56" s="49" t="n">
        <v>64</v>
      </c>
      <c r="AU56" s="50">
        <f>IF(I56="","管理人规模；","")&amp;IF(J56="","产品规模标识；","")&amp;IF(AND(F56&lt;3,O56=""),"R_incep；","")&amp;IF(N56="","近三年收益；","")&amp;IF(U56="","近三年胜率；","")&amp;IF(AND(V56&lt;&gt;"",OR(V56&lt;0,V56&gt;1)),"胜率窗口口径不一致；","")&amp;IF(AA56="","近三年回撤；","")&amp;IF(AD56="","短期卡玛；","")&amp;IF(AND(P56&lt;&gt;"",AE56=""),"DD_long不可识别；","")</f>
        <v/>
      </c>
      <c r="AV56" s="51" t="n">
        <v>79.81223</v>
      </c>
      <c r="AW56" s="22" t="inlineStr">
        <is>
          <t>5-10亿元</t>
        </is>
      </c>
      <c r="AX56" s="22" t="inlineStr">
        <is>
          <t>2026-03-11</t>
        </is>
      </c>
      <c r="AY56" s="22" t="inlineStr">
        <is>
          <t>厦门龙帆资产管理有限公司</t>
        </is>
      </c>
      <c r="AZ56" s="22" t="inlineStr">
        <is>
          <t>2026-09-07</t>
        </is>
      </c>
      <c r="BA56" s="22" t="inlineStr">
        <is>
          <t>https://gs.amac.org.cn/amac-infodisc/res/pof/manager/1611020850101525.html</t>
        </is>
      </c>
      <c r="BB56" s="22" t="inlineStr">
        <is>
          <t>龙帆恒盛稳固9号私募证券投资基金</t>
        </is>
      </c>
      <c r="BC56" s="22" t="inlineStr">
        <is>
          <t>2026-07-27</t>
        </is>
      </c>
      <c r="BD56" s="22" t="inlineStr">
        <is>
          <t>已匹配</t>
        </is>
      </c>
      <c r="BE56" t="inlineStr">
        <is>
          <t>https://gs.amac.org.cn/amac-infodisc/res/pof/fund/2110191748104317.html</t>
        </is>
      </c>
      <c r="BF56" t="inlineStr">
        <is>
          <t>已核验</t>
        </is>
      </c>
    </row>
    <row r="57" hidden="1" ht="28" customHeight="1" s="73">
      <c r="A57" s="2" t="n">
        <v>41</v>
      </c>
      <c r="B57" s="18" t="inlineStr">
        <is>
          <t>中安鼎盛善行可转债1号</t>
        </is>
      </c>
      <c r="C57" s="18">
        <f>'sheet4-原始数据'!B42</f>
        <v/>
      </c>
      <c r="D57" s="18" t="inlineStr">
        <is>
          <t>深圳中安鼎盛</t>
        </is>
      </c>
      <c r="E57" s="90" t="inlineStr">
        <is>
          <t>2021-11-26</t>
        </is>
      </c>
      <c r="F57" s="20" t="n">
        <v>4.8022</v>
      </c>
      <c r="G57" s="2">
        <f>IF(F57="","",IF(F57&lt;1,"不入池","入池"))</f>
        <v/>
      </c>
      <c r="H57" s="42" t="inlineStr">
        <is>
          <t>0-5亿元</t>
        </is>
      </c>
      <c r="I57" s="20" t="n">
        <v>60</v>
      </c>
      <c r="J57" s="43" t="inlineStr">
        <is>
          <t>无低于1000万元标识</t>
        </is>
      </c>
      <c r="K57" s="20" t="n">
        <v>100</v>
      </c>
      <c r="L57" s="20" t="n">
        <v>100</v>
      </c>
      <c r="M57" s="44" t="n">
        <v>-0.0645</v>
      </c>
      <c r="N57" s="44" t="n">
        <v>0.0203</v>
      </c>
      <c r="O57" s="45" t="n"/>
      <c r="P57" s="46" t="n">
        <v>0.06554043289729883</v>
      </c>
      <c r="Q57" s="20" t="n">
        <v>6.25</v>
      </c>
      <c r="R57" s="20" t="n">
        <v>52.5</v>
      </c>
      <c r="S57" s="20" t="n">
        <v>24.75</v>
      </c>
      <c r="T57" s="44" t="n">
        <v>0.3077</v>
      </c>
      <c r="U57" s="44" t="n">
        <v>0.4865</v>
      </c>
      <c r="V57" s="46" t="n">
        <v>0.5833499999999999</v>
      </c>
      <c r="W57" s="20" t="n">
        <v>30.77</v>
      </c>
      <c r="X57" s="20" t="n">
        <v>58.33499999999999</v>
      </c>
      <c r="Y57" s="20" t="n">
        <v>41.8</v>
      </c>
      <c r="Z57" s="46" t="n">
        <v>0.08020392937080328</v>
      </c>
      <c r="AA57" s="44" t="n">
        <v>0.1042</v>
      </c>
      <c r="AB57" s="46" t="n">
        <v>0.1042</v>
      </c>
      <c r="AC57" s="20" t="n">
        <v>25.44</v>
      </c>
      <c r="AD57" s="91" t="n">
        <v>-0.8042</v>
      </c>
      <c r="AE57" s="46" t="n">
        <v>0.1042</v>
      </c>
      <c r="AF57" s="20" t="n">
        <v>0.6289868800124647</v>
      </c>
      <c r="AG57" s="20" t="n">
        <v>2.8</v>
      </c>
      <c r="AH57" s="20" t="n">
        <v>21.32</v>
      </c>
      <c r="AI57" s="20" t="n">
        <v>10.21</v>
      </c>
      <c r="AJ57" s="46" t="n">
        <v>0.0203</v>
      </c>
      <c r="AK57" s="20" t="n">
        <v>80</v>
      </c>
      <c r="AL57" s="20" t="n">
        <v>84</v>
      </c>
      <c r="AM57" s="20" t="n">
        <v>29.86</v>
      </c>
      <c r="AN57" s="20" t="n">
        <v>25.44</v>
      </c>
      <c r="AO57" s="20" t="n">
        <v>10.21</v>
      </c>
      <c r="AP57" s="20" t="n">
        <v>80</v>
      </c>
      <c r="AQ57" s="92" t="n">
        <v>1</v>
      </c>
      <c r="AR57" s="20" t="n">
        <v>35.99516</v>
      </c>
      <c r="AS57" s="20" t="n">
        <v>36</v>
      </c>
      <c r="AT57" s="49" t="n">
        <v>283</v>
      </c>
      <c r="AU57" s="50">
        <f>IF(I57="","管理人规模；","")&amp;IF(J57="","产品规模标识；","")&amp;IF(AND(F57&lt;3,O57=""),"R_incep；","")&amp;IF(N57="","近三年收益；","")&amp;IF(U57="","近三年胜率；","")&amp;IF(AND(V57&lt;&gt;"",OR(V57&lt;0,V57&gt;1)),"胜率窗口口径不一致；","")&amp;IF(AA57="","近三年回撤；","")&amp;IF(AD57="","短期卡玛；","")&amp;IF(AND(P57&lt;&gt;"",AE57=""),"DD_long不可识别；","")</f>
        <v/>
      </c>
      <c r="AV57" s="51" t="n">
        <v>35.99516</v>
      </c>
      <c r="AW57" s="22" t="inlineStr">
        <is>
          <t>0-5亿元</t>
        </is>
      </c>
      <c r="AX57" s="22" t="inlineStr">
        <is>
          <t>2026-02-12</t>
        </is>
      </c>
      <c r="AY57" s="22" t="inlineStr">
        <is>
          <t>中安鼎盛（深圳）私募证券投资基金管理有限公司</t>
        </is>
      </c>
      <c r="AZ57" s="22" t="inlineStr">
        <is>
          <t>2026-02-12</t>
        </is>
      </c>
      <c r="BA57" s="22" t="inlineStr">
        <is>
          <t>https://gs.amac.org.cn/amac-infodisc/res/pof/manager/1807021606107284.html</t>
        </is>
      </c>
      <c r="BB57" s="22" t="inlineStr">
        <is>
          <t>中安鼎盛善行可转债1号私募证券投资基金</t>
        </is>
      </c>
      <c r="BC57" s="22" t="inlineStr">
        <is>
          <t>2025-12-23</t>
        </is>
      </c>
      <c r="BD57" s="22" t="inlineStr">
        <is>
          <t>已匹配</t>
        </is>
      </c>
      <c r="BE57" t="inlineStr">
        <is>
          <t>https://gs.amac.org.cn/amac-infodisc/res/pof/fund/2112061843108745.html</t>
        </is>
      </c>
      <c r="BF57" t="inlineStr">
        <is>
          <t>已核验</t>
        </is>
      </c>
    </row>
    <row r="58" hidden="1" ht="28" customHeight="1" s="73">
      <c r="A58" s="2" t="n">
        <v>42</v>
      </c>
      <c r="B58" s="18" t="inlineStr">
        <is>
          <t>九招真格量化商品套利一号</t>
        </is>
      </c>
      <c r="C58" s="18">
        <f>'sheet4-原始数据'!B43</f>
        <v/>
      </c>
      <c r="D58" s="18" t="inlineStr">
        <is>
          <t>武汉九招</t>
        </is>
      </c>
      <c r="E58" s="90" t="inlineStr">
        <is>
          <t>2021-12-13</t>
        </is>
      </c>
      <c r="F58" s="20" t="n">
        <v>4.7556</v>
      </c>
      <c r="G58" s="2">
        <f>IF(F58="","",IF(F58&lt;1,"不入池","入池"))</f>
        <v/>
      </c>
      <c r="H58" s="42" t="inlineStr">
        <is>
          <t>5-10亿元</t>
        </is>
      </c>
      <c r="I58" s="20" t="n">
        <v>70</v>
      </c>
      <c r="J58" s="43" t="inlineStr">
        <is>
          <t>无低于1000万元标识</t>
        </is>
      </c>
      <c r="K58" s="20" t="n">
        <v>100</v>
      </c>
      <c r="L58" s="20" t="n">
        <v>100</v>
      </c>
      <c r="M58" s="44" t="n">
        <v>0.1089</v>
      </c>
      <c r="N58" s="44" t="n">
        <v>0.08439999999999999</v>
      </c>
      <c r="O58" s="45" t="n"/>
      <c r="P58" s="46" t="n">
        <v>0.07235374205357803</v>
      </c>
      <c r="Q58" s="20" t="n">
        <v>79.17</v>
      </c>
      <c r="R58" s="20" t="n">
        <v>58.5</v>
      </c>
      <c r="S58" s="20" t="n">
        <v>70.90000000000001</v>
      </c>
      <c r="T58" s="44" t="n">
        <v>0.4615</v>
      </c>
      <c r="U58" s="44" t="n">
        <v>0.6486</v>
      </c>
      <c r="V58" s="46" t="n">
        <v>0.7499458333333333</v>
      </c>
      <c r="W58" s="20" t="n">
        <v>46.15</v>
      </c>
      <c r="X58" s="20" t="n">
        <v>74.99458333333334</v>
      </c>
      <c r="Y58" s="20" t="n">
        <v>57.69</v>
      </c>
      <c r="Z58" s="46" t="n">
        <v>0.01732366135344087</v>
      </c>
      <c r="AA58" s="44" t="n">
        <v>0.0322</v>
      </c>
      <c r="AB58" s="46" t="n">
        <v>0.0322</v>
      </c>
      <c r="AC58" s="20" t="n">
        <v>57.49</v>
      </c>
      <c r="AD58" s="91" t="n">
        <v>6.2862</v>
      </c>
      <c r="AE58" s="46" t="n">
        <v>0.0322</v>
      </c>
      <c r="AF58" s="20" t="n">
        <v>2.247010622781926</v>
      </c>
      <c r="AG58" s="20" t="n">
        <v>72.03</v>
      </c>
      <c r="AH58" s="20" t="n">
        <v>68.38</v>
      </c>
      <c r="AI58" s="20" t="n">
        <v>70.56999999999999</v>
      </c>
      <c r="AJ58" s="46" t="n">
        <v>0.08439999999999999</v>
      </c>
      <c r="AK58" s="20" t="n">
        <v>100</v>
      </c>
      <c r="AL58" s="20" t="n">
        <v>88</v>
      </c>
      <c r="AM58" s="20" t="n">
        <v>66.94</v>
      </c>
      <c r="AN58" s="20" t="n">
        <v>57.49</v>
      </c>
      <c r="AO58" s="20" t="n">
        <v>70.56999999999999</v>
      </c>
      <c r="AP58" s="20" t="n">
        <v>100</v>
      </c>
      <c r="AQ58" s="92" t="n">
        <v>1</v>
      </c>
      <c r="AR58" s="20" t="n">
        <v>72.13105</v>
      </c>
      <c r="AS58" s="20" t="n">
        <v>72.13</v>
      </c>
      <c r="AT58" s="49" t="n">
        <v>104</v>
      </c>
      <c r="AU58" s="50">
        <f>IF(I58="","管理人规模；","")&amp;IF(J58="","产品规模标识；","")&amp;IF(AND(F58&lt;3,O58=""),"R_incep；","")&amp;IF(N58="","近三年收益；","")&amp;IF(U58="","近三年胜率；","")&amp;IF(AND(V58&lt;&gt;"",OR(V58&lt;0,V58&gt;1)),"胜率窗口口径不一致；","")&amp;IF(AA58="","近三年回撤；","")&amp;IF(AD58="","短期卡玛；","")&amp;IF(AND(P58&lt;&gt;"",AE58=""),"DD_long不可识别；","")</f>
        <v/>
      </c>
      <c r="AV58" s="51" t="n">
        <v>72.13105</v>
      </c>
      <c r="AW58" s="22" t="inlineStr">
        <is>
          <t>5-10亿元</t>
        </is>
      </c>
      <c r="AX58" s="22" t="inlineStr">
        <is>
          <t>2026-07-21</t>
        </is>
      </c>
      <c r="AY58" s="22" t="inlineStr">
        <is>
          <t>武汉九招私募基金管理有限公司</t>
        </is>
      </c>
      <c r="AZ58" s="22" t="inlineStr">
        <is>
          <t>2026-07-21</t>
        </is>
      </c>
      <c r="BA58" s="22" t="inlineStr">
        <is>
          <t>https://gs.amac.org.cn/amac-infodisc/res/pof/manager/2301051740101642.html</t>
        </is>
      </c>
      <c r="BB58" s="22" t="inlineStr">
        <is>
          <t>九招真格量化商品套利一号私募证券投资基金</t>
        </is>
      </c>
      <c r="BC58" s="22" t="inlineStr">
        <is>
          <t>2025-08-04</t>
        </is>
      </c>
      <c r="BD58" s="22" t="inlineStr">
        <is>
          <t>已匹配</t>
        </is>
      </c>
      <c r="BE58" t="inlineStr">
        <is>
          <t>https://gs.amac.org.cn/amac-infodisc/res/pof/fund/2112202208108154.html</t>
        </is>
      </c>
      <c r="BF58" t="inlineStr">
        <is>
          <t>已核验</t>
        </is>
      </c>
    </row>
    <row r="59" hidden="1" ht="28" customHeight="1" s="73">
      <c r="A59" s="2" t="n">
        <v>43</v>
      </c>
      <c r="B59" s="18" t="inlineStr">
        <is>
          <t>博润小牛3号</t>
        </is>
      </c>
      <c r="C59" s="18">
        <f>'sheet4-原始数据'!B44</f>
        <v/>
      </c>
      <c r="D59" s="18" t="inlineStr">
        <is>
          <t>北京博润银泰投资</t>
        </is>
      </c>
      <c r="E59" s="90" t="inlineStr">
        <is>
          <t>2022-03-04</t>
        </is>
      </c>
      <c r="F59" s="20" t="n">
        <v>4.5339</v>
      </c>
      <c r="G59" s="2">
        <f>IF(F59="","",IF(F59&lt;1,"不入池","入池"))</f>
        <v/>
      </c>
      <c r="H59" s="42" t="inlineStr">
        <is>
          <t>100亿元以上</t>
        </is>
      </c>
      <c r="I59" s="20" t="n">
        <v>100</v>
      </c>
      <c r="J59" s="43" t="inlineStr">
        <is>
          <t>无低于1000万元标识</t>
        </is>
      </c>
      <c r="K59" s="20" t="n">
        <v>100</v>
      </c>
      <c r="L59" s="20" t="n">
        <v>100</v>
      </c>
      <c r="M59" s="44" t="n">
        <v>0.1383</v>
      </c>
      <c r="N59" s="44" t="n">
        <v>0.1662</v>
      </c>
      <c r="O59" s="45" t="n"/>
      <c r="P59" s="46" t="n">
        <v>0.1804054002806339</v>
      </c>
      <c r="Q59" s="20" t="n">
        <v>85.76000000000001</v>
      </c>
      <c r="R59" s="20" t="n">
        <v>91.5</v>
      </c>
      <c r="S59" s="20" t="n">
        <v>88.06</v>
      </c>
      <c r="T59" s="44" t="n">
        <v>0.7692</v>
      </c>
      <c r="U59" s="44" t="n">
        <v>0.8378</v>
      </c>
      <c r="V59" s="46" t="n">
        <v>0.8749583333333334</v>
      </c>
      <c r="W59" s="20" t="n">
        <v>76.92</v>
      </c>
      <c r="X59" s="20" t="n">
        <v>87.49583333333334</v>
      </c>
      <c r="Y59" s="20" t="n">
        <v>81.15000000000001</v>
      </c>
      <c r="Z59" s="46" t="n">
        <v>0.0215169194865811</v>
      </c>
      <c r="AA59" s="44" t="n">
        <v>0.0223</v>
      </c>
      <c r="AB59" s="46" t="n">
        <v>0.0223</v>
      </c>
      <c r="AC59" s="20" t="n">
        <v>71.78</v>
      </c>
      <c r="AD59" s="91" t="n">
        <v>6.4275</v>
      </c>
      <c r="AE59" s="46" t="n">
        <v>0.0223</v>
      </c>
      <c r="AF59" s="20" t="n">
        <v>8.089928263705556</v>
      </c>
      <c r="AG59" s="20" t="n">
        <v>72.73</v>
      </c>
      <c r="AH59" s="20" t="n">
        <v>89.70999999999999</v>
      </c>
      <c r="AI59" s="20" t="n">
        <v>79.52</v>
      </c>
      <c r="AJ59" s="46" t="n">
        <v>0.1662</v>
      </c>
      <c r="AK59" s="20" t="n">
        <v>80</v>
      </c>
      <c r="AL59" s="20" t="n">
        <v>100</v>
      </c>
      <c r="AM59" s="20" t="n">
        <v>85.98</v>
      </c>
      <c r="AN59" s="20" t="n">
        <v>71.78</v>
      </c>
      <c r="AO59" s="20" t="n">
        <v>79.52</v>
      </c>
      <c r="AP59" s="20" t="n">
        <v>80</v>
      </c>
      <c r="AQ59" s="92" t="n">
        <v>1</v>
      </c>
      <c r="AR59" s="20" t="n">
        <v>81.99845999999999</v>
      </c>
      <c r="AS59" s="20" t="n">
        <v>82</v>
      </c>
      <c r="AT59" s="49" t="n">
        <v>52</v>
      </c>
      <c r="AU59" s="50">
        <f>IF(I59="","管理人规模；","")&amp;IF(J59="","产品规模标识；","")&amp;IF(AND(F59&lt;3,O59=""),"R_incep；","")&amp;IF(N59="","近三年收益；","")&amp;IF(U59="","近三年胜率；","")&amp;IF(AND(V59&lt;&gt;"",OR(V59&lt;0,V59&gt;1)),"胜率窗口口径不一致；","")&amp;IF(AA59="","近三年回撤；","")&amp;IF(AD59="","短期卡玛；","")&amp;IF(AND(P59&lt;&gt;"",AE59=""),"DD_long不可识别；","")</f>
        <v/>
      </c>
      <c r="AV59" s="51" t="n">
        <v>81.99845999999999</v>
      </c>
      <c r="AW59" s="22" t="inlineStr">
        <is>
          <t>100亿元以上</t>
        </is>
      </c>
      <c r="AX59" s="22" t="inlineStr">
        <is>
          <t>2026-02-10</t>
        </is>
      </c>
      <c r="AY59" s="22" t="inlineStr">
        <is>
          <t>北京博润银泰投资管理有限公司</t>
        </is>
      </c>
      <c r="AZ59" s="22" t="inlineStr">
        <is>
          <t>2026-02-10</t>
        </is>
      </c>
      <c r="BA59" s="22" t="inlineStr">
        <is>
          <t>https://gs.amac.org.cn/amac-infodisc/res/pof/manager/101000005082.html</t>
        </is>
      </c>
      <c r="BB59" s="22" t="inlineStr">
        <is>
          <t>博润小牛3号私募证券投资基金</t>
        </is>
      </c>
      <c r="BC59" s="22" t="inlineStr">
        <is>
          <t>2026-06-24</t>
        </is>
      </c>
      <c r="BD59" s="22" t="inlineStr">
        <is>
          <t>已匹配</t>
        </is>
      </c>
      <c r="BE59" t="inlineStr">
        <is>
          <t>https://gs.amac.org.cn/amac-infodisc/res/pof/fund/2203041707107702.html</t>
        </is>
      </c>
      <c r="BF59" t="inlineStr">
        <is>
          <t>已核验</t>
        </is>
      </c>
    </row>
    <row r="60" hidden="1" ht="28" customHeight="1" s="73">
      <c r="A60" s="2" t="n">
        <v>44</v>
      </c>
      <c r="B60" s="18" t="inlineStr">
        <is>
          <t>银杏善投1号</t>
        </is>
      </c>
      <c r="C60" s="18">
        <f>'sheet4-原始数据'!B45</f>
        <v/>
      </c>
      <c r="D60" s="18" t="inlineStr">
        <is>
          <t>上海银杏</t>
        </is>
      </c>
      <c r="E60" s="90" t="inlineStr">
        <is>
          <t>2022-02-25</t>
        </is>
      </c>
      <c r="F60" s="20" t="n">
        <v>4.553</v>
      </c>
      <c r="G60" s="2">
        <f>IF(F60="","",IF(F60&lt;1,"不入池","入池"))</f>
        <v/>
      </c>
      <c r="H60" s="42" t="inlineStr">
        <is>
          <t>0-5亿元</t>
        </is>
      </c>
      <c r="I60" s="20" t="n">
        <v>60</v>
      </c>
      <c r="J60" s="43" t="inlineStr">
        <is>
          <t>无低于1000万元标识</t>
        </is>
      </c>
      <c r="K60" s="20" t="n">
        <v>100</v>
      </c>
      <c r="L60" s="20" t="n">
        <v>100</v>
      </c>
      <c r="M60" s="44" t="n">
        <v>0.0103</v>
      </c>
      <c r="N60" s="44" t="n">
        <v>0.0424</v>
      </c>
      <c r="O60" s="45" t="n"/>
      <c r="P60" s="46" t="n">
        <v>0.0588304627983729</v>
      </c>
      <c r="Q60" s="20" t="n">
        <v>20.14</v>
      </c>
      <c r="R60" s="20" t="n">
        <v>48.5</v>
      </c>
      <c r="S60" s="20" t="n">
        <v>31.48</v>
      </c>
      <c r="T60" s="44" t="n">
        <v>0.6153999999999999</v>
      </c>
      <c r="U60" s="44" t="n">
        <v>0.7027</v>
      </c>
      <c r="V60" s="46" t="n">
        <v>0.7499875</v>
      </c>
      <c r="W60" s="20" t="n">
        <v>61.53999999999999</v>
      </c>
      <c r="X60" s="20" t="n">
        <v>74.99875</v>
      </c>
      <c r="Y60" s="20" t="n">
        <v>66.92</v>
      </c>
      <c r="Z60" s="46" t="n">
        <v>0.1910946196660482</v>
      </c>
      <c r="AA60" s="44" t="n">
        <v>0.1904</v>
      </c>
      <c r="AB60" s="46" t="n">
        <v>0.1910946196660482</v>
      </c>
      <c r="AC60" s="20" t="n">
        <v>11.15</v>
      </c>
      <c r="AD60" s="91" t="n">
        <v>0.0539</v>
      </c>
      <c r="AE60" s="46" t="n"/>
      <c r="AF60" s="20" t="n"/>
      <c r="AG60" s="20" t="n">
        <v>17.48</v>
      </c>
      <c r="AH60" s="20" t="n"/>
      <c r="AI60" s="20" t="n">
        <v>17.48</v>
      </c>
      <c r="AJ60" s="46" t="n">
        <v>0.0424</v>
      </c>
      <c r="AK60" s="20" t="n">
        <v>80</v>
      </c>
      <c r="AL60" s="20" t="n">
        <v>84</v>
      </c>
      <c r="AM60" s="20" t="n">
        <v>42.12</v>
      </c>
      <c r="AN60" s="20" t="n">
        <v>11.15</v>
      </c>
      <c r="AO60" s="20" t="n">
        <v>17.48</v>
      </c>
      <c r="AP60" s="20" t="n">
        <v>80</v>
      </c>
      <c r="AQ60" s="92" t="n">
        <v>0.88</v>
      </c>
      <c r="AR60" s="20" t="n">
        <v>34.95707</v>
      </c>
      <c r="AS60" s="20" t="n">
        <v>39.72</v>
      </c>
      <c r="AT60" s="49" t="n">
        <v>269</v>
      </c>
      <c r="AU60" s="50">
        <f>IF(I60="","管理人规模；","")&amp;IF(J60="","产品规模标识；","")&amp;IF(AND(F60&lt;3,O60=""),"R_incep；","")&amp;IF(N60="","近三年收益；","")&amp;IF(U60="","近三年胜率；","")&amp;IF(AND(V60&lt;&gt;"",OR(V60&lt;0,V60&gt;1)),"胜率窗口口径不一致；","")&amp;IF(AA60="","近三年回撤；","")&amp;IF(AD60="","短期卡玛；","")&amp;IF(AND(P60&lt;&gt;"",AE60=""),"DD_long不可识别；","")</f>
        <v/>
      </c>
      <c r="AV60" s="51" t="n"/>
      <c r="AW60" s="22" t="inlineStr">
        <is>
          <t>0-5亿元</t>
        </is>
      </c>
      <c r="AX60" s="22" t="inlineStr">
        <is>
          <t>2026-03-06</t>
        </is>
      </c>
      <c r="AY60" s="22" t="inlineStr">
        <is>
          <t>上海银杏私募基金管理有限公司</t>
        </is>
      </c>
      <c r="AZ60" s="22" t="inlineStr">
        <is>
          <t>2026-03-06</t>
        </is>
      </c>
      <c r="BA60" s="22" t="inlineStr">
        <is>
          <t>https://gs.amac.org.cn/amac-infodisc/res/pof/manager/2105100905108445.html</t>
        </is>
      </c>
      <c r="BB60" s="22" t="inlineStr">
        <is>
          <t>银杏善投1号私募证券投资基金</t>
        </is>
      </c>
      <c r="BC60" s="22" t="inlineStr">
        <is>
          <t>2026-08-07</t>
        </is>
      </c>
      <c r="BD60" s="22" t="inlineStr">
        <is>
          <t>已匹配</t>
        </is>
      </c>
      <c r="BE60" t="inlineStr">
        <is>
          <t>https://gs.amac.org.cn/amac-infodisc/res/pof/fund/2203111741100604.html</t>
        </is>
      </c>
      <c r="BF60" t="inlineStr">
        <is>
          <t>已核验</t>
        </is>
      </c>
    </row>
    <row r="61" hidden="1" ht="28" customHeight="1" s="73">
      <c r="A61" s="2" t="n">
        <v>45</v>
      </c>
      <c r="B61" s="18" t="inlineStr">
        <is>
          <t>悬铃C号9期</t>
        </is>
      </c>
      <c r="C61" s="18">
        <f>'sheet4-原始数据'!B46</f>
        <v/>
      </c>
      <c r="D61" s="18" t="inlineStr">
        <is>
          <t>上海悬铃</t>
        </is>
      </c>
      <c r="E61" s="90" t="inlineStr">
        <is>
          <t>2022-04-20</t>
        </is>
      </c>
      <c r="F61" s="20" t="n">
        <v>4.4052</v>
      </c>
      <c r="G61" s="2">
        <f>IF(F61="","",IF(F61&lt;1,"不入池","入池"))</f>
        <v/>
      </c>
      <c r="H61" s="42" t="inlineStr">
        <is>
          <t>20-50亿元</t>
        </is>
      </c>
      <c r="I61" s="20" t="n">
        <v>90</v>
      </c>
      <c r="J61" s="43" t="inlineStr">
        <is>
          <t>无低于1000万元标识</t>
        </is>
      </c>
      <c r="K61" s="20" t="n">
        <v>100</v>
      </c>
      <c r="L61" s="20" t="n">
        <v>100</v>
      </c>
      <c r="M61" s="44" t="n">
        <v>0.0658</v>
      </c>
      <c r="N61" s="44" t="n">
        <v>0.1068</v>
      </c>
      <c r="O61" s="45" t="n"/>
      <c r="P61" s="46" t="n">
        <v>0.1278877186930478</v>
      </c>
      <c r="Q61" s="20" t="n">
        <v>55.9</v>
      </c>
      <c r="R61" s="20" t="n">
        <v>82.5</v>
      </c>
      <c r="S61" s="20" t="n">
        <v>66.54000000000001</v>
      </c>
      <c r="T61" s="44" t="n">
        <v>0.6153999999999999</v>
      </c>
      <c r="U61" s="44" t="n">
        <v>0.7027</v>
      </c>
      <c r="V61" s="46" t="n">
        <v>0.7499875</v>
      </c>
      <c r="W61" s="20" t="n">
        <v>61.53999999999999</v>
      </c>
      <c r="X61" s="20" t="n">
        <v>74.99875</v>
      </c>
      <c r="Y61" s="20" t="n">
        <v>66.92</v>
      </c>
      <c r="Z61" s="46" t="n">
        <v>0.03562726731279441</v>
      </c>
      <c r="AA61" s="44" t="n">
        <v>0.083</v>
      </c>
      <c r="AB61" s="46" t="n">
        <v>0.083</v>
      </c>
      <c r="AC61" s="20" t="n">
        <v>31.36</v>
      </c>
      <c r="AD61" s="91" t="n">
        <v>1.8469</v>
      </c>
      <c r="AE61" s="46" t="n">
        <v>0.083</v>
      </c>
      <c r="AF61" s="20" t="n">
        <v>1.540815887868046</v>
      </c>
      <c r="AG61" s="20" t="n">
        <v>45.45</v>
      </c>
      <c r="AH61" s="20" t="n">
        <v>56.62</v>
      </c>
      <c r="AI61" s="20" t="n">
        <v>49.92</v>
      </c>
      <c r="AJ61" s="46" t="n">
        <v>0.1068</v>
      </c>
      <c r="AK61" s="20" t="n">
        <v>80</v>
      </c>
      <c r="AL61" s="20" t="n">
        <v>96</v>
      </c>
      <c r="AM61" s="20" t="n">
        <v>66.66</v>
      </c>
      <c r="AN61" s="20" t="n">
        <v>31.36</v>
      </c>
      <c r="AO61" s="20" t="n">
        <v>49.92</v>
      </c>
      <c r="AP61" s="20" t="n">
        <v>80</v>
      </c>
      <c r="AQ61" s="92" t="n">
        <v>1</v>
      </c>
      <c r="AR61" s="20" t="n">
        <v>58.54641</v>
      </c>
      <c r="AS61" s="20" t="n">
        <v>58.55</v>
      </c>
      <c r="AT61" s="49" t="n">
        <v>179</v>
      </c>
      <c r="AU61" s="50">
        <f>IF(I61="","管理人规模；","")&amp;IF(J61="","产品规模标识；","")&amp;IF(AND(F61&lt;3,O61=""),"R_incep；","")&amp;IF(N61="","近三年收益；","")&amp;IF(U61="","近三年胜率；","")&amp;IF(AND(V61&lt;&gt;"",OR(V61&lt;0,V61&gt;1)),"胜率窗口口径不一致；","")&amp;IF(AA61="","近三年回撤；","")&amp;IF(AD61="","短期卡玛；","")&amp;IF(AND(P61&lt;&gt;"",AE61=""),"DD_long不可识别；","")</f>
        <v/>
      </c>
      <c r="AV61" s="51" t="n">
        <v>58.54641</v>
      </c>
      <c r="AW61" s="22" t="inlineStr">
        <is>
          <t>20-50亿元</t>
        </is>
      </c>
      <c r="AX61" s="22" t="inlineStr">
        <is>
          <t>2026-07-13</t>
        </is>
      </c>
      <c r="AY61" s="22" t="inlineStr">
        <is>
          <t>上海悬铃私募基金管理有限公司</t>
        </is>
      </c>
      <c r="AZ61" s="22" t="inlineStr">
        <is>
          <t>2026-07-13</t>
        </is>
      </c>
      <c r="BA61" s="22" t="inlineStr">
        <is>
          <t>https://gs.amac.org.cn/amac-infodisc/res/pof/manager/1701161209103763.html</t>
        </is>
      </c>
      <c r="BB61" s="22" t="inlineStr">
        <is>
          <t>悬铃C号9期私募证券投资基金</t>
        </is>
      </c>
      <c r="BC61" s="22" t="inlineStr">
        <is>
          <t>2025-06-20</t>
        </is>
      </c>
      <c r="BD61" s="22" t="inlineStr">
        <is>
          <t>已匹配</t>
        </is>
      </c>
      <c r="BE61" t="inlineStr">
        <is>
          <t>https://gs.amac.org.cn/amac-infodisc/res/pof/fund/2204271846104957.html</t>
        </is>
      </c>
      <c r="BF61" t="inlineStr">
        <is>
          <t>已核验</t>
        </is>
      </c>
    </row>
    <row r="62" hidden="1" ht="28" customHeight="1" s="73">
      <c r="A62" s="2" t="n">
        <v>46</v>
      </c>
      <c r="B62" s="18" t="inlineStr">
        <is>
          <t>爱凡哲AH多空1号</t>
        </is>
      </c>
      <c r="C62" s="18">
        <f>'sheet4-原始数据'!B47</f>
        <v/>
      </c>
      <c r="D62" s="18" t="inlineStr">
        <is>
          <t>爱凡哲投资</t>
        </is>
      </c>
      <c r="E62" s="90" t="inlineStr">
        <is>
          <t>2022-04-22</t>
        </is>
      </c>
      <c r="F62" s="20" t="n">
        <v>4.3997</v>
      </c>
      <c r="G62" s="2">
        <f>IF(F62="","",IF(F62&lt;1,"不入池","入池"))</f>
        <v/>
      </c>
      <c r="H62" s="42" t="inlineStr">
        <is>
          <t>20-50亿元</t>
        </is>
      </c>
      <c r="I62" s="20" t="n">
        <v>90</v>
      </c>
      <c r="J62" s="43" t="inlineStr">
        <is>
          <t>无低于1000万元标识</t>
        </is>
      </c>
      <c r="K62" s="20" t="n">
        <v>100</v>
      </c>
      <c r="L62" s="20" t="n">
        <v>100</v>
      </c>
      <c r="M62" s="44" t="n">
        <v>0.0794</v>
      </c>
      <c r="N62" s="44" t="n">
        <v>0.1005</v>
      </c>
      <c r="O62" s="45" t="n"/>
      <c r="P62" s="46" t="n">
        <v>0.1112041724720145</v>
      </c>
      <c r="Q62" s="20" t="n">
        <v>65.97</v>
      </c>
      <c r="R62" s="20" t="n">
        <v>76</v>
      </c>
      <c r="S62" s="20" t="n">
        <v>69.98</v>
      </c>
      <c r="T62" s="44" t="n">
        <v>0.9231</v>
      </c>
      <c r="U62" s="44" t="n">
        <v>0.8649</v>
      </c>
      <c r="V62" s="46" t="n">
        <v>0.8333749999999999</v>
      </c>
      <c r="W62" s="20" t="n">
        <v>92.31</v>
      </c>
      <c r="X62" s="20" t="n">
        <v>83.33749999999999</v>
      </c>
      <c r="Y62" s="20" t="n">
        <v>88.72</v>
      </c>
      <c r="Z62" s="46" t="n">
        <v>0.01271111822620668</v>
      </c>
      <c r="AA62" s="44" t="n">
        <v>0.0204</v>
      </c>
      <c r="AB62" s="46" t="n">
        <v>0.0204</v>
      </c>
      <c r="AC62" s="20" t="n">
        <v>73.17</v>
      </c>
      <c r="AD62" s="91" t="n">
        <v>6.2465</v>
      </c>
      <c r="AE62" s="46" t="n">
        <v>0.0204</v>
      </c>
      <c r="AF62" s="20" t="n">
        <v>5.451184925098751</v>
      </c>
      <c r="AG62" s="20" t="n">
        <v>70.98</v>
      </c>
      <c r="AH62" s="20" t="n">
        <v>87.5</v>
      </c>
      <c r="AI62" s="20" t="n">
        <v>77.59</v>
      </c>
      <c r="AJ62" s="46" t="n">
        <v>0.1005</v>
      </c>
      <c r="AK62" s="20" t="n">
        <v>80</v>
      </c>
      <c r="AL62" s="20" t="n">
        <v>96</v>
      </c>
      <c r="AM62" s="20" t="n">
        <v>75.59999999999999</v>
      </c>
      <c r="AN62" s="20" t="n">
        <v>73.17</v>
      </c>
      <c r="AO62" s="20" t="n">
        <v>77.59</v>
      </c>
      <c r="AP62" s="20" t="n">
        <v>80</v>
      </c>
      <c r="AQ62" s="92" t="n">
        <v>1</v>
      </c>
      <c r="AR62" s="20" t="n">
        <v>79.08964</v>
      </c>
      <c r="AS62" s="20" t="n">
        <v>79.09</v>
      </c>
      <c r="AT62" s="49" t="n">
        <v>67</v>
      </c>
      <c r="AU62" s="50">
        <f>IF(I62="","管理人规模；","")&amp;IF(J62="","产品规模标识；","")&amp;IF(AND(F62&lt;3,O62=""),"R_incep；","")&amp;IF(N62="","近三年收益；","")&amp;IF(U62="","近三年胜率；","")&amp;IF(AND(V62&lt;&gt;"",OR(V62&lt;0,V62&gt;1)),"胜率窗口口径不一致；","")&amp;IF(AA62="","近三年回撤；","")&amp;IF(AD62="","短期卡玛；","")&amp;IF(AND(P62&lt;&gt;"",AE62=""),"DD_long不可识别；","")</f>
        <v/>
      </c>
      <c r="AV62" s="51" t="n">
        <v>79.08964</v>
      </c>
      <c r="AW62" s="22" t="inlineStr">
        <is>
          <t>20-50亿元</t>
        </is>
      </c>
      <c r="AX62" s="22" t="inlineStr">
        <is>
          <t>2025-04-30</t>
        </is>
      </c>
      <c r="AY62" s="22" t="inlineStr">
        <is>
          <t>爱凡哲投资管理有限公司</t>
        </is>
      </c>
      <c r="AZ62" s="22" t="inlineStr">
        <is>
          <t>2025-04-30</t>
        </is>
      </c>
      <c r="BA62" s="22" t="inlineStr">
        <is>
          <t>https://gs.amac.org.cn/amac-infodisc/res/pof/manager/1709181131101311.html</t>
        </is>
      </c>
      <c r="BB62" s="22" t="inlineStr">
        <is>
          <t>爱凡哲AH多空1号私募证券投资基金</t>
        </is>
      </c>
      <c r="BC62" s="22" t="inlineStr">
        <is>
          <t>2026-07-27</t>
        </is>
      </c>
      <c r="BD62" s="22" t="inlineStr">
        <is>
          <t>已匹配</t>
        </is>
      </c>
      <c r="BE62" t="inlineStr">
        <is>
          <t>https://gs.amac.org.cn/amac-infodisc/res/pof/fund/2204271846105720.html</t>
        </is>
      </c>
      <c r="BF62" t="inlineStr">
        <is>
          <t>已核验</t>
        </is>
      </c>
    </row>
    <row r="63" hidden="1" ht="28" customHeight="1" s="73">
      <c r="A63" s="2" t="n">
        <v>47</v>
      </c>
      <c r="B63" s="18" t="inlineStr">
        <is>
          <t>钧誉酬勤量化3号</t>
        </is>
      </c>
      <c r="C63" s="18">
        <f>'sheet4-原始数据'!B48</f>
        <v/>
      </c>
      <c r="D63" s="18" t="inlineStr">
        <is>
          <t>珠海钧誉资管</t>
        </is>
      </c>
      <c r="E63" s="90" t="inlineStr">
        <is>
          <t>2022-05-05</t>
        </is>
      </c>
      <c r="F63" s="20" t="n">
        <v>4.3641</v>
      </c>
      <c r="G63" s="2">
        <f>IF(F63="","",IF(F63&lt;1,"不入池","入池"))</f>
        <v/>
      </c>
      <c r="H63" s="42" t="inlineStr">
        <is>
          <t>0-5亿元</t>
        </is>
      </c>
      <c r="I63" s="20" t="n">
        <v>60</v>
      </c>
      <c r="J63" s="43" t="inlineStr">
        <is>
          <t>无低于1000万元标识</t>
        </is>
      </c>
      <c r="K63" s="20" t="n">
        <v>100</v>
      </c>
      <c r="L63" s="20" t="n">
        <v>100</v>
      </c>
      <c r="M63" s="44" t="n">
        <v>0.06320000000000001</v>
      </c>
      <c r="N63" s="44" t="n">
        <v>0.0521</v>
      </c>
      <c r="O63" s="45" t="n"/>
      <c r="P63" s="46" t="n">
        <v>0.04659353316621928</v>
      </c>
      <c r="Q63" s="20" t="n">
        <v>54.34</v>
      </c>
      <c r="R63" s="20" t="n">
        <v>33</v>
      </c>
      <c r="S63" s="20" t="n">
        <v>45.8</v>
      </c>
      <c r="T63" s="44" t="n">
        <v>0.9231</v>
      </c>
      <c r="U63" s="44" t="n">
        <v>0.7297</v>
      </c>
      <c r="V63" s="46" t="n">
        <v>0.6249416666666666</v>
      </c>
      <c r="W63" s="20" t="n">
        <v>92.31</v>
      </c>
      <c r="X63" s="20" t="n">
        <v>62.49416666666666</v>
      </c>
      <c r="Y63" s="20" t="n">
        <v>80.38</v>
      </c>
      <c r="Z63" s="46" t="n">
        <v>0.01094960065143194</v>
      </c>
      <c r="AA63" s="44" t="n">
        <v>0.0136</v>
      </c>
      <c r="AB63" s="46" t="n">
        <v>0.0136</v>
      </c>
      <c r="AC63" s="20" t="n">
        <v>80.14</v>
      </c>
      <c r="AD63" s="91" t="n">
        <v>5.7719</v>
      </c>
      <c r="AE63" s="46" t="n">
        <v>0.0136</v>
      </c>
      <c r="AF63" s="20" t="n">
        <v>3.425995085751417</v>
      </c>
      <c r="AG63" s="20" t="n">
        <v>69.58</v>
      </c>
      <c r="AH63" s="20" t="n">
        <v>77.94</v>
      </c>
      <c r="AI63" s="20" t="n">
        <v>72.92</v>
      </c>
      <c r="AJ63" s="46" t="n">
        <v>0.0521</v>
      </c>
      <c r="AK63" s="20" t="n">
        <v>100</v>
      </c>
      <c r="AL63" s="20" t="n">
        <v>84</v>
      </c>
      <c r="AM63" s="20" t="n">
        <v>56.18</v>
      </c>
      <c r="AN63" s="20" t="n">
        <v>80.14</v>
      </c>
      <c r="AO63" s="20" t="n">
        <v>72.92</v>
      </c>
      <c r="AP63" s="20" t="n">
        <v>100</v>
      </c>
      <c r="AQ63" s="92" t="n">
        <v>1</v>
      </c>
      <c r="AR63" s="20" t="n">
        <v>75.74778000000001</v>
      </c>
      <c r="AS63" s="20" t="n">
        <v>75.75</v>
      </c>
      <c r="AT63" s="49" t="n">
        <v>84</v>
      </c>
      <c r="AU63" s="50">
        <f>IF(I63="","管理人规模；","")&amp;IF(J63="","产品规模标识；","")&amp;IF(AND(F63&lt;3,O63=""),"R_incep；","")&amp;IF(N63="","近三年收益；","")&amp;IF(U63="","近三年胜率；","")&amp;IF(AND(V63&lt;&gt;"",OR(V63&lt;0,V63&gt;1)),"胜率窗口口径不一致；","")&amp;IF(AA63="","近三年回撤；","")&amp;IF(AD63="","短期卡玛；","")&amp;IF(AND(P63&lt;&gt;"",AE63=""),"DD_long不可识别；","")</f>
        <v/>
      </c>
      <c r="AV63" s="51" t="n">
        <v>75.74778000000001</v>
      </c>
      <c r="AW63" s="22" t="inlineStr">
        <is>
          <t>0-5亿元</t>
        </is>
      </c>
      <c r="AX63" s="22" t="inlineStr">
        <is>
          <t>2024-06-28</t>
        </is>
      </c>
      <c r="AY63" s="22" t="inlineStr">
        <is>
          <t>珠海钧誉资产管理有限公司</t>
        </is>
      </c>
      <c r="AZ63" s="22" t="inlineStr">
        <is>
          <t>2024-06-28</t>
        </is>
      </c>
      <c r="BA63" s="22" t="inlineStr">
        <is>
          <t>https://gs.amac.org.cn/amac-infodisc/res/pof/manager/1801241613109731.html</t>
        </is>
      </c>
      <c r="BB63" s="22" t="inlineStr">
        <is>
          <t>钧誉酬勤量化3号私募证券投资基金</t>
        </is>
      </c>
      <c r="BC63" s="22" t="inlineStr">
        <is>
          <t>2025-10-22</t>
        </is>
      </c>
      <c r="BD63" s="22" t="inlineStr">
        <is>
          <t>已匹配</t>
        </is>
      </c>
      <c r="BE63" t="inlineStr">
        <is>
          <t>https://gs.amac.org.cn/amac-infodisc/res/pof/fund/2205121655102793.html</t>
        </is>
      </c>
      <c r="BF63" t="inlineStr">
        <is>
          <t>已核验</t>
        </is>
      </c>
    </row>
    <row r="64" hidden="1" ht="28" customHeight="1" s="73">
      <c r="A64" s="2" t="n">
        <v>48</v>
      </c>
      <c r="B64" s="18" t="inlineStr">
        <is>
          <t>汇富联合日盈12号</t>
        </is>
      </c>
      <c r="C64" s="18">
        <f>'sheet4-原始数据'!B49</f>
        <v/>
      </c>
      <c r="D64" s="18" t="inlineStr">
        <is>
          <t>深圳前海汇富联合</t>
        </is>
      </c>
      <c r="E64" s="90" t="inlineStr">
        <is>
          <t>2022-05-12</t>
        </is>
      </c>
      <c r="F64" s="20" t="n">
        <v>4.345</v>
      </c>
      <c r="G64" s="2">
        <f>IF(F64="","",IF(F64&lt;1,"不入池","入池"))</f>
        <v/>
      </c>
      <c r="H64" s="42" t="inlineStr">
        <is>
          <t>20-50亿元</t>
        </is>
      </c>
      <c r="I64" s="20" t="n">
        <v>90</v>
      </c>
      <c r="J64" s="43" t="inlineStr">
        <is>
          <t>无低于1000万元标识</t>
        </is>
      </c>
      <c r="K64" s="20" t="n">
        <v>100</v>
      </c>
      <c r="L64" s="20" t="n">
        <v>100</v>
      </c>
      <c r="M64" s="44" t="n">
        <v>0.2827</v>
      </c>
      <c r="N64" s="44" t="n">
        <v>0.08689999999999999</v>
      </c>
      <c r="O64" s="45" t="n"/>
      <c r="P64" s="46" t="n">
        <v>0.0005109261970204226</v>
      </c>
      <c r="Q64" s="20" t="n">
        <v>95.48999999999999</v>
      </c>
      <c r="R64" s="20" t="n">
        <v>5.5</v>
      </c>
      <c r="S64" s="20" t="n">
        <v>59.49</v>
      </c>
      <c r="T64" s="44" t="n">
        <v>0.8462000000000001</v>
      </c>
      <c r="U64" s="44" t="n">
        <v>0.7837999999999999</v>
      </c>
      <c r="V64" s="46" t="n">
        <v>0.75</v>
      </c>
      <c r="W64" s="20" t="n">
        <v>84.62</v>
      </c>
      <c r="X64" s="20" t="n">
        <v>75</v>
      </c>
      <c r="Y64" s="20" t="n">
        <v>80.77</v>
      </c>
      <c r="Z64" s="46" t="n">
        <v>0.01816651244088012</v>
      </c>
      <c r="AA64" s="44" t="n">
        <v>0.0575</v>
      </c>
      <c r="AB64" s="46" t="n">
        <v>0.0575</v>
      </c>
      <c r="AC64" s="20" t="n">
        <v>40.07</v>
      </c>
      <c r="AD64" s="91" t="n">
        <v>15.5616</v>
      </c>
      <c r="AE64" s="46" t="n">
        <v>0.0575</v>
      </c>
      <c r="AF64" s="20" t="n">
        <v>0.008885672991659524</v>
      </c>
      <c r="AG64" s="20" t="n">
        <v>87.06</v>
      </c>
      <c r="AH64" s="20" t="n">
        <v>7.35</v>
      </c>
      <c r="AI64" s="20" t="n">
        <v>55.18</v>
      </c>
      <c r="AJ64" s="46" t="n">
        <v>0.08689999999999999</v>
      </c>
      <c r="AK64" s="20" t="n">
        <v>100</v>
      </c>
      <c r="AL64" s="20" t="n">
        <v>96</v>
      </c>
      <c r="AM64" s="20" t="n">
        <v>65.88</v>
      </c>
      <c r="AN64" s="20" t="n">
        <v>40.07</v>
      </c>
      <c r="AO64" s="20" t="n">
        <v>55.18</v>
      </c>
      <c r="AP64" s="20" t="n">
        <v>100</v>
      </c>
      <c r="AQ64" s="92" t="n">
        <v>1</v>
      </c>
      <c r="AR64" s="20" t="n">
        <v>64.14578</v>
      </c>
      <c r="AS64" s="20" t="n">
        <v>64.15000000000001</v>
      </c>
      <c r="AT64" s="49" t="n">
        <v>151</v>
      </c>
      <c r="AU64" s="50">
        <f>IF(I64="","管理人规模；","")&amp;IF(J64="","产品规模标识；","")&amp;IF(AND(F64&lt;3,O64=""),"R_incep；","")&amp;IF(N64="","近三年收益；","")&amp;IF(U64="","近三年胜率；","")&amp;IF(AND(V64&lt;&gt;"",OR(V64&lt;0,V64&gt;1)),"胜率窗口口径不一致；","")&amp;IF(AA64="","近三年回撤；","")&amp;IF(AD64="","短期卡玛；","")&amp;IF(AND(P64&lt;&gt;"",AE64=""),"DD_long不可识别；","")</f>
        <v/>
      </c>
      <c r="AV64" s="51" t="n">
        <v>64.14578</v>
      </c>
      <c r="AW64" s="22" t="inlineStr">
        <is>
          <t>20-50亿元</t>
        </is>
      </c>
      <c r="AX64" s="22" t="inlineStr">
        <is>
          <t>2025-11-21</t>
        </is>
      </c>
      <c r="AY64" s="22" t="inlineStr">
        <is>
          <t>深圳前海汇富联合私募证券基金管理有限公司</t>
        </is>
      </c>
      <c r="AZ64" s="22" t="inlineStr">
        <is>
          <t>2025-11-21</t>
        </is>
      </c>
      <c r="BA64" s="22" t="inlineStr">
        <is>
          <t>https://gs.amac.org.cn/amac-infodisc/res/pof/manager/101000012095.html</t>
        </is>
      </c>
      <c r="BB64" s="22" t="inlineStr">
        <is>
          <t>汇富联合日盈12号私募证券投资基金</t>
        </is>
      </c>
      <c r="BC64" s="22" t="inlineStr">
        <is>
          <t>2025-09-15</t>
        </is>
      </c>
      <c r="BD64" s="22" t="inlineStr">
        <is>
          <t>已匹配</t>
        </is>
      </c>
      <c r="BE64" t="inlineStr">
        <is>
          <t>https://gs.amac.org.cn/amac-infodisc/res/pof/fund/2205111752107815.html</t>
        </is>
      </c>
      <c r="BF64" t="inlineStr">
        <is>
          <t>已核验</t>
        </is>
      </c>
    </row>
    <row r="65" hidden="1" ht="28" customHeight="1" s="73">
      <c r="A65" s="2" t="n">
        <v>49</v>
      </c>
      <c r="B65" s="18" t="inlineStr">
        <is>
          <t>融相慎远一号</t>
        </is>
      </c>
      <c r="C65" s="18">
        <f>'sheet4-原始数据'!B50</f>
        <v/>
      </c>
      <c r="D65" s="18" t="inlineStr">
        <is>
          <t>海南融相</t>
        </is>
      </c>
      <c r="E65" s="90" t="inlineStr">
        <is>
          <t>2022-05-09</t>
        </is>
      </c>
      <c r="F65" s="20" t="n">
        <v>4.3532</v>
      </c>
      <c r="G65" s="2">
        <f>IF(F65="","",IF(F65&lt;1,"不入池","入池"))</f>
        <v/>
      </c>
      <c r="H65" s="42" t="inlineStr">
        <is>
          <t>0-5亿元</t>
        </is>
      </c>
      <c r="I65" s="20" t="n">
        <v>60</v>
      </c>
      <c r="J65" s="43" t="inlineStr">
        <is>
          <t>无低于1000万元标识</t>
        </is>
      </c>
      <c r="K65" s="20" t="n">
        <v>100</v>
      </c>
      <c r="L65" s="20" t="n">
        <v>100</v>
      </c>
      <c r="M65" s="44" t="n">
        <v>-0.0025</v>
      </c>
      <c r="N65" s="44" t="n">
        <v>0.0449</v>
      </c>
      <c r="O65" s="45" t="n"/>
      <c r="P65" s="46" t="n">
        <v>0.06943807363134891</v>
      </c>
      <c r="Q65" s="20" t="n">
        <v>16.49</v>
      </c>
      <c r="R65" s="20" t="n">
        <v>56.5</v>
      </c>
      <c r="S65" s="20" t="n">
        <v>32.49</v>
      </c>
      <c r="T65" s="44" t="n">
        <v>0.6153999999999999</v>
      </c>
      <c r="U65" s="44" t="n">
        <v>0.7297</v>
      </c>
      <c r="V65" s="46" t="n">
        <v>0.7916124999999999</v>
      </c>
      <c r="W65" s="20" t="n">
        <v>61.53999999999999</v>
      </c>
      <c r="X65" s="20" t="n">
        <v>79.16125</v>
      </c>
      <c r="Y65" s="20" t="n">
        <v>68.59</v>
      </c>
      <c r="Z65" s="46" t="n">
        <v>0.06443298969072164</v>
      </c>
      <c r="AA65" s="44" t="n">
        <v>0.0653</v>
      </c>
      <c r="AB65" s="46" t="n">
        <v>0.0653</v>
      </c>
      <c r="AC65" s="20" t="n">
        <v>37.28</v>
      </c>
      <c r="AD65" s="91" t="n">
        <v>-0.0388</v>
      </c>
      <c r="AE65" s="46" t="n">
        <v>0.0653</v>
      </c>
      <c r="AF65" s="20" t="n">
        <v>1.063370193435665</v>
      </c>
      <c r="AG65" s="20" t="n">
        <v>16.08</v>
      </c>
      <c r="AH65" s="20" t="n">
        <v>43.38</v>
      </c>
      <c r="AI65" s="20" t="n">
        <v>27</v>
      </c>
      <c r="AJ65" s="46" t="n">
        <v>0.0449</v>
      </c>
      <c r="AK65" s="20" t="n">
        <v>80</v>
      </c>
      <c r="AL65" s="20" t="n">
        <v>84</v>
      </c>
      <c r="AM65" s="20" t="n">
        <v>43.32</v>
      </c>
      <c r="AN65" s="20" t="n">
        <v>37.28</v>
      </c>
      <c r="AO65" s="20" t="n">
        <v>27</v>
      </c>
      <c r="AP65" s="20" t="n">
        <v>80</v>
      </c>
      <c r="AQ65" s="92" t="n">
        <v>1</v>
      </c>
      <c r="AR65" s="20" t="n">
        <v>46.68447</v>
      </c>
      <c r="AS65" s="20" t="n">
        <v>46.68</v>
      </c>
      <c r="AT65" s="49" t="n">
        <v>238</v>
      </c>
      <c r="AU65" s="50">
        <f>IF(I65="","管理人规模；","")&amp;IF(J65="","产品规模标识；","")&amp;IF(AND(F65&lt;3,O65=""),"R_incep；","")&amp;IF(N65="","近三年收益；","")&amp;IF(U65="","近三年胜率；","")&amp;IF(AND(V65&lt;&gt;"",OR(V65&lt;0,V65&gt;1)),"胜率窗口口径不一致；","")&amp;IF(AA65="","近三年回撤；","")&amp;IF(AD65="","短期卡玛；","")&amp;IF(AND(P65&lt;&gt;"",AE65=""),"DD_long不可识别；","")</f>
        <v/>
      </c>
      <c r="AV65" s="51" t="n">
        <v>46.68447</v>
      </c>
      <c r="AW65" s="22" t="inlineStr">
        <is>
          <t>0-5亿元</t>
        </is>
      </c>
      <c r="AX65" s="22" t="inlineStr">
        <is>
          <t>2025-11-05</t>
        </is>
      </c>
      <c r="AY65" s="22" t="inlineStr">
        <is>
          <t>海南融相私募基金管理有限公司</t>
        </is>
      </c>
      <c r="AZ65" s="22" t="inlineStr">
        <is>
          <t>2025-11-05</t>
        </is>
      </c>
      <c r="BA65" s="22" t="inlineStr">
        <is>
          <t>https://gs.amac.org.cn/amac-infodisc/res/pof/manager/2111241451102645.html</t>
        </is>
      </c>
      <c r="BB65" s="22" t="inlineStr">
        <is>
          <t>融相慎远一号私募证券投资基金</t>
        </is>
      </c>
      <c r="BC65" s="22" t="inlineStr">
        <is>
          <t>2024-10-09</t>
        </is>
      </c>
      <c r="BD65" s="22" t="inlineStr">
        <is>
          <t>已匹配</t>
        </is>
      </c>
      <c r="BE65" t="inlineStr">
        <is>
          <t>https://gs.amac.org.cn/amac-infodisc/res/pof/fund/2205181829100640.html</t>
        </is>
      </c>
      <c r="BF65" t="inlineStr">
        <is>
          <t>已核验</t>
        </is>
      </c>
    </row>
    <row r="66" hidden="1" ht="28" customHeight="1" s="73">
      <c r="A66" s="2" t="n">
        <v>50</v>
      </c>
      <c r="B66" s="18" t="inlineStr">
        <is>
          <t>晨翰11号</t>
        </is>
      </c>
      <c r="C66" s="18">
        <f>'sheet4-原始数据'!B51</f>
        <v/>
      </c>
      <c r="D66" s="18" t="inlineStr">
        <is>
          <t>晋江晨翰</t>
        </is>
      </c>
      <c r="E66" s="90" t="inlineStr">
        <is>
          <t>2022-06-10</t>
        </is>
      </c>
      <c r="F66" s="20" t="n">
        <v>4.2656</v>
      </c>
      <c r="G66" s="2">
        <f>IF(F66="","",IF(F66&lt;1,"不入池","入池"))</f>
        <v/>
      </c>
      <c r="H66" s="42" t="inlineStr">
        <is>
          <t>5-10亿元</t>
        </is>
      </c>
      <c r="I66" s="20" t="n">
        <v>70</v>
      </c>
      <c r="J66" s="43" t="inlineStr">
        <is>
          <t>无低于1000万元标识</t>
        </is>
      </c>
      <c r="K66" s="20" t="n">
        <v>100</v>
      </c>
      <c r="L66" s="20" t="n">
        <v>100</v>
      </c>
      <c r="M66" s="44" t="n">
        <v>0.0347</v>
      </c>
      <c r="N66" s="44" t="n">
        <v>0.0343</v>
      </c>
      <c r="O66" s="45" t="n"/>
      <c r="P66" s="46" t="n">
        <v>0.03410005799155935</v>
      </c>
      <c r="Q66" s="20" t="n">
        <v>33.33</v>
      </c>
      <c r="R66" s="20" t="n">
        <v>19.5</v>
      </c>
      <c r="S66" s="20" t="n">
        <v>27.8</v>
      </c>
      <c r="T66" s="44" t="n">
        <v>0.6153999999999999</v>
      </c>
      <c r="U66" s="44" t="n">
        <v>0.6486</v>
      </c>
      <c r="V66" s="46" t="n">
        <v>0.6665833333333332</v>
      </c>
      <c r="W66" s="20" t="n">
        <v>61.53999999999999</v>
      </c>
      <c r="X66" s="20" t="n">
        <v>66.65833333333332</v>
      </c>
      <c r="Y66" s="20" t="n">
        <v>63.59</v>
      </c>
      <c r="Z66" s="46" t="n">
        <v>0.01521729596982853</v>
      </c>
      <c r="AA66" s="44" t="n">
        <v>0.0239</v>
      </c>
      <c r="AB66" s="46" t="n">
        <v>0.0239</v>
      </c>
      <c r="AC66" s="20" t="n">
        <v>69.69</v>
      </c>
      <c r="AD66" s="91" t="n">
        <v>2.2803</v>
      </c>
      <c r="AE66" s="46" t="n">
        <v>0.0239</v>
      </c>
      <c r="AF66" s="20" t="n">
        <v>1.426780669102902</v>
      </c>
      <c r="AG66" s="20" t="n">
        <v>50.35</v>
      </c>
      <c r="AH66" s="20" t="n">
        <v>53.68</v>
      </c>
      <c r="AI66" s="20" t="n">
        <v>51.68</v>
      </c>
      <c r="AJ66" s="46" t="n">
        <v>0.0343</v>
      </c>
      <c r="AK66" s="20" t="n">
        <v>100</v>
      </c>
      <c r="AL66" s="20" t="n">
        <v>88</v>
      </c>
      <c r="AM66" s="20" t="n">
        <v>38.53</v>
      </c>
      <c r="AN66" s="20" t="n">
        <v>69.69</v>
      </c>
      <c r="AO66" s="20" t="n">
        <v>51.68</v>
      </c>
      <c r="AP66" s="20" t="n">
        <v>100</v>
      </c>
      <c r="AQ66" s="92" t="n">
        <v>1</v>
      </c>
      <c r="AR66" s="20" t="n">
        <v>63.83406</v>
      </c>
      <c r="AS66" s="20" t="n">
        <v>63.83</v>
      </c>
      <c r="AT66" s="49" t="n">
        <v>152</v>
      </c>
      <c r="AU66" s="50">
        <f>IF(I66="","管理人规模；","")&amp;IF(J66="","产品规模标识；","")&amp;IF(AND(F66&lt;3,O66=""),"R_incep；","")&amp;IF(N66="","近三年收益；","")&amp;IF(U66="","近三年胜率；","")&amp;IF(AND(V66&lt;&gt;"",OR(V66&lt;0,V66&gt;1)),"胜率窗口口径不一致；","")&amp;IF(AA66="","近三年回撤；","")&amp;IF(AD66="","短期卡玛；","")&amp;IF(AND(P66&lt;&gt;"",AE66=""),"DD_long不可识别；","")</f>
        <v/>
      </c>
      <c r="AV66" s="51" t="n">
        <v>63.83406</v>
      </c>
      <c r="AW66" s="22" t="inlineStr">
        <is>
          <t>5-10亿元</t>
        </is>
      </c>
      <c r="AX66" s="22" t="inlineStr">
        <is>
          <t>2026-07-31</t>
        </is>
      </c>
      <c r="AY66" s="22" t="inlineStr">
        <is>
          <t>晋江市晨翰私募基金管理有限公司</t>
        </is>
      </c>
      <c r="AZ66" s="22" t="inlineStr">
        <is>
          <t>2026-07-31</t>
        </is>
      </c>
      <c r="BA66" s="22" t="inlineStr">
        <is>
          <t>https://gs.amac.org.cn/amac-infodisc/res/pof/manager/2002211754119480.html</t>
        </is>
      </c>
      <c r="BB66" s="22" t="inlineStr">
        <is>
          <t>晨翰11号私募证券投资基金</t>
        </is>
      </c>
      <c r="BC66" s="22" t="inlineStr">
        <is>
          <t>2026-05-27</t>
        </is>
      </c>
      <c r="BD66" s="22" t="inlineStr">
        <is>
          <t>已匹配</t>
        </is>
      </c>
      <c r="BE66" t="inlineStr">
        <is>
          <t>https://gs.amac.org.cn/amac-infodisc/res/pof/fund/2206171628103559.html</t>
        </is>
      </c>
      <c r="BF66" t="inlineStr">
        <is>
          <t>已核验</t>
        </is>
      </c>
    </row>
    <row r="67" hidden="1" ht="28" customHeight="1" s="73">
      <c r="A67" s="2" t="n">
        <v>51</v>
      </c>
      <c r="B67" s="18" t="inlineStr">
        <is>
          <t>致同添利套利多策略三期</t>
        </is>
      </c>
      <c r="C67" s="18">
        <f>'sheet4-原始数据'!B52</f>
        <v/>
      </c>
      <c r="D67" s="18" t="inlineStr">
        <is>
          <t>上海致同投资</t>
        </is>
      </c>
      <c r="E67" s="90" t="inlineStr">
        <is>
          <t>2022-07-28</t>
        </is>
      </c>
      <c r="F67" s="20" t="n">
        <v>4.1342</v>
      </c>
      <c r="G67" s="2">
        <f>IF(F67="","",IF(F67&lt;1,"不入池","入池"))</f>
        <v/>
      </c>
      <c r="H67" s="42" t="inlineStr">
        <is>
          <t>20-50亿元</t>
        </is>
      </c>
      <c r="I67" s="20" t="n">
        <v>90</v>
      </c>
      <c r="J67" s="43" t="inlineStr">
        <is>
          <t>无低于1000万元标识</t>
        </is>
      </c>
      <c r="K67" s="20" t="n">
        <v>100</v>
      </c>
      <c r="L67" s="20" t="n">
        <v>100</v>
      </c>
      <c r="M67" s="44" t="n">
        <v>0.0294</v>
      </c>
      <c r="N67" s="44" t="n">
        <v>0.0357</v>
      </c>
      <c r="O67" s="45" t="n"/>
      <c r="P67" s="46" t="n">
        <v>0.03886444395097866</v>
      </c>
      <c r="Q67" s="20" t="n">
        <v>29.86</v>
      </c>
      <c r="R67" s="20" t="n">
        <v>25.5</v>
      </c>
      <c r="S67" s="20" t="n">
        <v>28.12</v>
      </c>
      <c r="T67" s="44" t="n">
        <v>0.7692</v>
      </c>
      <c r="U67" s="44" t="n">
        <v>0.7568</v>
      </c>
      <c r="V67" s="46" t="n">
        <v>0.7500833333333334</v>
      </c>
      <c r="W67" s="20" t="n">
        <v>76.92</v>
      </c>
      <c r="X67" s="20" t="n">
        <v>75.00833333333334</v>
      </c>
      <c r="Y67" s="20" t="n">
        <v>76.16</v>
      </c>
      <c r="Z67" s="46" t="n">
        <v>0.008482645200380853</v>
      </c>
      <c r="AA67" s="44" t="n">
        <v>0.008500000000000001</v>
      </c>
      <c r="AB67" s="46" t="n">
        <v>0.008500000000000001</v>
      </c>
      <c r="AC67" s="20" t="n">
        <v>87.45999999999999</v>
      </c>
      <c r="AD67" s="91" t="n">
        <v>3.4659</v>
      </c>
      <c r="AE67" s="46" t="n"/>
      <c r="AF67" s="20" t="n"/>
      <c r="AG67" s="20" t="n">
        <v>59.44</v>
      </c>
      <c r="AH67" s="20" t="n"/>
      <c r="AI67" s="20" t="n">
        <v>59.44</v>
      </c>
      <c r="AJ67" s="46" t="n">
        <v>0.0357</v>
      </c>
      <c r="AK67" s="20" t="n">
        <v>80</v>
      </c>
      <c r="AL67" s="20" t="n">
        <v>96</v>
      </c>
      <c r="AM67" s="20" t="n">
        <v>42.53</v>
      </c>
      <c r="AN67" s="20" t="n">
        <v>87.45999999999999</v>
      </c>
      <c r="AO67" s="20" t="n">
        <v>59.44</v>
      </c>
      <c r="AP67" s="20" t="n">
        <v>80</v>
      </c>
      <c r="AQ67" s="92" t="n">
        <v>0.88</v>
      </c>
      <c r="AR67" s="20" t="n">
        <v>63.46976</v>
      </c>
      <c r="AS67" s="20" t="n">
        <v>72.12</v>
      </c>
      <c r="AT67" s="49" t="n">
        <v>105</v>
      </c>
      <c r="AU67" s="50">
        <f>IF(I67="","管理人规模；","")&amp;IF(J67="","产品规模标识；","")&amp;IF(AND(F67&lt;3,O67=""),"R_incep；","")&amp;IF(N67="","近三年收益；","")&amp;IF(U67="","近三年胜率；","")&amp;IF(AND(V67&lt;&gt;"",OR(V67&lt;0,V67&gt;1)),"胜率窗口口径不一致；","")&amp;IF(AA67="","近三年回撤；","")&amp;IF(AD67="","短期卡玛；","")&amp;IF(AND(P67&lt;&gt;"",AE67=""),"DD_long不可识别；","")</f>
        <v/>
      </c>
      <c r="AV67" s="51" t="n"/>
      <c r="AW67" s="22" t="inlineStr">
        <is>
          <t>20-50亿元</t>
        </is>
      </c>
      <c r="AX67" s="22" t="inlineStr">
        <is>
          <t>2026-03-16</t>
        </is>
      </c>
      <c r="AY67" s="22" t="inlineStr">
        <is>
          <t>上海致同投资管理有限公司</t>
        </is>
      </c>
      <c r="AZ67" s="22" t="inlineStr">
        <is>
          <t>2026-03-16</t>
        </is>
      </c>
      <c r="BA67" s="22" t="inlineStr">
        <is>
          <t>https://gs.amac.org.cn/amac-infodisc/res/pof/manager/101000004339.html</t>
        </is>
      </c>
      <c r="BB67" s="22" t="inlineStr">
        <is>
          <t>致同添利套利多策略三期私募证券投资基金</t>
        </is>
      </c>
      <c r="BC67" s="22" t="inlineStr">
        <is>
          <t>2022-08-02</t>
        </is>
      </c>
      <c r="BD67" s="22" t="inlineStr">
        <is>
          <t>已匹配</t>
        </is>
      </c>
      <c r="BE67" t="inlineStr">
        <is>
          <t>https://gs.amac.org.cn/amac-infodisc/res/pof/fund/2208021712112777.html</t>
        </is>
      </c>
      <c r="BF67" t="inlineStr">
        <is>
          <t>已核验</t>
        </is>
      </c>
    </row>
    <row r="68" hidden="1" ht="28" customHeight="1" s="73">
      <c r="A68" s="2" t="n">
        <v>52</v>
      </c>
      <c r="B68" s="18" t="inlineStr">
        <is>
          <t>博牛转债策略2号</t>
        </is>
      </c>
      <c r="C68" s="18">
        <f>'sheet4-原始数据'!B53</f>
        <v/>
      </c>
      <c r="D68" s="18" t="inlineStr">
        <is>
          <t>广州博牛</t>
        </is>
      </c>
      <c r="E68" s="90" t="inlineStr">
        <is>
          <t>2022-08-15</t>
        </is>
      </c>
      <c r="F68" s="20" t="n">
        <v>4.0849</v>
      </c>
      <c r="G68" s="2">
        <f>IF(F68="","",IF(F68&lt;1,"不入池","入池"))</f>
        <v/>
      </c>
      <c r="H68" s="42" t="inlineStr">
        <is>
          <t>5-10亿元</t>
        </is>
      </c>
      <c r="I68" s="20" t="n">
        <v>70</v>
      </c>
      <c r="J68" s="43" t="inlineStr">
        <is>
          <t>无低于1000万元标识</t>
        </is>
      </c>
      <c r="K68" s="20" t="n">
        <v>100</v>
      </c>
      <c r="L68" s="20" t="n">
        <v>100</v>
      </c>
      <c r="M68" s="44" t="n">
        <v>-0.0167</v>
      </c>
      <c r="N68" s="44" t="n">
        <v>0.04190000000000001</v>
      </c>
      <c r="O68" s="45" t="n"/>
      <c r="P68" s="46" t="n">
        <v>0.07249688002908661</v>
      </c>
      <c r="Q68" s="20" t="n">
        <v>12.5</v>
      </c>
      <c r="R68" s="20" t="n">
        <v>59</v>
      </c>
      <c r="S68" s="20" t="n">
        <v>31.1</v>
      </c>
      <c r="T68" s="44" t="n">
        <v>0.3077</v>
      </c>
      <c r="U68" s="44" t="n">
        <v>0.5946</v>
      </c>
      <c r="V68" s="46" t="n">
        <v>0.7500041666666667</v>
      </c>
      <c r="W68" s="20" t="n">
        <v>30.77</v>
      </c>
      <c r="X68" s="20" t="n">
        <v>75.00041666666667</v>
      </c>
      <c r="Y68" s="20" t="n">
        <v>48.46</v>
      </c>
      <c r="Z68" s="46" t="n">
        <v>0.04497710746027471</v>
      </c>
      <c r="AA68" s="44" t="n">
        <v>0.045</v>
      </c>
      <c r="AB68" s="46" t="n">
        <v>0.045</v>
      </c>
      <c r="AC68" s="20" t="n">
        <v>48.08</v>
      </c>
      <c r="AD68" s="91" t="n">
        <v>-0.3713</v>
      </c>
      <c r="AE68" s="46" t="n"/>
      <c r="AF68" s="20" t="n"/>
      <c r="AG68" s="20" t="n">
        <v>8.74</v>
      </c>
      <c r="AH68" s="20" t="n"/>
      <c r="AI68" s="20" t="n">
        <v>8.74</v>
      </c>
      <c r="AJ68" s="46" t="n">
        <v>0.04190000000000001</v>
      </c>
      <c r="AK68" s="20" t="n">
        <v>80</v>
      </c>
      <c r="AL68" s="20" t="n">
        <v>88</v>
      </c>
      <c r="AM68" s="20" t="n">
        <v>36.31</v>
      </c>
      <c r="AN68" s="20" t="n">
        <v>48.08</v>
      </c>
      <c r="AO68" s="20" t="n">
        <v>8.74</v>
      </c>
      <c r="AP68" s="20" t="n">
        <v>80</v>
      </c>
      <c r="AQ68" s="92" t="n">
        <v>0.88</v>
      </c>
      <c r="AR68" s="20" t="n">
        <v>42.05493</v>
      </c>
      <c r="AS68" s="20" t="n">
        <v>47.79</v>
      </c>
      <c r="AT68" s="49" t="n">
        <v>233</v>
      </c>
      <c r="AU68" s="50">
        <f>IF(I68="","管理人规模；","")&amp;IF(J68="","产品规模标识；","")&amp;IF(AND(F68&lt;3,O68=""),"R_incep；","")&amp;IF(N68="","近三年收益；","")&amp;IF(U68="","近三年胜率；","")&amp;IF(AND(V68&lt;&gt;"",OR(V68&lt;0,V68&gt;1)),"胜率窗口口径不一致；","")&amp;IF(AA68="","近三年回撤；","")&amp;IF(AD68="","短期卡玛；","")&amp;IF(AND(P68&lt;&gt;"",AE68=""),"DD_long不可识别；","")</f>
        <v/>
      </c>
      <c r="AV68" s="51" t="n"/>
      <c r="AW68" s="22" t="inlineStr">
        <is>
          <t>5-10亿元</t>
        </is>
      </c>
      <c r="AX68" s="22" t="inlineStr">
        <is>
          <t>2026-05-21</t>
        </is>
      </c>
      <c r="AY68" s="22" t="inlineStr">
        <is>
          <t>广州博牛私募证券投资管理有限公司</t>
        </is>
      </c>
      <c r="AZ68" s="22" t="inlineStr">
        <is>
          <t>2026-05-21</t>
        </is>
      </c>
      <c r="BA68" s="22" t="inlineStr">
        <is>
          <t>https://gs.amac.org.cn/amac-infodisc/res/pof/manager/1801020956105866.html</t>
        </is>
      </c>
      <c r="BB68" s="22" t="inlineStr">
        <is>
          <t>博牛转债策略2号私募证券投资基金</t>
        </is>
      </c>
      <c r="BC68" s="22" t="inlineStr">
        <is>
          <t>2022-08-15</t>
        </is>
      </c>
      <c r="BD68" s="22" t="inlineStr">
        <is>
          <t>已匹配</t>
        </is>
      </c>
      <c r="BE68" t="inlineStr">
        <is>
          <t>https://gs.amac.org.cn/amac-infodisc/res/pof/fund/2208121907108282.html</t>
        </is>
      </c>
      <c r="BF68" t="inlineStr">
        <is>
          <t>已核验</t>
        </is>
      </c>
    </row>
    <row r="69" hidden="1" ht="28" customHeight="1" s="73">
      <c r="A69" s="2" t="n">
        <v>53</v>
      </c>
      <c r="B69" s="18" t="inlineStr">
        <is>
          <t>银瓴运通致远3号五期</t>
        </is>
      </c>
      <c r="C69" s="18">
        <f>'sheet4-原始数据'!B54</f>
        <v/>
      </c>
      <c r="D69" s="18" t="inlineStr">
        <is>
          <t>广西银瓴资产</t>
        </is>
      </c>
      <c r="E69" s="90" t="inlineStr">
        <is>
          <t>2022-08-31</t>
        </is>
      </c>
      <c r="F69" s="20" t="n">
        <v>4.0411</v>
      </c>
      <c r="G69" s="2">
        <f>IF(F69="","",IF(F69&lt;1,"不入池","入池"))</f>
        <v/>
      </c>
      <c r="H69" s="42" t="inlineStr">
        <is>
          <t>0-5亿元</t>
        </is>
      </c>
      <c r="I69" s="20" t="n">
        <v>60</v>
      </c>
      <c r="J69" s="43" t="inlineStr">
        <is>
          <t>低于1000万元</t>
        </is>
      </c>
      <c r="K69" s="20" t="n">
        <v>0</v>
      </c>
      <c r="L69" s="20" t="n">
        <v>100</v>
      </c>
      <c r="M69" s="44" t="n">
        <v>-0.04480000000000001</v>
      </c>
      <c r="N69" s="44" t="n">
        <v>0.0266</v>
      </c>
      <c r="O69" s="45" t="n"/>
      <c r="P69" s="46" t="n">
        <v>0.06427713782901834</v>
      </c>
      <c r="Q69" s="20" t="n">
        <v>8.33</v>
      </c>
      <c r="R69" s="20" t="n">
        <v>51</v>
      </c>
      <c r="S69" s="20" t="n">
        <v>25.4</v>
      </c>
      <c r="T69" s="44" t="n">
        <v>0.3077</v>
      </c>
      <c r="U69" s="44" t="n">
        <v>0.5135000000000001</v>
      </c>
      <c r="V69" s="46" t="n">
        <v>0.6249750000000001</v>
      </c>
      <c r="W69" s="20" t="n">
        <v>30.77</v>
      </c>
      <c r="X69" s="20" t="n">
        <v>62.4975</v>
      </c>
      <c r="Y69" s="20" t="n">
        <v>43.46</v>
      </c>
      <c r="Z69" s="46" t="n">
        <v>0.07926397735314933</v>
      </c>
      <c r="AA69" s="44" t="n">
        <v>0.0858</v>
      </c>
      <c r="AB69" s="46" t="n">
        <v>0.0858</v>
      </c>
      <c r="AC69" s="20" t="n">
        <v>30.66</v>
      </c>
      <c r="AD69" s="91" t="n">
        <v>-0.5652</v>
      </c>
      <c r="AE69" s="46" t="n">
        <v>0.0858</v>
      </c>
      <c r="AF69" s="20" t="n">
        <v>0.7491507905479993</v>
      </c>
      <c r="AG69" s="20" t="n">
        <v>6.29</v>
      </c>
      <c r="AH69" s="20" t="n">
        <v>29.41</v>
      </c>
      <c r="AI69" s="20" t="n">
        <v>15.54</v>
      </c>
      <c r="AJ69" s="46" t="n">
        <v>0.0266</v>
      </c>
      <c r="AK69" s="20" t="n">
        <v>80</v>
      </c>
      <c r="AL69" s="20" t="n">
        <v>54</v>
      </c>
      <c r="AM69" s="20" t="n">
        <v>30.82</v>
      </c>
      <c r="AN69" s="20" t="n">
        <v>30.66</v>
      </c>
      <c r="AO69" s="20" t="n">
        <v>15.54</v>
      </c>
      <c r="AP69" s="20" t="n">
        <v>80</v>
      </c>
      <c r="AQ69" s="92" t="n">
        <v>1</v>
      </c>
      <c r="AR69" s="20" t="n">
        <v>34.58978</v>
      </c>
      <c r="AS69" s="20" t="n">
        <v>34.59</v>
      </c>
      <c r="AT69" s="49" t="n">
        <v>287</v>
      </c>
      <c r="AU69" s="50">
        <f>IF(I69="","管理人规模；","")&amp;IF(J69="","产品规模标识；","")&amp;IF(AND(F69&lt;3,O69=""),"R_incep；","")&amp;IF(N69="","近三年收益；","")&amp;IF(U69="","近三年胜率；","")&amp;IF(AND(V69&lt;&gt;"",OR(V69&lt;0,V69&gt;1)),"胜率窗口口径不一致；","")&amp;IF(AA69="","近三年回撤；","")&amp;IF(AD69="","短期卡玛；","")&amp;IF(AND(P69&lt;&gt;"",AE69=""),"DD_long不可识别；","")</f>
        <v/>
      </c>
      <c r="AV69" s="51" t="n">
        <v>34.58978</v>
      </c>
      <c r="AW69" s="22" t="inlineStr">
        <is>
          <t>0-5亿元</t>
        </is>
      </c>
      <c r="AX69" s="22" t="inlineStr">
        <is>
          <t>2026-07-09</t>
        </is>
      </c>
      <c r="AY69" s="22" t="inlineStr">
        <is>
          <t>广西银瓴资产管理有限公司</t>
        </is>
      </c>
      <c r="AZ69" s="22" t="inlineStr">
        <is>
          <t>2026-07-09</t>
        </is>
      </c>
      <c r="BA69" s="22" t="inlineStr">
        <is>
          <t>https://gs.amac.org.cn/amac-infodisc/res/pof/manager/101000035485.html</t>
        </is>
      </c>
      <c r="BB69" s="22" t="inlineStr">
        <is>
          <t>银瓴运通致远3号私募证券投资基金五期</t>
        </is>
      </c>
      <c r="BC69" s="22" t="inlineStr">
        <is>
          <t>2025-05-26</t>
        </is>
      </c>
      <c r="BD69" s="22" t="inlineStr">
        <is>
          <t>已匹配</t>
        </is>
      </c>
      <c r="BE69" t="inlineStr">
        <is>
          <t>https://gs.amac.org.cn/amac-infodisc/res/pof/fund/2209051807103258.html</t>
        </is>
      </c>
      <c r="BF69" t="inlineStr">
        <is>
          <t>已核验</t>
        </is>
      </c>
    </row>
    <row r="70" hidden="1" ht="28" customHeight="1" s="73">
      <c r="A70" s="2" t="n">
        <v>54</v>
      </c>
      <c r="B70" s="18" t="inlineStr">
        <is>
          <t>汉盛浩远1号</t>
        </is>
      </c>
      <c r="C70" s="18">
        <f>'sheet4-原始数据'!B55</f>
        <v/>
      </c>
      <c r="D70" s="18" t="inlineStr">
        <is>
          <t>上海汉鸿</t>
        </is>
      </c>
      <c r="E70" s="90" t="inlineStr">
        <is>
          <t>2022-09-06</t>
        </is>
      </c>
      <c r="F70" s="20" t="n">
        <v>4.0246</v>
      </c>
      <c r="G70" s="2">
        <f>IF(F70="","",IF(F70&lt;1,"不入池","入池"))</f>
        <v/>
      </c>
      <c r="H70" s="42" t="inlineStr">
        <is>
          <t>10-20亿元</t>
        </is>
      </c>
      <c r="I70" s="20" t="n">
        <v>80</v>
      </c>
      <c r="J70" s="43" t="inlineStr">
        <is>
          <t>无低于1000万元标识</t>
        </is>
      </c>
      <c r="K70" s="20" t="n">
        <v>100</v>
      </c>
      <c r="L70" s="20" t="n">
        <v>100</v>
      </c>
      <c r="M70" s="44" t="n">
        <v>0.008399999999999999</v>
      </c>
      <c r="N70" s="44" t="n">
        <v>0.1561</v>
      </c>
      <c r="O70" s="45" t="n"/>
      <c r="P70" s="46" t="n">
        <v>0.2378746899415216</v>
      </c>
      <c r="Q70" s="20" t="n">
        <v>19.1</v>
      </c>
      <c r="R70" s="20" t="n">
        <v>95.5</v>
      </c>
      <c r="S70" s="20" t="n">
        <v>49.66</v>
      </c>
      <c r="T70" s="44" t="n">
        <v>0.6153999999999999</v>
      </c>
      <c r="U70" s="44" t="n">
        <v>0.7297</v>
      </c>
      <c r="V70" s="46" t="n">
        <v>0.7916124999999999</v>
      </c>
      <c r="W70" s="20" t="n">
        <v>61.53999999999999</v>
      </c>
      <c r="X70" s="20" t="n">
        <v>79.16125</v>
      </c>
      <c r="Y70" s="20" t="n">
        <v>68.59</v>
      </c>
      <c r="Z70" s="46" t="n">
        <v>0.09130434782608696</v>
      </c>
      <c r="AA70" s="44" t="n">
        <v>0.1179</v>
      </c>
      <c r="AB70" s="46" t="n">
        <v>0.1179</v>
      </c>
      <c r="AC70" s="20" t="n">
        <v>21.95</v>
      </c>
      <c r="AD70" s="91" t="n">
        <v>0.092</v>
      </c>
      <c r="AE70" s="46" t="n">
        <v>0.1179</v>
      </c>
      <c r="AF70" s="20" t="n">
        <v>2.017597030886528</v>
      </c>
      <c r="AG70" s="20" t="n">
        <v>18.18</v>
      </c>
      <c r="AH70" s="20" t="n">
        <v>66.91</v>
      </c>
      <c r="AI70" s="20" t="n">
        <v>37.67</v>
      </c>
      <c r="AJ70" s="46" t="n">
        <v>0.1561</v>
      </c>
      <c r="AK70" s="20" t="n">
        <v>80</v>
      </c>
      <c r="AL70" s="20" t="n">
        <v>92</v>
      </c>
      <c r="AM70" s="20" t="n">
        <v>55.34</v>
      </c>
      <c r="AN70" s="20" t="n">
        <v>21.95</v>
      </c>
      <c r="AO70" s="20" t="n">
        <v>37.67</v>
      </c>
      <c r="AP70" s="20" t="n">
        <v>80</v>
      </c>
      <c r="AQ70" s="92" t="n">
        <v>1</v>
      </c>
      <c r="AR70" s="20" t="n">
        <v>49.65681</v>
      </c>
      <c r="AS70" s="20" t="n">
        <v>49.66</v>
      </c>
      <c r="AT70" s="49" t="n">
        <v>227</v>
      </c>
      <c r="AU70" s="50">
        <f>IF(I70="","管理人规模；","")&amp;IF(J70="","产品规模标识；","")&amp;IF(AND(F70&lt;3,O70=""),"R_incep；","")&amp;IF(N70="","近三年收益；","")&amp;IF(U70="","近三年胜率；","")&amp;IF(AND(V70&lt;&gt;"",OR(V70&lt;0,V70&gt;1)),"胜率窗口口径不一致；","")&amp;IF(AA70="","近三年回撤；","")&amp;IF(AD70="","短期卡玛；","")&amp;IF(AND(P70&lt;&gt;"",AE70=""),"DD_long不可识别；","")</f>
        <v/>
      </c>
      <c r="AV70" s="51" t="n">
        <v>49.65681</v>
      </c>
      <c r="AW70" s="22" t="inlineStr">
        <is>
          <t>10-20亿元</t>
        </is>
      </c>
      <c r="AX70" s="22" t="inlineStr">
        <is>
          <t>2026-07-27</t>
        </is>
      </c>
      <c r="AY70" s="22" t="inlineStr">
        <is>
          <t>上海汉鸿私募基金管理有限公司</t>
        </is>
      </c>
      <c r="AZ70" s="22" t="inlineStr">
        <is>
          <t>2026-07-27</t>
        </is>
      </c>
      <c r="BA70" s="22" t="inlineStr">
        <is>
          <t>https://gs.amac.org.cn/amac-infodisc/res/pof/manager/2108171651109816.html</t>
        </is>
      </c>
      <c r="BB70" s="22" t="inlineStr">
        <is>
          <t>汉盛浩远1号私募证券投资基金</t>
        </is>
      </c>
      <c r="BC70" s="22" t="inlineStr">
        <is>
          <t>2026-04-20</t>
        </is>
      </c>
      <c r="BD70" s="22" t="inlineStr">
        <is>
          <t>已匹配</t>
        </is>
      </c>
      <c r="BE70" t="inlineStr">
        <is>
          <t>https://gs.amac.org.cn/amac-infodisc/res/pof/fund/2209131707102448.html</t>
        </is>
      </c>
      <c r="BF70" t="inlineStr">
        <is>
          <t>已核验</t>
        </is>
      </c>
    </row>
    <row r="71" hidden="1" ht="28" customHeight="1" s="73">
      <c r="A71" s="2" t="n">
        <v>55</v>
      </c>
      <c r="B71" s="18" t="inlineStr">
        <is>
          <t>泽盈毅明1号</t>
        </is>
      </c>
      <c r="C71" s="18">
        <f>'sheet4-原始数据'!B56</f>
        <v/>
      </c>
      <c r="D71" s="18" t="inlineStr">
        <is>
          <t>青岛泽盈资管</t>
        </is>
      </c>
      <c r="E71" s="90" t="inlineStr">
        <is>
          <t>2022-10-17</t>
        </is>
      </c>
      <c r="F71" s="20" t="n">
        <v>3.9124</v>
      </c>
      <c r="G71" s="2">
        <f>IF(F71="","",IF(F71&lt;1,"不入池","入池"))</f>
        <v/>
      </c>
      <c r="H71" s="42" t="inlineStr">
        <is>
          <t>10-20亿元</t>
        </is>
      </c>
      <c r="I71" s="20" t="n">
        <v>80</v>
      </c>
      <c r="J71" s="43" t="inlineStr">
        <is>
          <t>无低于1000万元标识</t>
        </is>
      </c>
      <c r="K71" s="20" t="n">
        <v>100</v>
      </c>
      <c r="L71" s="20" t="n">
        <v>100</v>
      </c>
      <c r="M71" s="44" t="n">
        <v>0.0373</v>
      </c>
      <c r="N71" s="44" t="n">
        <v>0.2303</v>
      </c>
      <c r="O71" s="45" t="n"/>
      <c r="P71" s="46" t="n">
        <v>0.3398751947757805</v>
      </c>
      <c r="Q71" s="20" t="n">
        <v>33.68</v>
      </c>
      <c r="R71" s="20" t="n">
        <v>99</v>
      </c>
      <c r="S71" s="20" t="n">
        <v>59.81</v>
      </c>
      <c r="T71" s="44" t="n">
        <v>0.7692</v>
      </c>
      <c r="U71" s="44" t="n">
        <v>0.8108</v>
      </c>
      <c r="V71" s="46" t="n">
        <v>0.8333333333333334</v>
      </c>
      <c r="W71" s="20" t="n">
        <v>76.92</v>
      </c>
      <c r="X71" s="20" t="n">
        <v>83.33333333333334</v>
      </c>
      <c r="Y71" s="20" t="n">
        <v>79.48999999999999</v>
      </c>
      <c r="Z71" s="46" t="n">
        <v>0.003688285491095708</v>
      </c>
      <c r="AA71" s="44" t="n">
        <v>0.0347</v>
      </c>
      <c r="AB71" s="46" t="n">
        <v>0.0347</v>
      </c>
      <c r="AC71" s="20" t="n">
        <v>55.23</v>
      </c>
      <c r="AD71" s="91" t="n">
        <v>10.1131</v>
      </c>
      <c r="AE71" s="46" t="n">
        <v>0.0347</v>
      </c>
      <c r="AF71" s="20" t="n">
        <v>9.794674201031139</v>
      </c>
      <c r="AG71" s="20" t="n">
        <v>80.77</v>
      </c>
      <c r="AH71" s="20" t="n">
        <v>91.18000000000001</v>
      </c>
      <c r="AI71" s="20" t="n">
        <v>84.93000000000001</v>
      </c>
      <c r="AJ71" s="46" t="n">
        <v>0.2303</v>
      </c>
      <c r="AK71" s="20" t="n">
        <v>80</v>
      </c>
      <c r="AL71" s="20" t="n">
        <v>92</v>
      </c>
      <c r="AM71" s="20" t="n">
        <v>65.70999999999999</v>
      </c>
      <c r="AN71" s="20" t="n">
        <v>55.23</v>
      </c>
      <c r="AO71" s="20" t="n">
        <v>84.93000000000001</v>
      </c>
      <c r="AP71" s="20" t="n">
        <v>80</v>
      </c>
      <c r="AQ71" s="92" t="n">
        <v>1</v>
      </c>
      <c r="AR71" s="20" t="n">
        <v>74.22994</v>
      </c>
      <c r="AS71" s="20" t="n">
        <v>74.23</v>
      </c>
      <c r="AT71" s="49" t="n">
        <v>93</v>
      </c>
      <c r="AU71" s="50">
        <f>IF(I71="","管理人规模；","")&amp;IF(J71="","产品规模标识；","")&amp;IF(AND(F71&lt;3,O71=""),"R_incep；","")&amp;IF(N71="","近三年收益；","")&amp;IF(U71="","近三年胜率；","")&amp;IF(AND(V71&lt;&gt;"",OR(V71&lt;0,V71&gt;1)),"胜率窗口口径不一致；","")&amp;IF(AA71="","近三年回撤；","")&amp;IF(AD71="","短期卡玛；","")&amp;IF(AND(P71&lt;&gt;"",AE71=""),"DD_long不可识别；","")</f>
        <v/>
      </c>
      <c r="AV71" s="51" t="n">
        <v>74.22994</v>
      </c>
      <c r="AW71" s="22" t="inlineStr">
        <is>
          <t>10-20亿元</t>
        </is>
      </c>
      <c r="AX71" s="22" t="inlineStr">
        <is>
          <t>2026-03-05</t>
        </is>
      </c>
      <c r="AY71" s="22" t="inlineStr">
        <is>
          <t>青岛泽盈资产管理有限公司</t>
        </is>
      </c>
      <c r="AZ71" s="22" t="inlineStr">
        <is>
          <t>2026-03-05</t>
        </is>
      </c>
      <c r="BA71" s="22" t="inlineStr">
        <is>
          <t>https://gs.amac.org.cn/amac-infodisc/res/pof/manager/1710271352104113.html</t>
        </is>
      </c>
      <c r="BB71" s="22" t="inlineStr">
        <is>
          <t>泽盈毅明1号私募证券投资基金</t>
        </is>
      </c>
      <c r="BC71" s="22" t="inlineStr">
        <is>
          <t>2026-02-13</t>
        </is>
      </c>
      <c r="BD71" s="22" t="inlineStr">
        <is>
          <t>已匹配</t>
        </is>
      </c>
      <c r="BE71" t="inlineStr">
        <is>
          <t>https://gs.amac.org.cn/amac-infodisc/res/pof/fund/2210211605104676.html</t>
        </is>
      </c>
      <c r="BF71" t="inlineStr">
        <is>
          <t>已核验</t>
        </is>
      </c>
    </row>
    <row r="72" hidden="1" ht="28" customHeight="1" s="73">
      <c r="A72" s="2" t="n">
        <v>56</v>
      </c>
      <c r="B72" s="18" t="inlineStr">
        <is>
          <t>银杏善利3号</t>
        </is>
      </c>
      <c r="C72" s="18">
        <f>'sheet4-原始数据'!B57</f>
        <v/>
      </c>
      <c r="D72" s="18" t="inlineStr">
        <is>
          <t>上海银杏</t>
        </is>
      </c>
      <c r="E72" s="90" t="inlineStr">
        <is>
          <t>2022-10-19</t>
        </is>
      </c>
      <c r="F72" s="20" t="n">
        <v>3.9069</v>
      </c>
      <c r="G72" s="2">
        <f>IF(F72="","",IF(F72&lt;1,"不入池","入池"))</f>
        <v/>
      </c>
      <c r="H72" s="42" t="inlineStr">
        <is>
          <t>0-5亿元</t>
        </is>
      </c>
      <c r="I72" s="20" t="n">
        <v>60</v>
      </c>
      <c r="J72" s="43" t="inlineStr">
        <is>
          <t>无低于1000万元标识</t>
        </is>
      </c>
      <c r="K72" s="20" t="n">
        <v>100</v>
      </c>
      <c r="L72" s="20" t="n">
        <v>100</v>
      </c>
      <c r="M72" s="44" t="n">
        <v>0.07580000000000001</v>
      </c>
      <c r="N72" s="44" t="n">
        <v>0.0701</v>
      </c>
      <c r="O72" s="45" t="n"/>
      <c r="P72" s="46" t="n">
        <v>0.06726133531368483</v>
      </c>
      <c r="Q72" s="20" t="n">
        <v>63.19</v>
      </c>
      <c r="R72" s="20" t="n">
        <v>54.5</v>
      </c>
      <c r="S72" s="20" t="n">
        <v>59.71</v>
      </c>
      <c r="T72" s="44" t="n">
        <v>0.6153999999999999</v>
      </c>
      <c r="U72" s="44" t="n">
        <v>0.7297</v>
      </c>
      <c r="V72" s="46" t="n">
        <v>0.7916124999999999</v>
      </c>
      <c r="W72" s="20" t="n">
        <v>61.53999999999999</v>
      </c>
      <c r="X72" s="20" t="n">
        <v>79.16125</v>
      </c>
      <c r="Y72" s="20" t="n">
        <v>68.59</v>
      </c>
      <c r="Z72" s="46" t="n">
        <v>0.02251262251262251</v>
      </c>
      <c r="AA72" s="44" t="n">
        <v>0.0253</v>
      </c>
      <c r="AB72" s="46" t="n">
        <v>0.0253</v>
      </c>
      <c r="AC72" s="20" t="n">
        <v>65.84999999999999</v>
      </c>
      <c r="AD72" s="91" t="n">
        <v>3.367</v>
      </c>
      <c r="AE72" s="46" t="n">
        <v>0.0253</v>
      </c>
      <c r="AF72" s="20" t="n">
        <v>2.658550802912444</v>
      </c>
      <c r="AG72" s="20" t="n">
        <v>57.69</v>
      </c>
      <c r="AH72" s="20" t="n">
        <v>73.53</v>
      </c>
      <c r="AI72" s="20" t="n">
        <v>64.03</v>
      </c>
      <c r="AJ72" s="46" t="n">
        <v>0.0701</v>
      </c>
      <c r="AK72" s="20" t="n">
        <v>100</v>
      </c>
      <c r="AL72" s="20" t="n">
        <v>84</v>
      </c>
      <c r="AM72" s="20" t="n">
        <v>62.38</v>
      </c>
      <c r="AN72" s="20" t="n">
        <v>65.84999999999999</v>
      </c>
      <c r="AO72" s="20" t="n">
        <v>64.03</v>
      </c>
      <c r="AP72" s="20" t="n">
        <v>100</v>
      </c>
      <c r="AQ72" s="92" t="n">
        <v>1</v>
      </c>
      <c r="AR72" s="20" t="n">
        <v>70.74557</v>
      </c>
      <c r="AS72" s="20" t="n">
        <v>70.75</v>
      </c>
      <c r="AT72" s="49" t="n">
        <v>113</v>
      </c>
      <c r="AU72" s="50">
        <f>IF(I72="","管理人规模；","")&amp;IF(J72="","产品规模标识；","")&amp;IF(AND(F72&lt;3,O72=""),"R_incep；","")&amp;IF(N72="","近三年收益；","")&amp;IF(U72="","近三年胜率；","")&amp;IF(AND(V72&lt;&gt;"",OR(V72&lt;0,V72&gt;1)),"胜率窗口口径不一致；","")&amp;IF(AA72="","近三年回撤；","")&amp;IF(AD72="","短期卡玛；","")&amp;IF(AND(P72&lt;&gt;"",AE72=""),"DD_long不可识别；","")</f>
        <v/>
      </c>
      <c r="AV72" s="51" t="n">
        <v>70.74557</v>
      </c>
      <c r="AW72" s="22" t="inlineStr">
        <is>
          <t>0-5亿元</t>
        </is>
      </c>
      <c r="AX72" s="22" t="inlineStr">
        <is>
          <t>2026-03-06</t>
        </is>
      </c>
      <c r="AY72" s="22" t="inlineStr">
        <is>
          <t>上海银杏私募基金管理有限公司</t>
        </is>
      </c>
      <c r="AZ72" s="22" t="inlineStr">
        <is>
          <t>2026-03-06</t>
        </is>
      </c>
      <c r="BA72" s="22" t="inlineStr">
        <is>
          <t>https://gs.amac.org.cn/amac-infodisc/res/pof/manager/2105100905108445.html</t>
        </is>
      </c>
      <c r="BB72" s="22" t="inlineStr">
        <is>
          <t>银杏善利3号私募证券投资基金</t>
        </is>
      </c>
      <c r="BC72" s="22" t="inlineStr">
        <is>
          <t>2025-07-09</t>
        </is>
      </c>
      <c r="BD72" s="22" t="inlineStr">
        <is>
          <t>已匹配</t>
        </is>
      </c>
      <c r="BE72" t="inlineStr">
        <is>
          <t>https://gs.amac.org.cn/amac-infodisc/res/pof/fund/2210241718105120.html</t>
        </is>
      </c>
      <c r="BF72" t="inlineStr">
        <is>
          <t>已核验</t>
        </is>
      </c>
    </row>
    <row r="73" hidden="1" ht="28" customHeight="1" s="73">
      <c r="A73" s="2" t="n">
        <v>57</v>
      </c>
      <c r="B73" s="18" t="inlineStr">
        <is>
          <t>银杏善利6号</t>
        </is>
      </c>
      <c r="C73" s="18">
        <f>'sheet4-原始数据'!B58</f>
        <v/>
      </c>
      <c r="D73" s="18" t="inlineStr">
        <is>
          <t>上海银杏</t>
        </is>
      </c>
      <c r="E73" s="90" t="inlineStr">
        <is>
          <t>2022-11-10</t>
        </is>
      </c>
      <c r="F73" s="20" t="n">
        <v>3.8467</v>
      </c>
      <c r="G73" s="2">
        <f>IF(F73="","",IF(F73&lt;1,"不入池","入池"))</f>
        <v/>
      </c>
      <c r="H73" s="42" t="inlineStr">
        <is>
          <t>0-5亿元</t>
        </is>
      </c>
      <c r="I73" s="20" t="n">
        <v>60</v>
      </c>
      <c r="J73" s="43" t="inlineStr">
        <is>
          <t>低于1000万元</t>
        </is>
      </c>
      <c r="K73" s="20" t="n">
        <v>0</v>
      </c>
      <c r="L73" s="20" t="n">
        <v>100</v>
      </c>
      <c r="M73" s="44" t="n">
        <v>0.0137</v>
      </c>
      <c r="N73" s="44" t="n">
        <v>0.0599</v>
      </c>
      <c r="O73" s="45" t="n"/>
      <c r="P73" s="46" t="n">
        <v>0.08378370001293711</v>
      </c>
      <c r="Q73" s="20" t="n">
        <v>21.88</v>
      </c>
      <c r="R73" s="20" t="n">
        <v>68</v>
      </c>
      <c r="S73" s="20" t="n">
        <v>40.33</v>
      </c>
      <c r="T73" s="44" t="n">
        <v>0.6153999999999999</v>
      </c>
      <c r="U73" s="44" t="n">
        <v>0.7027</v>
      </c>
      <c r="V73" s="46" t="n">
        <v>0.7499875</v>
      </c>
      <c r="W73" s="20" t="n">
        <v>61.53999999999999</v>
      </c>
      <c r="X73" s="20" t="n">
        <v>74.99875</v>
      </c>
      <c r="Y73" s="20" t="n">
        <v>66.92</v>
      </c>
      <c r="Z73" s="46" t="n">
        <v>0.02159861264385938</v>
      </c>
      <c r="AA73" s="44" t="n">
        <v>0.0424</v>
      </c>
      <c r="AB73" s="46" t="n">
        <v>0.0424</v>
      </c>
      <c r="AC73" s="20" t="n">
        <v>49.48</v>
      </c>
      <c r="AD73" s="91" t="n">
        <v>0.6343</v>
      </c>
      <c r="AE73" s="46" t="n">
        <v>0.0424</v>
      </c>
      <c r="AF73" s="20" t="n">
        <v>1.976030660682479</v>
      </c>
      <c r="AG73" s="20" t="n">
        <v>28.67</v>
      </c>
      <c r="AH73" s="20" t="n">
        <v>66.18000000000001</v>
      </c>
      <c r="AI73" s="20" t="n">
        <v>43.67</v>
      </c>
      <c r="AJ73" s="46" t="n">
        <v>0.0599</v>
      </c>
      <c r="AK73" s="20" t="n">
        <v>80</v>
      </c>
      <c r="AL73" s="20" t="n">
        <v>54</v>
      </c>
      <c r="AM73" s="20" t="n">
        <v>48.31</v>
      </c>
      <c r="AN73" s="20" t="n">
        <v>49.48</v>
      </c>
      <c r="AO73" s="20" t="n">
        <v>43.67</v>
      </c>
      <c r="AP73" s="20" t="n">
        <v>80</v>
      </c>
      <c r="AQ73" s="92" t="n">
        <v>1</v>
      </c>
      <c r="AR73" s="20" t="n">
        <v>51.23353</v>
      </c>
      <c r="AS73" s="20" t="n">
        <v>51.23</v>
      </c>
      <c r="AT73" s="49" t="n">
        <v>215</v>
      </c>
      <c r="AU73" s="50">
        <f>IF(I73="","管理人规模；","")&amp;IF(J73="","产品规模标识；","")&amp;IF(AND(F73&lt;3,O73=""),"R_incep；","")&amp;IF(N73="","近三年收益；","")&amp;IF(U73="","近三年胜率；","")&amp;IF(AND(V73&lt;&gt;"",OR(V73&lt;0,V73&gt;1)),"胜率窗口口径不一致；","")&amp;IF(AA73="","近三年回撤；","")&amp;IF(AD73="","短期卡玛；","")&amp;IF(AND(P73&lt;&gt;"",AE73=""),"DD_long不可识别；","")</f>
        <v/>
      </c>
      <c r="AV73" s="51" t="n">
        <v>51.23353</v>
      </c>
      <c r="AW73" s="22" t="inlineStr">
        <is>
          <t>0-5亿元</t>
        </is>
      </c>
      <c r="AX73" s="22" t="inlineStr">
        <is>
          <t>2026-03-06</t>
        </is>
      </c>
      <c r="AY73" s="22" t="inlineStr">
        <is>
          <t>上海银杏私募基金管理有限公司</t>
        </is>
      </c>
      <c r="AZ73" s="22" t="inlineStr">
        <is>
          <t>2026-03-06</t>
        </is>
      </c>
      <c r="BA73" s="22" t="inlineStr">
        <is>
          <t>https://gs.amac.org.cn/amac-infodisc/res/pof/manager/2105100905108445.html</t>
        </is>
      </c>
      <c r="BB73" s="22" t="inlineStr">
        <is>
          <t>银杏善利6号私募证券投资基金</t>
        </is>
      </c>
      <c r="BC73" s="22" t="inlineStr">
        <is>
          <t>2026-08-11</t>
        </is>
      </c>
      <c r="BD73" s="22" t="inlineStr">
        <is>
          <t>已匹配</t>
        </is>
      </c>
      <c r="BE73" t="inlineStr">
        <is>
          <t>https://gs.amac.org.cn/amac-infodisc/res/pof/fund/2211161803111351.html</t>
        </is>
      </c>
      <c r="BF73" t="inlineStr">
        <is>
          <t>已核验</t>
        </is>
      </c>
    </row>
    <row r="74" hidden="1" ht="28" customHeight="1" s="73">
      <c r="A74" s="2" t="n">
        <v>58</v>
      </c>
      <c r="B74" s="18" t="inlineStr">
        <is>
          <t>博润易量稳健1号</t>
        </is>
      </c>
      <c r="C74" s="18">
        <f>'sheet4-原始数据'!B59</f>
        <v/>
      </c>
      <c r="D74" s="18" t="inlineStr">
        <is>
          <t>北京博润银泰投资</t>
        </is>
      </c>
      <c r="E74" s="90" t="inlineStr">
        <is>
          <t>2022-11-30</t>
        </is>
      </c>
      <c r="F74" s="20" t="n">
        <v>3.7919</v>
      </c>
      <c r="G74" s="2">
        <f>IF(F74="","",IF(F74&lt;1,"不入池","入池"))</f>
        <v/>
      </c>
      <c r="H74" s="42" t="inlineStr">
        <is>
          <t>100亿元以上</t>
        </is>
      </c>
      <c r="I74" s="20" t="n">
        <v>100</v>
      </c>
      <c r="J74" s="43" t="inlineStr">
        <is>
          <t>无低于1000万元标识</t>
        </is>
      </c>
      <c r="K74" s="20" t="n">
        <v>100</v>
      </c>
      <c r="L74" s="20" t="n">
        <v>100</v>
      </c>
      <c r="M74" s="44" t="n">
        <v>0.07829999999999999</v>
      </c>
      <c r="N74" s="44" t="n">
        <v>0.0519</v>
      </c>
      <c r="O74" s="45" t="n"/>
      <c r="P74" s="46" t="n">
        <v>0.03894337975682594</v>
      </c>
      <c r="Q74" s="20" t="n">
        <v>64.23999999999999</v>
      </c>
      <c r="R74" s="20" t="n">
        <v>26</v>
      </c>
      <c r="S74" s="20" t="n">
        <v>48.94</v>
      </c>
      <c r="T74" s="44" t="n">
        <v>0.5385</v>
      </c>
      <c r="U74" s="44" t="n">
        <v>0.6215999999999999</v>
      </c>
      <c r="V74" s="46" t="n">
        <v>0.6666124999999999</v>
      </c>
      <c r="W74" s="20" t="n">
        <v>53.84999999999999</v>
      </c>
      <c r="X74" s="20" t="n">
        <v>66.66125</v>
      </c>
      <c r="Y74" s="20" t="n">
        <v>58.97</v>
      </c>
      <c r="Z74" s="46" t="n">
        <v>0.03697407564810879</v>
      </c>
      <c r="AA74" s="44" t="n">
        <v>0.03700000000000001</v>
      </c>
      <c r="AB74" s="46" t="n">
        <v>0.03700000000000001</v>
      </c>
      <c r="AC74" s="20" t="n">
        <v>53.66</v>
      </c>
      <c r="AD74" s="91" t="n">
        <v>2.1177</v>
      </c>
      <c r="AE74" s="46" t="n"/>
      <c r="AF74" s="20" t="n"/>
      <c r="AG74" s="20" t="n">
        <v>48.25</v>
      </c>
      <c r="AH74" s="20" t="n"/>
      <c r="AI74" s="20" t="n">
        <v>48.25</v>
      </c>
      <c r="AJ74" s="46" t="n">
        <v>0.0519</v>
      </c>
      <c r="AK74" s="20" t="n">
        <v>100</v>
      </c>
      <c r="AL74" s="20" t="n">
        <v>100</v>
      </c>
      <c r="AM74" s="20" t="n">
        <v>51.95</v>
      </c>
      <c r="AN74" s="20" t="n">
        <v>53.66</v>
      </c>
      <c r="AO74" s="20" t="n">
        <v>48.25</v>
      </c>
      <c r="AP74" s="20" t="n">
        <v>100</v>
      </c>
      <c r="AQ74" s="92" t="n">
        <v>0.88</v>
      </c>
      <c r="AR74" s="20" t="n">
        <v>57.49063</v>
      </c>
      <c r="AS74" s="20" t="n">
        <v>65.33</v>
      </c>
      <c r="AT74" s="49" t="n">
        <v>145</v>
      </c>
      <c r="AU74" s="50">
        <f>IF(I74="","管理人规模；","")&amp;IF(J74="","产品规模标识；","")&amp;IF(AND(F74&lt;3,O74=""),"R_incep；","")&amp;IF(N74="","近三年收益；","")&amp;IF(U74="","近三年胜率；","")&amp;IF(AND(V74&lt;&gt;"",OR(V74&lt;0,V74&gt;1)),"胜率窗口口径不一致；","")&amp;IF(AA74="","近三年回撤；","")&amp;IF(AD74="","短期卡玛；","")&amp;IF(AND(P74&lt;&gt;"",AE74=""),"DD_long不可识别；","")</f>
        <v/>
      </c>
      <c r="AV74" s="51" t="n"/>
      <c r="AW74" s="22" t="inlineStr">
        <is>
          <t>100亿元以上</t>
        </is>
      </c>
      <c r="AX74" s="22" t="inlineStr">
        <is>
          <t>2026-02-10</t>
        </is>
      </c>
      <c r="AY74" s="22" t="inlineStr">
        <is>
          <t>北京博润银泰投资管理有限公司</t>
        </is>
      </c>
      <c r="AZ74" s="22" t="inlineStr">
        <is>
          <t>2026-02-10</t>
        </is>
      </c>
      <c r="BA74" s="22" t="inlineStr">
        <is>
          <t>https://gs.amac.org.cn/amac-infodisc/res/pof/manager/101000005082.html</t>
        </is>
      </c>
      <c r="BB74" s="22" t="inlineStr">
        <is>
          <t>博润易量稳健1号私募证券投资基金</t>
        </is>
      </c>
      <c r="BC74" s="22" t="inlineStr">
        <is>
          <t>2025-06-27</t>
        </is>
      </c>
      <c r="BD74" s="22" t="inlineStr">
        <is>
          <t>已匹配</t>
        </is>
      </c>
      <c r="BE74" t="inlineStr">
        <is>
          <t>https://gs.amac.org.cn/amac-infodisc/res/pof/fund/2211291710107928.html</t>
        </is>
      </c>
      <c r="BF74" t="inlineStr">
        <is>
          <t>已核验</t>
        </is>
      </c>
    </row>
    <row r="75" hidden="1" ht="28" customHeight="1" s="73">
      <c r="A75" s="2" t="n">
        <v>59</v>
      </c>
      <c r="B75" s="18" t="inlineStr">
        <is>
          <t>金麦穗卓诚一号</t>
        </is>
      </c>
      <c r="C75" s="18">
        <f>'sheet4-原始数据'!B60</f>
        <v/>
      </c>
      <c r="D75" s="18" t="inlineStr">
        <is>
          <t>山东金麦穗</t>
        </is>
      </c>
      <c r="E75" s="90" t="inlineStr">
        <is>
          <t>2022-12-01</t>
        </is>
      </c>
      <c r="F75" s="20" t="n">
        <v>3.7892</v>
      </c>
      <c r="G75" s="2">
        <f>IF(F75="","",IF(F75&lt;1,"不入池","入池"))</f>
        <v/>
      </c>
      <c r="H75" s="42" t="inlineStr">
        <is>
          <t>0-5亿元</t>
        </is>
      </c>
      <c r="I75" s="20" t="n">
        <v>60</v>
      </c>
      <c r="J75" s="43" t="inlineStr">
        <is>
          <t>低于1000万元</t>
        </is>
      </c>
      <c r="K75" s="20" t="n">
        <v>0</v>
      </c>
      <c r="L75" s="20" t="n">
        <v>100</v>
      </c>
      <c r="M75" s="44" t="n">
        <v>0.0608</v>
      </c>
      <c r="N75" s="44" t="n">
        <v>0.0883</v>
      </c>
      <c r="O75" s="45" t="n"/>
      <c r="P75" s="46" t="n">
        <v>0.102316195516172</v>
      </c>
      <c r="Q75" s="20" t="n">
        <v>51.74</v>
      </c>
      <c r="R75" s="20" t="n">
        <v>72</v>
      </c>
      <c r="S75" s="20" t="n">
        <v>59.84</v>
      </c>
      <c r="T75" s="44" t="n">
        <v>0.4615</v>
      </c>
      <c r="U75" s="44" t="n">
        <v>0.6486</v>
      </c>
      <c r="V75" s="46" t="n">
        <v>0.7499458333333333</v>
      </c>
      <c r="W75" s="20" t="n">
        <v>46.15</v>
      </c>
      <c r="X75" s="20" t="n">
        <v>74.99458333333334</v>
      </c>
      <c r="Y75" s="20" t="n">
        <v>57.69</v>
      </c>
      <c r="Z75" s="46" t="n">
        <v>0.04355300859598854</v>
      </c>
      <c r="AA75" s="44" t="n">
        <v>0.07389999999999999</v>
      </c>
      <c r="AB75" s="46" t="n">
        <v>0.07389999999999999</v>
      </c>
      <c r="AC75" s="20" t="n">
        <v>34.84</v>
      </c>
      <c r="AD75" s="91" t="n">
        <v>1.396</v>
      </c>
      <c r="AE75" s="46" t="n">
        <v>0.07389999999999999</v>
      </c>
      <c r="AF75" s="20" t="n">
        <v>1.384522266795291</v>
      </c>
      <c r="AG75" s="20" t="n">
        <v>39.51</v>
      </c>
      <c r="AH75" s="20" t="n">
        <v>52.21</v>
      </c>
      <c r="AI75" s="20" t="n">
        <v>44.59</v>
      </c>
      <c r="AJ75" s="46" t="n">
        <v>0.0883</v>
      </c>
      <c r="AK75" s="20" t="n">
        <v>80</v>
      </c>
      <c r="AL75" s="20" t="n">
        <v>54</v>
      </c>
      <c r="AM75" s="20" t="n">
        <v>59.2</v>
      </c>
      <c r="AN75" s="20" t="n">
        <v>34.84</v>
      </c>
      <c r="AO75" s="20" t="n">
        <v>44.59</v>
      </c>
      <c r="AP75" s="20" t="n">
        <v>80</v>
      </c>
      <c r="AQ75" s="92" t="n">
        <v>1</v>
      </c>
      <c r="AR75" s="20" t="n">
        <v>50.02643</v>
      </c>
      <c r="AS75" s="20" t="n">
        <v>50.03</v>
      </c>
      <c r="AT75" s="49" t="n">
        <v>223</v>
      </c>
      <c r="AU75" s="50">
        <f>IF(I75="","管理人规模；","")&amp;IF(J75="","产品规模标识；","")&amp;IF(AND(F75&lt;3,O75=""),"R_incep；","")&amp;IF(N75="","近三年收益；","")&amp;IF(U75="","近三年胜率；","")&amp;IF(AND(V75&lt;&gt;"",OR(V75&lt;0,V75&gt;1)),"胜率窗口口径不一致；","")&amp;IF(AA75="","近三年回撤；","")&amp;IF(AD75="","短期卡玛；","")&amp;IF(AND(P75&lt;&gt;"",AE75=""),"DD_long不可识别；","")</f>
        <v/>
      </c>
      <c r="AV75" s="51" t="n">
        <v>50.02643</v>
      </c>
      <c r="AW75" s="22" t="inlineStr">
        <is>
          <t>0-5亿元</t>
        </is>
      </c>
      <c r="AX75" s="22" t="inlineStr">
        <is>
          <t>2026-04-30</t>
        </is>
      </c>
      <c r="AY75" s="22" t="inlineStr">
        <is>
          <t>金麦穗（山东）私募基金管理有限公司</t>
        </is>
      </c>
      <c r="AZ75" s="22" t="inlineStr">
        <is>
          <t>2026-04-30</t>
        </is>
      </c>
      <c r="BA75" s="22" t="inlineStr">
        <is>
          <t>https://gs.amac.org.cn/amac-infodisc/res/pof/manager/101000032909.html</t>
        </is>
      </c>
      <c r="BB75" s="22" t="inlineStr">
        <is>
          <t>金麦穗卓诚一号私募证券投资基金</t>
        </is>
      </c>
      <c r="BC75" s="22" t="inlineStr">
        <is>
          <t>2022-12-08</t>
        </is>
      </c>
      <c r="BD75" s="22" t="inlineStr">
        <is>
          <t>已匹配</t>
        </is>
      </c>
      <c r="BE75" t="inlineStr">
        <is>
          <t>https://gs.amac.org.cn/amac-infodisc/res/pof/fund/2212081848110819.html</t>
        </is>
      </c>
      <c r="BF75" t="inlineStr">
        <is>
          <t>已核验</t>
        </is>
      </c>
    </row>
    <row r="76" hidden="1" ht="28" customHeight="1" s="73">
      <c r="A76" s="2" t="n">
        <v>60</v>
      </c>
      <c r="B76" s="18" t="inlineStr">
        <is>
          <t>慕途稳健2号</t>
        </is>
      </c>
      <c r="C76" s="18">
        <f>'sheet4-原始数据'!B61</f>
        <v/>
      </c>
      <c r="D76" s="18" t="inlineStr">
        <is>
          <t>慕途基金</t>
        </is>
      </c>
      <c r="E76" s="90" t="inlineStr">
        <is>
          <t>2022-12-13</t>
        </is>
      </c>
      <c r="F76" s="20" t="n">
        <v>3.7563</v>
      </c>
      <c r="G76" s="2">
        <f>IF(F76="","",IF(F76&lt;1,"不入池","入池"))</f>
        <v/>
      </c>
      <c r="H76" s="42" t="inlineStr">
        <is>
          <t>10-20亿元</t>
        </is>
      </c>
      <c r="I76" s="20" t="n">
        <v>80</v>
      </c>
      <c r="J76" s="43" t="inlineStr">
        <is>
          <t>无低于1000万元标识</t>
        </is>
      </c>
      <c r="K76" s="20" t="n">
        <v>100</v>
      </c>
      <c r="L76" s="20" t="n">
        <v>100</v>
      </c>
      <c r="M76" s="44" t="n">
        <v>0.07629999999999999</v>
      </c>
      <c r="N76" s="44" t="n">
        <v>0.076</v>
      </c>
      <c r="O76" s="45" t="n"/>
      <c r="P76" s="46" t="n">
        <v>0.07585003135888524</v>
      </c>
      <c r="Q76" s="20" t="n">
        <v>63.54</v>
      </c>
      <c r="R76" s="20" t="n">
        <v>61.5</v>
      </c>
      <c r="S76" s="20" t="n">
        <v>62.72</v>
      </c>
      <c r="T76" s="44" t="n">
        <v>0.9231</v>
      </c>
      <c r="U76" s="44" t="n">
        <v>0.973</v>
      </c>
      <c r="V76" s="46" t="n">
        <v>1.000029166666667</v>
      </c>
      <c r="W76" s="20" t="n">
        <v>92.31</v>
      </c>
      <c r="X76" s="20" t="n"/>
      <c r="Y76" s="20" t="n">
        <v>92.31</v>
      </c>
      <c r="Z76" s="46" t="n">
        <v>0.007717516638682661</v>
      </c>
      <c r="AA76" s="44" t="n">
        <v>0.0077</v>
      </c>
      <c r="AB76" s="46" t="n">
        <v>0.007717516638682661</v>
      </c>
      <c r="AC76" s="20" t="n">
        <v>88.5</v>
      </c>
      <c r="AD76" s="91" t="n">
        <v>9.8866</v>
      </c>
      <c r="AE76" s="46" t="n"/>
      <c r="AF76" s="20" t="n"/>
      <c r="AG76" s="20" t="n">
        <v>80.06999999999999</v>
      </c>
      <c r="AH76" s="20" t="n"/>
      <c r="AI76" s="20" t="n">
        <v>80.06999999999999</v>
      </c>
      <c r="AJ76" s="46" t="n">
        <v>0.076</v>
      </c>
      <c r="AK76" s="20" t="n">
        <v>100</v>
      </c>
      <c r="AL76" s="20" t="n">
        <v>92</v>
      </c>
      <c r="AM76" s="20" t="n">
        <v>68.78</v>
      </c>
      <c r="AN76" s="20" t="n">
        <v>88.5</v>
      </c>
      <c r="AO76" s="20" t="n">
        <v>80.06999999999999</v>
      </c>
      <c r="AP76" s="20" t="n">
        <v>100</v>
      </c>
      <c r="AQ76" s="92" t="n">
        <v>0.856</v>
      </c>
      <c r="AR76" s="20" t="n">
        <v>72.44212</v>
      </c>
      <c r="AS76" s="20" t="n">
        <v>84.63</v>
      </c>
      <c r="AT76" s="49" t="n">
        <v>33</v>
      </c>
      <c r="AU76" s="50">
        <f>IF(I76="","管理人规模；","")&amp;IF(J76="","产品规模标识；","")&amp;IF(AND(F76&lt;3,O76=""),"R_incep；","")&amp;IF(N76="","近三年收益；","")&amp;IF(U76="","近三年胜率；","")&amp;IF(AND(V76&lt;&gt;"",OR(V76&lt;0,V76&gt;1)),"胜率窗口口径不一致；","")&amp;IF(AA76="","近三年回撤；","")&amp;IF(AD76="","短期卡玛；","")&amp;IF(AND(P76&lt;&gt;"",AE76=""),"DD_long不可识别；","")</f>
        <v/>
      </c>
      <c r="AV76" s="51" t="n"/>
      <c r="AW76" s="22" t="inlineStr">
        <is>
          <t>10-20亿元</t>
        </is>
      </c>
      <c r="AX76" s="22" t="inlineStr">
        <is>
          <t>2026-06-12</t>
        </is>
      </c>
      <c r="AY76" s="22" t="inlineStr">
        <is>
          <t>上海慕途私募基金管理有限公司</t>
        </is>
      </c>
      <c r="AZ76" s="22" t="inlineStr">
        <is>
          <t>2026-06-12</t>
        </is>
      </c>
      <c r="BA76" s="22" t="inlineStr">
        <is>
          <t>https://gs.amac.org.cn/amac-infodisc/res/pof/manager/2106221238106983.html</t>
        </is>
      </c>
      <c r="BB76" s="22" t="inlineStr">
        <is>
          <t>慕途稳健2号私募证券投资基金</t>
        </is>
      </c>
      <c r="BC76" s="22" t="inlineStr">
        <is>
          <t>2026-05-14</t>
        </is>
      </c>
      <c r="BD76" s="22" t="inlineStr">
        <is>
          <t>已匹配</t>
        </is>
      </c>
      <c r="BE76" t="inlineStr">
        <is>
          <t>https://gs.amac.org.cn/amac-infodisc/res/pof/fund/2212152201105746.html</t>
        </is>
      </c>
      <c r="BF76" t="inlineStr">
        <is>
          <t>已核验</t>
        </is>
      </c>
    </row>
    <row r="77" hidden="1" ht="28" customHeight="1" s="73">
      <c r="A77" s="2" t="n">
        <v>61</v>
      </c>
      <c r="B77" s="18" t="inlineStr">
        <is>
          <t>方普安享二号</t>
        </is>
      </c>
      <c r="C77" s="18">
        <f>'sheet4-原始数据'!B62</f>
        <v/>
      </c>
      <c r="D77" s="18" t="inlineStr">
        <is>
          <t>珠海横琴方普</t>
        </is>
      </c>
      <c r="E77" s="90" t="inlineStr">
        <is>
          <t>2022-12-16</t>
        </is>
      </c>
      <c r="F77" s="20" t="n">
        <v>3.7481</v>
      </c>
      <c r="G77" s="2">
        <f>IF(F77="","",IF(F77&lt;1,"不入池","入池"))</f>
        <v/>
      </c>
      <c r="H77" s="42" t="inlineStr">
        <is>
          <t>10-20亿元</t>
        </is>
      </c>
      <c r="I77" s="20" t="n">
        <v>80</v>
      </c>
      <c r="J77" s="43" t="inlineStr">
        <is>
          <t>无低于1000万元标识</t>
        </is>
      </c>
      <c r="K77" s="20" t="n">
        <v>100</v>
      </c>
      <c r="L77" s="20" t="n">
        <v>100</v>
      </c>
      <c r="M77" s="44" t="n">
        <v>0.0381</v>
      </c>
      <c r="N77" s="44" t="n"/>
      <c r="O77" s="45" t="n"/>
      <c r="P77" s="46" t="n"/>
      <c r="Q77" s="20" t="n">
        <v>34.38</v>
      </c>
      <c r="R77" s="20" t="n"/>
      <c r="S77" s="20" t="n">
        <v>34.38</v>
      </c>
      <c r="T77" s="44" t="n">
        <v>0.5385</v>
      </c>
      <c r="U77" s="44" t="n"/>
      <c r="V77" s="46" t="n"/>
      <c r="W77" s="20" t="n">
        <v>53.84999999999999</v>
      </c>
      <c r="X77" s="20" t="n"/>
      <c r="Y77" s="20" t="n">
        <v>53.84999999999999</v>
      </c>
      <c r="Z77" s="46" t="n">
        <v>0.02483864658713084</v>
      </c>
      <c r="AA77" s="44" t="n"/>
      <c r="AB77" s="46" t="n">
        <v>0.02483864658713084</v>
      </c>
      <c r="AC77" s="20" t="n">
        <v>67.25</v>
      </c>
      <c r="AD77" s="91" t="n">
        <v>1.5339</v>
      </c>
      <c r="AE77" s="46" t="n"/>
      <c r="AF77" s="20" t="n"/>
      <c r="AG77" s="20" t="n">
        <v>40.91</v>
      </c>
      <c r="AH77" s="20" t="n"/>
      <c r="AI77" s="20" t="n">
        <v>40.91</v>
      </c>
      <c r="AJ77" s="46" t="n"/>
      <c r="AK77" s="20" t="n"/>
      <c r="AL77" s="20" t="n">
        <v>92</v>
      </c>
      <c r="AM77" s="20" t="n">
        <v>40.22</v>
      </c>
      <c r="AN77" s="20" t="n">
        <v>67.25</v>
      </c>
      <c r="AO77" s="20" t="n">
        <v>40.91</v>
      </c>
      <c r="AP77" s="20" t="n"/>
      <c r="AQ77" s="92" t="n">
        <v>0.7</v>
      </c>
      <c r="AR77" s="20" t="n">
        <v>42.80282</v>
      </c>
      <c r="AS77" s="20" t="n">
        <v>61.15</v>
      </c>
      <c r="AT77" s="49" t="n">
        <v>159</v>
      </c>
      <c r="AU77" s="50">
        <f>IF(I77="","管理人规模；","")&amp;IF(J77="","产品规模标识；","")&amp;IF(AND(F77&lt;3,O77=""),"R_incep；","")&amp;IF(N77="","近三年收益；","")&amp;IF(U77="","近三年胜率；","")&amp;IF(AND(V77&lt;&gt;"",OR(V77&lt;0,V77&gt;1)),"胜率窗口口径不一致；","")&amp;IF(AA77="","近三年回撤；","")&amp;IF(AD77="","短期卡玛；","")&amp;IF(AND(P77&lt;&gt;"",AE77=""),"DD_long不可识别；","")</f>
        <v/>
      </c>
      <c r="AV77" s="51" t="n"/>
      <c r="AW77" s="22" t="inlineStr">
        <is>
          <t>10-20亿元</t>
        </is>
      </c>
      <c r="AX77" s="22" t="inlineStr">
        <is>
          <t>2026-08-12</t>
        </is>
      </c>
      <c r="AY77" s="22" t="inlineStr">
        <is>
          <t>珠海横琴方普私募基金管理有限公司</t>
        </is>
      </c>
      <c r="AZ77" s="22" t="inlineStr">
        <is>
          <t>2026-08-12</t>
        </is>
      </c>
      <c r="BA77" s="22" t="inlineStr">
        <is>
          <t>https://gs.amac.org.cn/amac-infodisc/res/pof/manager/1804051826107605.html</t>
        </is>
      </c>
      <c r="BB77" s="22" t="inlineStr">
        <is>
          <t>方普安享二号私募证券投资基金</t>
        </is>
      </c>
      <c r="BC77" s="22" t="inlineStr">
        <is>
          <t>2026-07-31</t>
        </is>
      </c>
      <c r="BD77" s="22" t="inlineStr">
        <is>
          <t>已匹配</t>
        </is>
      </c>
      <c r="BE77" t="inlineStr">
        <is>
          <t>https://gs.amac.org.cn/amac-infodisc/res/pof/fund/2212271123105087.html</t>
        </is>
      </c>
      <c r="BF77" t="inlineStr">
        <is>
          <t>已核验</t>
        </is>
      </c>
    </row>
    <row r="78" hidden="1" ht="28" customHeight="1" s="73">
      <c r="A78" s="2" t="n">
        <v>62</v>
      </c>
      <c r="B78" s="18" t="inlineStr">
        <is>
          <t>佳泽信享5号</t>
        </is>
      </c>
      <c r="C78" s="18">
        <f>'sheet4-原始数据'!B63</f>
        <v/>
      </c>
      <c r="D78" s="18" t="inlineStr">
        <is>
          <t>海南佳泽</t>
        </is>
      </c>
      <c r="E78" s="90" t="inlineStr">
        <is>
          <t>2023-01-10</t>
        </is>
      </c>
      <c r="F78" s="20" t="n">
        <v>3.6797</v>
      </c>
      <c r="G78" s="2">
        <f>IF(F78="","",IF(F78&lt;1,"不入池","入池"))</f>
        <v/>
      </c>
      <c r="H78" s="42" t="inlineStr">
        <is>
          <t>0-5亿元</t>
        </is>
      </c>
      <c r="I78" s="20" t="n">
        <v>60</v>
      </c>
      <c r="J78" s="43" t="inlineStr">
        <is>
          <t>无低于1000万元标识</t>
        </is>
      </c>
      <c r="K78" s="20" t="n">
        <v>100</v>
      </c>
      <c r="L78" s="20" t="n">
        <v>100</v>
      </c>
      <c r="M78" s="44" t="n">
        <v>0.0629</v>
      </c>
      <c r="N78" s="44" t="n">
        <v>0.0478</v>
      </c>
      <c r="O78" s="45" t="n"/>
      <c r="P78" s="46" t="n">
        <v>0.04033063532465242</v>
      </c>
      <c r="Q78" s="20" t="n">
        <v>53.65</v>
      </c>
      <c r="R78" s="20" t="n">
        <v>27.5</v>
      </c>
      <c r="S78" s="20" t="n">
        <v>43.19</v>
      </c>
      <c r="T78" s="44" t="n">
        <v>0.8462000000000001</v>
      </c>
      <c r="U78" s="44" t="n">
        <v>0.7027</v>
      </c>
      <c r="V78" s="46" t="n">
        <v>0.6249708333333334</v>
      </c>
      <c r="W78" s="20" t="n">
        <v>84.62</v>
      </c>
      <c r="X78" s="20" t="n">
        <v>62.49708333333334</v>
      </c>
      <c r="Y78" s="20" t="n">
        <v>75.77</v>
      </c>
      <c r="Z78" s="46" t="n">
        <v>0.009405044931891924</v>
      </c>
      <c r="AA78" s="44" t="n">
        <v>0.0248</v>
      </c>
      <c r="AB78" s="46" t="n">
        <v>0.0248</v>
      </c>
      <c r="AC78" s="20" t="n">
        <v>67.59999999999999</v>
      </c>
      <c r="AD78" s="91" t="n">
        <v>6.6879</v>
      </c>
      <c r="AE78" s="46" t="n">
        <v>0.0248</v>
      </c>
      <c r="AF78" s="20" t="n">
        <v>1.626235295348888</v>
      </c>
      <c r="AG78" s="20" t="n">
        <v>73.43000000000001</v>
      </c>
      <c r="AH78" s="20" t="n">
        <v>57.35</v>
      </c>
      <c r="AI78" s="20" t="n">
        <v>67</v>
      </c>
      <c r="AJ78" s="46" t="n">
        <v>0.0478</v>
      </c>
      <c r="AK78" s="20" t="n">
        <v>100</v>
      </c>
      <c r="AL78" s="20" t="n">
        <v>84</v>
      </c>
      <c r="AM78" s="20" t="n">
        <v>52.96</v>
      </c>
      <c r="AN78" s="20" t="n">
        <v>67.59999999999999</v>
      </c>
      <c r="AO78" s="20" t="n">
        <v>67</v>
      </c>
      <c r="AP78" s="20" t="n">
        <v>100</v>
      </c>
      <c r="AQ78" s="92" t="n">
        <v>1</v>
      </c>
      <c r="AR78" s="20" t="n">
        <v>70.19225</v>
      </c>
      <c r="AS78" s="20" t="n">
        <v>70.19</v>
      </c>
      <c r="AT78" s="49" t="n">
        <v>118</v>
      </c>
      <c r="AU78" s="50">
        <f>IF(I78="","管理人规模；","")&amp;IF(J78="","产品规模标识；","")&amp;IF(AND(F78&lt;3,O78=""),"R_incep；","")&amp;IF(N78="","近三年收益；","")&amp;IF(U78="","近三年胜率；","")&amp;IF(AND(V78&lt;&gt;"",OR(V78&lt;0,V78&gt;1)),"胜率窗口口径不一致；","")&amp;IF(AA78="","近三年回撤；","")&amp;IF(AD78="","短期卡玛；","")&amp;IF(AND(P78&lt;&gt;"",AE78=""),"DD_long不可识别；","")</f>
        <v/>
      </c>
      <c r="AV78" s="51" t="n">
        <v>70.19225</v>
      </c>
      <c r="AW78" s="22" t="inlineStr">
        <is>
          <t>0-5亿元</t>
        </is>
      </c>
      <c r="AX78" s="22" t="inlineStr">
        <is>
          <t>2026-08-07</t>
        </is>
      </c>
      <c r="AY78" s="22" t="inlineStr">
        <is>
          <t>海南佳泽私募基金管理合伙企业（有限合伙）</t>
        </is>
      </c>
      <c r="AZ78" s="22" t="inlineStr">
        <is>
          <t>2026-08-07</t>
        </is>
      </c>
      <c r="BA78" s="22" t="inlineStr">
        <is>
          <t>https://gs.amac.org.cn/amac-infodisc/res/pof/manager/2202171443109430.html</t>
        </is>
      </c>
      <c r="BB78" s="22" t="inlineStr">
        <is>
          <t>佳泽信享5号私募证券投资基金</t>
        </is>
      </c>
      <c r="BC78" s="22" t="inlineStr">
        <is>
          <t>2025-07-11</t>
        </is>
      </c>
      <c r="BD78" s="22" t="inlineStr">
        <is>
          <t>已匹配</t>
        </is>
      </c>
      <c r="BE78" t="inlineStr">
        <is>
          <t>https://gs.amac.org.cn/amac-infodisc/res/pof/fund/2301171711103586.html</t>
        </is>
      </c>
      <c r="BF78" t="inlineStr">
        <is>
          <t>已核验</t>
        </is>
      </c>
    </row>
    <row r="79" hidden="1" ht="28" customHeight="1" s="73">
      <c r="A79" s="2" t="n">
        <v>63</v>
      </c>
      <c r="B79" s="18" t="inlineStr">
        <is>
          <t>衍舟弄潮2号</t>
        </is>
      </c>
      <c r="C79" s="18">
        <f>'sheet4-原始数据'!B64</f>
        <v/>
      </c>
      <c r="D79" s="18" t="inlineStr">
        <is>
          <t>海南衍舟</t>
        </is>
      </c>
      <c r="E79" s="90" t="inlineStr">
        <is>
          <t>2023-02-02</t>
        </is>
      </c>
      <c r="F79" s="20" t="n">
        <v>3.6167</v>
      </c>
      <c r="G79" s="2">
        <f>IF(F79="","",IF(F79&lt;1,"不入池","入池"))</f>
        <v/>
      </c>
      <c r="H79" s="42" t="inlineStr">
        <is>
          <t>0-5亿元</t>
        </is>
      </c>
      <c r="I79" s="20" t="n">
        <v>60</v>
      </c>
      <c r="J79" s="43" t="inlineStr">
        <is>
          <t>低于1000万元</t>
        </is>
      </c>
      <c r="K79" s="20" t="n">
        <v>0</v>
      </c>
      <c r="L79" s="20" t="n">
        <v>100</v>
      </c>
      <c r="M79" s="44" t="n">
        <v>-0.0524</v>
      </c>
      <c r="N79" s="44" t="n">
        <v>0.0242</v>
      </c>
      <c r="O79" s="45" t="n"/>
      <c r="P79" s="46" t="n">
        <v>0.06479163636900553</v>
      </c>
      <c r="Q79" s="20" t="n">
        <v>6.94</v>
      </c>
      <c r="R79" s="20" t="n">
        <v>52</v>
      </c>
      <c r="S79" s="20" t="n">
        <v>24.96</v>
      </c>
      <c r="T79" s="44" t="n">
        <v>0.3077</v>
      </c>
      <c r="U79" s="44" t="n">
        <v>0.6215999999999999</v>
      </c>
      <c r="V79" s="46" t="n">
        <v>0.7916291666666666</v>
      </c>
      <c r="W79" s="20" t="n">
        <v>30.77</v>
      </c>
      <c r="X79" s="20" t="n">
        <v>79.16291666666666</v>
      </c>
      <c r="Y79" s="20" t="n">
        <v>50.13</v>
      </c>
      <c r="Z79" s="46" t="n">
        <v>0.08309546463685379</v>
      </c>
      <c r="AA79" s="44" t="n">
        <v>0.09420000000000001</v>
      </c>
      <c r="AB79" s="46" t="n">
        <v>0.09420000000000001</v>
      </c>
      <c r="AC79" s="20" t="n">
        <v>28.57</v>
      </c>
      <c r="AD79" s="91" t="n">
        <v>-0.6306</v>
      </c>
      <c r="AE79" s="46" t="n">
        <v>0.09420000000000001</v>
      </c>
      <c r="AF79" s="20" t="n">
        <v>0.6878093032803135</v>
      </c>
      <c r="AG79" s="20" t="n">
        <v>4.9</v>
      </c>
      <c r="AH79" s="20" t="n">
        <v>25.74</v>
      </c>
      <c r="AI79" s="20" t="n">
        <v>13.24</v>
      </c>
      <c r="AJ79" s="46" t="n">
        <v>0.0242</v>
      </c>
      <c r="AK79" s="20" t="n">
        <v>80</v>
      </c>
      <c r="AL79" s="20" t="n">
        <v>54</v>
      </c>
      <c r="AM79" s="20" t="n">
        <v>32.51</v>
      </c>
      <c r="AN79" s="20" t="n">
        <v>28.57</v>
      </c>
      <c r="AO79" s="20" t="n">
        <v>13.24</v>
      </c>
      <c r="AP79" s="20" t="n">
        <v>80</v>
      </c>
      <c r="AQ79" s="92" t="n">
        <v>1</v>
      </c>
      <c r="AR79" s="20" t="n">
        <v>33.71589</v>
      </c>
      <c r="AS79" s="20" t="n">
        <v>33.72</v>
      </c>
      <c r="AT79" s="49" t="n">
        <v>289</v>
      </c>
      <c r="AU79" s="50">
        <f>IF(I79="","管理人规模；","")&amp;IF(J79="","产品规模标识；","")&amp;IF(AND(F79&lt;3,O79=""),"R_incep；","")&amp;IF(N79="","近三年收益；","")&amp;IF(U79="","近三年胜率；","")&amp;IF(AND(V79&lt;&gt;"",OR(V79&lt;0,V79&gt;1)),"胜率窗口口径不一致；","")&amp;IF(AA79="","近三年回撤；","")&amp;IF(AD79="","短期卡玛；","")&amp;IF(AND(P79&lt;&gt;"",AE79=""),"DD_long不可识别；","")</f>
        <v/>
      </c>
      <c r="AV79" s="51" t="n">
        <v>33.71589</v>
      </c>
      <c r="AW79" s="22" t="inlineStr">
        <is>
          <t>0-5亿元</t>
        </is>
      </c>
      <c r="AX79" s="22" t="inlineStr">
        <is>
          <t>2026-08-26</t>
        </is>
      </c>
      <c r="AY79" s="22" t="inlineStr">
        <is>
          <t>衍舟（海南）私募基金管理有限公司</t>
        </is>
      </c>
      <c r="AZ79" s="22" t="inlineStr">
        <is>
          <t>2026-08-26</t>
        </is>
      </c>
      <c r="BA79" s="22" t="inlineStr">
        <is>
          <t>https://gs.amac.org.cn/amac-infodisc/res/pof/manager/2203211010108428.html</t>
        </is>
      </c>
      <c r="BB79" s="22" t="inlineStr">
        <is>
          <t>衍舟弄潮2号私募证券投资基金</t>
        </is>
      </c>
      <c r="BC79" s="22" t="inlineStr">
        <is>
          <t>2025-01-17</t>
        </is>
      </c>
      <c r="BD79" s="22" t="inlineStr">
        <is>
          <t>已匹配</t>
        </is>
      </c>
      <c r="BE79" t="inlineStr">
        <is>
          <t>https://gs.amac.org.cn/amac-infodisc/res/pof/fund/2302071705107356.html</t>
        </is>
      </c>
      <c r="BF79" t="inlineStr">
        <is>
          <t>已核验</t>
        </is>
      </c>
    </row>
    <row r="80" hidden="1" ht="28" customHeight="1" s="73">
      <c r="A80" s="2" t="n">
        <v>64</v>
      </c>
      <c r="B80" s="18" t="inlineStr">
        <is>
          <t>银瓴汇金1号</t>
        </is>
      </c>
      <c r="C80" s="18">
        <f>'sheet4-原始数据'!B65</f>
        <v/>
      </c>
      <c r="D80" s="18" t="inlineStr">
        <is>
          <t>广西银瓴资产</t>
        </is>
      </c>
      <c r="E80" s="90" t="inlineStr">
        <is>
          <t>2023-03-21</t>
        </is>
      </c>
      <c r="F80" s="20" t="n">
        <v>3.488</v>
      </c>
      <c r="G80" s="2">
        <f>IF(F80="","",IF(F80&lt;1,"不入池","入池"))</f>
        <v/>
      </c>
      <c r="H80" s="42" t="inlineStr">
        <is>
          <t>0-5亿元</t>
        </is>
      </c>
      <c r="I80" s="20" t="n">
        <v>60</v>
      </c>
      <c r="J80" s="43" t="inlineStr">
        <is>
          <t>低于1000万元</t>
        </is>
      </c>
      <c r="K80" s="20" t="n">
        <v>0</v>
      </c>
      <c r="L80" s="20" t="n">
        <v>100</v>
      </c>
      <c r="M80" s="44" t="n">
        <v>-0.0535</v>
      </c>
      <c r="N80" s="44" t="n">
        <v>0.0785</v>
      </c>
      <c r="O80" s="45" t="n"/>
      <c r="P80" s="46" t="n">
        <v>0.1512507205095903</v>
      </c>
      <c r="Q80" s="20" t="n">
        <v>6.6</v>
      </c>
      <c r="R80" s="20" t="n">
        <v>89</v>
      </c>
      <c r="S80" s="20" t="n">
        <v>39.56</v>
      </c>
      <c r="T80" s="44" t="n">
        <v>0.6153999999999999</v>
      </c>
      <c r="U80" s="44" t="n">
        <v>0.5676</v>
      </c>
      <c r="V80" s="46" t="n">
        <v>0.5417083333333333</v>
      </c>
      <c r="W80" s="20" t="n">
        <v>61.53999999999999</v>
      </c>
      <c r="X80" s="20" t="n">
        <v>54.17083333333333</v>
      </c>
      <c r="Y80" s="20" t="n">
        <v>58.59</v>
      </c>
      <c r="Z80" s="46" t="n">
        <v>0.1518161180476731</v>
      </c>
      <c r="AA80" s="44" t="n">
        <v>0.1832</v>
      </c>
      <c r="AB80" s="46" t="n">
        <v>0.1832</v>
      </c>
      <c r="AC80" s="20" t="n">
        <v>12.54</v>
      </c>
      <c r="AD80" s="91" t="n">
        <v>-0.3524</v>
      </c>
      <c r="AE80" s="46" t="n">
        <v>0.1832</v>
      </c>
      <c r="AF80" s="20" t="n">
        <v>0.8256043695938337</v>
      </c>
      <c r="AG80" s="20" t="n">
        <v>9.44</v>
      </c>
      <c r="AH80" s="20" t="n">
        <v>32.35</v>
      </c>
      <c r="AI80" s="20" t="n">
        <v>18.6</v>
      </c>
      <c r="AJ80" s="46" t="n">
        <v>0.0785</v>
      </c>
      <c r="AK80" s="20" t="n">
        <v>80</v>
      </c>
      <c r="AL80" s="20" t="n">
        <v>54</v>
      </c>
      <c r="AM80" s="20" t="n">
        <v>45.27</v>
      </c>
      <c r="AN80" s="20" t="n">
        <v>12.54</v>
      </c>
      <c r="AO80" s="20" t="n">
        <v>18.6</v>
      </c>
      <c r="AP80" s="20" t="n">
        <v>80</v>
      </c>
      <c r="AQ80" s="92" t="n">
        <v>1</v>
      </c>
      <c r="AR80" s="20" t="n">
        <v>33.87014</v>
      </c>
      <c r="AS80" s="20" t="n">
        <v>33.87</v>
      </c>
      <c r="AT80" s="49" t="n">
        <v>288</v>
      </c>
      <c r="AU80" s="50">
        <f>IF(I80="","管理人规模；","")&amp;IF(J80="","产品规模标识；","")&amp;IF(AND(F80&lt;3,O80=""),"R_incep；","")&amp;IF(N80="","近三年收益；","")&amp;IF(U80="","近三年胜率；","")&amp;IF(AND(V80&lt;&gt;"",OR(V80&lt;0,V80&gt;1)),"胜率窗口口径不一致；","")&amp;IF(AA80="","近三年回撤；","")&amp;IF(AD80="","短期卡玛；","")&amp;IF(AND(P80&lt;&gt;"",AE80=""),"DD_long不可识别；","")</f>
        <v/>
      </c>
      <c r="AV80" s="51" t="n">
        <v>33.87014</v>
      </c>
      <c r="AW80" s="22" t="inlineStr">
        <is>
          <t>0-5亿元</t>
        </is>
      </c>
      <c r="AX80" s="22" t="inlineStr">
        <is>
          <t>2026-07-09</t>
        </is>
      </c>
      <c r="AY80" s="22" t="inlineStr">
        <is>
          <t>广西银瓴资产管理有限公司</t>
        </is>
      </c>
      <c r="AZ80" s="22" t="inlineStr">
        <is>
          <t>2026-07-09</t>
        </is>
      </c>
      <c r="BA80" s="22" t="inlineStr">
        <is>
          <t>https://gs.amac.org.cn/amac-infodisc/res/pof/manager/101000035485.html</t>
        </is>
      </c>
      <c r="BB80" s="22" t="inlineStr">
        <is>
          <t>银瓴汇金1号私募证券投资基金</t>
        </is>
      </c>
      <c r="BC80" s="22" t="inlineStr">
        <is>
          <t>2024-09-19</t>
        </is>
      </c>
      <c r="BD80" s="22" t="inlineStr">
        <is>
          <t>已匹配</t>
        </is>
      </c>
      <c r="BE80" t="inlineStr">
        <is>
          <t>https://gs.amac.org.cn/amac-infodisc/res/pof/fund/2303281704112220.html</t>
        </is>
      </c>
      <c r="BF80" t="inlineStr">
        <is>
          <t>已核验</t>
        </is>
      </c>
    </row>
    <row r="81" hidden="1" ht="28" customHeight="1" s="73">
      <c r="A81" s="2" t="n">
        <v>65</v>
      </c>
      <c r="B81" s="18" t="inlineStr">
        <is>
          <t>砚博乘风量化14号</t>
        </is>
      </c>
      <c r="C81" s="18">
        <f>'sheet4-原始数据'!B66</f>
        <v/>
      </c>
      <c r="D81" s="18" t="inlineStr">
        <is>
          <t>深圳前海砚博乘风资管</t>
        </is>
      </c>
      <c r="E81" s="90" t="inlineStr">
        <is>
          <t>2023-03-07</t>
        </is>
      </c>
      <c r="F81" s="20" t="n">
        <v>3.5264</v>
      </c>
      <c r="G81" s="2">
        <f>IF(F81="","",IF(F81&lt;1,"不入池","入池"))</f>
        <v/>
      </c>
      <c r="H81" s="42" t="inlineStr">
        <is>
          <t>10-20亿元</t>
        </is>
      </c>
      <c r="I81" s="20" t="n">
        <v>80</v>
      </c>
      <c r="J81" s="43" t="inlineStr">
        <is>
          <t>无低于1000万元标识</t>
        </is>
      </c>
      <c r="K81" s="20" t="n">
        <v>100</v>
      </c>
      <c r="L81" s="20" t="n">
        <v>100</v>
      </c>
      <c r="M81" s="44" t="n">
        <v>0.0277</v>
      </c>
      <c r="N81" s="44" t="n">
        <v>0.0219</v>
      </c>
      <c r="O81" s="45" t="n"/>
      <c r="P81" s="46" t="n">
        <v>0.01901228655346943</v>
      </c>
      <c r="Q81" s="20" t="n">
        <v>28.47</v>
      </c>
      <c r="R81" s="20" t="n">
        <v>8.5</v>
      </c>
      <c r="S81" s="20" t="n">
        <v>20.48</v>
      </c>
      <c r="T81" s="44" t="n">
        <v>0.6153999999999999</v>
      </c>
      <c r="U81" s="44" t="n">
        <v>0.6486</v>
      </c>
      <c r="V81" s="46" t="n">
        <v>0.6665833333333332</v>
      </c>
      <c r="W81" s="20" t="n">
        <v>61.53999999999999</v>
      </c>
      <c r="X81" s="20" t="n">
        <v>66.65833333333332</v>
      </c>
      <c r="Y81" s="20" t="n">
        <v>63.59</v>
      </c>
      <c r="Z81" s="46" t="n">
        <v>0.02247099862091344</v>
      </c>
      <c r="AA81" s="44" t="n">
        <v>0.0539</v>
      </c>
      <c r="AB81" s="46" t="n">
        <v>0.0539</v>
      </c>
      <c r="AC81" s="20" t="n">
        <v>42.51</v>
      </c>
      <c r="AD81" s="91" t="n">
        <v>1.2327</v>
      </c>
      <c r="AE81" s="46" t="n">
        <v>0.0539</v>
      </c>
      <c r="AF81" s="20" t="n">
        <v>0.3527325891181712</v>
      </c>
      <c r="AG81" s="20" t="n">
        <v>37.76</v>
      </c>
      <c r="AH81" s="20" t="n">
        <v>15.44</v>
      </c>
      <c r="AI81" s="20" t="n">
        <v>28.83</v>
      </c>
      <c r="AJ81" s="46" t="n">
        <v>0.0219</v>
      </c>
      <c r="AK81" s="20" t="n">
        <v>100</v>
      </c>
      <c r="AL81" s="20" t="n">
        <v>92</v>
      </c>
      <c r="AM81" s="20" t="n">
        <v>33.41</v>
      </c>
      <c r="AN81" s="20" t="n">
        <v>42.51</v>
      </c>
      <c r="AO81" s="20" t="n">
        <v>28.83</v>
      </c>
      <c r="AP81" s="20" t="n">
        <v>100</v>
      </c>
      <c r="AQ81" s="92" t="n">
        <v>1</v>
      </c>
      <c r="AR81" s="20" t="n">
        <v>49.75982</v>
      </c>
      <c r="AS81" s="20" t="n">
        <v>49.76</v>
      </c>
      <c r="AT81" s="49" t="n">
        <v>225</v>
      </c>
      <c r="AU81" s="50">
        <f>IF(I81="","管理人规模；","")&amp;IF(J81="","产品规模标识；","")&amp;IF(AND(F81&lt;3,O81=""),"R_incep；","")&amp;IF(N81="","近三年收益；","")&amp;IF(U81="","近三年胜率；","")&amp;IF(AND(V81&lt;&gt;"",OR(V81&lt;0,V81&gt;1)),"胜率窗口口径不一致；","")&amp;IF(AA81="","近三年回撤；","")&amp;IF(AD81="","短期卡玛；","")&amp;IF(AND(P81&lt;&gt;"",AE81=""),"DD_long不可识别；","")</f>
        <v/>
      </c>
      <c r="AV81" s="51" t="n">
        <v>49.75982</v>
      </c>
      <c r="AW81" s="22" t="inlineStr">
        <is>
          <t>10-20亿元</t>
        </is>
      </c>
      <c r="AX81" s="22" t="inlineStr">
        <is>
          <t>2026-08-12</t>
        </is>
      </c>
      <c r="AY81" s="22" t="inlineStr">
        <is>
          <t>深圳前海砚博乘风资产管理有限公司</t>
        </is>
      </c>
      <c r="AZ81" s="22" t="inlineStr">
        <is>
          <t>2026-08-12</t>
        </is>
      </c>
      <c r="BA81" s="22" t="inlineStr">
        <is>
          <t>https://gs.amac.org.cn/amac-infodisc/res/pof/manager/101000062862.html</t>
        </is>
      </c>
      <c r="BB81" s="22" t="inlineStr">
        <is>
          <t>砚博乘风量化14号私募证券投资基金</t>
        </is>
      </c>
      <c r="BC81" s="22" t="inlineStr">
        <is>
          <t>2024-12-10</t>
        </is>
      </c>
      <c r="BD81" s="22" t="inlineStr">
        <is>
          <t>已匹配</t>
        </is>
      </c>
      <c r="BE81" t="inlineStr">
        <is>
          <t>https://gs.amac.org.cn/amac-infodisc/res/pof/fund/2304031854111883.html</t>
        </is>
      </c>
      <c r="BF81" t="inlineStr">
        <is>
          <t>已核验</t>
        </is>
      </c>
    </row>
    <row r="82" hidden="1" ht="28" customHeight="1" s="73">
      <c r="A82" s="2" t="n">
        <v>66</v>
      </c>
      <c r="B82" s="18" t="inlineStr">
        <is>
          <t>平凡凡响二号</t>
        </is>
      </c>
      <c r="C82" s="18">
        <f>'sheet4-原始数据'!B67</f>
        <v/>
      </c>
      <c r="D82" s="18" t="inlineStr">
        <is>
          <t>北京平凡</t>
        </is>
      </c>
      <c r="E82" s="90" t="inlineStr">
        <is>
          <t>2023-04-07</t>
        </is>
      </c>
      <c r="F82" s="20" t="n">
        <v>3.4415</v>
      </c>
      <c r="G82" s="2">
        <f>IF(F82="","",IF(F82&lt;1,"不入池","入池"))</f>
        <v/>
      </c>
      <c r="H82" s="42" t="inlineStr">
        <is>
          <t>50-100亿元</t>
        </is>
      </c>
      <c r="I82" s="20" t="n">
        <v>90</v>
      </c>
      <c r="J82" s="43" t="inlineStr">
        <is>
          <t>无低于1000万元标识</t>
        </is>
      </c>
      <c r="K82" s="20" t="n">
        <v>100</v>
      </c>
      <c r="L82" s="20" t="n">
        <v>100</v>
      </c>
      <c r="M82" s="44" t="n">
        <v>0.08500000000000001</v>
      </c>
      <c r="N82" s="44" t="n">
        <v>0.0491</v>
      </c>
      <c r="O82" s="45" t="n"/>
      <c r="P82" s="46" t="n">
        <v>0.03159792866449895</v>
      </c>
      <c r="Q82" s="20" t="n">
        <v>68.23</v>
      </c>
      <c r="R82" s="20" t="n">
        <v>16.5</v>
      </c>
      <c r="S82" s="20" t="n">
        <v>47.54</v>
      </c>
      <c r="T82" s="44" t="n">
        <v>1</v>
      </c>
      <c r="U82" s="44" t="n">
        <v>0.8649</v>
      </c>
      <c r="V82" s="46" t="n">
        <v>0.7917208333333333</v>
      </c>
      <c r="W82" s="20" t="n">
        <v>100</v>
      </c>
      <c r="X82" s="20" t="n">
        <v>79.17208333333333</v>
      </c>
      <c r="Y82" s="20" t="n">
        <v>91.67</v>
      </c>
      <c r="Z82" s="46" t="n">
        <v>0.001301778229060897</v>
      </c>
      <c r="AA82" s="44" t="n">
        <v>0.0068</v>
      </c>
      <c r="AB82" s="46" t="n">
        <v>0.0068</v>
      </c>
      <c r="AC82" s="20" t="n">
        <v>90.23999999999999</v>
      </c>
      <c r="AD82" s="91" t="n">
        <v>65.2953</v>
      </c>
      <c r="AE82" s="46" t="n">
        <v>0.0068</v>
      </c>
      <c r="AF82" s="20" t="n">
        <v>4.646754215367493</v>
      </c>
      <c r="AG82" s="20" t="n">
        <v>98.95</v>
      </c>
      <c r="AH82" s="20" t="n">
        <v>83.81999999999999</v>
      </c>
      <c r="AI82" s="20" t="n">
        <v>92.90000000000001</v>
      </c>
      <c r="AJ82" s="46" t="n">
        <v>0.0491</v>
      </c>
      <c r="AK82" s="20" t="n">
        <v>100</v>
      </c>
      <c r="AL82" s="20" t="n">
        <v>96</v>
      </c>
      <c r="AM82" s="20" t="n">
        <v>60.78</v>
      </c>
      <c r="AN82" s="20" t="n">
        <v>90.23999999999999</v>
      </c>
      <c r="AO82" s="20" t="n">
        <v>92.90000000000001</v>
      </c>
      <c r="AP82" s="20" t="n">
        <v>100</v>
      </c>
      <c r="AQ82" s="92" t="n">
        <v>1</v>
      </c>
      <c r="AR82" s="20" t="n">
        <v>86.98484999999999</v>
      </c>
      <c r="AS82" s="20" t="n">
        <v>86.98</v>
      </c>
      <c r="AT82" s="49" t="n">
        <v>23</v>
      </c>
      <c r="AU82" s="50">
        <f>IF(I82="","管理人规模；","")&amp;IF(J82="","产品规模标识；","")&amp;IF(AND(F82&lt;3,O82=""),"R_incep；","")&amp;IF(N82="","近三年收益；","")&amp;IF(U82="","近三年胜率；","")&amp;IF(AND(V82&lt;&gt;"",OR(V82&lt;0,V82&gt;1)),"胜率窗口口径不一致；","")&amp;IF(AA82="","近三年回撤；","")&amp;IF(AD82="","短期卡玛；","")&amp;IF(AND(P82&lt;&gt;"",AE82=""),"DD_long不可识别；","")</f>
        <v/>
      </c>
      <c r="AV82" s="51" t="n">
        <v>86.98484999999999</v>
      </c>
      <c r="AW82" s="22" t="inlineStr">
        <is>
          <t>50-100亿元</t>
        </is>
      </c>
      <c r="AX82" s="22" t="inlineStr">
        <is>
          <t>2026-08-05</t>
        </is>
      </c>
      <c r="AY82" s="22" t="inlineStr">
        <is>
          <t>北京平凡私募基金管理有限公司</t>
        </is>
      </c>
      <c r="AZ82" s="22" t="inlineStr">
        <is>
          <t>2026-08-05</t>
        </is>
      </c>
      <c r="BA82" s="22" t="inlineStr">
        <is>
          <t>https://gs.amac.org.cn/amac-infodisc/res/pof/manager/101000030286.html</t>
        </is>
      </c>
      <c r="BB82" s="22" t="inlineStr">
        <is>
          <t>平凡凡响二号私募证券投资基金</t>
        </is>
      </c>
      <c r="BC82" s="22" t="inlineStr">
        <is>
          <t>2025-03-26</t>
        </is>
      </c>
      <c r="BD82" s="22" t="inlineStr">
        <is>
          <t>已匹配</t>
        </is>
      </c>
      <c r="BE82" t="inlineStr">
        <is>
          <t>https://gs.amac.org.cn/amac-infodisc/res/pof/fund/2304121918100513.html</t>
        </is>
      </c>
      <c r="BF82" t="inlineStr">
        <is>
          <t>已核验</t>
        </is>
      </c>
    </row>
    <row r="83" hidden="1" ht="28" customHeight="1" s="73">
      <c r="A83" s="2" t="n">
        <v>67</v>
      </c>
      <c r="B83" s="18" t="inlineStr">
        <is>
          <t>银瓴鑫源</t>
        </is>
      </c>
      <c r="C83" s="18">
        <f>'sheet4-原始数据'!B68</f>
        <v/>
      </c>
      <c r="D83" s="18" t="inlineStr">
        <is>
          <t>广西银瓴资产</t>
        </is>
      </c>
      <c r="E83" s="90" t="inlineStr">
        <is>
          <t>2023-05-15</t>
        </is>
      </c>
      <c r="F83" s="20" t="n">
        <v>3.3374</v>
      </c>
      <c r="G83" s="2">
        <f>IF(F83="","",IF(F83&lt;1,"不入池","入池"))</f>
        <v/>
      </c>
      <c r="H83" s="42" t="inlineStr">
        <is>
          <t>0-5亿元</t>
        </is>
      </c>
      <c r="I83" s="20" t="n">
        <v>60</v>
      </c>
      <c r="J83" s="43" t="inlineStr">
        <is>
          <t>低于1000万元</t>
        </is>
      </c>
      <c r="K83" s="20" t="n">
        <v>0</v>
      </c>
      <c r="L83" s="20" t="n">
        <v>100</v>
      </c>
      <c r="M83" s="44" t="n">
        <v>-0.0728</v>
      </c>
      <c r="N83" s="44" t="n"/>
      <c r="O83" s="45" t="n"/>
      <c r="P83" s="46" t="n"/>
      <c r="Q83" s="20" t="n">
        <v>5.56</v>
      </c>
      <c r="R83" s="20" t="n"/>
      <c r="S83" s="20" t="n">
        <v>5.56</v>
      </c>
      <c r="T83" s="44" t="n">
        <v>0.3846</v>
      </c>
      <c r="U83" s="44" t="n"/>
      <c r="V83" s="46" t="n"/>
      <c r="W83" s="20" t="n">
        <v>38.46</v>
      </c>
      <c r="X83" s="20" t="n"/>
      <c r="Y83" s="20" t="n">
        <v>38.46</v>
      </c>
      <c r="Z83" s="46" t="n">
        <v>0.1955412301907064</v>
      </c>
      <c r="AA83" s="44" t="n"/>
      <c r="AB83" s="46" t="n">
        <v>0.1955412301907064</v>
      </c>
      <c r="AC83" s="20" t="n">
        <v>10.8</v>
      </c>
      <c r="AD83" s="91" t="n">
        <v>-0.3723</v>
      </c>
      <c r="AE83" s="46" t="n"/>
      <c r="AF83" s="20" t="n"/>
      <c r="AG83" s="20" t="n">
        <v>8.390000000000001</v>
      </c>
      <c r="AH83" s="20" t="n"/>
      <c r="AI83" s="20" t="n">
        <v>8.390000000000001</v>
      </c>
      <c r="AJ83" s="46" t="n"/>
      <c r="AK83" s="20" t="n"/>
      <c r="AL83" s="20" t="n">
        <v>54</v>
      </c>
      <c r="AM83" s="20" t="n">
        <v>15.43</v>
      </c>
      <c r="AN83" s="20" t="n">
        <v>10.8</v>
      </c>
      <c r="AO83" s="20" t="n">
        <v>8.390000000000001</v>
      </c>
      <c r="AP83" s="20" t="n"/>
      <c r="AQ83" s="92" t="n">
        <v>0.7</v>
      </c>
      <c r="AR83" s="20" t="n">
        <v>14.1618</v>
      </c>
      <c r="AS83" s="20" t="n">
        <v>20.23</v>
      </c>
      <c r="AT83" s="49" t="n">
        <v>313</v>
      </c>
      <c r="AU83" s="50">
        <f>IF(I83="","管理人规模；","")&amp;IF(J83="","产品规模标识；","")&amp;IF(AND(F83&lt;3,O83=""),"R_incep；","")&amp;IF(N83="","近三年收益；","")&amp;IF(U83="","近三年胜率；","")&amp;IF(AND(V83&lt;&gt;"",OR(V83&lt;0,V83&gt;1)),"胜率窗口口径不一致；","")&amp;IF(AA83="","近三年回撤；","")&amp;IF(AD83="","短期卡玛；","")&amp;IF(AND(P83&lt;&gt;"",AE83=""),"DD_long不可识别；","")</f>
        <v/>
      </c>
      <c r="AV83" s="51" t="n"/>
      <c r="AW83" s="22" t="inlineStr">
        <is>
          <t>0-5亿元</t>
        </is>
      </c>
      <c r="AX83" s="22" t="inlineStr">
        <is>
          <t>2026-07-09</t>
        </is>
      </c>
      <c r="AY83" s="22" t="inlineStr">
        <is>
          <t>广西银瓴资产管理有限公司</t>
        </is>
      </c>
      <c r="AZ83" s="22" t="inlineStr">
        <is>
          <t>2026-07-09</t>
        </is>
      </c>
      <c r="BA83" s="22" t="inlineStr">
        <is>
          <t>https://gs.amac.org.cn/amac-infodisc/res/pof/manager/101000035485.html</t>
        </is>
      </c>
      <c r="BB83" s="22" t="inlineStr">
        <is>
          <t>银瓴鑫源私募证券投资基金</t>
        </is>
      </c>
      <c r="BC83" s="22" t="inlineStr">
        <is>
          <t>2025-11-18</t>
        </is>
      </c>
      <c r="BD83" s="22" t="inlineStr">
        <is>
          <t>已匹配</t>
        </is>
      </c>
      <c r="BE83" t="inlineStr">
        <is>
          <t>https://gs.amac.org.cn/amac-infodisc/res/pof/fund/2305191101101514.html</t>
        </is>
      </c>
      <c r="BF83" t="inlineStr">
        <is>
          <t>已核验</t>
        </is>
      </c>
    </row>
    <row r="84" hidden="1" ht="28" customHeight="1" s="73">
      <c r="A84" s="2" t="n">
        <v>68</v>
      </c>
      <c r="B84" s="18" t="inlineStr">
        <is>
          <t>鑫泰禾汇投1号</t>
        </is>
      </c>
      <c r="C84" s="18">
        <f>'sheet4-原始数据'!B69</f>
        <v/>
      </c>
      <c r="D84" s="18" t="inlineStr">
        <is>
          <t>深圳鑫泰禾</t>
        </is>
      </c>
      <c r="E84" s="90" t="inlineStr">
        <is>
          <t>2023-03-13</t>
        </is>
      </c>
      <c r="F84" s="20" t="n">
        <v>3.5099</v>
      </c>
      <c r="G84" s="2">
        <f>IF(F84="","",IF(F84&lt;1,"不入池","入池"))</f>
        <v/>
      </c>
      <c r="H84" s="42" t="inlineStr">
        <is>
          <t>0-5亿元</t>
        </is>
      </c>
      <c r="I84" s="20" t="n">
        <v>60</v>
      </c>
      <c r="J84" s="43" t="inlineStr">
        <is>
          <t>低于1000万元</t>
        </is>
      </c>
      <c r="K84" s="20" t="n">
        <v>0</v>
      </c>
      <c r="L84" s="20" t="n">
        <v>100</v>
      </c>
      <c r="M84" s="44" t="n">
        <v>0.0481</v>
      </c>
      <c r="N84" s="44" t="n">
        <v>0.1013</v>
      </c>
      <c r="O84" s="45" t="n"/>
      <c r="P84" s="46" t="n">
        <v>0.1289042248041463</v>
      </c>
      <c r="Q84" s="20" t="n">
        <v>44.44</v>
      </c>
      <c r="R84" s="20" t="n">
        <v>83.5</v>
      </c>
      <c r="S84" s="20" t="n">
        <v>60.06</v>
      </c>
      <c r="T84" s="44" t="n">
        <v>0.6923</v>
      </c>
      <c r="U84" s="44" t="n">
        <v>0.6757</v>
      </c>
      <c r="V84" s="46" t="n">
        <v>0.6667083333333332</v>
      </c>
      <c r="W84" s="20" t="n">
        <v>69.23</v>
      </c>
      <c r="X84" s="20" t="n">
        <v>66.67083333333332</v>
      </c>
      <c r="Y84" s="20" t="n">
        <v>68.20999999999999</v>
      </c>
      <c r="Z84" s="46" t="n">
        <v>0.007820756711054744</v>
      </c>
      <c r="AA84" s="44" t="n">
        <v>0.0922</v>
      </c>
      <c r="AB84" s="46" t="n">
        <v>0.0922</v>
      </c>
      <c r="AC84" s="20" t="n">
        <v>28.92</v>
      </c>
      <c r="AD84" s="91" t="n">
        <v>6.1503</v>
      </c>
      <c r="AE84" s="46" t="n">
        <v>0.0922</v>
      </c>
      <c r="AF84" s="20" t="n">
        <v>1.398093544513517</v>
      </c>
      <c r="AG84" s="20" t="n">
        <v>70.63</v>
      </c>
      <c r="AH84" s="20" t="n">
        <v>52.94</v>
      </c>
      <c r="AI84" s="20" t="n">
        <v>63.55</v>
      </c>
      <c r="AJ84" s="46" t="n">
        <v>0.1013</v>
      </c>
      <c r="AK84" s="20" t="n">
        <v>80</v>
      </c>
      <c r="AL84" s="20" t="n">
        <v>54</v>
      </c>
      <c r="AM84" s="20" t="n">
        <v>62.51</v>
      </c>
      <c r="AN84" s="20" t="n">
        <v>28.92</v>
      </c>
      <c r="AO84" s="20" t="n">
        <v>63.55</v>
      </c>
      <c r="AP84" s="20" t="n">
        <v>80</v>
      </c>
      <c r="AQ84" s="92" t="n">
        <v>1</v>
      </c>
      <c r="AR84" s="20" t="n">
        <v>54.89754</v>
      </c>
      <c r="AS84" s="20" t="n">
        <v>54.9</v>
      </c>
      <c r="AT84" s="49" t="n">
        <v>195</v>
      </c>
      <c r="AU84" s="50">
        <f>IF(I84="","管理人规模；","")&amp;IF(J84="","产品规模标识；","")&amp;IF(AND(F84&lt;3,O84=""),"R_incep；","")&amp;IF(N84="","近三年收益；","")&amp;IF(U84="","近三年胜率；","")&amp;IF(AND(V84&lt;&gt;"",OR(V84&lt;0,V84&gt;1)),"胜率窗口口径不一致；","")&amp;IF(AA84="","近三年回撤；","")&amp;IF(AD84="","短期卡玛；","")&amp;IF(AND(P84&lt;&gt;"",AE84=""),"DD_long不可识别；","")</f>
        <v/>
      </c>
      <c r="AV84" s="51" t="n">
        <v>54.89754</v>
      </c>
      <c r="AW84" s="22" t="inlineStr">
        <is>
          <t>0-5亿元</t>
        </is>
      </c>
      <c r="AX84" s="22" t="inlineStr">
        <is>
          <t>2026-08-24</t>
        </is>
      </c>
      <c r="AY84" s="22" t="inlineStr">
        <is>
          <t>深圳鑫泰禾私募证券投资基金管理有限公司</t>
        </is>
      </c>
      <c r="AZ84" s="22" t="inlineStr">
        <is>
          <t>2026-08-24</t>
        </is>
      </c>
      <c r="BA84" s="22" t="inlineStr">
        <is>
          <t>https://gs.amac.org.cn/amac-infodisc/res/pof/manager/101000041857.html</t>
        </is>
      </c>
      <c r="BB84" s="22" t="inlineStr">
        <is>
          <t>鑫泰禾汇投1号私募证券投资基金</t>
        </is>
      </c>
      <c r="BC84" s="22" t="inlineStr">
        <is>
          <t>2024-09-13</t>
        </is>
      </c>
      <c r="BD84" s="22" t="inlineStr">
        <is>
          <t>已匹配</t>
        </is>
      </c>
      <c r="BE84" t="inlineStr">
        <is>
          <t>https://gs.amac.org.cn/amac-infodisc/res/pof/fund/2305191728101923.html</t>
        </is>
      </c>
      <c r="BF84" t="inlineStr">
        <is>
          <t>已核验</t>
        </is>
      </c>
    </row>
    <row r="85" hidden="1" ht="28" customHeight="1" s="73">
      <c r="A85" s="2" t="n">
        <v>69</v>
      </c>
      <c r="B85" s="18" t="inlineStr">
        <is>
          <t>金和和善对冲5号</t>
        </is>
      </c>
      <c r="C85" s="18">
        <f>'sheet4-原始数据'!B70</f>
        <v/>
      </c>
      <c r="D85" s="18" t="inlineStr">
        <is>
          <t>上海金和晟</t>
        </is>
      </c>
      <c r="E85" s="90" t="inlineStr">
        <is>
          <t>2023-04-26</t>
        </is>
      </c>
      <c r="F85" s="20" t="n">
        <v>3.3895</v>
      </c>
      <c r="G85" s="2">
        <f>IF(F85="","",IF(F85&lt;1,"不入池","入池"))</f>
        <v/>
      </c>
      <c r="H85" s="42" t="inlineStr">
        <is>
          <t>20-50亿元</t>
        </is>
      </c>
      <c r="I85" s="20" t="n">
        <v>90</v>
      </c>
      <c r="J85" s="43" t="inlineStr">
        <is>
          <t>无低于1000万元标识</t>
        </is>
      </c>
      <c r="K85" s="20" t="n">
        <v>100</v>
      </c>
      <c r="L85" s="20" t="n">
        <v>100</v>
      </c>
      <c r="M85" s="44" t="n">
        <v>0.0469</v>
      </c>
      <c r="N85" s="44" t="n">
        <v>0.1085</v>
      </c>
      <c r="O85" s="45" t="n"/>
      <c r="P85" s="46" t="n">
        <v>0.1406461692280938</v>
      </c>
      <c r="Q85" s="20" t="n">
        <v>43.75</v>
      </c>
      <c r="R85" s="20" t="n">
        <v>87.5</v>
      </c>
      <c r="S85" s="20" t="n">
        <v>61.25</v>
      </c>
      <c r="T85" s="44" t="n">
        <v>0.7692</v>
      </c>
      <c r="U85" s="44" t="n">
        <v>0.8378</v>
      </c>
      <c r="V85" s="46" t="n">
        <v>0.8749583333333334</v>
      </c>
      <c r="W85" s="20" t="n">
        <v>76.92</v>
      </c>
      <c r="X85" s="20" t="n">
        <v>87.49583333333334</v>
      </c>
      <c r="Y85" s="20" t="n">
        <v>81.15000000000001</v>
      </c>
      <c r="Z85" s="46" t="n">
        <v>0.01158625460115121</v>
      </c>
      <c r="AA85" s="44" t="n">
        <v>0.0116</v>
      </c>
      <c r="AB85" s="46" t="n">
        <v>0.0116</v>
      </c>
      <c r="AC85" s="20" t="n">
        <v>83.62</v>
      </c>
      <c r="AD85" s="91" t="n">
        <v>4.0479</v>
      </c>
      <c r="AE85" s="46" t="n"/>
      <c r="AF85" s="20" t="n"/>
      <c r="AG85" s="20" t="n">
        <v>62.59</v>
      </c>
      <c r="AH85" s="20" t="n"/>
      <c r="AI85" s="20" t="n">
        <v>62.59</v>
      </c>
      <c r="AJ85" s="46" t="n">
        <v>0.1085</v>
      </c>
      <c r="AK85" s="20" t="n">
        <v>80</v>
      </c>
      <c r="AL85" s="20" t="n">
        <v>96</v>
      </c>
      <c r="AM85" s="20" t="n">
        <v>67.22</v>
      </c>
      <c r="AN85" s="20" t="n">
        <v>83.62</v>
      </c>
      <c r="AO85" s="20" t="n">
        <v>62.59</v>
      </c>
      <c r="AP85" s="20" t="n">
        <v>80</v>
      </c>
      <c r="AQ85" s="92" t="n">
        <v>0.88</v>
      </c>
      <c r="AR85" s="20" t="n">
        <v>68.01522</v>
      </c>
      <c r="AS85" s="20" t="n">
        <v>77.29000000000001</v>
      </c>
      <c r="AT85" s="49" t="n">
        <v>76</v>
      </c>
      <c r="AU85" s="50">
        <f>IF(I85="","管理人规模；","")&amp;IF(J85="","产品规模标识；","")&amp;IF(AND(F85&lt;3,O85=""),"R_incep；","")&amp;IF(N85="","近三年收益；","")&amp;IF(U85="","近三年胜率；","")&amp;IF(AND(V85&lt;&gt;"",OR(V85&lt;0,V85&gt;1)),"胜率窗口口径不一致；","")&amp;IF(AA85="","近三年回撤；","")&amp;IF(AD85="","短期卡玛；","")&amp;IF(AND(P85&lt;&gt;"",AE85=""),"DD_long不可识别；","")</f>
        <v/>
      </c>
      <c r="AV85" s="51" t="n"/>
      <c r="AW85" s="22" t="inlineStr">
        <is>
          <t>20-50亿元</t>
        </is>
      </c>
      <c r="AX85" s="22" t="inlineStr">
        <is>
          <t>2026-03-27</t>
        </is>
      </c>
      <c r="AY85" s="22" t="inlineStr">
        <is>
          <t>上海金和晟私募基金管理有限公司</t>
        </is>
      </c>
      <c r="AZ85" s="22" t="inlineStr">
        <is>
          <t>2026-03-27</t>
        </is>
      </c>
      <c r="BA85" s="22" t="inlineStr">
        <is>
          <t>https://gs.amac.org.cn/amac-infodisc/res/pof/manager/2010280957108370.html</t>
        </is>
      </c>
      <c r="BB85" s="22" t="inlineStr">
        <is>
          <t>金和和善对冲5号私募证券投资基金</t>
        </is>
      </c>
      <c r="BC85" s="22" t="inlineStr">
        <is>
          <t>2026-08-04</t>
        </is>
      </c>
      <c r="BD85" s="22" t="inlineStr">
        <is>
          <t>已匹配</t>
        </is>
      </c>
      <c r="BE85" t="inlineStr">
        <is>
          <t>https://gs.amac.org.cn/amac-infodisc/res/pof/fund/2305251549108521.html</t>
        </is>
      </c>
      <c r="BF85" t="inlineStr">
        <is>
          <t>已核验</t>
        </is>
      </c>
    </row>
    <row r="86" hidden="1" ht="28" customHeight="1" s="73">
      <c r="A86" s="2" t="n">
        <v>70</v>
      </c>
      <c r="B86" s="18" t="inlineStr">
        <is>
          <t>银瓴汇金3号</t>
        </is>
      </c>
      <c r="C86" s="18">
        <f>'sheet4-原始数据'!B71</f>
        <v/>
      </c>
      <c r="D86" s="18" t="inlineStr">
        <is>
          <t>广西银瓴资产</t>
        </is>
      </c>
      <c r="E86" s="90" t="inlineStr">
        <is>
          <t>2023-05-19</t>
        </is>
      </c>
      <c r="F86" s="20" t="n">
        <v>3.3265</v>
      </c>
      <c r="G86" s="2">
        <f>IF(F86="","",IF(F86&lt;1,"不入池","入池"))</f>
        <v/>
      </c>
      <c r="H86" s="42" t="inlineStr">
        <is>
          <t>0-5亿元</t>
        </is>
      </c>
      <c r="I86" s="20" t="n">
        <v>60</v>
      </c>
      <c r="J86" s="43" t="inlineStr">
        <is>
          <t>低于1000万元</t>
        </is>
      </c>
      <c r="K86" s="20" t="n">
        <v>0</v>
      </c>
      <c r="L86" s="20" t="n">
        <v>100</v>
      </c>
      <c r="M86" s="44" t="n">
        <v>-0.0413</v>
      </c>
      <c r="N86" s="44" t="n">
        <v>0.0116</v>
      </c>
      <c r="O86" s="45" t="n"/>
      <c r="P86" s="46" t="n">
        <v>0.03913474735098021</v>
      </c>
      <c r="Q86" s="20" t="n">
        <v>9.380000000000001</v>
      </c>
      <c r="R86" s="20" t="n">
        <v>26.5</v>
      </c>
      <c r="S86" s="20" t="n">
        <v>16.23</v>
      </c>
      <c r="T86" s="44" t="n">
        <v>0.3846</v>
      </c>
      <c r="U86" s="44" t="n">
        <v>0.5135000000000001</v>
      </c>
      <c r="V86" s="46" t="n">
        <v>0.5833208333333334</v>
      </c>
      <c r="W86" s="20" t="n">
        <v>38.46</v>
      </c>
      <c r="X86" s="20" t="n">
        <v>58.33208333333334</v>
      </c>
      <c r="Y86" s="20" t="n">
        <v>46.41</v>
      </c>
      <c r="Z86" s="46" t="n">
        <v>0.1227705112960761</v>
      </c>
      <c r="AA86" s="44" t="n">
        <v>0.1227</v>
      </c>
      <c r="AB86" s="46" t="n">
        <v>0.1227705112960761</v>
      </c>
      <c r="AC86" s="20" t="n">
        <v>19.86</v>
      </c>
      <c r="AD86" s="91" t="n">
        <v>-0.3364</v>
      </c>
      <c r="AE86" s="46" t="n"/>
      <c r="AF86" s="20" t="n"/>
      <c r="AG86" s="20" t="n">
        <v>9.789999999999999</v>
      </c>
      <c r="AH86" s="20" t="n"/>
      <c r="AI86" s="20" t="n">
        <v>9.789999999999999</v>
      </c>
      <c r="AJ86" s="46" t="n">
        <v>0.0116</v>
      </c>
      <c r="AK86" s="20" t="n">
        <v>80</v>
      </c>
      <c r="AL86" s="20" t="n">
        <v>54</v>
      </c>
      <c r="AM86" s="20" t="n">
        <v>25.28</v>
      </c>
      <c r="AN86" s="20" t="n">
        <v>19.86</v>
      </c>
      <c r="AO86" s="20" t="n">
        <v>9.789999999999999</v>
      </c>
      <c r="AP86" s="20" t="n">
        <v>80</v>
      </c>
      <c r="AQ86" s="92" t="n">
        <v>0.88</v>
      </c>
      <c r="AR86" s="20" t="n">
        <v>27.88365</v>
      </c>
      <c r="AS86" s="20" t="n">
        <v>31.69</v>
      </c>
      <c r="AT86" s="49" t="n">
        <v>290</v>
      </c>
      <c r="AU86" s="50">
        <f>IF(I86="","管理人规模；","")&amp;IF(J86="","产品规模标识；","")&amp;IF(AND(F86&lt;3,O86=""),"R_incep；","")&amp;IF(N86="","近三年收益；","")&amp;IF(U86="","近三年胜率；","")&amp;IF(AND(V86&lt;&gt;"",OR(V86&lt;0,V86&gt;1)),"胜率窗口口径不一致；","")&amp;IF(AA86="","近三年回撤；","")&amp;IF(AD86="","短期卡玛；","")&amp;IF(AND(P86&lt;&gt;"",AE86=""),"DD_long不可识别；","")</f>
        <v/>
      </c>
      <c r="AV86" s="51" t="n"/>
      <c r="AW86" s="22" t="inlineStr">
        <is>
          <t>0-5亿元</t>
        </is>
      </c>
      <c r="AX86" s="22" t="inlineStr">
        <is>
          <t>2026-07-09</t>
        </is>
      </c>
      <c r="AY86" s="22" t="inlineStr">
        <is>
          <t>广西银瓴资产管理有限公司</t>
        </is>
      </c>
      <c r="AZ86" s="22" t="inlineStr">
        <is>
          <t>2026-07-09</t>
        </is>
      </c>
      <c r="BA86" s="22" t="inlineStr">
        <is>
          <t>https://gs.amac.org.cn/amac-infodisc/res/pof/manager/101000035485.html</t>
        </is>
      </c>
      <c r="BB86" s="22" t="inlineStr">
        <is>
          <t>银瓴汇金3号私募证券投资基金</t>
        </is>
      </c>
      <c r="BC86" s="22" t="inlineStr">
        <is>
          <t>2024-09-19</t>
        </is>
      </c>
      <c r="BD86" s="22" t="inlineStr">
        <is>
          <t>已匹配</t>
        </is>
      </c>
      <c r="BE86" t="inlineStr">
        <is>
          <t>https://gs.amac.org.cn/amac-infodisc/res/pof/fund/2305291055109569.html</t>
        </is>
      </c>
      <c r="BF86" t="inlineStr">
        <is>
          <t>已核验</t>
        </is>
      </c>
    </row>
    <row r="87" hidden="1" ht="28" customHeight="1" s="73">
      <c r="A87" s="2" t="n">
        <v>71</v>
      </c>
      <c r="B87" s="18" t="inlineStr">
        <is>
          <t>奶酪鑫鑫宝二号</t>
        </is>
      </c>
      <c r="C87" s="18">
        <f>'sheet4-原始数据'!B72</f>
        <v/>
      </c>
      <c r="D87" s="18" t="inlineStr">
        <is>
          <t>广东奶酪</t>
        </is>
      </c>
      <c r="E87" s="90" t="inlineStr">
        <is>
          <t>2023-06-15</t>
        </is>
      </c>
      <c r="F87" s="20" t="n">
        <v>3.2526</v>
      </c>
      <c r="G87" s="2">
        <f>IF(F87="","",IF(F87&lt;1,"不入池","入池"))</f>
        <v/>
      </c>
      <c r="H87" s="42" t="inlineStr">
        <is>
          <t>10-20亿元</t>
        </is>
      </c>
      <c r="I87" s="20" t="n">
        <v>80</v>
      </c>
      <c r="J87" s="43" t="inlineStr">
        <is>
          <t>无低于1000万元标识</t>
        </is>
      </c>
      <c r="K87" s="20" t="n">
        <v>100</v>
      </c>
      <c r="L87" s="20" t="n">
        <v>100</v>
      </c>
      <c r="M87" s="44" t="n">
        <v>0.0669</v>
      </c>
      <c r="N87" s="44" t="n">
        <v>0.0474</v>
      </c>
      <c r="O87" s="45" t="n"/>
      <c r="P87" s="46" t="n">
        <v>0.03778406235352438</v>
      </c>
      <c r="Q87" s="20" t="n">
        <v>56.6</v>
      </c>
      <c r="R87" s="20" t="n">
        <v>23.5</v>
      </c>
      <c r="S87" s="20" t="n">
        <v>43.36</v>
      </c>
      <c r="T87" s="44" t="n">
        <v>1</v>
      </c>
      <c r="U87" s="44" t="n">
        <v>1</v>
      </c>
      <c r="V87" s="46" t="n">
        <v>1</v>
      </c>
      <c r="W87" s="20" t="n">
        <v>100</v>
      </c>
      <c r="X87" s="20" t="n">
        <v>100</v>
      </c>
      <c r="Y87" s="20" t="n">
        <v>100</v>
      </c>
      <c r="Z87" s="46" t="n"/>
      <c r="AA87" s="44" t="n">
        <v>0</v>
      </c>
      <c r="AB87" s="46" t="n">
        <v>0</v>
      </c>
      <c r="AC87" s="20" t="n">
        <v>100</v>
      </c>
      <c r="AD87" s="91" t="n"/>
      <c r="AE87" s="46" t="n"/>
      <c r="AF87" s="20" t="n"/>
      <c r="AG87" s="20" t="n"/>
      <c r="AH87" s="20" t="n"/>
      <c r="AI87" s="20" t="n"/>
      <c r="AJ87" s="46" t="n">
        <v>0.0474</v>
      </c>
      <c r="AK87" s="20" t="n">
        <v>100</v>
      </c>
      <c r="AL87" s="20" t="n">
        <v>92</v>
      </c>
      <c r="AM87" s="20" t="n">
        <v>60.35</v>
      </c>
      <c r="AN87" s="20" t="n">
        <v>100</v>
      </c>
      <c r="AO87" s="20" t="n"/>
      <c r="AP87" s="20" t="n">
        <v>100</v>
      </c>
      <c r="AQ87" s="92" t="n">
        <v>0.7</v>
      </c>
      <c r="AR87" s="20" t="n">
        <v>60.8704</v>
      </c>
      <c r="AS87" s="20" t="n">
        <v>86.95999999999999</v>
      </c>
      <c r="AT87" s="49" t="n">
        <v>24</v>
      </c>
      <c r="AU87" s="50">
        <f>IF(I87="","管理人规模；","")&amp;IF(J87="","产品规模标识；","")&amp;IF(AND(F87&lt;3,O87=""),"R_incep；","")&amp;IF(N87="","近三年收益；","")&amp;IF(U87="","近三年胜率；","")&amp;IF(AND(V87&lt;&gt;"",OR(V87&lt;0,V87&gt;1)),"胜率窗口口径不一致；","")&amp;IF(AA87="","近三年回撤；","")&amp;IF(AD87="","短期卡玛；","")&amp;IF(AND(P87&lt;&gt;"",AE87=""),"DD_long不可识别；","")</f>
        <v/>
      </c>
      <c r="AV87" s="51" t="n"/>
      <c r="AW87" s="22" t="inlineStr">
        <is>
          <t>10-20亿元</t>
        </is>
      </c>
      <c r="AX87" s="22" t="inlineStr">
        <is>
          <t>2025-12-29</t>
        </is>
      </c>
      <c r="AY87" s="22" t="inlineStr">
        <is>
          <t>广东奶酪私募基金管理股份有限公司</t>
        </is>
      </c>
      <c r="AZ87" s="22" t="inlineStr">
        <is>
          <t>2025-12-29</t>
        </is>
      </c>
      <c r="BA87" s="22" t="inlineStr">
        <is>
          <t>https://gs.amac.org.cn/amac-infodisc/res/pof/manager/101000045017.html</t>
        </is>
      </c>
      <c r="BB87" s="22" t="inlineStr">
        <is>
          <t>奶酪鑫鑫宝二号私募证券投资基金</t>
        </is>
      </c>
      <c r="BC87" s="22" t="inlineStr">
        <is>
          <t>2026-01-30</t>
        </is>
      </c>
      <c r="BD87" s="22" t="inlineStr">
        <is>
          <t>已匹配</t>
        </is>
      </c>
      <c r="BE87" t="inlineStr">
        <is>
          <t>https://gs.amac.org.cn/amac-infodisc/res/pof/fund/2306141909104356.html</t>
        </is>
      </c>
      <c r="BF87" t="inlineStr">
        <is>
          <t>已核验</t>
        </is>
      </c>
    </row>
    <row r="88" hidden="1" ht="28" customHeight="1" s="73">
      <c r="A88" s="2" t="n">
        <v>72</v>
      </c>
      <c r="B88" s="18" t="inlineStr">
        <is>
          <t>岳皋泰山核心一号B类</t>
        </is>
      </c>
      <c r="C88" s="18">
        <f>'sheet4-原始数据'!B73</f>
        <v/>
      </c>
      <c r="D88" s="18" t="inlineStr">
        <is>
          <t>上海岳皋投资</t>
        </is>
      </c>
      <c r="E88" s="90" t="inlineStr">
        <is>
          <t>2021-09-08</t>
        </is>
      </c>
      <c r="F88" s="20" t="n">
        <v>5.0185</v>
      </c>
      <c r="G88" s="2">
        <f>IF(F88="","",IF(F88&lt;1,"不入池","入池"))</f>
        <v/>
      </c>
      <c r="H88" s="42" t="inlineStr">
        <is>
          <t>0-5亿元</t>
        </is>
      </c>
      <c r="I88" s="20" t="n">
        <v>60</v>
      </c>
      <c r="J88" s="43" t="inlineStr">
        <is>
          <t>无低于1000万元标识</t>
        </is>
      </c>
      <c r="K88" s="20" t="n"/>
      <c r="L88" s="20" t="n">
        <v>100</v>
      </c>
      <c r="M88" s="44" t="n">
        <v>0.0171</v>
      </c>
      <c r="N88" s="44" t="n">
        <v>0.0225</v>
      </c>
      <c r="O88" s="45" t="n"/>
      <c r="P88" s="46" t="n">
        <v>0.02521074166077453</v>
      </c>
      <c r="Q88" s="20" t="n">
        <v>22.57</v>
      </c>
      <c r="R88" s="20" t="n">
        <v>12.5</v>
      </c>
      <c r="S88" s="20" t="n">
        <v>18.54</v>
      </c>
      <c r="T88" s="44" t="n">
        <v>0.6923</v>
      </c>
      <c r="U88" s="44" t="n">
        <v>0.7297</v>
      </c>
      <c r="V88" s="46" t="n">
        <v>0.7499583333333333</v>
      </c>
      <c r="W88" s="20" t="n">
        <v>69.23</v>
      </c>
      <c r="X88" s="20" t="n">
        <v>74.99583333333332</v>
      </c>
      <c r="Y88" s="20" t="n">
        <v>71.54000000000001</v>
      </c>
      <c r="Z88" s="46" t="n">
        <v>0.03365479236370793</v>
      </c>
      <c r="AA88" s="44" t="n">
        <v>0.0475</v>
      </c>
      <c r="AB88" s="46" t="n">
        <v>0.0475</v>
      </c>
      <c r="AC88" s="20" t="n">
        <v>45.64</v>
      </c>
      <c r="AD88" s="91" t="n">
        <v>0.5081</v>
      </c>
      <c r="AE88" s="46" t="n">
        <v>0.0475</v>
      </c>
      <c r="AF88" s="20" t="n">
        <v>0.5307524560163058</v>
      </c>
      <c r="AG88" s="20" t="n">
        <v>25.52</v>
      </c>
      <c r="AH88" s="20" t="n">
        <v>19.12</v>
      </c>
      <c r="AI88" s="20" t="n">
        <v>22.96</v>
      </c>
      <c r="AJ88" s="46" t="n">
        <v>0.0225</v>
      </c>
      <c r="AK88" s="20" t="n">
        <v>80</v>
      </c>
      <c r="AL88" s="20" t="n">
        <v>77.14</v>
      </c>
      <c r="AM88" s="20" t="n">
        <v>34.44</v>
      </c>
      <c r="AN88" s="20" t="n">
        <v>45.64</v>
      </c>
      <c r="AO88" s="20" t="n">
        <v>22.96</v>
      </c>
      <c r="AP88" s="20" t="n">
        <v>80</v>
      </c>
      <c r="AQ88" s="92" t="n">
        <v>0.955</v>
      </c>
      <c r="AR88" s="20" t="n">
        <v>41.28606</v>
      </c>
      <c r="AS88" s="20" t="n">
        <v>43.23</v>
      </c>
      <c r="AT88" s="49" t="n">
        <v>252</v>
      </c>
      <c r="AU88" s="50">
        <f>IF(I88="","管理人规模；","")&amp;IF(J88="","产品规模标识；","")&amp;IF(AND(F88&lt;3,O88=""),"R_incep；","")&amp;IF(N88="","近三年收益；","")&amp;IF(U88="","近三年胜率；","")&amp;IF(AND(V88&lt;&gt;"",OR(V88&lt;0,V88&gt;1)),"胜率窗口口径不一致；","")&amp;IF(AA88="","近三年回撤；","")&amp;IF(AD88="","短期卡玛；","")&amp;IF(AND(P88&lt;&gt;"",AE88=""),"DD_long不可识别；","")</f>
        <v/>
      </c>
      <c r="AV88" s="51" t="n"/>
      <c r="AW88" s="22" t="inlineStr">
        <is>
          <t>0-5亿元</t>
        </is>
      </c>
      <c r="AX88" s="22" t="inlineStr">
        <is>
          <t>2026-01-15</t>
        </is>
      </c>
      <c r="AY88" s="22" t="inlineStr">
        <is>
          <t>上海岳皋投资管理有限公司 上海岳皋投资管理有限公司</t>
        </is>
      </c>
      <c r="AZ88" s="22" t="inlineStr">
        <is>
          <t>2026-01-15</t>
        </is>
      </c>
      <c r="BA88" s="22" t="inlineStr">
        <is>
          <t>https://gs.amac.org.cn/amac-infodisc/res/pof/manager/1812180906104012.html</t>
        </is>
      </c>
      <c r="BB88" s="22" t="n"/>
      <c r="BC88" s="22" t="n"/>
      <c r="BD88" s="22" t="inlineStr">
        <is>
          <t>产品未匹配，管理人已按名称补录</t>
        </is>
      </c>
      <c r="BF88" t="inlineStr">
        <is>
          <t>未核验</t>
        </is>
      </c>
    </row>
    <row r="89" hidden="1" ht="28" customHeight="1" s="73">
      <c r="A89" s="2" t="n">
        <v>73</v>
      </c>
      <c r="B89" s="18" t="inlineStr">
        <is>
          <t>韵之嘉益</t>
        </is>
      </c>
      <c r="C89" s="18">
        <f>'sheet4-原始数据'!B74</f>
        <v/>
      </c>
      <c r="D89" s="18" t="inlineStr">
        <is>
          <t>北京韵之</t>
        </is>
      </c>
      <c r="E89" s="90" t="inlineStr">
        <is>
          <t>2023-08-03</t>
        </is>
      </c>
      <c r="F89" s="20" t="n">
        <v>3.1184</v>
      </c>
      <c r="G89" s="2">
        <f>IF(F89="","",IF(F89&lt;1,"不入池","入池"))</f>
        <v/>
      </c>
      <c r="H89" s="42" t="inlineStr">
        <is>
          <t>5-10亿元</t>
        </is>
      </c>
      <c r="I89" s="20" t="n">
        <v>70</v>
      </c>
      <c r="J89" s="43" t="inlineStr">
        <is>
          <t>无低于1000万元标识</t>
        </is>
      </c>
      <c r="K89" s="20" t="n">
        <v>100</v>
      </c>
      <c r="L89" s="20" t="n">
        <v>100</v>
      </c>
      <c r="M89" s="44" t="n">
        <v>-0.1209</v>
      </c>
      <c r="N89" s="44" t="n">
        <v>-0.05599999999999999</v>
      </c>
      <c r="O89" s="45" t="n"/>
      <c r="P89" s="46" t="n">
        <v>-0.02177478883521444</v>
      </c>
      <c r="Q89" s="20" t="n">
        <v>2.78</v>
      </c>
      <c r="R89" s="20" t="n">
        <v>2</v>
      </c>
      <c r="S89" s="20" t="n">
        <v>2.47</v>
      </c>
      <c r="T89" s="44" t="n">
        <v>0.4615</v>
      </c>
      <c r="U89" s="44" t="n">
        <v>0.5676</v>
      </c>
      <c r="V89" s="46" t="n">
        <v>0.6250708333333334</v>
      </c>
      <c r="W89" s="20" t="n">
        <v>46.15</v>
      </c>
      <c r="X89" s="20" t="n">
        <v>62.50708333333333</v>
      </c>
      <c r="Y89" s="20" t="n">
        <v>52.69</v>
      </c>
      <c r="Z89" s="46" t="n">
        <v>0.1522861821388084</v>
      </c>
      <c r="AA89" s="44" t="n">
        <v>0.1904</v>
      </c>
      <c r="AB89" s="46" t="n">
        <v>0.1904</v>
      </c>
      <c r="AC89" s="20" t="n">
        <v>11.5</v>
      </c>
      <c r="AD89" s="91" t="n">
        <v>-0.7939000000000001</v>
      </c>
      <c r="AE89" s="46" t="n">
        <v>0.1904</v>
      </c>
      <c r="AF89" s="20" t="n">
        <v>-0.1143633867395717</v>
      </c>
      <c r="AG89" s="20" t="n">
        <v>3.15</v>
      </c>
      <c r="AH89" s="20" t="n">
        <v>2.94</v>
      </c>
      <c r="AI89" s="20" t="n">
        <v>3.07</v>
      </c>
      <c r="AJ89" s="46" t="n">
        <v>-0.05599999999999999</v>
      </c>
      <c r="AK89" s="20" t="n">
        <v>80</v>
      </c>
      <c r="AL89" s="20" t="n">
        <v>88</v>
      </c>
      <c r="AM89" s="20" t="n">
        <v>17.54</v>
      </c>
      <c r="AN89" s="20" t="n">
        <v>11.5</v>
      </c>
      <c r="AO89" s="20" t="n">
        <v>3.07</v>
      </c>
      <c r="AP89" s="20" t="n">
        <v>80</v>
      </c>
      <c r="AQ89" s="92" t="n">
        <v>1</v>
      </c>
      <c r="AR89" s="20" t="n">
        <v>28.50189</v>
      </c>
      <c r="AS89" s="20" t="n">
        <v>28.5</v>
      </c>
      <c r="AT89" s="49" t="n">
        <v>300</v>
      </c>
      <c r="AU89" s="50">
        <f>IF(I89="","管理人规模；","")&amp;IF(J89="","产品规模标识；","")&amp;IF(AND(F89&lt;3,O89=""),"R_incep；","")&amp;IF(N89="","近三年收益；","")&amp;IF(U89="","近三年胜率；","")&amp;IF(AND(V89&lt;&gt;"",OR(V89&lt;0,V89&gt;1)),"胜率窗口口径不一致；","")&amp;IF(AA89="","近三年回撤；","")&amp;IF(AD89="","短期卡玛；","")&amp;IF(AND(P89&lt;&gt;"",AE89=""),"DD_long不可识别；","")</f>
        <v/>
      </c>
      <c r="AV89" s="51" t="n">
        <v>28.50189</v>
      </c>
      <c r="AW89" s="22" t="inlineStr">
        <is>
          <t>5-10亿元</t>
        </is>
      </c>
      <c r="AX89" s="22" t="inlineStr">
        <is>
          <t>2026-05-08</t>
        </is>
      </c>
      <c r="AY89" s="22" t="inlineStr">
        <is>
          <t>北京韵之私募基金管理有限公司</t>
        </is>
      </c>
      <c r="AZ89" s="22" t="inlineStr">
        <is>
          <t>2026-05-08</t>
        </is>
      </c>
      <c r="BA89" s="22" t="inlineStr">
        <is>
          <t>https://gs.amac.org.cn/amac-infodisc/res/pof/manager/1609291216100602.html</t>
        </is>
      </c>
      <c r="BB89" s="22" t="inlineStr">
        <is>
          <t>韵之嘉益私募证券投资基金</t>
        </is>
      </c>
      <c r="BC89" s="22" t="inlineStr">
        <is>
          <t>2023-08-11</t>
        </is>
      </c>
      <c r="BD89" s="22" t="inlineStr">
        <is>
          <t>已匹配</t>
        </is>
      </c>
      <c r="BE89" t="inlineStr">
        <is>
          <t>https://gs.amac.org.cn/amac-infodisc/res/pof/fund/2308101835106229.html</t>
        </is>
      </c>
      <c r="BF89" t="inlineStr">
        <is>
          <t>已核验</t>
        </is>
      </c>
    </row>
    <row r="90" hidden="1" ht="28" customHeight="1" s="73">
      <c r="A90" s="2" t="n">
        <v>74</v>
      </c>
      <c r="B90" s="18" t="inlineStr">
        <is>
          <t>杨湜套利1号</t>
        </is>
      </c>
      <c r="C90" s="18">
        <f>'sheet4-原始数据'!B75</f>
        <v/>
      </c>
      <c r="D90" s="18" t="inlineStr">
        <is>
          <t>上海杨湜投资</t>
        </is>
      </c>
      <c r="E90" s="90" t="inlineStr">
        <is>
          <t>2023-08-18</t>
        </is>
      </c>
      <c r="F90" s="20" t="n">
        <v>3.0773</v>
      </c>
      <c r="G90" s="2">
        <f>IF(F90="","",IF(F90&lt;1,"不入池","入池"))</f>
        <v/>
      </c>
      <c r="H90" s="42" t="inlineStr">
        <is>
          <t>10-20亿元</t>
        </is>
      </c>
      <c r="I90" s="20" t="n">
        <v>80</v>
      </c>
      <c r="J90" s="43" t="inlineStr">
        <is>
          <t>无低于1000万元标识</t>
        </is>
      </c>
      <c r="K90" s="20" t="n">
        <v>100</v>
      </c>
      <c r="L90" s="20" t="n">
        <v>100</v>
      </c>
      <c r="M90" s="44" t="n">
        <v>0.07290000000000001</v>
      </c>
      <c r="N90" s="44" t="n">
        <v>0.08019999999999999</v>
      </c>
      <c r="O90" s="45" t="n"/>
      <c r="P90" s="46" t="n">
        <v>0.08386860485235204</v>
      </c>
      <c r="Q90" s="20" t="n">
        <v>61.11</v>
      </c>
      <c r="R90" s="20" t="n">
        <v>68.5</v>
      </c>
      <c r="S90" s="20" t="n">
        <v>64.06999999999999</v>
      </c>
      <c r="T90" s="44" t="n">
        <v>0.7692</v>
      </c>
      <c r="U90" s="44" t="n">
        <v>0.8378</v>
      </c>
      <c r="V90" s="46" t="n">
        <v>0.8749583333333334</v>
      </c>
      <c r="W90" s="20" t="n">
        <v>76.92</v>
      </c>
      <c r="X90" s="20" t="n">
        <v>87.49583333333334</v>
      </c>
      <c r="Y90" s="20" t="n">
        <v>81.15000000000001</v>
      </c>
      <c r="Z90" s="46" t="n">
        <v>0.02204281567489115</v>
      </c>
      <c r="AA90" s="44" t="n">
        <v>0.023</v>
      </c>
      <c r="AB90" s="46" t="n">
        <v>0.023</v>
      </c>
      <c r="AC90" s="20" t="n">
        <v>70.38</v>
      </c>
      <c r="AD90" s="91" t="n">
        <v>3.3072</v>
      </c>
      <c r="AE90" s="46" t="n">
        <v>0.023</v>
      </c>
      <c r="AF90" s="20" t="n">
        <v>3.646461080537045</v>
      </c>
      <c r="AG90" s="20" t="n">
        <v>56.64</v>
      </c>
      <c r="AH90" s="20" t="n">
        <v>79.41</v>
      </c>
      <c r="AI90" s="20" t="n">
        <v>65.75</v>
      </c>
      <c r="AJ90" s="46" t="n">
        <v>0.08019999999999999</v>
      </c>
      <c r="AK90" s="20" t="n">
        <v>80</v>
      </c>
      <c r="AL90" s="20" t="n">
        <v>92</v>
      </c>
      <c r="AM90" s="20" t="n">
        <v>69.19</v>
      </c>
      <c r="AN90" s="20" t="n">
        <v>70.38</v>
      </c>
      <c r="AO90" s="20" t="n">
        <v>65.75</v>
      </c>
      <c r="AP90" s="20" t="n">
        <v>80</v>
      </c>
      <c r="AQ90" s="92" t="n">
        <v>1</v>
      </c>
      <c r="AR90" s="20" t="n">
        <v>72.95766</v>
      </c>
      <c r="AS90" s="20" t="n">
        <v>72.95999999999999</v>
      </c>
      <c r="AT90" s="49" t="n">
        <v>98</v>
      </c>
      <c r="AU90" s="50">
        <f>IF(I90="","管理人规模；","")&amp;IF(J90="","产品规模标识；","")&amp;IF(AND(F90&lt;3,O90=""),"R_incep；","")&amp;IF(N90="","近三年收益；","")&amp;IF(U90="","近三年胜率；","")&amp;IF(AND(V90&lt;&gt;"",OR(V90&lt;0,V90&gt;1)),"胜率窗口口径不一致；","")&amp;IF(AA90="","近三年回撤；","")&amp;IF(AD90="","短期卡玛；","")&amp;IF(AND(P90&lt;&gt;"",AE90=""),"DD_long不可识别；","")</f>
        <v/>
      </c>
      <c r="AV90" s="51" t="n">
        <v>72.95766</v>
      </c>
      <c r="AW90" s="22" t="inlineStr">
        <is>
          <t>10-20亿元</t>
        </is>
      </c>
      <c r="AX90" s="22" t="inlineStr">
        <is>
          <t>2026-06-25</t>
        </is>
      </c>
      <c r="AY90" s="22" t="inlineStr">
        <is>
          <t>上海杨湜资产管理中心(有限合伙)</t>
        </is>
      </c>
      <c r="AZ90" s="22" t="inlineStr">
        <is>
          <t>2026-06-25</t>
        </is>
      </c>
      <c r="BA90" s="22" t="inlineStr">
        <is>
          <t>https://gs.amac.org.cn/amac-infodisc/res/pof/manager/101000070776.html</t>
        </is>
      </c>
      <c r="BB90" s="22" t="inlineStr">
        <is>
          <t>杨湜套利1号私募证券投资基金</t>
        </is>
      </c>
      <c r="BC90" s="22" t="inlineStr">
        <is>
          <t>2026-07-14</t>
        </is>
      </c>
      <c r="BD90" s="22" t="inlineStr">
        <is>
          <t>已匹配</t>
        </is>
      </c>
      <c r="BE90" t="inlineStr">
        <is>
          <t>https://gs.amac.org.cn/amac-infodisc/res/pof/fund/2308231811111489.html</t>
        </is>
      </c>
      <c r="BF90" t="inlineStr">
        <is>
          <t>已核验</t>
        </is>
      </c>
    </row>
    <row r="91" hidden="1" ht="28" customHeight="1" s="73">
      <c r="A91" s="2" t="n">
        <v>75</v>
      </c>
      <c r="B91" s="18" t="inlineStr">
        <is>
          <t>奶酪平价套利稳健一号</t>
        </is>
      </c>
      <c r="C91" s="18">
        <f>'sheet4-原始数据'!B76</f>
        <v/>
      </c>
      <c r="D91" s="18" t="inlineStr">
        <is>
          <t>广东奶酪</t>
        </is>
      </c>
      <c r="E91" s="90" t="inlineStr">
        <is>
          <t>2023-09-05</t>
        </is>
      </c>
      <c r="F91" s="20" t="n">
        <v>3.0281</v>
      </c>
      <c r="G91" s="2">
        <f>IF(F91="","",IF(F91&lt;1,"不入池","入池"))</f>
        <v/>
      </c>
      <c r="H91" s="42" t="inlineStr">
        <is>
          <t>10-20亿元</t>
        </is>
      </c>
      <c r="I91" s="20" t="n">
        <v>80</v>
      </c>
      <c r="J91" s="43" t="inlineStr">
        <is>
          <t>无低于1000万元标识</t>
        </is>
      </c>
      <c r="K91" s="20" t="n">
        <v>100</v>
      </c>
      <c r="L91" s="20" t="n">
        <v>100</v>
      </c>
      <c r="M91" s="44" t="n">
        <v>0.0727</v>
      </c>
      <c r="N91" s="44" t="n">
        <v>0.0393</v>
      </c>
      <c r="O91" s="45" t="n"/>
      <c r="P91" s="46" t="n">
        <v>0.02299203100246383</v>
      </c>
      <c r="Q91" s="20" t="n">
        <v>60.76</v>
      </c>
      <c r="R91" s="20" t="n">
        <v>12</v>
      </c>
      <c r="S91" s="20" t="n">
        <v>41.26</v>
      </c>
      <c r="T91" s="44" t="n">
        <v>1</v>
      </c>
      <c r="U91" s="44" t="n">
        <v>0.8108</v>
      </c>
      <c r="V91" s="46" t="n">
        <v>0.7083166666666666</v>
      </c>
      <c r="W91" s="20" t="n">
        <v>100</v>
      </c>
      <c r="X91" s="20" t="n">
        <v>70.83166666666666</v>
      </c>
      <c r="Y91" s="20" t="n">
        <v>88.33</v>
      </c>
      <c r="Z91" s="46" t="n">
        <v>0.002464114427101869</v>
      </c>
      <c r="AA91" s="44" t="n">
        <v>0.0073</v>
      </c>
      <c r="AB91" s="46" t="n">
        <v>0.0073</v>
      </c>
      <c r="AC91" s="20" t="n">
        <v>88.84999999999999</v>
      </c>
      <c r="AD91" s="91" t="n">
        <v>29.5035</v>
      </c>
      <c r="AE91" s="46" t="n">
        <v>0.0073</v>
      </c>
      <c r="AF91" s="20" t="n">
        <v>3.149593288008744</v>
      </c>
      <c r="AG91" s="20" t="n">
        <v>94.06</v>
      </c>
      <c r="AH91" s="20" t="n">
        <v>77.20999999999999</v>
      </c>
      <c r="AI91" s="20" t="n">
        <v>87.31999999999999</v>
      </c>
      <c r="AJ91" s="46" t="n">
        <v>0.0393</v>
      </c>
      <c r="AK91" s="20" t="n">
        <v>100</v>
      </c>
      <c r="AL91" s="20" t="n">
        <v>92</v>
      </c>
      <c r="AM91" s="20" t="n">
        <v>55.38</v>
      </c>
      <c r="AN91" s="20" t="n">
        <v>88.84999999999999</v>
      </c>
      <c r="AO91" s="20" t="n">
        <v>87.31999999999999</v>
      </c>
      <c r="AP91" s="20" t="n">
        <v>100</v>
      </c>
      <c r="AQ91" s="92" t="n">
        <v>1</v>
      </c>
      <c r="AR91" s="20" t="n">
        <v>83.2843</v>
      </c>
      <c r="AS91" s="20" t="n">
        <v>83.28</v>
      </c>
      <c r="AT91" s="49" t="n">
        <v>45</v>
      </c>
      <c r="AU91" s="50">
        <f>IF(I91="","管理人规模；","")&amp;IF(J91="","产品规模标识；","")&amp;IF(AND(F91&lt;3,O91=""),"R_incep；","")&amp;IF(N91="","近三年收益；","")&amp;IF(U91="","近三年胜率；","")&amp;IF(AND(V91&lt;&gt;"",OR(V91&lt;0,V91&gt;1)),"胜率窗口口径不一致；","")&amp;IF(AA91="","近三年回撤；","")&amp;IF(AD91="","短期卡玛；","")&amp;IF(AND(P91&lt;&gt;"",AE91=""),"DD_long不可识别；","")</f>
        <v/>
      </c>
      <c r="AV91" s="51" t="n">
        <v>83.2843</v>
      </c>
      <c r="AW91" s="22" t="inlineStr">
        <is>
          <t>10-20亿元</t>
        </is>
      </c>
      <c r="AX91" s="22" t="inlineStr">
        <is>
          <t>2025-12-29</t>
        </is>
      </c>
      <c r="AY91" s="22" t="inlineStr">
        <is>
          <t>广东奶酪私募基金管理股份有限公司</t>
        </is>
      </c>
      <c r="AZ91" s="22" t="inlineStr">
        <is>
          <t>2025-12-29</t>
        </is>
      </c>
      <c r="BA91" s="22" t="inlineStr">
        <is>
          <t>https://gs.amac.org.cn/amac-infodisc/res/pof/manager/101000045017.html</t>
        </is>
      </c>
      <c r="BB91" s="22" t="inlineStr">
        <is>
          <t>奶酪平价套利稳健一号私募证券投资基金</t>
        </is>
      </c>
      <c r="BC91" s="22" t="inlineStr">
        <is>
          <t>2026-04-16</t>
        </is>
      </c>
      <c r="BD91" s="22" t="inlineStr">
        <is>
          <t>已匹配</t>
        </is>
      </c>
      <c r="BE91" t="inlineStr">
        <is>
          <t>https://gs.amac.org.cn/amac-infodisc/res/pof/fund/2309041554106885.html</t>
        </is>
      </c>
      <c r="BF91" t="inlineStr">
        <is>
          <t>已核验</t>
        </is>
      </c>
    </row>
    <row r="92" hidden="1" ht="28" customHeight="1" s="73">
      <c r="A92" s="2" t="n">
        <v>76</v>
      </c>
      <c r="B92" s="18" t="inlineStr">
        <is>
          <t>银万财派恒星套利1号</t>
        </is>
      </c>
      <c r="C92" s="18">
        <f>'sheet4-原始数据'!B77</f>
        <v/>
      </c>
      <c r="D92" s="18" t="inlineStr">
        <is>
          <t>浙江银万</t>
        </is>
      </c>
      <c r="E92" s="90" t="inlineStr">
        <is>
          <t>2023-08-17</t>
        </is>
      </c>
      <c r="F92" s="20" t="n">
        <v>3.0801</v>
      </c>
      <c r="G92" s="2">
        <f>IF(F92="","",IF(F92&lt;1,"不入池","入池"))</f>
        <v/>
      </c>
      <c r="H92" s="42" t="inlineStr">
        <is>
          <t>20-50亿元</t>
        </is>
      </c>
      <c r="I92" s="20" t="n">
        <v>90</v>
      </c>
      <c r="J92" s="43" t="inlineStr">
        <is>
          <t>无低于1000万元标识</t>
        </is>
      </c>
      <c r="K92" s="20" t="n">
        <v>100</v>
      </c>
      <c r="L92" s="20" t="n">
        <v>100</v>
      </c>
      <c r="M92" s="44" t="n">
        <v>0.1001</v>
      </c>
      <c r="N92" s="44" t="n">
        <v>0.06269999999999999</v>
      </c>
      <c r="O92" s="45" t="n"/>
      <c r="P92" s="46" t="n">
        <v>0.04447954335307447</v>
      </c>
      <c r="Q92" s="20" t="n">
        <v>76.39</v>
      </c>
      <c r="R92" s="20" t="n">
        <v>32</v>
      </c>
      <c r="S92" s="20" t="n">
        <v>58.63</v>
      </c>
      <c r="T92" s="44" t="n">
        <v>0.4615</v>
      </c>
      <c r="U92" s="44" t="n">
        <v>0.5135000000000001</v>
      </c>
      <c r="V92" s="46" t="n">
        <v>0.5416666666666667</v>
      </c>
      <c r="W92" s="20" t="n">
        <v>46.15</v>
      </c>
      <c r="X92" s="20" t="n">
        <v>54.16666666666667</v>
      </c>
      <c r="Y92" s="20" t="n">
        <v>49.36</v>
      </c>
      <c r="Z92" s="46" t="n">
        <v>0.05952310162335731</v>
      </c>
      <c r="AA92" s="44" t="n">
        <v>0.0791</v>
      </c>
      <c r="AB92" s="46" t="n">
        <v>0.0791</v>
      </c>
      <c r="AC92" s="20" t="n">
        <v>33.8</v>
      </c>
      <c r="AD92" s="91" t="n">
        <v>1.6817</v>
      </c>
      <c r="AE92" s="46" t="n">
        <v>0.0791</v>
      </c>
      <c r="AF92" s="20" t="n">
        <v>0.5623203963726229</v>
      </c>
      <c r="AG92" s="20" t="n">
        <v>43.36</v>
      </c>
      <c r="AH92" s="20" t="n">
        <v>19.85</v>
      </c>
      <c r="AI92" s="20" t="n">
        <v>33.96</v>
      </c>
      <c r="AJ92" s="46" t="n">
        <v>0.06269999999999999</v>
      </c>
      <c r="AK92" s="20" t="n">
        <v>100</v>
      </c>
      <c r="AL92" s="20" t="n">
        <v>96</v>
      </c>
      <c r="AM92" s="20" t="n">
        <v>55.85</v>
      </c>
      <c r="AN92" s="20" t="n">
        <v>33.8</v>
      </c>
      <c r="AO92" s="20" t="n">
        <v>33.96</v>
      </c>
      <c r="AP92" s="20" t="n">
        <v>100</v>
      </c>
      <c r="AQ92" s="92" t="n">
        <v>1</v>
      </c>
      <c r="AR92" s="20" t="n">
        <v>54.20696</v>
      </c>
      <c r="AS92" s="20" t="n">
        <v>54.21</v>
      </c>
      <c r="AT92" s="49" t="n">
        <v>200</v>
      </c>
      <c r="AU92" s="50">
        <f>IF(I92="","管理人规模；","")&amp;IF(J92="","产品规模标识；","")&amp;IF(AND(F92&lt;3,O92=""),"R_incep；","")&amp;IF(N92="","近三年收益；","")&amp;IF(U92="","近三年胜率；","")&amp;IF(AND(V92&lt;&gt;"",OR(V92&lt;0,V92&gt;1)),"胜率窗口口径不一致；","")&amp;IF(AA92="","近三年回撤；","")&amp;IF(AD92="","短期卡玛；","")&amp;IF(AND(P92&lt;&gt;"",AE92=""),"DD_long不可识别；","")</f>
        <v/>
      </c>
      <c r="AV92" s="51" t="n">
        <v>54.20696</v>
      </c>
      <c r="AW92" s="22" t="inlineStr">
        <is>
          <t>20-50亿元</t>
        </is>
      </c>
      <c r="AX92" s="22" t="inlineStr">
        <is>
          <t>2026-06-09</t>
        </is>
      </c>
      <c r="AY92" s="22" t="inlineStr">
        <is>
          <t>浙江银万私募基金管理有限公司</t>
        </is>
      </c>
      <c r="AZ92" s="22" t="inlineStr">
        <is>
          <t>2026-06-09</t>
        </is>
      </c>
      <c r="BA92" s="22" t="inlineStr">
        <is>
          <t>https://gs.amac.org.cn/amac-infodisc/res/pof/manager/101000005988.html</t>
        </is>
      </c>
      <c r="BB92" s="22" t="inlineStr">
        <is>
          <t>银万财派恒星套利1号私募证券投资基金</t>
        </is>
      </c>
      <c r="BC92" s="22" t="inlineStr">
        <is>
          <t>2026-06-25</t>
        </is>
      </c>
      <c r="BD92" s="22" t="inlineStr">
        <is>
          <t>已匹配</t>
        </is>
      </c>
      <c r="BE92" t="inlineStr">
        <is>
          <t>https://gs.amac.org.cn/amac-infodisc/res/pof/fund/2309061045107529.html</t>
        </is>
      </c>
      <c r="BF92" t="inlineStr">
        <is>
          <t>已核验</t>
        </is>
      </c>
    </row>
    <row r="93" hidden="1" ht="28" customHeight="1" s="73">
      <c r="A93" s="2" t="n">
        <v>77</v>
      </c>
      <c r="B93" s="18" t="inlineStr">
        <is>
          <t>佳泽信享5号A类</t>
        </is>
      </c>
      <c r="C93" s="18">
        <f>'sheet4-原始数据'!B78</f>
        <v/>
      </c>
      <c r="D93" s="18" t="inlineStr">
        <is>
          <t>海南佳泽</t>
        </is>
      </c>
      <c r="E93" s="90" t="inlineStr">
        <is>
          <t>2023-01-10</t>
        </is>
      </c>
      <c r="F93" s="20" t="n">
        <v>3.6797</v>
      </c>
      <c r="G93" s="2">
        <f>IF(F93="","",IF(F93&lt;1,"不入池","入池"))</f>
        <v/>
      </c>
      <c r="H93" s="42" t="inlineStr">
        <is>
          <t>0-5亿元</t>
        </is>
      </c>
      <c r="I93" s="20" t="n">
        <v>60</v>
      </c>
      <c r="J93" s="43" t="inlineStr">
        <is>
          <t>无低于1000万元标识</t>
        </is>
      </c>
      <c r="K93" s="20" t="n"/>
      <c r="L93" s="20" t="n">
        <v>100</v>
      </c>
      <c r="M93" s="44" t="n">
        <v>0.0733</v>
      </c>
      <c r="N93" s="44" t="n">
        <v>0.0581</v>
      </c>
      <c r="O93" s="45" t="n"/>
      <c r="P93" s="46" t="n">
        <v>0.05058091455517055</v>
      </c>
      <c r="Q93" s="20" t="n">
        <v>61.81</v>
      </c>
      <c r="R93" s="20" t="n">
        <v>37.5</v>
      </c>
      <c r="S93" s="20" t="n">
        <v>52.09</v>
      </c>
      <c r="T93" s="44" t="n">
        <v>0.9231</v>
      </c>
      <c r="U93" s="44" t="n">
        <v>0.8108</v>
      </c>
      <c r="V93" s="46" t="n">
        <v>0.7499708333333333</v>
      </c>
      <c r="W93" s="20" t="n">
        <v>92.31</v>
      </c>
      <c r="X93" s="20" t="n">
        <v>74.99708333333332</v>
      </c>
      <c r="Y93" s="20" t="n">
        <v>85.38</v>
      </c>
      <c r="Z93" s="46" t="n">
        <v>0.0045895973301442</v>
      </c>
      <c r="AA93" s="44" t="n">
        <v>0.0244</v>
      </c>
      <c r="AB93" s="46" t="n">
        <v>0.0244</v>
      </c>
      <c r="AC93" s="20" t="n">
        <v>68.81999999999999</v>
      </c>
      <c r="AD93" s="91" t="n">
        <v>15.9709</v>
      </c>
      <c r="AE93" s="46" t="n">
        <v>0.0244</v>
      </c>
      <c r="AF93" s="20" t="n">
        <v>2.072988301441416</v>
      </c>
      <c r="AG93" s="20" t="n">
        <v>87.76000000000001</v>
      </c>
      <c r="AH93" s="20" t="n">
        <v>67.65000000000001</v>
      </c>
      <c r="AI93" s="20" t="n">
        <v>79.72</v>
      </c>
      <c r="AJ93" s="46" t="n">
        <v>0.0581</v>
      </c>
      <c r="AK93" s="20" t="n">
        <v>100</v>
      </c>
      <c r="AL93" s="20" t="n">
        <v>77.14</v>
      </c>
      <c r="AM93" s="20" t="n">
        <v>62.08</v>
      </c>
      <c r="AN93" s="20" t="n">
        <v>68.81999999999999</v>
      </c>
      <c r="AO93" s="20" t="n">
        <v>79.72</v>
      </c>
      <c r="AP93" s="20" t="n">
        <v>100</v>
      </c>
      <c r="AQ93" s="92" t="n">
        <v>0.955</v>
      </c>
      <c r="AR93" s="20" t="n">
        <v>71.63493</v>
      </c>
      <c r="AS93" s="20" t="n">
        <v>75.01000000000001</v>
      </c>
      <c r="AT93" s="49" t="n">
        <v>90</v>
      </c>
      <c r="AU93" s="50">
        <f>IF(I93="","管理人规模；","")&amp;IF(J93="","产品规模标识；","")&amp;IF(AND(F93&lt;3,O93=""),"R_incep；","")&amp;IF(N93="","近三年收益；","")&amp;IF(U93="","近三年胜率；","")&amp;IF(AND(V93&lt;&gt;"",OR(V93&lt;0,V93&gt;1)),"胜率窗口口径不一致；","")&amp;IF(AA93="","近三年回撤；","")&amp;IF(AD93="","短期卡玛；","")&amp;IF(AND(P93&lt;&gt;"",AE93=""),"DD_long不可识别；","")</f>
        <v/>
      </c>
      <c r="AV93" s="51" t="n"/>
      <c r="AW93" s="22" t="inlineStr">
        <is>
          <t>0-5亿元</t>
        </is>
      </c>
      <c r="AX93" s="22" t="inlineStr">
        <is>
          <t>2026-08-07</t>
        </is>
      </c>
      <c r="AY93" s="22" t="inlineStr">
        <is>
          <t>海南佳泽私募基金管理合伙企业（有限合伙） 海南佳泽私募基金管理合伙企业（有限合伙）</t>
        </is>
      </c>
      <c r="AZ93" s="22" t="inlineStr">
        <is>
          <t>2026-08-07</t>
        </is>
      </c>
      <c r="BA93" s="22" t="inlineStr">
        <is>
          <t>https://gs.amac.org.cn/amac-infodisc/res/pof/manager/2202171443109430.html</t>
        </is>
      </c>
      <c r="BB93" s="22" t="n"/>
      <c r="BC93" s="22" t="n"/>
      <c r="BD93" s="22" t="inlineStr">
        <is>
          <t>产品未匹配，管理人已按名称补录</t>
        </is>
      </c>
      <c r="BF93" t="inlineStr">
        <is>
          <t>未核验</t>
        </is>
      </c>
    </row>
    <row r="94" hidden="1" ht="28" customHeight="1" s="73">
      <c r="A94" s="2" t="n">
        <v>78</v>
      </c>
      <c r="B94" s="18" t="inlineStr">
        <is>
          <t>佳泽信享5号B类</t>
        </is>
      </c>
      <c r="C94" s="18">
        <f>'sheet4-原始数据'!B79</f>
        <v/>
      </c>
      <c r="D94" s="18" t="inlineStr">
        <is>
          <t>海南佳泽</t>
        </is>
      </c>
      <c r="E94" s="90" t="inlineStr">
        <is>
          <t>2023-01-10</t>
        </is>
      </c>
      <c r="F94" s="20" t="n">
        <v>3.6797</v>
      </c>
      <c r="G94" s="2">
        <f>IF(F94="","",IF(F94&lt;1,"不入池","入池"))</f>
        <v/>
      </c>
      <c r="H94" s="42" t="inlineStr">
        <is>
          <t>0-5亿元</t>
        </is>
      </c>
      <c r="I94" s="20" t="n">
        <v>60</v>
      </c>
      <c r="J94" s="43" t="inlineStr">
        <is>
          <t>无低于1000万元标识</t>
        </is>
      </c>
      <c r="K94" s="20" t="n"/>
      <c r="L94" s="20" t="n">
        <v>100</v>
      </c>
      <c r="M94" s="44" t="n">
        <v>0.06269999999999999</v>
      </c>
      <c r="N94" s="44" t="n">
        <v>0.04769999999999999</v>
      </c>
      <c r="O94" s="45" t="n"/>
      <c r="P94" s="46" t="n">
        <v>0.04027958459599867</v>
      </c>
      <c r="Q94" s="20" t="n">
        <v>53.13</v>
      </c>
      <c r="R94" s="20" t="n">
        <v>27</v>
      </c>
      <c r="S94" s="20" t="n">
        <v>42.68</v>
      </c>
      <c r="T94" s="44" t="n">
        <v>0.8462000000000001</v>
      </c>
      <c r="U94" s="44" t="n">
        <v>0.7297</v>
      </c>
      <c r="V94" s="46" t="n">
        <v>0.6665958333333333</v>
      </c>
      <c r="W94" s="20" t="n">
        <v>84.62</v>
      </c>
      <c r="X94" s="20" t="n">
        <v>66.65958333333333</v>
      </c>
      <c r="Y94" s="20" t="n">
        <v>77.44</v>
      </c>
      <c r="Z94" s="46" t="n">
        <v>0.004882112934874014</v>
      </c>
      <c r="AA94" s="44" t="n">
        <v>0.0246</v>
      </c>
      <c r="AB94" s="46" t="n">
        <v>0.0246</v>
      </c>
      <c r="AC94" s="20" t="n">
        <v>68.12</v>
      </c>
      <c r="AD94" s="91" t="n">
        <v>12.8428</v>
      </c>
      <c r="AE94" s="46" t="n">
        <v>0.0246</v>
      </c>
      <c r="AF94" s="20" t="n">
        <v>1.637381487642223</v>
      </c>
      <c r="AG94" s="20" t="n">
        <v>85.66</v>
      </c>
      <c r="AH94" s="20" t="n">
        <v>58.82</v>
      </c>
      <c r="AI94" s="20" t="n">
        <v>74.92</v>
      </c>
      <c r="AJ94" s="46" t="n">
        <v>0.04769999999999999</v>
      </c>
      <c r="AK94" s="20" t="n">
        <v>100</v>
      </c>
      <c r="AL94" s="20" t="n">
        <v>77.14</v>
      </c>
      <c r="AM94" s="20" t="n">
        <v>53.11</v>
      </c>
      <c r="AN94" s="20" t="n">
        <v>68.12</v>
      </c>
      <c r="AO94" s="20" t="n">
        <v>74.92</v>
      </c>
      <c r="AP94" s="20" t="n">
        <v>100</v>
      </c>
      <c r="AQ94" s="92" t="n">
        <v>0.955</v>
      </c>
      <c r="AR94" s="20" t="n">
        <v>68.22826999999999</v>
      </c>
      <c r="AS94" s="20" t="n">
        <v>71.44</v>
      </c>
      <c r="AT94" s="49" t="n">
        <v>109</v>
      </c>
      <c r="AU94" s="50">
        <f>IF(I94="","管理人规模；","")&amp;IF(J94="","产品规模标识；","")&amp;IF(AND(F94&lt;3,O94=""),"R_incep；","")&amp;IF(N94="","近三年收益；","")&amp;IF(U94="","近三年胜率；","")&amp;IF(AND(V94&lt;&gt;"",OR(V94&lt;0,V94&gt;1)),"胜率窗口口径不一致；","")&amp;IF(AA94="","近三年回撤；","")&amp;IF(AD94="","短期卡玛；","")&amp;IF(AND(P94&lt;&gt;"",AE94=""),"DD_long不可识别；","")</f>
        <v/>
      </c>
      <c r="AV94" s="51" t="n"/>
      <c r="AW94" s="22" t="inlineStr">
        <is>
          <t>0-5亿元</t>
        </is>
      </c>
      <c r="AX94" s="22" t="inlineStr">
        <is>
          <t>2026-08-07</t>
        </is>
      </c>
      <c r="AY94" s="22" t="inlineStr">
        <is>
          <t>海南佳泽私募基金管理合伙企业（有限合伙） 海南佳泽私募基金管理合伙企业（有限合伙）</t>
        </is>
      </c>
      <c r="AZ94" s="22" t="inlineStr">
        <is>
          <t>2026-08-07</t>
        </is>
      </c>
      <c r="BA94" s="22" t="inlineStr">
        <is>
          <t>https://gs.amac.org.cn/amac-infodisc/res/pof/manager/2202171443109430.html</t>
        </is>
      </c>
      <c r="BB94" s="22" t="n"/>
      <c r="BC94" s="22" t="n"/>
      <c r="BD94" s="22" t="inlineStr">
        <is>
          <t>产品未匹配，管理人已按名称补录</t>
        </is>
      </c>
      <c r="BF94" t="inlineStr">
        <is>
          <t>未核验</t>
        </is>
      </c>
    </row>
    <row r="95" hidden="1" ht="28" customHeight="1" s="73">
      <c r="A95" s="2" t="n">
        <v>79</v>
      </c>
      <c r="B95" s="18" t="inlineStr">
        <is>
          <t>鋆晟衡泰进取1号</t>
        </is>
      </c>
      <c r="C95" s="18">
        <f>'sheet4-原始数据'!B80</f>
        <v/>
      </c>
      <c r="D95" s="18" t="inlineStr">
        <is>
          <t>上海鋆晟投资</t>
        </is>
      </c>
      <c r="E95" s="90" t="inlineStr">
        <is>
          <t>2023-09-22</t>
        </is>
      </c>
      <c r="F95" s="20" t="n">
        <v>2.9815</v>
      </c>
      <c r="G95" s="2">
        <f>IF(F95="","",IF(F95&lt;1,"不入池","入池"))</f>
        <v/>
      </c>
      <c r="H95" s="42" t="inlineStr">
        <is>
          <t>5-10亿元</t>
        </is>
      </c>
      <c r="I95" s="20" t="n">
        <v>70</v>
      </c>
      <c r="J95" s="43" t="inlineStr">
        <is>
          <t>无低于1000万元标识</t>
        </is>
      </c>
      <c r="K95" s="20" t="n">
        <v>100</v>
      </c>
      <c r="L95" s="20" t="n">
        <v>70</v>
      </c>
      <c r="M95" s="44" t="n">
        <v>0.0902</v>
      </c>
      <c r="N95" s="44" t="n"/>
      <c r="O95" s="45" t="n"/>
      <c r="P95" s="46" t="n"/>
      <c r="Q95" s="20" t="n">
        <v>72.40000000000001</v>
      </c>
      <c r="R95" s="20" t="n"/>
      <c r="S95" s="20" t="n">
        <v>72.40000000000001</v>
      </c>
      <c r="T95" s="44" t="n">
        <v>0.8462000000000001</v>
      </c>
      <c r="U95" s="44" t="n"/>
      <c r="V95" s="46" t="n"/>
      <c r="W95" s="20" t="n">
        <v>84.62</v>
      </c>
      <c r="X95" s="20" t="n"/>
      <c r="Y95" s="20" t="n">
        <v>84.62</v>
      </c>
      <c r="Z95" s="46" t="n">
        <v>0.02531858754841969</v>
      </c>
      <c r="AA95" s="44" t="n"/>
      <c r="AB95" s="46" t="n">
        <v>0.02531858754841969</v>
      </c>
      <c r="AC95" s="20" t="n">
        <v>65.51000000000001</v>
      </c>
      <c r="AD95" s="91" t="n">
        <v>3.5626</v>
      </c>
      <c r="AE95" s="46" t="n"/>
      <c r="AF95" s="20" t="n"/>
      <c r="AG95" s="20" t="n">
        <v>60.14</v>
      </c>
      <c r="AH95" s="20" t="n"/>
      <c r="AI95" s="20" t="n">
        <v>60.14</v>
      </c>
      <c r="AJ95" s="46" t="n"/>
      <c r="AK95" s="20" t="n"/>
      <c r="AL95" s="20" t="n">
        <v>79</v>
      </c>
      <c r="AM95" s="20" t="n">
        <v>76.06999999999999</v>
      </c>
      <c r="AN95" s="20" t="n">
        <v>65.51000000000001</v>
      </c>
      <c r="AO95" s="20" t="n">
        <v>60.14</v>
      </c>
      <c r="AP95" s="20" t="n"/>
      <c r="AQ95" s="92" t="n">
        <v>0.7</v>
      </c>
      <c r="AR95" s="20" t="n">
        <v>48.18062</v>
      </c>
      <c r="AS95" s="20" t="n">
        <v>68.83</v>
      </c>
      <c r="AT95" s="49" t="n">
        <v>131</v>
      </c>
      <c r="AU95" s="50">
        <f>IF(I95="","管理人规模；","")&amp;IF(J95="","产品规模标识；","")&amp;IF(AND(F95&lt;3,O95=""),"R_incep；","")&amp;IF(N95="","近三年收益；","")&amp;IF(U95="","近三年胜率；","")&amp;IF(AND(V95&lt;&gt;"",OR(V95&lt;0,V95&gt;1)),"胜率窗口口径不一致；","")&amp;IF(AA95="","近三年回撤；","")&amp;IF(AD95="","短期卡玛；","")&amp;IF(AND(P95&lt;&gt;"",AE95=""),"DD_long不可识别；","")</f>
        <v/>
      </c>
      <c r="AV95" s="51" t="n"/>
      <c r="AW95" s="22" t="inlineStr">
        <is>
          <t>5-10亿元</t>
        </is>
      </c>
      <c r="AX95" s="22" t="inlineStr">
        <is>
          <t>2026-08-24</t>
        </is>
      </c>
      <c r="AY95" s="22" t="inlineStr">
        <is>
          <t>上海鋆晟投资管理有限公司</t>
        </is>
      </c>
      <c r="AZ95" s="22" t="inlineStr">
        <is>
          <t>2026-08-24</t>
        </is>
      </c>
      <c r="BA95" s="22" t="inlineStr">
        <is>
          <t>https://gs.amac.org.cn/amac-infodisc/res/pof/manager/101000039679.html</t>
        </is>
      </c>
      <c r="BB95" s="22" t="inlineStr">
        <is>
          <t>鋆晟衡泰进取1号私募证券投资基金</t>
        </is>
      </c>
      <c r="BC95" s="22" t="inlineStr">
        <is>
          <t>2025-03-12</t>
        </is>
      </c>
      <c r="BD95" s="22" t="inlineStr">
        <is>
          <t>已匹配</t>
        </is>
      </c>
      <c r="BE95" t="inlineStr">
        <is>
          <t>https://gs.amac.org.cn/amac-infodisc/res/pof/fund/2309271703101145.html</t>
        </is>
      </c>
      <c r="BF95" t="inlineStr">
        <is>
          <t>已核验</t>
        </is>
      </c>
    </row>
    <row r="96" hidden="1" ht="28" customHeight="1" s="73">
      <c r="A96" s="2" t="n">
        <v>80</v>
      </c>
      <c r="B96" s="18" t="inlineStr">
        <is>
          <t>嘉和传承精研倍赢一期</t>
        </is>
      </c>
      <c r="C96" s="18">
        <f>'sheet4-原始数据'!B81</f>
        <v/>
      </c>
      <c r="D96" s="18" t="inlineStr">
        <is>
          <t>上海嘉和传承</t>
        </is>
      </c>
      <c r="E96" s="90" t="inlineStr">
        <is>
          <t>2023-11-14</t>
        </is>
      </c>
      <c r="F96" s="20" t="n">
        <v>2.8364</v>
      </c>
      <c r="G96" s="2">
        <f>IF(F96="","",IF(F96&lt;1,"不入池","入池"))</f>
        <v/>
      </c>
      <c r="H96" s="42" t="inlineStr">
        <is>
          <t>5-10亿元</t>
        </is>
      </c>
      <c r="I96" s="20" t="n">
        <v>70</v>
      </c>
      <c r="J96" s="43" t="inlineStr">
        <is>
          <t>无低于1000万元标识</t>
        </is>
      </c>
      <c r="K96" s="20" t="n">
        <v>100</v>
      </c>
      <c r="L96" s="20" t="n">
        <v>70</v>
      </c>
      <c r="M96" s="44" t="n">
        <v>0.2822</v>
      </c>
      <c r="N96" s="44" t="n"/>
      <c r="O96" s="45" t="n"/>
      <c r="P96" s="46" t="n"/>
      <c r="Q96" s="20" t="n">
        <v>95.14</v>
      </c>
      <c r="R96" s="20" t="n"/>
      <c r="S96" s="20" t="n">
        <v>95.14</v>
      </c>
      <c r="T96" s="44" t="n">
        <v>0.6923</v>
      </c>
      <c r="U96" s="44" t="n"/>
      <c r="V96" s="46" t="n"/>
      <c r="W96" s="20" t="n">
        <v>69.23</v>
      </c>
      <c r="X96" s="20" t="n"/>
      <c r="Y96" s="20" t="n">
        <v>69.23</v>
      </c>
      <c r="Z96" s="46" t="n">
        <v>0.1324385207433828</v>
      </c>
      <c r="AA96" s="44" t="n"/>
      <c r="AB96" s="46" t="n">
        <v>0.1324385207433828</v>
      </c>
      <c r="AC96" s="20" t="n">
        <v>18.12</v>
      </c>
      <c r="AD96" s="91" t="n">
        <v>2.1308</v>
      </c>
      <c r="AE96" s="46" t="n"/>
      <c r="AF96" s="20" t="n"/>
      <c r="AG96" s="20" t="n">
        <v>48.95</v>
      </c>
      <c r="AH96" s="20" t="n"/>
      <c r="AI96" s="20" t="n">
        <v>48.95</v>
      </c>
      <c r="AJ96" s="46" t="n"/>
      <c r="AK96" s="20" t="n"/>
      <c r="AL96" s="20" t="n">
        <v>79</v>
      </c>
      <c r="AM96" s="20" t="n">
        <v>87.37</v>
      </c>
      <c r="AN96" s="20" t="n">
        <v>18.12</v>
      </c>
      <c r="AO96" s="20" t="n">
        <v>48.95</v>
      </c>
      <c r="AP96" s="20" t="n"/>
      <c r="AQ96" s="92" t="n">
        <v>0.7</v>
      </c>
      <c r="AR96" s="20" t="n">
        <v>35.67504</v>
      </c>
      <c r="AS96" s="20" t="n">
        <v>50.96</v>
      </c>
      <c r="AT96" s="49" t="n">
        <v>216</v>
      </c>
      <c r="AU96" s="50">
        <f>IF(I96="","管理人规模；","")&amp;IF(J96="","产品规模标识；","")&amp;IF(AND(F96&lt;3,O96=""),"R_incep；","")&amp;IF(N96="","近三年收益；","")&amp;IF(U96="","近三年胜率；","")&amp;IF(AND(V96&lt;&gt;"",OR(V96&lt;0,V96&gt;1)),"胜率窗口口径不一致；","")&amp;IF(AA96="","近三年回撤；","")&amp;IF(AD96="","短期卡玛；","")&amp;IF(AND(P96&lt;&gt;"",AE96=""),"DD_long不可识别；","")</f>
        <v/>
      </c>
      <c r="AV96" s="51" t="n"/>
      <c r="AW96" s="22" t="inlineStr">
        <is>
          <t>5-10亿元</t>
        </is>
      </c>
      <c r="AX96" s="22" t="inlineStr">
        <is>
          <t>2025-08-08</t>
        </is>
      </c>
      <c r="AY96" s="22" t="inlineStr">
        <is>
          <t>上海嘉和传承私募基金管理有限公司</t>
        </is>
      </c>
      <c r="AZ96" s="22" t="inlineStr">
        <is>
          <t>2025-08-08</t>
        </is>
      </c>
      <c r="BA96" s="22" t="inlineStr">
        <is>
          <t>https://gs.amac.org.cn/amac-infodisc/res/pof/manager/2203031405108672.html</t>
        </is>
      </c>
      <c r="BB96" s="22" t="inlineStr">
        <is>
          <t>嘉和传承精研倍赢一期私募证券投资基金</t>
        </is>
      </c>
      <c r="BC96" s="22" t="inlineStr">
        <is>
          <t>2026-06-05</t>
        </is>
      </c>
      <c r="BD96" s="22" t="inlineStr">
        <is>
          <t>已匹配</t>
        </is>
      </c>
      <c r="BE96" t="inlineStr">
        <is>
          <t>https://gs.amac.org.cn/amac-infodisc/res/pof/fund/2311201000109695.html</t>
        </is>
      </c>
      <c r="BF96" t="inlineStr">
        <is>
          <t>已核验</t>
        </is>
      </c>
    </row>
    <row r="97" hidden="1" ht="28" customHeight="1" s="73">
      <c r="A97" s="2" t="n">
        <v>81</v>
      </c>
      <c r="B97" s="18" t="inlineStr">
        <is>
          <t>嘉和传承精研倍赢一期A类</t>
        </is>
      </c>
      <c r="C97" s="18">
        <f>'sheet4-原始数据'!B82</f>
        <v/>
      </c>
      <c r="D97" s="18" t="inlineStr">
        <is>
          <t>上海嘉和传承</t>
        </is>
      </c>
      <c r="E97" s="90" t="inlineStr">
        <is>
          <t>2023-11-14</t>
        </is>
      </c>
      <c r="F97" s="20" t="n">
        <v>2.8364</v>
      </c>
      <c r="G97" s="2">
        <f>IF(F97="","",IF(F97&lt;1,"不入池","入池"))</f>
        <v/>
      </c>
      <c r="H97" s="42" t="inlineStr">
        <is>
          <t>5-10亿元</t>
        </is>
      </c>
      <c r="I97" s="20" t="n">
        <v>70</v>
      </c>
      <c r="J97" s="43" t="inlineStr">
        <is>
          <t>无低于1000万元标识</t>
        </is>
      </c>
      <c r="K97" s="20" t="n"/>
      <c r="L97" s="20" t="n">
        <v>70</v>
      </c>
      <c r="M97" s="44" t="n">
        <v>0.283</v>
      </c>
      <c r="N97" s="44" t="n"/>
      <c r="O97" s="45" t="n"/>
      <c r="P97" s="46" t="n"/>
      <c r="Q97" s="20" t="n">
        <v>95.83</v>
      </c>
      <c r="R97" s="20" t="n"/>
      <c r="S97" s="20" t="n">
        <v>95.83</v>
      </c>
      <c r="T97" s="44" t="n">
        <v>0.6923</v>
      </c>
      <c r="U97" s="44" t="n"/>
      <c r="V97" s="46" t="n"/>
      <c r="W97" s="20" t="n">
        <v>69.23</v>
      </c>
      <c r="X97" s="20" t="n"/>
      <c r="Y97" s="20" t="n">
        <v>69.23</v>
      </c>
      <c r="Z97" s="46" t="n">
        <v>0.1324534306842647</v>
      </c>
      <c r="AA97" s="44" t="n"/>
      <c r="AB97" s="46" t="n">
        <v>0.1324534306842647</v>
      </c>
      <c r="AC97" s="20" t="n">
        <v>17.77</v>
      </c>
      <c r="AD97" s="91" t="n">
        <v>2.1366</v>
      </c>
      <c r="AE97" s="46" t="n"/>
      <c r="AF97" s="20" t="n"/>
      <c r="AG97" s="20" t="n">
        <v>49.3</v>
      </c>
      <c r="AH97" s="20" t="n"/>
      <c r="AI97" s="20" t="n">
        <v>49.3</v>
      </c>
      <c r="AJ97" s="46" t="n"/>
      <c r="AK97" s="20" t="n"/>
      <c r="AL97" s="20" t="n">
        <v>70</v>
      </c>
      <c r="AM97" s="20" t="n">
        <v>87.84999999999999</v>
      </c>
      <c r="AN97" s="20" t="n">
        <v>17.77</v>
      </c>
      <c r="AO97" s="20" t="n">
        <v>49.3</v>
      </c>
      <c r="AP97" s="20" t="n"/>
      <c r="AQ97" s="92" t="n">
        <v>0.655</v>
      </c>
      <c r="AR97" s="20" t="n">
        <v>31.2085</v>
      </c>
      <c r="AS97" s="20" t="n">
        <v>47.65</v>
      </c>
      <c r="AT97" s="49" t="n">
        <v>235</v>
      </c>
      <c r="AU97" s="50">
        <f>IF(I97="","管理人规模；","")&amp;IF(J97="","产品规模标识；","")&amp;IF(AND(F97&lt;3,O97=""),"R_incep；","")&amp;IF(N97="","近三年收益；","")&amp;IF(U97="","近三年胜率；","")&amp;IF(AND(V97&lt;&gt;"",OR(V97&lt;0,V97&gt;1)),"胜率窗口口径不一致；","")&amp;IF(AA97="","近三年回撤；","")&amp;IF(AD97="","短期卡玛；","")&amp;IF(AND(P97&lt;&gt;"",AE97=""),"DD_long不可识别；","")</f>
        <v/>
      </c>
      <c r="AV97" s="51" t="n"/>
      <c r="AW97" s="22" t="inlineStr">
        <is>
          <t>5-10亿元</t>
        </is>
      </c>
      <c r="AX97" s="22" t="inlineStr">
        <is>
          <t>2025-08-08</t>
        </is>
      </c>
      <c r="AY97" s="22" t="inlineStr">
        <is>
          <t>上海嘉和传承私募基金管理有限公司 上海嘉和传承私募基金管理有限公司</t>
        </is>
      </c>
      <c r="AZ97" s="22" t="inlineStr">
        <is>
          <t>2025-08-08</t>
        </is>
      </c>
      <c r="BA97" s="22" t="inlineStr">
        <is>
          <t>https://gs.amac.org.cn/amac-infodisc/res/pof/manager/2203031405108672.html</t>
        </is>
      </c>
      <c r="BB97" s="22" t="n"/>
      <c r="BC97" s="22" t="n"/>
      <c r="BD97" s="22" t="inlineStr">
        <is>
          <t>产品未匹配，管理人已按名称补录</t>
        </is>
      </c>
      <c r="BF97" t="inlineStr">
        <is>
          <t>未核验</t>
        </is>
      </c>
    </row>
    <row r="98" hidden="1" ht="28" customHeight="1" s="73">
      <c r="A98" s="2" t="n">
        <v>82</v>
      </c>
      <c r="B98" s="18" t="inlineStr">
        <is>
          <t>广联宏丰利1号</t>
        </is>
      </c>
      <c r="C98" s="18">
        <f>'sheet4-原始数据'!B83</f>
        <v/>
      </c>
      <c r="D98" s="18" t="inlineStr">
        <is>
          <t>海南广联宏</t>
        </is>
      </c>
      <c r="E98" s="90" t="inlineStr">
        <is>
          <t>2024-01-31</t>
        </is>
      </c>
      <c r="F98" s="20" t="n">
        <v>2.6229</v>
      </c>
      <c r="G98" s="2">
        <f>IF(F98="","",IF(F98&lt;1,"不入池","入池"))</f>
        <v/>
      </c>
      <c r="H98" s="42" t="inlineStr">
        <is>
          <t>5-10亿元</t>
        </is>
      </c>
      <c r="I98" s="20" t="n">
        <v>70</v>
      </c>
      <c r="J98" s="43" t="inlineStr">
        <is>
          <t>无低于1000万元标识</t>
        </is>
      </c>
      <c r="K98" s="20" t="n">
        <v>100</v>
      </c>
      <c r="L98" s="20" t="n">
        <v>70</v>
      </c>
      <c r="M98" s="44" t="n">
        <v>0.4997</v>
      </c>
      <c r="N98" s="44" t="n"/>
      <c r="O98" s="45" t="n"/>
      <c r="P98" s="46" t="n"/>
      <c r="Q98" s="20" t="n">
        <v>98.61</v>
      </c>
      <c r="R98" s="20" t="n"/>
      <c r="S98" s="20" t="n">
        <v>98.61</v>
      </c>
      <c r="T98" s="44" t="n">
        <v>0.8462000000000001</v>
      </c>
      <c r="U98" s="44" t="n"/>
      <c r="V98" s="46" t="n"/>
      <c r="W98" s="20" t="n">
        <v>84.62</v>
      </c>
      <c r="X98" s="20" t="n"/>
      <c r="Y98" s="20" t="n">
        <v>84.62</v>
      </c>
      <c r="Z98" s="46" t="n">
        <v>0.05140259018855503</v>
      </c>
      <c r="AA98" s="44" t="n"/>
      <c r="AB98" s="46" t="n">
        <v>0.05140259018855503</v>
      </c>
      <c r="AC98" s="20" t="n">
        <v>43.9</v>
      </c>
      <c r="AD98" s="91" t="n">
        <v>9.721299999999999</v>
      </c>
      <c r="AE98" s="46" t="n"/>
      <c r="AF98" s="20" t="n"/>
      <c r="AG98" s="20" t="n">
        <v>79.72</v>
      </c>
      <c r="AH98" s="20" t="n"/>
      <c r="AI98" s="20" t="n">
        <v>79.72</v>
      </c>
      <c r="AJ98" s="46" t="n"/>
      <c r="AK98" s="20" t="n"/>
      <c r="AL98" s="20" t="n">
        <v>79</v>
      </c>
      <c r="AM98" s="20" t="n">
        <v>94.41</v>
      </c>
      <c r="AN98" s="20" t="n">
        <v>43.9</v>
      </c>
      <c r="AO98" s="20" t="n">
        <v>79.72</v>
      </c>
      <c r="AP98" s="20" t="n"/>
      <c r="AQ98" s="92" t="n">
        <v>0.7</v>
      </c>
      <c r="AR98" s="20" t="n">
        <v>48.50416</v>
      </c>
      <c r="AS98" s="20" t="n">
        <v>69.29000000000001</v>
      </c>
      <c r="AT98" s="49" t="n">
        <v>124</v>
      </c>
      <c r="AU98" s="50">
        <f>IF(I98="","管理人规模；","")&amp;IF(J98="","产品规模标识；","")&amp;IF(AND(F98&lt;3,O98=""),"R_incep；","")&amp;IF(N98="","近三年收益；","")&amp;IF(U98="","近三年胜率；","")&amp;IF(AND(V98&lt;&gt;"",OR(V98&lt;0,V98&gt;1)),"胜率窗口口径不一致；","")&amp;IF(AA98="","近三年回撤；","")&amp;IF(AD98="","短期卡玛；","")&amp;IF(AND(P98&lt;&gt;"",AE98=""),"DD_long不可识别；","")</f>
        <v/>
      </c>
      <c r="AV98" s="51" t="n"/>
      <c r="AW98" s="22" t="inlineStr">
        <is>
          <t>5-10亿元</t>
        </is>
      </c>
      <c r="AX98" s="22" t="inlineStr">
        <is>
          <t>2025-09-10</t>
        </is>
      </c>
      <c r="AY98" s="22" t="inlineStr">
        <is>
          <t>海南广联宏私募基金管理有限公司</t>
        </is>
      </c>
      <c r="AZ98" s="22" t="inlineStr">
        <is>
          <t>2025-09-10</t>
        </is>
      </c>
      <c r="BA98" s="22" t="inlineStr">
        <is>
          <t>https://gs.amac.org.cn/amac-infodisc/res/pof/manager/2109061042100364.html</t>
        </is>
      </c>
      <c r="BB98" s="22" t="inlineStr">
        <is>
          <t>广联宏丰利1号私募证券投资基金</t>
        </is>
      </c>
      <c r="BC98" s="22" t="inlineStr">
        <is>
          <t>2024-02-06</t>
        </is>
      </c>
      <c r="BD98" s="22" t="inlineStr">
        <is>
          <t>已匹配</t>
        </is>
      </c>
      <c r="BE98" t="inlineStr">
        <is>
          <t>https://gs.amac.org.cn/amac-infodisc/res/pof/fund/2402061715110753.html</t>
        </is>
      </c>
      <c r="BF98" t="inlineStr">
        <is>
          <t>已核验</t>
        </is>
      </c>
    </row>
    <row r="99" hidden="1" ht="28" customHeight="1" s="73">
      <c r="A99" s="2" t="n">
        <v>83</v>
      </c>
      <c r="B99" s="18" t="inlineStr">
        <is>
          <t>简文长风1号</t>
        </is>
      </c>
      <c r="C99" s="18">
        <f>'sheet4-原始数据'!B84</f>
        <v/>
      </c>
      <c r="D99" s="18" t="inlineStr">
        <is>
          <t>上海简文</t>
        </is>
      </c>
      <c r="E99" s="90" t="inlineStr">
        <is>
          <t>2024-01-29</t>
        </is>
      </c>
      <c r="F99" s="20" t="n">
        <v>2.6283</v>
      </c>
      <c r="G99" s="2">
        <f>IF(F99="","",IF(F99&lt;1,"不入池","入池"))</f>
        <v/>
      </c>
      <c r="H99" s="42" t="inlineStr">
        <is>
          <t>10-20亿元</t>
        </is>
      </c>
      <c r="I99" s="20" t="n">
        <v>80</v>
      </c>
      <c r="J99" s="43" t="inlineStr">
        <is>
          <t>无低于1000万元标识</t>
        </is>
      </c>
      <c r="K99" s="20" t="n">
        <v>100</v>
      </c>
      <c r="L99" s="20" t="n">
        <v>70</v>
      </c>
      <c r="M99" s="44" t="n">
        <v>0.08710000000000001</v>
      </c>
      <c r="N99" s="44" t="n"/>
      <c r="O99" s="45" t="n"/>
      <c r="P99" s="46" t="n"/>
      <c r="Q99" s="20" t="n">
        <v>70.14</v>
      </c>
      <c r="R99" s="20" t="n"/>
      <c r="S99" s="20" t="n">
        <v>70.14</v>
      </c>
      <c r="T99" s="44" t="n">
        <v>0.5385</v>
      </c>
      <c r="U99" s="44" t="n"/>
      <c r="V99" s="46" t="n"/>
      <c r="W99" s="20" t="n">
        <v>53.84999999999999</v>
      </c>
      <c r="X99" s="20" t="n"/>
      <c r="Y99" s="20" t="n">
        <v>53.84999999999999</v>
      </c>
      <c r="Z99" s="46" t="n">
        <v>0.1179417738659445</v>
      </c>
      <c r="AA99" s="44" t="n"/>
      <c r="AB99" s="46" t="n">
        <v>0.1179417738659445</v>
      </c>
      <c r="AC99" s="20" t="n">
        <v>21.6</v>
      </c>
      <c r="AD99" s="91" t="n">
        <v>0.7385</v>
      </c>
      <c r="AE99" s="46" t="n"/>
      <c r="AF99" s="20" t="n"/>
      <c r="AG99" s="20" t="n">
        <v>29.37</v>
      </c>
      <c r="AH99" s="20" t="n"/>
      <c r="AI99" s="20" t="n">
        <v>29.37</v>
      </c>
      <c r="AJ99" s="46" t="n"/>
      <c r="AK99" s="20" t="n"/>
      <c r="AL99" s="20" t="n">
        <v>83</v>
      </c>
      <c r="AM99" s="20" t="n">
        <v>65.25</v>
      </c>
      <c r="AN99" s="20" t="n">
        <v>21.6</v>
      </c>
      <c r="AO99" s="20" t="n">
        <v>29.37</v>
      </c>
      <c r="AP99" s="20" t="n"/>
      <c r="AQ99" s="92" t="n">
        <v>0.7</v>
      </c>
      <c r="AR99" s="20" t="n">
        <v>30.96696</v>
      </c>
      <c r="AS99" s="20" t="n">
        <v>44.24</v>
      </c>
      <c r="AT99" s="49" t="n">
        <v>244</v>
      </c>
      <c r="AU99" s="50">
        <f>IF(I99="","管理人规模；","")&amp;IF(J99="","产品规模标识；","")&amp;IF(AND(F99&lt;3,O99=""),"R_incep；","")&amp;IF(N99="","近三年收益；","")&amp;IF(U99="","近三年胜率；","")&amp;IF(AND(V99&lt;&gt;"",OR(V99&lt;0,V99&gt;1)),"胜率窗口口径不一致；","")&amp;IF(AA99="","近三年回撤；","")&amp;IF(AD99="","短期卡玛；","")&amp;IF(AND(P99&lt;&gt;"",AE99=""),"DD_long不可识别；","")</f>
        <v/>
      </c>
      <c r="AV99" s="51" t="n"/>
      <c r="AW99" s="22" t="inlineStr">
        <is>
          <t>10-20亿元</t>
        </is>
      </c>
      <c r="AX99" s="22" t="inlineStr">
        <is>
          <t>2025-04-23</t>
        </is>
      </c>
      <c r="AY99" s="22" t="inlineStr">
        <is>
          <t>上海简文私募基金管理有限公司</t>
        </is>
      </c>
      <c r="AZ99" s="22" t="inlineStr">
        <is>
          <t>2025-04-23</t>
        </is>
      </c>
      <c r="BA99" s="22" t="inlineStr">
        <is>
          <t>https://gs.amac.org.cn/amac-infodisc/res/pof/manager/101000033419.html</t>
        </is>
      </c>
      <c r="BB99" s="22" t="inlineStr">
        <is>
          <t>简文长风1号私募证券投资基金</t>
        </is>
      </c>
      <c r="BC99" s="22" t="inlineStr">
        <is>
          <t>2025-12-22</t>
        </is>
      </c>
      <c r="BD99" s="22" t="inlineStr">
        <is>
          <t>已匹配</t>
        </is>
      </c>
      <c r="BE99" t="inlineStr">
        <is>
          <t>https://gs.amac.org.cn/amac-infodisc/res/pof/fund/2403251659102187.html</t>
        </is>
      </c>
      <c r="BF99" t="inlineStr">
        <is>
          <t>已核验</t>
        </is>
      </c>
    </row>
    <row r="100" hidden="1" ht="28" customHeight="1" s="73">
      <c r="A100" s="2" t="n">
        <v>84</v>
      </c>
      <c r="B100" s="18" t="inlineStr">
        <is>
          <t>巨量边界ETF对冲1号</t>
        </is>
      </c>
      <c r="C100" s="18">
        <f>'sheet4-原始数据'!B85</f>
        <v/>
      </c>
      <c r="D100" s="18" t="inlineStr">
        <is>
          <t>北京巨量边界</t>
        </is>
      </c>
      <c r="E100" s="90" t="inlineStr">
        <is>
          <t>2024-03-28</t>
        </is>
      </c>
      <c r="F100" s="20" t="n">
        <v>2.4668</v>
      </c>
      <c r="G100" s="2">
        <f>IF(F100="","",IF(F100&lt;1,"不入池","入池"))</f>
        <v/>
      </c>
      <c r="H100" s="42" t="inlineStr">
        <is>
          <t>20-50亿元</t>
        </is>
      </c>
      <c r="I100" s="20" t="n">
        <v>90</v>
      </c>
      <c r="J100" s="43" t="inlineStr">
        <is>
          <t>低于1000万元</t>
        </is>
      </c>
      <c r="K100" s="20" t="n">
        <v>0</v>
      </c>
      <c r="L100" s="20" t="n">
        <v>70</v>
      </c>
      <c r="M100" s="44" t="n">
        <v>0.0907</v>
      </c>
      <c r="N100" s="44" t="n"/>
      <c r="O100" s="45" t="n"/>
      <c r="P100" s="46" t="n"/>
      <c r="Q100" s="20" t="n">
        <v>72.92</v>
      </c>
      <c r="R100" s="20" t="n"/>
      <c r="S100" s="20" t="n">
        <v>72.92</v>
      </c>
      <c r="T100" s="44" t="n">
        <v>0.7692</v>
      </c>
      <c r="U100" s="44" t="n"/>
      <c r="V100" s="46" t="n"/>
      <c r="W100" s="20" t="n">
        <v>76.92</v>
      </c>
      <c r="X100" s="20" t="n"/>
      <c r="Y100" s="20" t="n">
        <v>76.92</v>
      </c>
      <c r="Z100" s="46" t="n">
        <v>0.016816538425883</v>
      </c>
      <c r="AA100" s="44" t="n"/>
      <c r="AB100" s="46" t="n">
        <v>0.016816538425883</v>
      </c>
      <c r="AC100" s="20" t="n">
        <v>75.61</v>
      </c>
      <c r="AD100" s="91" t="n">
        <v>5.3935</v>
      </c>
      <c r="AE100" s="46" t="n"/>
      <c r="AF100" s="20" t="n"/>
      <c r="AG100" s="20" t="n">
        <v>67.48</v>
      </c>
      <c r="AH100" s="20" t="n"/>
      <c r="AI100" s="20" t="n">
        <v>67.48</v>
      </c>
      <c r="AJ100" s="46" t="n"/>
      <c r="AK100" s="20" t="n"/>
      <c r="AL100" s="20" t="n">
        <v>57</v>
      </c>
      <c r="AM100" s="20" t="n">
        <v>74.12</v>
      </c>
      <c r="AN100" s="20" t="n">
        <v>75.61</v>
      </c>
      <c r="AO100" s="20" t="n">
        <v>67.48</v>
      </c>
      <c r="AP100" s="20" t="n"/>
      <c r="AQ100" s="92" t="n">
        <v>0.7</v>
      </c>
      <c r="AR100" s="20" t="n">
        <v>48.4933</v>
      </c>
      <c r="AS100" s="20" t="n">
        <v>69.28</v>
      </c>
      <c r="AT100" s="49" t="n">
        <v>125</v>
      </c>
      <c r="AU100" s="50">
        <f>IF(I100="","管理人规模；","")&amp;IF(J100="","产品规模标识；","")&amp;IF(AND(F100&lt;3,O100=""),"R_incep；","")&amp;IF(N100="","近三年收益；","")&amp;IF(U100="","近三年胜率；","")&amp;IF(AND(V100&lt;&gt;"",OR(V100&lt;0,V100&gt;1)),"胜率窗口口径不一致；","")&amp;IF(AA100="","近三年回撤；","")&amp;IF(AD100="","短期卡玛；","")&amp;IF(AND(P100&lt;&gt;"",AE100=""),"DD_long不可识别；","")</f>
        <v/>
      </c>
      <c r="AV100" s="51" t="n"/>
      <c r="AW100" s="22" t="inlineStr">
        <is>
          <t>20-50亿元</t>
        </is>
      </c>
      <c r="AX100" s="22" t="inlineStr">
        <is>
          <t>2025-05-07</t>
        </is>
      </c>
      <c r="AY100" s="22" t="inlineStr">
        <is>
          <t>北京巨量边界私募基金管理有限公司</t>
        </is>
      </c>
      <c r="AZ100" s="22" t="inlineStr">
        <is>
          <t>2025-05-07</t>
        </is>
      </c>
      <c r="BA100" s="22" t="inlineStr">
        <is>
          <t>https://gs.amac.org.cn/amac-infodisc/res/pof/manager/2107271706122405.html</t>
        </is>
      </c>
      <c r="BB100" s="22" t="inlineStr">
        <is>
          <t>巨量边界ETF对冲1号私募证券投资基金</t>
        </is>
      </c>
      <c r="BC100" s="22" t="inlineStr">
        <is>
          <t>2025-01-21</t>
        </is>
      </c>
      <c r="BD100" s="22" t="inlineStr">
        <is>
          <t>已匹配</t>
        </is>
      </c>
      <c r="BE100" t="inlineStr">
        <is>
          <t>https://gs.amac.org.cn/amac-infodisc/res/pof/fund/2404030958107001.html</t>
        </is>
      </c>
      <c r="BF100" t="inlineStr">
        <is>
          <t>已核验</t>
        </is>
      </c>
    </row>
    <row r="101" hidden="1" ht="28" customHeight="1" s="73">
      <c r="A101" s="2" t="n">
        <v>85</v>
      </c>
      <c r="B101" s="18" t="inlineStr">
        <is>
          <t>慕途商品套利1号</t>
        </is>
      </c>
      <c r="C101" s="18">
        <f>'sheet4-原始数据'!B86</f>
        <v/>
      </c>
      <c r="D101" s="18" t="inlineStr">
        <is>
          <t>慕途基金</t>
        </is>
      </c>
      <c r="E101" s="90" t="inlineStr">
        <is>
          <t>2024-03-25</t>
        </is>
      </c>
      <c r="F101" s="20" t="n">
        <v>2.475</v>
      </c>
      <c r="G101" s="2">
        <f>IF(F101="","",IF(F101&lt;1,"不入池","入池"))</f>
        <v/>
      </c>
      <c r="H101" s="42" t="inlineStr">
        <is>
          <t>10-20亿元</t>
        </is>
      </c>
      <c r="I101" s="20" t="n">
        <v>80</v>
      </c>
      <c r="J101" s="43" t="inlineStr">
        <is>
          <t>无低于1000万元标识</t>
        </is>
      </c>
      <c r="K101" s="20" t="n">
        <v>100</v>
      </c>
      <c r="L101" s="20" t="n">
        <v>70</v>
      </c>
      <c r="M101" s="44" t="n">
        <v>0.1287</v>
      </c>
      <c r="N101" s="44" t="n"/>
      <c r="O101" s="45" t="n"/>
      <c r="P101" s="46" t="n"/>
      <c r="Q101" s="20" t="n">
        <v>82.98999999999999</v>
      </c>
      <c r="R101" s="20" t="n"/>
      <c r="S101" s="20" t="n">
        <v>82.98999999999999</v>
      </c>
      <c r="T101" s="44" t="n">
        <v>0.8462000000000001</v>
      </c>
      <c r="U101" s="44" t="n"/>
      <c r="V101" s="46" t="n"/>
      <c r="W101" s="20" t="n">
        <v>84.62</v>
      </c>
      <c r="X101" s="20" t="n"/>
      <c r="Y101" s="20" t="n">
        <v>84.62</v>
      </c>
      <c r="Z101" s="46" t="n">
        <v>0.01258901322482197</v>
      </c>
      <c r="AA101" s="44" t="n"/>
      <c r="AB101" s="46" t="n">
        <v>0.01258901322482197</v>
      </c>
      <c r="AC101" s="20" t="n">
        <v>82.93000000000001</v>
      </c>
      <c r="AD101" s="91" t="n">
        <v>10.2232</v>
      </c>
      <c r="AE101" s="46" t="n"/>
      <c r="AF101" s="20" t="n"/>
      <c r="AG101" s="20" t="n">
        <v>81.12</v>
      </c>
      <c r="AH101" s="20" t="n"/>
      <c r="AI101" s="20" t="n">
        <v>81.12</v>
      </c>
      <c r="AJ101" s="46" t="n"/>
      <c r="AK101" s="20" t="n"/>
      <c r="AL101" s="20" t="n">
        <v>83</v>
      </c>
      <c r="AM101" s="20" t="n">
        <v>83.48</v>
      </c>
      <c r="AN101" s="20" t="n">
        <v>82.93000000000001</v>
      </c>
      <c r="AO101" s="20" t="n">
        <v>81.12</v>
      </c>
      <c r="AP101" s="20" t="n"/>
      <c r="AQ101" s="92" t="n">
        <v>0.7</v>
      </c>
      <c r="AR101" s="20" t="n">
        <v>57.80158</v>
      </c>
      <c r="AS101" s="20" t="n">
        <v>82.56999999999999</v>
      </c>
      <c r="AT101" s="49" t="n">
        <v>47</v>
      </c>
      <c r="AU101" s="50">
        <f>IF(I101="","管理人规模；","")&amp;IF(J101="","产品规模标识；","")&amp;IF(AND(F101&lt;3,O101=""),"R_incep；","")&amp;IF(N101="","近三年收益；","")&amp;IF(U101="","近三年胜率；","")&amp;IF(AND(V101&lt;&gt;"",OR(V101&lt;0,V101&gt;1)),"胜率窗口口径不一致；","")&amp;IF(AA101="","近三年回撤；","")&amp;IF(AD101="","短期卡玛；","")&amp;IF(AND(P101&lt;&gt;"",AE101=""),"DD_long不可识别；","")</f>
        <v/>
      </c>
      <c r="AV101" s="51" t="n"/>
      <c r="AW101" s="22" t="inlineStr">
        <is>
          <t>10-20亿元</t>
        </is>
      </c>
      <c r="AX101" s="22" t="inlineStr">
        <is>
          <t>2026-06-12</t>
        </is>
      </c>
      <c r="AY101" s="22" t="inlineStr">
        <is>
          <t>上海慕途私募基金管理有限公司</t>
        </is>
      </c>
      <c r="AZ101" s="22" t="inlineStr">
        <is>
          <t>2026-06-12</t>
        </is>
      </c>
      <c r="BA101" s="22" t="inlineStr">
        <is>
          <t>https://gs.amac.org.cn/amac-infodisc/res/pof/manager/2106221238106983.html</t>
        </is>
      </c>
      <c r="BB101" s="22" t="inlineStr">
        <is>
          <t>慕途商品套利1号私募证券投资基金</t>
        </is>
      </c>
      <c r="BC101" s="22" t="inlineStr">
        <is>
          <t>2026-07-06</t>
        </is>
      </c>
      <c r="BD101" s="22" t="inlineStr">
        <is>
          <t>已匹配</t>
        </is>
      </c>
      <c r="BE101" t="inlineStr">
        <is>
          <t>https://gs.amac.org.cn/amac-infodisc/res/pof/fund/2404081616103724.html</t>
        </is>
      </c>
      <c r="BF101" t="inlineStr">
        <is>
          <t>已核验</t>
        </is>
      </c>
    </row>
    <row r="102" hidden="1" ht="28" customHeight="1" s="73">
      <c r="A102" s="2" t="n">
        <v>86</v>
      </c>
      <c r="B102" s="18" t="inlineStr">
        <is>
          <t>远澜冬青跨境套利1号</t>
        </is>
      </c>
      <c r="C102" s="18">
        <f>'sheet4-原始数据'!B87</f>
        <v/>
      </c>
      <c r="D102" s="18" t="inlineStr">
        <is>
          <t>上海远澜</t>
        </is>
      </c>
      <c r="E102" s="90" t="inlineStr">
        <is>
          <t>2024-03-22</t>
        </is>
      </c>
      <c r="F102" s="20" t="n">
        <v>2.4832</v>
      </c>
      <c r="G102" s="2">
        <f>IF(F102="","",IF(F102&lt;1,"不入池","入池"))</f>
        <v/>
      </c>
      <c r="H102" s="42" t="inlineStr">
        <is>
          <t>100亿元以上</t>
        </is>
      </c>
      <c r="I102" s="20" t="n">
        <v>100</v>
      </c>
      <c r="J102" s="43" t="inlineStr">
        <is>
          <t>低于1000万元</t>
        </is>
      </c>
      <c r="K102" s="20" t="n">
        <v>0</v>
      </c>
      <c r="L102" s="20" t="n">
        <v>70</v>
      </c>
      <c r="M102" s="44" t="n">
        <v>0.2755</v>
      </c>
      <c r="N102" s="44" t="n"/>
      <c r="O102" s="45" t="n"/>
      <c r="P102" s="46" t="n"/>
      <c r="Q102" s="20" t="n">
        <v>94.79000000000001</v>
      </c>
      <c r="R102" s="20" t="n"/>
      <c r="S102" s="20" t="n">
        <v>94.79000000000001</v>
      </c>
      <c r="T102" s="44" t="n">
        <v>0.3846</v>
      </c>
      <c r="U102" s="44" t="n"/>
      <c r="V102" s="46" t="n"/>
      <c r="W102" s="20" t="n">
        <v>38.46</v>
      </c>
      <c r="X102" s="20" t="n"/>
      <c r="Y102" s="20" t="n">
        <v>38.46</v>
      </c>
      <c r="Z102" s="46" t="n">
        <v>0.1834831834831835</v>
      </c>
      <c r="AA102" s="44" t="n"/>
      <c r="AB102" s="46" t="n">
        <v>0.1834831834831835</v>
      </c>
      <c r="AC102" s="20" t="n">
        <v>11.85</v>
      </c>
      <c r="AD102" s="91" t="n">
        <v>1.5015</v>
      </c>
      <c r="AE102" s="46" t="n"/>
      <c r="AF102" s="20" t="n"/>
      <c r="AG102" s="20" t="n">
        <v>40.56</v>
      </c>
      <c r="AH102" s="20" t="n"/>
      <c r="AI102" s="20" t="n">
        <v>40.56</v>
      </c>
      <c r="AJ102" s="46" t="n"/>
      <c r="AK102" s="20" t="n"/>
      <c r="AL102" s="20" t="n">
        <v>61</v>
      </c>
      <c r="AM102" s="20" t="n">
        <v>77.89</v>
      </c>
      <c r="AN102" s="20" t="n">
        <v>11.85</v>
      </c>
      <c r="AO102" s="20" t="n">
        <v>40.56</v>
      </c>
      <c r="AP102" s="20" t="n"/>
      <c r="AQ102" s="92" t="n">
        <v>0.7</v>
      </c>
      <c r="AR102" s="20" t="n">
        <v>28.76022</v>
      </c>
      <c r="AS102" s="20" t="n">
        <v>41.09</v>
      </c>
      <c r="AT102" s="49" t="n">
        <v>263</v>
      </c>
      <c r="AU102" s="50">
        <f>IF(I102="","管理人规模；","")&amp;IF(J102="","产品规模标识；","")&amp;IF(AND(F102&lt;3,O102=""),"R_incep；","")&amp;IF(N102="","近三年收益；","")&amp;IF(U102="","近三年胜率；","")&amp;IF(AND(V102&lt;&gt;"",OR(V102&lt;0,V102&gt;1)),"胜率窗口口径不一致；","")&amp;IF(AA102="","近三年回撤；","")&amp;IF(AD102="","短期卡玛；","")&amp;IF(AND(P102&lt;&gt;"",AE102=""),"DD_long不可识别；","")</f>
        <v/>
      </c>
      <c r="AV102" s="51" t="n"/>
      <c r="AW102" s="22" t="inlineStr">
        <is>
          <t>100亿元以上</t>
        </is>
      </c>
      <c r="AX102" s="22" t="inlineStr">
        <is>
          <t>2026-05-08</t>
        </is>
      </c>
      <c r="AY102" s="22" t="inlineStr">
        <is>
          <t>上海远澜私募基金管理有限公司</t>
        </is>
      </c>
      <c r="AZ102" s="22" t="inlineStr">
        <is>
          <t>2026-05-08</t>
        </is>
      </c>
      <c r="BA102" s="22" t="inlineStr">
        <is>
          <t>https://gs.amac.org.cn/amac-infodisc/res/pof/manager/101000022626.html</t>
        </is>
      </c>
      <c r="BB102" s="22" t="inlineStr">
        <is>
          <t>远澜冬青跨境套利1号私募证券投资基金</t>
        </is>
      </c>
      <c r="BC102" s="22" t="inlineStr">
        <is>
          <t>2024-04-10</t>
        </is>
      </c>
      <c r="BD102" s="22" t="inlineStr">
        <is>
          <t>已匹配</t>
        </is>
      </c>
      <c r="BE102" t="inlineStr">
        <is>
          <t>https://gs.amac.org.cn/amac-infodisc/res/pof/fund/2404091900108594.html</t>
        </is>
      </c>
      <c r="BF102" t="inlineStr">
        <is>
          <t>已核验</t>
        </is>
      </c>
    </row>
    <row r="103" hidden="1" ht="28" customHeight="1" s="73">
      <c r="A103" s="2" t="n">
        <v>87</v>
      </c>
      <c r="B103" s="18" t="inlineStr">
        <is>
          <t>唐德幽兰量化套利一号</t>
        </is>
      </c>
      <c r="C103" s="18">
        <f>'sheet4-原始数据'!B88</f>
        <v/>
      </c>
      <c r="D103" s="18" t="inlineStr">
        <is>
          <t>深圳唐德</t>
        </is>
      </c>
      <c r="E103" s="90" t="inlineStr">
        <is>
          <t>2024-04-26</t>
        </is>
      </c>
      <c r="F103" s="20" t="n">
        <v>2.3874</v>
      </c>
      <c r="G103" s="2">
        <f>IF(F103="","",IF(F103&lt;1,"不入池","入池"))</f>
        <v/>
      </c>
      <c r="H103" s="42" t="inlineStr">
        <is>
          <t>0-5亿元</t>
        </is>
      </c>
      <c r="I103" s="20" t="n">
        <v>60</v>
      </c>
      <c r="J103" s="43" t="inlineStr">
        <is>
          <t>低于1000万元</t>
        </is>
      </c>
      <c r="K103" s="20" t="n">
        <v>0</v>
      </c>
      <c r="L103" s="20" t="n">
        <v>70</v>
      </c>
      <c r="M103" s="44" t="n">
        <v>0.0863</v>
      </c>
      <c r="N103" s="44" t="n"/>
      <c r="O103" s="45" t="n"/>
      <c r="P103" s="46" t="n"/>
      <c r="Q103" s="20" t="n">
        <v>69.09999999999999</v>
      </c>
      <c r="R103" s="20" t="n"/>
      <c r="S103" s="20" t="n">
        <v>69.09999999999999</v>
      </c>
      <c r="T103" s="44" t="n">
        <v>0.8462000000000001</v>
      </c>
      <c r="U103" s="44" t="n"/>
      <c r="V103" s="46" t="n"/>
      <c r="W103" s="20" t="n">
        <v>84.62</v>
      </c>
      <c r="X103" s="20" t="n"/>
      <c r="Y103" s="20" t="n">
        <v>84.62</v>
      </c>
      <c r="Z103" s="46" t="n">
        <v>0.02532499926636734</v>
      </c>
      <c r="AA103" s="44" t="n"/>
      <c r="AB103" s="46" t="n">
        <v>0.02532499926636734</v>
      </c>
      <c r="AC103" s="20" t="n">
        <v>65.16</v>
      </c>
      <c r="AD103" s="91" t="n">
        <v>3.4077</v>
      </c>
      <c r="AE103" s="46" t="n"/>
      <c r="AF103" s="20" t="n"/>
      <c r="AG103" s="20" t="n">
        <v>58.39</v>
      </c>
      <c r="AH103" s="20" t="n"/>
      <c r="AI103" s="20" t="n">
        <v>58.39</v>
      </c>
      <c r="AJ103" s="46" t="n"/>
      <c r="AK103" s="20" t="n"/>
      <c r="AL103" s="20" t="n">
        <v>45</v>
      </c>
      <c r="AM103" s="20" t="n">
        <v>73.76000000000001</v>
      </c>
      <c r="AN103" s="20" t="n">
        <v>65.16</v>
      </c>
      <c r="AO103" s="20" t="n">
        <v>58.39</v>
      </c>
      <c r="AP103" s="20" t="n"/>
      <c r="AQ103" s="92" t="n">
        <v>0.7</v>
      </c>
      <c r="AR103" s="20" t="n">
        <v>42.40092</v>
      </c>
      <c r="AS103" s="20" t="n">
        <v>60.57</v>
      </c>
      <c r="AT103" s="49" t="n">
        <v>164</v>
      </c>
      <c r="AU103" s="50">
        <f>IF(I103="","管理人规模；","")&amp;IF(J103="","产品规模标识；","")&amp;IF(AND(F103&lt;3,O103=""),"R_incep；","")&amp;IF(N103="","近三年收益；","")&amp;IF(U103="","近三年胜率；","")&amp;IF(AND(V103&lt;&gt;"",OR(V103&lt;0,V103&gt;1)),"胜率窗口口径不一致；","")&amp;IF(AA103="","近三年回撤；","")&amp;IF(AD103="","短期卡玛；","")&amp;IF(AND(P103&lt;&gt;"",AE103=""),"DD_long不可识别；","")</f>
        <v/>
      </c>
      <c r="AV103" s="51" t="n"/>
      <c r="AW103" s="22" t="inlineStr">
        <is>
          <t>0-5亿元</t>
        </is>
      </c>
      <c r="AX103" s="22" t="inlineStr">
        <is>
          <t>2026-02-10</t>
        </is>
      </c>
      <c r="AY103" s="22" t="inlineStr">
        <is>
          <t>深圳唐德私募证券投资基金管理有限公司</t>
        </is>
      </c>
      <c r="AZ103" s="22" t="inlineStr">
        <is>
          <t>2026-02-10</t>
        </is>
      </c>
      <c r="BA103" s="22" t="inlineStr">
        <is>
          <t>https://gs.amac.org.cn/amac-infodisc/res/pof/manager/101000038100.html</t>
        </is>
      </c>
      <c r="BB103" s="22" t="inlineStr">
        <is>
          <t>唐德幽兰量化套利一号私募证券投资基金</t>
        </is>
      </c>
      <c r="BC103" s="22" t="inlineStr">
        <is>
          <t>2024-11-20</t>
        </is>
      </c>
      <c r="BD103" s="22" t="inlineStr">
        <is>
          <t>已匹配</t>
        </is>
      </c>
      <c r="BE103" t="inlineStr">
        <is>
          <t>https://gs.amac.org.cn/amac-infodisc/res/pof/fund/2404301325106956.html</t>
        </is>
      </c>
      <c r="BF103" t="inlineStr">
        <is>
          <t>已核验</t>
        </is>
      </c>
    </row>
    <row r="104" hidden="1" ht="28" customHeight="1" s="73">
      <c r="A104" s="2" t="n">
        <v>88</v>
      </c>
      <c r="B104" s="18" t="inlineStr">
        <is>
          <t>广联宏长青树2号</t>
        </is>
      </c>
      <c r="C104" s="18">
        <f>'sheet4-原始数据'!B89</f>
        <v/>
      </c>
      <c r="D104" s="18" t="inlineStr">
        <is>
          <t>海南广联宏</t>
        </is>
      </c>
      <c r="E104" s="90" t="inlineStr">
        <is>
          <t>2024-05-09</t>
        </is>
      </c>
      <c r="F104" s="20" t="n">
        <v>2.3518</v>
      </c>
      <c r="G104" s="2">
        <f>IF(F104="","",IF(F104&lt;1,"不入池","入池"))</f>
        <v/>
      </c>
      <c r="H104" s="42" t="inlineStr">
        <is>
          <t>5-10亿元</t>
        </is>
      </c>
      <c r="I104" s="20" t="n">
        <v>70</v>
      </c>
      <c r="J104" s="43" t="inlineStr">
        <is>
          <t>无低于1000万元标识</t>
        </is>
      </c>
      <c r="K104" s="20" t="n">
        <v>100</v>
      </c>
      <c r="L104" s="20" t="n">
        <v>70</v>
      </c>
      <c r="M104" s="44" t="n">
        <v>0.1562</v>
      </c>
      <c r="N104" s="44" t="n"/>
      <c r="O104" s="45" t="n"/>
      <c r="P104" s="46" t="n"/>
      <c r="Q104" s="20" t="n">
        <v>87.84999999999999</v>
      </c>
      <c r="R104" s="20" t="n"/>
      <c r="S104" s="20" t="n">
        <v>87.84999999999999</v>
      </c>
      <c r="T104" s="44" t="n">
        <v>0.7692</v>
      </c>
      <c r="U104" s="44" t="n"/>
      <c r="V104" s="46" t="n"/>
      <c r="W104" s="20" t="n">
        <v>76.92</v>
      </c>
      <c r="X104" s="20" t="n"/>
      <c r="Y104" s="20" t="n">
        <v>76.92</v>
      </c>
      <c r="Z104" s="46" t="n">
        <v>0.06046763703933106</v>
      </c>
      <c r="AA104" s="44" t="n"/>
      <c r="AB104" s="46" t="n">
        <v>0.06046763703933106</v>
      </c>
      <c r="AC104" s="20" t="n">
        <v>39.37</v>
      </c>
      <c r="AD104" s="91" t="n">
        <v>2.5832</v>
      </c>
      <c r="AE104" s="46" t="n"/>
      <c r="AF104" s="20" t="n"/>
      <c r="AG104" s="20" t="n">
        <v>51.75</v>
      </c>
      <c r="AH104" s="20" t="n"/>
      <c r="AI104" s="20" t="n">
        <v>51.75</v>
      </c>
      <c r="AJ104" s="46" t="n"/>
      <c r="AK104" s="20" t="n"/>
      <c r="AL104" s="20" t="n">
        <v>79</v>
      </c>
      <c r="AM104" s="20" t="n">
        <v>84.56999999999999</v>
      </c>
      <c r="AN104" s="20" t="n">
        <v>39.37</v>
      </c>
      <c r="AO104" s="20" t="n">
        <v>51.75</v>
      </c>
      <c r="AP104" s="20" t="n"/>
      <c r="AQ104" s="92" t="n">
        <v>0.7</v>
      </c>
      <c r="AR104" s="20" t="n">
        <v>41.15602</v>
      </c>
      <c r="AS104" s="20" t="n">
        <v>58.79</v>
      </c>
      <c r="AT104" s="49" t="n">
        <v>178</v>
      </c>
      <c r="AU104" s="50">
        <f>IF(I104="","管理人规模；","")&amp;IF(J104="","产品规模标识；","")&amp;IF(AND(F104&lt;3,O104=""),"R_incep；","")&amp;IF(N104="","近三年收益；","")&amp;IF(U104="","近三年胜率；","")&amp;IF(AND(V104&lt;&gt;"",OR(V104&lt;0,V104&gt;1)),"胜率窗口口径不一致；","")&amp;IF(AA104="","近三年回撤；","")&amp;IF(AD104="","短期卡玛；","")&amp;IF(AND(P104&lt;&gt;"",AE104=""),"DD_long不可识别；","")</f>
        <v/>
      </c>
      <c r="AV104" s="51" t="n"/>
      <c r="AW104" s="22" t="inlineStr">
        <is>
          <t>5-10亿元</t>
        </is>
      </c>
      <c r="AX104" s="22" t="inlineStr">
        <is>
          <t>2025-09-10</t>
        </is>
      </c>
      <c r="AY104" s="22" t="inlineStr">
        <is>
          <t>海南广联宏私募基金管理有限公司</t>
        </is>
      </c>
      <c r="AZ104" s="22" t="inlineStr">
        <is>
          <t>2025-09-10</t>
        </is>
      </c>
      <c r="BA104" s="22" t="inlineStr">
        <is>
          <t>https://gs.amac.org.cn/amac-infodisc/res/pof/manager/2109061042100364.html</t>
        </is>
      </c>
      <c r="BB104" s="22" t="inlineStr">
        <is>
          <t>广联宏长青树2号私募证券投资基金</t>
        </is>
      </c>
      <c r="BC104" s="22" t="inlineStr">
        <is>
          <t>2026-05-15</t>
        </is>
      </c>
      <c r="BD104" s="22" t="inlineStr">
        <is>
          <t>已匹配</t>
        </is>
      </c>
      <c r="BE104" t="inlineStr">
        <is>
          <t>https://gs.amac.org.cn/amac-infodisc/res/pof/fund/2405140854108785.html</t>
        </is>
      </c>
      <c r="BF104" t="inlineStr">
        <is>
          <t>已核验</t>
        </is>
      </c>
    </row>
    <row r="105" hidden="1" ht="28" customHeight="1" s="73">
      <c r="A105" s="2" t="n">
        <v>89</v>
      </c>
      <c r="B105" s="18" t="inlineStr">
        <is>
          <t>宽辅优享1号</t>
        </is>
      </c>
      <c r="C105" s="18">
        <f>'sheet4-原始数据'!B90</f>
        <v/>
      </c>
      <c r="D105" s="18" t="inlineStr">
        <is>
          <t>海南宽辅</t>
        </is>
      </c>
      <c r="E105" s="90" t="inlineStr">
        <is>
          <t>2024-04-19</t>
        </is>
      </c>
      <c r="F105" s="20" t="n">
        <v>2.4066</v>
      </c>
      <c r="G105" s="2">
        <f>IF(F105="","",IF(F105&lt;1,"不入池","入池"))</f>
        <v/>
      </c>
      <c r="H105" s="42" t="inlineStr">
        <is>
          <t>10-20亿元</t>
        </is>
      </c>
      <c r="I105" s="20" t="n">
        <v>80</v>
      </c>
      <c r="J105" s="43" t="inlineStr">
        <is>
          <t>无低于1000万元标识</t>
        </is>
      </c>
      <c r="K105" s="20" t="n">
        <v>100</v>
      </c>
      <c r="L105" s="20" t="n">
        <v>70</v>
      </c>
      <c r="M105" s="44" t="n">
        <v>0.0403</v>
      </c>
      <c r="N105" s="44" t="n"/>
      <c r="O105" s="45" t="n"/>
      <c r="P105" s="46" t="n"/>
      <c r="Q105" s="20" t="n">
        <v>38.89</v>
      </c>
      <c r="R105" s="20" t="n"/>
      <c r="S105" s="20" t="n">
        <v>38.89</v>
      </c>
      <c r="T105" s="44" t="n">
        <v>0.7692</v>
      </c>
      <c r="U105" s="44" t="n"/>
      <c r="V105" s="46" t="n"/>
      <c r="W105" s="20" t="n">
        <v>76.92</v>
      </c>
      <c r="X105" s="20" t="n"/>
      <c r="Y105" s="20" t="n">
        <v>76.92</v>
      </c>
      <c r="Z105" s="46" t="n">
        <v>0.005901303265485431</v>
      </c>
      <c r="AA105" s="44" t="n"/>
      <c r="AB105" s="46" t="n">
        <v>0.005901303265485431</v>
      </c>
      <c r="AC105" s="20" t="n">
        <v>91.98999999999999</v>
      </c>
      <c r="AD105" s="91" t="n">
        <v>6.829</v>
      </c>
      <c r="AE105" s="46" t="n"/>
      <c r="AF105" s="20" t="n"/>
      <c r="AG105" s="20" t="n">
        <v>74.13</v>
      </c>
      <c r="AH105" s="20" t="n"/>
      <c r="AI105" s="20" t="n">
        <v>74.13</v>
      </c>
      <c r="AJ105" s="46" t="n"/>
      <c r="AK105" s="20" t="n"/>
      <c r="AL105" s="20" t="n">
        <v>83</v>
      </c>
      <c r="AM105" s="20" t="n">
        <v>50.3</v>
      </c>
      <c r="AN105" s="20" t="n">
        <v>91.98999999999999</v>
      </c>
      <c r="AO105" s="20" t="n">
        <v>74.13</v>
      </c>
      <c r="AP105" s="20" t="n"/>
      <c r="AQ105" s="92" t="n">
        <v>0.7</v>
      </c>
      <c r="AR105" s="20" t="n">
        <v>54.82678</v>
      </c>
      <c r="AS105" s="20" t="n">
        <v>78.31999999999999</v>
      </c>
      <c r="AT105" s="49" t="n">
        <v>75</v>
      </c>
      <c r="AU105" s="50">
        <f>IF(I105="","管理人规模；","")&amp;IF(J105="","产品规模标识；","")&amp;IF(AND(F105&lt;3,O105=""),"R_incep；","")&amp;IF(N105="","近三年收益；","")&amp;IF(U105="","近三年胜率；","")&amp;IF(AND(V105&lt;&gt;"",OR(V105&lt;0,V105&gt;1)),"胜率窗口口径不一致；","")&amp;IF(AA105="","近三年回撤；","")&amp;IF(AD105="","短期卡玛；","")&amp;IF(AND(P105&lt;&gt;"",AE105=""),"DD_long不可识别；","")</f>
        <v/>
      </c>
      <c r="AV105" s="51" t="n"/>
      <c r="AW105" s="22" t="inlineStr">
        <is>
          <t>10-20亿元</t>
        </is>
      </c>
      <c r="AX105" s="22" t="inlineStr">
        <is>
          <t>2026-06-08</t>
        </is>
      </c>
      <c r="AY105" s="22" t="inlineStr">
        <is>
          <t>海南宽辅私募基金管理合伙企业（有限合伙）</t>
        </is>
      </c>
      <c r="AZ105" s="22" t="inlineStr">
        <is>
          <t>2026-06-08</t>
        </is>
      </c>
      <c r="BA105" s="22" t="inlineStr">
        <is>
          <t>https://gs.amac.org.cn/amac-infodisc/res/pof/manager/2302271449102202.html</t>
        </is>
      </c>
      <c r="BB105" s="22" t="inlineStr">
        <is>
          <t>宽辅优享1号私募证券投资基金</t>
        </is>
      </c>
      <c r="BC105" s="22" t="inlineStr">
        <is>
          <t>2024-12-16</t>
        </is>
      </c>
      <c r="BD105" s="22" t="inlineStr">
        <is>
          <t>已匹配</t>
        </is>
      </c>
      <c r="BE105" t="inlineStr">
        <is>
          <t>https://gs.amac.org.cn/amac-infodisc/res/pof/fund/2405091231105978.html</t>
        </is>
      </c>
      <c r="BF105" t="inlineStr">
        <is>
          <t>已核验</t>
        </is>
      </c>
    </row>
    <row r="106" hidden="1" ht="28" customHeight="1" s="73">
      <c r="A106" s="2" t="n">
        <v>90</v>
      </c>
      <c r="B106" s="18" t="inlineStr">
        <is>
          <t>博普安兴私享一号B类</t>
        </is>
      </c>
      <c r="C106" s="18">
        <f>'sheet4-原始数据'!B91</f>
        <v/>
      </c>
      <c r="D106" s="18" t="inlineStr">
        <is>
          <t>深圳前海博普资管</t>
        </is>
      </c>
      <c r="E106" s="90" t="inlineStr">
        <is>
          <t>2024-03-22</t>
        </is>
      </c>
      <c r="F106" s="20" t="n">
        <v>2.4832</v>
      </c>
      <c r="G106" s="2">
        <f>IF(F106="","",IF(F106&lt;1,"不入池","入池"))</f>
        <v/>
      </c>
      <c r="H106" s="42" t="inlineStr">
        <is>
          <t>50-100亿元</t>
        </is>
      </c>
      <c r="I106" s="20" t="n">
        <v>90</v>
      </c>
      <c r="J106" s="43" t="inlineStr">
        <is>
          <t>无低于1000万元标识</t>
        </is>
      </c>
      <c r="K106" s="20" t="n"/>
      <c r="L106" s="20" t="n">
        <v>70</v>
      </c>
      <c r="M106" s="44" t="n">
        <v>0.0617</v>
      </c>
      <c r="N106" s="44" t="n"/>
      <c r="O106" s="45" t="n"/>
      <c r="P106" s="46" t="n"/>
      <c r="Q106" s="20" t="n">
        <v>52.26</v>
      </c>
      <c r="R106" s="20" t="n"/>
      <c r="S106" s="20" t="n">
        <v>52.26</v>
      </c>
      <c r="T106" s="44" t="n">
        <v>0.9231</v>
      </c>
      <c r="U106" s="44" t="n"/>
      <c r="V106" s="46" t="n"/>
      <c r="W106" s="20" t="n">
        <v>92.31</v>
      </c>
      <c r="X106" s="20" t="n"/>
      <c r="Y106" s="20" t="n">
        <v>92.31</v>
      </c>
      <c r="Z106" s="46" t="n">
        <v>0.00653664014577661</v>
      </c>
      <c r="AA106" s="44" t="n"/>
      <c r="AB106" s="46" t="n">
        <v>0.00653664014577661</v>
      </c>
      <c r="AC106" s="20" t="n">
        <v>91.29000000000001</v>
      </c>
      <c r="AD106" s="91" t="n">
        <v>9.4391</v>
      </c>
      <c r="AE106" s="46" t="n"/>
      <c r="AF106" s="20" t="n"/>
      <c r="AG106" s="20" t="n">
        <v>77.62</v>
      </c>
      <c r="AH106" s="20" t="n"/>
      <c r="AI106" s="20" t="n">
        <v>77.62</v>
      </c>
      <c r="AJ106" s="46" t="n"/>
      <c r="AK106" s="20" t="n"/>
      <c r="AL106" s="20" t="n">
        <v>81.43000000000001</v>
      </c>
      <c r="AM106" s="20" t="n">
        <v>64.28</v>
      </c>
      <c r="AN106" s="20" t="n">
        <v>91.29000000000001</v>
      </c>
      <c r="AO106" s="20" t="n">
        <v>77.62</v>
      </c>
      <c r="AP106" s="20" t="n"/>
      <c r="AQ106" s="92" t="n">
        <v>0.655</v>
      </c>
      <c r="AR106" s="20" t="n">
        <v>53.0571</v>
      </c>
      <c r="AS106" s="20" t="n">
        <v>81</v>
      </c>
      <c r="AT106" s="49" t="n">
        <v>55</v>
      </c>
      <c r="AU106" s="50">
        <f>IF(I106="","管理人规模；","")&amp;IF(J106="","产品规模标识；","")&amp;IF(AND(F106&lt;3,O106=""),"R_incep；","")&amp;IF(N106="","近三年收益；","")&amp;IF(U106="","近三年胜率；","")&amp;IF(AND(V106&lt;&gt;"",OR(V106&lt;0,V106&gt;1)),"胜率窗口口径不一致；","")&amp;IF(AA106="","近三年回撤；","")&amp;IF(AD106="","短期卡玛；","")&amp;IF(AND(P106&lt;&gt;"",AE106=""),"DD_long不可识别；","")</f>
        <v/>
      </c>
      <c r="AV106" s="51" t="n"/>
      <c r="AW106" s="22" t="inlineStr">
        <is>
          <t>50-100亿元</t>
        </is>
      </c>
      <c r="AX106" s="22" t="inlineStr">
        <is>
          <t>2023-10-20</t>
        </is>
      </c>
      <c r="AY106" s="22" t="inlineStr">
        <is>
          <t>深圳前海博普资产管理有限公司 深圳前海博普资产管理有限公司</t>
        </is>
      </c>
      <c r="AZ106" s="22" t="inlineStr">
        <is>
          <t>2023-10-20</t>
        </is>
      </c>
      <c r="BA106" s="22" t="inlineStr">
        <is>
          <t>https://gs.amac.org.cn/amac-infodisc/res/pof/manager/1709041706102598.html</t>
        </is>
      </c>
      <c r="BB106" s="22" t="n"/>
      <c r="BC106" s="22" t="n"/>
      <c r="BD106" s="22" t="inlineStr">
        <is>
          <t>产品未匹配，管理人已按名称补录</t>
        </is>
      </c>
      <c r="BF106" t="inlineStr">
        <is>
          <t>未核验</t>
        </is>
      </c>
    </row>
    <row r="107" hidden="1" ht="28" customHeight="1" s="73">
      <c r="A107" s="2" t="n">
        <v>91</v>
      </c>
      <c r="B107" s="18" t="inlineStr">
        <is>
          <t>龙智福星</t>
        </is>
      </c>
      <c r="C107" s="18">
        <f>'sheet4-原始数据'!B92</f>
        <v/>
      </c>
      <c r="D107" s="18" t="inlineStr">
        <is>
          <t>广州龙智投资</t>
        </is>
      </c>
      <c r="E107" s="90" t="inlineStr">
        <is>
          <t>2024-06-05</t>
        </is>
      </c>
      <c r="F107" s="20" t="n">
        <v>2.2779</v>
      </c>
      <c r="G107" s="2">
        <f>IF(F107="","",IF(F107&lt;1,"不入池","入池"))</f>
        <v/>
      </c>
      <c r="H107" s="42" t="inlineStr">
        <is>
          <t>0-5亿元</t>
        </is>
      </c>
      <c r="I107" s="20" t="n">
        <v>60</v>
      </c>
      <c r="J107" s="43" t="inlineStr">
        <is>
          <t>无低于1000万元标识</t>
        </is>
      </c>
      <c r="K107" s="20" t="n">
        <v>100</v>
      </c>
      <c r="L107" s="20" t="n">
        <v>70</v>
      </c>
      <c r="M107" s="44" t="n">
        <v>0.0075</v>
      </c>
      <c r="N107" s="44" t="n"/>
      <c r="O107" s="45" t="n"/>
      <c r="P107" s="46" t="n"/>
      <c r="Q107" s="20" t="n">
        <v>18.4</v>
      </c>
      <c r="R107" s="20" t="n"/>
      <c r="S107" s="20" t="n">
        <v>18.4</v>
      </c>
      <c r="T107" s="44" t="n">
        <v>0.6923</v>
      </c>
      <c r="U107" s="44" t="n"/>
      <c r="V107" s="46" t="n"/>
      <c r="W107" s="20" t="n">
        <v>69.23</v>
      </c>
      <c r="X107" s="20" t="n"/>
      <c r="Y107" s="20" t="n">
        <v>69.23</v>
      </c>
      <c r="Z107" s="46" t="n">
        <v>0.01331439730161548</v>
      </c>
      <c r="AA107" s="44" t="n"/>
      <c r="AB107" s="46" t="n">
        <v>0.01331439730161548</v>
      </c>
      <c r="AC107" s="20" t="n">
        <v>80.84</v>
      </c>
      <c r="AD107" s="91" t="n">
        <v>0.5633</v>
      </c>
      <c r="AE107" s="46" t="n"/>
      <c r="AF107" s="20" t="n"/>
      <c r="AG107" s="20" t="n">
        <v>26.57</v>
      </c>
      <c r="AH107" s="20" t="n"/>
      <c r="AI107" s="20" t="n">
        <v>26.57</v>
      </c>
      <c r="AJ107" s="46" t="n"/>
      <c r="AK107" s="20" t="n"/>
      <c r="AL107" s="20" t="n">
        <v>75</v>
      </c>
      <c r="AM107" s="20" t="n">
        <v>33.65</v>
      </c>
      <c r="AN107" s="20" t="n">
        <v>80.84</v>
      </c>
      <c r="AO107" s="20" t="n">
        <v>26.57</v>
      </c>
      <c r="AP107" s="20" t="n"/>
      <c r="AQ107" s="92" t="n">
        <v>0.7</v>
      </c>
      <c r="AR107" s="20" t="n">
        <v>40.28048</v>
      </c>
      <c r="AS107" s="20" t="n">
        <v>57.54</v>
      </c>
      <c r="AT107" s="49" t="n">
        <v>185</v>
      </c>
      <c r="AU107" s="50">
        <f>IF(I107="","管理人规模；","")&amp;IF(J107="","产品规模标识；","")&amp;IF(AND(F107&lt;3,O107=""),"R_incep；","")&amp;IF(N107="","近三年收益；","")&amp;IF(U107="","近三年胜率；","")&amp;IF(AND(V107&lt;&gt;"",OR(V107&lt;0,V107&gt;1)),"胜率窗口口径不一致；","")&amp;IF(AA107="","近三年回撤；","")&amp;IF(AD107="","短期卡玛；","")&amp;IF(AND(P107&lt;&gt;"",AE107=""),"DD_long不可识别；","")</f>
        <v/>
      </c>
      <c r="AV107" s="51" t="n"/>
      <c r="AW107" s="22" t="inlineStr">
        <is>
          <t>0-5亿元</t>
        </is>
      </c>
      <c r="AX107" s="22" t="inlineStr">
        <is>
          <t>2020-05-29</t>
        </is>
      </c>
      <c r="AY107" s="22" t="inlineStr">
        <is>
          <t>广州市龙智投资管理有限公司</t>
        </is>
      </c>
      <c r="AZ107" s="22" t="inlineStr">
        <is>
          <t>2020-05-29</t>
        </is>
      </c>
      <c r="BA107" s="22" t="inlineStr">
        <is>
          <t>https://gs.amac.org.cn/amac-infodisc/res/pof/manager/1704141230109314.html</t>
        </is>
      </c>
      <c r="BB107" s="22" t="inlineStr">
        <is>
          <t>龙智福星私募证券投资基金</t>
        </is>
      </c>
      <c r="BC107" s="22" t="inlineStr">
        <is>
          <t>2025-01-22</t>
        </is>
      </c>
      <c r="BD107" s="22" t="inlineStr">
        <is>
          <t>已匹配</t>
        </is>
      </c>
      <c r="BE107" t="inlineStr">
        <is>
          <t>https://gs.amac.org.cn/amac-infodisc/res/pof/fund/2406171923109797.html</t>
        </is>
      </c>
      <c r="BF107" t="inlineStr">
        <is>
          <t>已核验</t>
        </is>
      </c>
    </row>
    <row r="108" hidden="1" ht="28" customHeight="1" s="73">
      <c r="A108" s="2" t="n">
        <v>92</v>
      </c>
      <c r="B108" s="18" t="inlineStr">
        <is>
          <t>嘉和传承精研倍赢二期A类</t>
        </is>
      </c>
      <c r="C108" s="18">
        <f>'sheet4-原始数据'!B93</f>
        <v/>
      </c>
      <c r="D108" s="18" t="inlineStr">
        <is>
          <t>上海嘉和传承</t>
        </is>
      </c>
      <c r="E108" s="90" t="inlineStr">
        <is>
          <t>2024-04-22</t>
        </is>
      </c>
      <c r="F108" s="20" t="n">
        <v>2.3984</v>
      </c>
      <c r="G108" s="2">
        <f>IF(F108="","",IF(F108&lt;1,"不入池","入池"))</f>
        <v/>
      </c>
      <c r="H108" s="42" t="inlineStr">
        <is>
          <t>5-10亿元</t>
        </is>
      </c>
      <c r="I108" s="20" t="n">
        <v>70</v>
      </c>
      <c r="J108" s="43" t="inlineStr">
        <is>
          <t>无低于1000万元标识</t>
        </is>
      </c>
      <c r="K108" s="20" t="n"/>
      <c r="L108" s="20" t="n">
        <v>70</v>
      </c>
      <c r="M108" s="44" t="n">
        <v>0.2667</v>
      </c>
      <c r="N108" s="44" t="n"/>
      <c r="O108" s="45" t="n"/>
      <c r="P108" s="46" t="n"/>
      <c r="Q108" s="20" t="n">
        <v>94.44</v>
      </c>
      <c r="R108" s="20" t="n"/>
      <c r="S108" s="20" t="n">
        <v>94.44</v>
      </c>
      <c r="T108" s="44" t="n">
        <v>0.6153999999999999</v>
      </c>
      <c r="U108" s="44" t="n"/>
      <c r="V108" s="46" t="n"/>
      <c r="W108" s="20" t="n">
        <v>61.53999999999999</v>
      </c>
      <c r="X108" s="20" t="n"/>
      <c r="Y108" s="20" t="n">
        <v>61.53999999999999</v>
      </c>
      <c r="Z108" s="46" t="n">
        <v>0.1707207783894508</v>
      </c>
      <c r="AA108" s="44" t="n"/>
      <c r="AB108" s="46" t="n">
        <v>0.1707207783894508</v>
      </c>
      <c r="AC108" s="20" t="n">
        <v>14.29</v>
      </c>
      <c r="AD108" s="91" t="n">
        <v>1.5622</v>
      </c>
      <c r="AE108" s="46" t="n"/>
      <c r="AF108" s="20" t="n"/>
      <c r="AG108" s="20" t="n">
        <v>41.26</v>
      </c>
      <c r="AH108" s="20" t="n"/>
      <c r="AI108" s="20" t="n">
        <v>41.26</v>
      </c>
      <c r="AJ108" s="46" t="n"/>
      <c r="AK108" s="20" t="n"/>
      <c r="AL108" s="20" t="n">
        <v>70</v>
      </c>
      <c r="AM108" s="20" t="n">
        <v>84.56999999999999</v>
      </c>
      <c r="AN108" s="20" t="n">
        <v>14.29</v>
      </c>
      <c r="AO108" s="20" t="n">
        <v>41.26</v>
      </c>
      <c r="AP108" s="20" t="n"/>
      <c r="AQ108" s="92" t="n">
        <v>0.655</v>
      </c>
      <c r="AR108" s="20" t="n">
        <v>28.4977</v>
      </c>
      <c r="AS108" s="20" t="n">
        <v>43.51</v>
      </c>
      <c r="AT108" s="49" t="n">
        <v>249</v>
      </c>
      <c r="AU108" s="50">
        <f>IF(I108="","管理人规模；","")&amp;IF(J108="","产品规模标识；","")&amp;IF(AND(F108&lt;3,O108=""),"R_incep；","")&amp;IF(N108="","近三年收益；","")&amp;IF(U108="","近三年胜率；","")&amp;IF(AND(V108&lt;&gt;"",OR(V108&lt;0,V108&gt;1)),"胜率窗口口径不一致；","")&amp;IF(AA108="","近三年回撤；","")&amp;IF(AD108="","短期卡玛；","")&amp;IF(AND(P108&lt;&gt;"",AE108=""),"DD_long不可识别；","")</f>
        <v/>
      </c>
      <c r="AV108" s="51" t="n"/>
      <c r="AW108" s="22" t="inlineStr">
        <is>
          <t>5-10亿元</t>
        </is>
      </c>
      <c r="AX108" s="22" t="inlineStr">
        <is>
          <t>2025-08-08</t>
        </is>
      </c>
      <c r="AY108" s="22" t="inlineStr">
        <is>
          <t>上海嘉和传承私募基金管理有限公司 上海嘉和传承私募基金管理有限公司</t>
        </is>
      </c>
      <c r="AZ108" s="22" t="inlineStr">
        <is>
          <t>2025-08-08</t>
        </is>
      </c>
      <c r="BA108" s="22" t="inlineStr">
        <is>
          <t>https://gs.amac.org.cn/amac-infodisc/res/pof/manager/2203031405108672.html</t>
        </is>
      </c>
      <c r="BB108" s="22" t="n"/>
      <c r="BC108" s="22" t="n"/>
      <c r="BD108" s="22" t="inlineStr">
        <is>
          <t>产品未匹配，管理人已按名称补录</t>
        </is>
      </c>
      <c r="BF108" t="inlineStr">
        <is>
          <t>未核验</t>
        </is>
      </c>
    </row>
    <row r="109" hidden="1" ht="28" customHeight="1" s="73">
      <c r="A109" s="2" t="n">
        <v>93</v>
      </c>
      <c r="B109" s="18" t="inlineStr">
        <is>
          <t>利恩华龙股票进取一号</t>
        </is>
      </c>
      <c r="C109" s="18">
        <f>'sheet4-原始数据'!B94</f>
        <v/>
      </c>
      <c r="D109" s="18" t="inlineStr">
        <is>
          <t>上海利恩</t>
        </is>
      </c>
      <c r="E109" s="90" t="inlineStr">
        <is>
          <t>2024-07-17</t>
        </is>
      </c>
      <c r="F109" s="20" t="n">
        <v>2.1629</v>
      </c>
      <c r="G109" s="2">
        <f>IF(F109="","",IF(F109&lt;1,"不入池","入池"))</f>
        <v/>
      </c>
      <c r="H109" s="42" t="inlineStr">
        <is>
          <t>0-5亿元</t>
        </is>
      </c>
      <c r="I109" s="20" t="n">
        <v>60</v>
      </c>
      <c r="J109" s="43" t="inlineStr">
        <is>
          <t>无低于1000万元标识</t>
        </is>
      </c>
      <c r="K109" s="20" t="n">
        <v>100</v>
      </c>
      <c r="L109" s="20" t="n">
        <v>70</v>
      </c>
      <c r="M109" s="44" t="n">
        <v>-0.0071</v>
      </c>
      <c r="N109" s="44" t="n"/>
      <c r="O109" s="45" t="n"/>
      <c r="P109" s="46" t="n"/>
      <c r="Q109" s="20" t="n">
        <v>14.93</v>
      </c>
      <c r="R109" s="20" t="n"/>
      <c r="S109" s="20" t="n">
        <v>14.93</v>
      </c>
      <c r="T109" s="44" t="n">
        <v>0.5385</v>
      </c>
      <c r="U109" s="44" t="n"/>
      <c r="V109" s="46" t="n"/>
      <c r="W109" s="20" t="n">
        <v>53.84999999999999</v>
      </c>
      <c r="X109" s="20" t="n"/>
      <c r="Y109" s="20" t="n">
        <v>53.84999999999999</v>
      </c>
      <c r="Z109" s="46" t="n">
        <v>0.05503875968992247</v>
      </c>
      <c r="AA109" s="44" t="n"/>
      <c r="AB109" s="46" t="n">
        <v>0.05503875968992247</v>
      </c>
      <c r="AC109" s="20" t="n">
        <v>41.46</v>
      </c>
      <c r="AD109" s="91" t="n">
        <v>-0.129</v>
      </c>
      <c r="AE109" s="46" t="n"/>
      <c r="AF109" s="20" t="n"/>
      <c r="AG109" s="20" t="n">
        <v>13.64</v>
      </c>
      <c r="AH109" s="20" t="n"/>
      <c r="AI109" s="20" t="n">
        <v>13.64</v>
      </c>
      <c r="AJ109" s="46" t="n"/>
      <c r="AK109" s="20" t="n"/>
      <c r="AL109" s="20" t="n">
        <v>75</v>
      </c>
      <c r="AM109" s="20" t="n">
        <v>26.61</v>
      </c>
      <c r="AN109" s="20" t="n">
        <v>41.46</v>
      </c>
      <c r="AO109" s="20" t="n">
        <v>13.64</v>
      </c>
      <c r="AP109" s="20" t="n"/>
      <c r="AQ109" s="92" t="n">
        <v>0.7</v>
      </c>
      <c r="AR109" s="20" t="n">
        <v>27.26292</v>
      </c>
      <c r="AS109" s="20" t="n">
        <v>38.95</v>
      </c>
      <c r="AT109" s="49" t="n">
        <v>273</v>
      </c>
      <c r="AU109" s="50">
        <f>IF(I109="","管理人规模；","")&amp;IF(J109="","产品规模标识；","")&amp;IF(AND(F109&lt;3,O109=""),"R_incep；","")&amp;IF(N109="","近三年收益；","")&amp;IF(U109="","近三年胜率；","")&amp;IF(AND(V109&lt;&gt;"",OR(V109&lt;0,V109&gt;1)),"胜率窗口口径不一致；","")&amp;IF(AA109="","近三年回撤；","")&amp;IF(AD109="","短期卡玛；","")&amp;IF(AND(P109&lt;&gt;"",AE109=""),"DD_long不可识别；","")</f>
        <v/>
      </c>
      <c r="AV109" s="51" t="n"/>
      <c r="AW109" s="22" t="inlineStr">
        <is>
          <t>0-5亿元</t>
        </is>
      </c>
      <c r="AX109" s="22" t="inlineStr">
        <is>
          <t>2026-04-13</t>
        </is>
      </c>
      <c r="AY109" s="22" t="inlineStr">
        <is>
          <t>上海利恩私募基金管理有限公司</t>
        </is>
      </c>
      <c r="AZ109" s="22" t="inlineStr">
        <is>
          <t>2026-04-13</t>
        </is>
      </c>
      <c r="BA109" s="22" t="inlineStr">
        <is>
          <t>https://gs.amac.org.cn/amac-infodisc/res/pof/manager/101000031741.html</t>
        </is>
      </c>
      <c r="BB109" s="22" t="inlineStr">
        <is>
          <t>利恩华龙股票进取一号私募证券投资基金</t>
        </is>
      </c>
      <c r="BC109" s="22" t="inlineStr">
        <is>
          <t>2025-07-31</t>
        </is>
      </c>
      <c r="BD109" s="22" t="inlineStr">
        <is>
          <t>已匹配</t>
        </is>
      </c>
      <c r="BE109" t="inlineStr">
        <is>
          <t>https://gs.amac.org.cn/amac-infodisc/res/pof/fund/2408261734100092.html</t>
        </is>
      </c>
      <c r="BF109" t="inlineStr">
        <is>
          <t>已核验</t>
        </is>
      </c>
    </row>
    <row r="110" hidden="1" ht="28" customHeight="1" s="73">
      <c r="A110" s="2" t="n">
        <v>94</v>
      </c>
      <c r="B110" s="18" t="inlineStr">
        <is>
          <t>博普安兴私享一号A类</t>
        </is>
      </c>
      <c r="C110" s="18">
        <f>'sheet4-原始数据'!B95</f>
        <v/>
      </c>
      <c r="D110" s="18" t="inlineStr">
        <is>
          <t>深圳前海博普资管</t>
        </is>
      </c>
      <c r="E110" s="90" t="inlineStr">
        <is>
          <t>2024-03-22</t>
        </is>
      </c>
      <c r="F110" s="20" t="n">
        <v>2.4832</v>
      </c>
      <c r="G110" s="2">
        <f>IF(F110="","",IF(F110&lt;1,"不入池","入池"))</f>
        <v/>
      </c>
      <c r="H110" s="42" t="inlineStr">
        <is>
          <t>50-100亿元</t>
        </is>
      </c>
      <c r="I110" s="20" t="n">
        <v>90</v>
      </c>
      <c r="J110" s="43" t="inlineStr">
        <is>
          <t>无低于1000万元标识</t>
        </is>
      </c>
      <c r="K110" s="20" t="n"/>
      <c r="L110" s="20" t="n">
        <v>70</v>
      </c>
      <c r="M110" s="44" t="n"/>
      <c r="N110" s="44" t="n"/>
      <c r="O110" s="45" t="n"/>
      <c r="P110" s="46" t="n"/>
      <c r="Q110" s="20" t="n"/>
      <c r="R110" s="20" t="n"/>
      <c r="S110" s="20" t="n"/>
      <c r="T110" s="44" t="n"/>
      <c r="U110" s="44" t="n"/>
      <c r="V110" s="46" t="n"/>
      <c r="W110" s="20" t="n"/>
      <c r="X110" s="20" t="n"/>
      <c r="Y110" s="20" t="n"/>
      <c r="Z110" s="46" t="n"/>
      <c r="AA110" s="44" t="n"/>
      <c r="AB110" s="46" t="n"/>
      <c r="AC110" s="20" t="n"/>
      <c r="AD110" s="91" t="n"/>
      <c r="AE110" s="46" t="n"/>
      <c r="AF110" s="20" t="n"/>
      <c r="AG110" s="20" t="n"/>
      <c r="AH110" s="20" t="n"/>
      <c r="AI110" s="20" t="n"/>
      <c r="AJ110" s="46" t="n"/>
      <c r="AK110" s="20" t="n"/>
      <c r="AL110" s="20" t="n">
        <v>81.43000000000001</v>
      </c>
      <c r="AM110" s="20" t="n"/>
      <c r="AN110" s="20" t="n"/>
      <c r="AO110" s="20" t="n"/>
      <c r="AP110" s="20" t="n"/>
      <c r="AQ110" s="92" t="n">
        <v>0.105</v>
      </c>
      <c r="AR110" s="20" t="n">
        <v>8.549999999999999</v>
      </c>
      <c r="AS110" s="20" t="n">
        <v>81.43000000000001</v>
      </c>
      <c r="AT110" s="49" t="n">
        <v>54</v>
      </c>
      <c r="AU110" s="50">
        <f>IF(I110="","管理人规模；","")&amp;IF(J110="","产品规模标识；","")&amp;IF(AND(F110&lt;3,O110=""),"R_incep；","")&amp;IF(N110="","近三年收益；","")&amp;IF(U110="","近三年胜率；","")&amp;IF(AND(V110&lt;&gt;"",OR(V110&lt;0,V110&gt;1)),"胜率窗口口径不一致；","")&amp;IF(AA110="","近三年回撤；","")&amp;IF(AD110="","短期卡玛；","")&amp;IF(AND(P110&lt;&gt;"",AE110=""),"DD_long不可识别；","")</f>
        <v/>
      </c>
      <c r="AV110" s="51" t="n"/>
      <c r="AW110" s="22" t="inlineStr">
        <is>
          <t>50-100亿元</t>
        </is>
      </c>
      <c r="AX110" s="22" t="inlineStr">
        <is>
          <t>2023-10-20</t>
        </is>
      </c>
      <c r="AY110" s="22" t="inlineStr">
        <is>
          <t>深圳前海博普资产管理有限公司 深圳前海博普资产管理有限公司</t>
        </is>
      </c>
      <c r="AZ110" s="22" t="inlineStr">
        <is>
          <t>2023-10-20</t>
        </is>
      </c>
      <c r="BA110" s="22" t="inlineStr">
        <is>
          <t>https://gs.amac.org.cn/amac-infodisc/res/pof/manager/1709041706102598.html</t>
        </is>
      </c>
      <c r="BB110" s="22" t="n"/>
      <c r="BC110" s="22" t="n"/>
      <c r="BD110" s="22" t="inlineStr">
        <is>
          <t>产品未匹配，管理人已按名称补录</t>
        </is>
      </c>
      <c r="BF110" t="inlineStr">
        <is>
          <t>未核验</t>
        </is>
      </c>
    </row>
    <row r="111" hidden="1" ht="28" customHeight="1" s="73">
      <c r="A111" s="2" t="n">
        <v>95</v>
      </c>
      <c r="B111" s="18" t="inlineStr">
        <is>
          <t>鑫泰禾安赢1号</t>
        </is>
      </c>
      <c r="C111" s="18">
        <f>'sheet4-原始数据'!B96</f>
        <v/>
      </c>
      <c r="D111" s="18" t="inlineStr">
        <is>
          <t>深圳鑫泰禾</t>
        </is>
      </c>
      <c r="E111" s="90" t="inlineStr">
        <is>
          <t>2024-10-21</t>
        </is>
      </c>
      <c r="F111" s="20" t="n">
        <v>1.9001</v>
      </c>
      <c r="G111" s="2">
        <f>IF(F111="","",IF(F111&lt;1,"不入池","入池"))</f>
        <v/>
      </c>
      <c r="H111" s="42" t="inlineStr">
        <is>
          <t>0-5亿元</t>
        </is>
      </c>
      <c r="I111" s="20" t="n">
        <v>60</v>
      </c>
      <c r="J111" s="43" t="inlineStr">
        <is>
          <t>低于1000万元</t>
        </is>
      </c>
      <c r="K111" s="20" t="n">
        <v>0</v>
      </c>
      <c r="L111" s="20" t="n">
        <v>70</v>
      </c>
      <c r="M111" s="44" t="n">
        <v>0.0601</v>
      </c>
      <c r="N111" s="44" t="n"/>
      <c r="O111" s="45" t="n"/>
      <c r="P111" s="46" t="n"/>
      <c r="Q111" s="20" t="n">
        <v>50.69</v>
      </c>
      <c r="R111" s="20" t="n"/>
      <c r="S111" s="20" t="n">
        <v>50.69</v>
      </c>
      <c r="T111" s="44" t="n">
        <v>0.6923</v>
      </c>
      <c r="U111" s="44" t="n"/>
      <c r="V111" s="46" t="n"/>
      <c r="W111" s="20" t="n">
        <v>69.23</v>
      </c>
      <c r="X111" s="20" t="n"/>
      <c r="Y111" s="20" t="n">
        <v>69.23</v>
      </c>
      <c r="Z111" s="46" t="n">
        <v>0.06757364515403644</v>
      </c>
      <c r="AA111" s="44" t="n"/>
      <c r="AB111" s="46" t="n">
        <v>0.06757364515403644</v>
      </c>
      <c r="AC111" s="20" t="n">
        <v>35.54</v>
      </c>
      <c r="AD111" s="91" t="n">
        <v>0.8894</v>
      </c>
      <c r="AE111" s="46" t="n"/>
      <c r="AF111" s="20" t="n"/>
      <c r="AG111" s="20" t="n">
        <v>32.87</v>
      </c>
      <c r="AH111" s="20" t="n"/>
      <c r="AI111" s="20" t="n">
        <v>32.87</v>
      </c>
      <c r="AJ111" s="46" t="n"/>
      <c r="AK111" s="20" t="n"/>
      <c r="AL111" s="20" t="n">
        <v>45</v>
      </c>
      <c r="AM111" s="20" t="n">
        <v>56.25</v>
      </c>
      <c r="AN111" s="20" t="n">
        <v>35.54</v>
      </c>
      <c r="AO111" s="20" t="n">
        <v>32.87</v>
      </c>
      <c r="AP111" s="20" t="n"/>
      <c r="AQ111" s="92" t="n">
        <v>0.7</v>
      </c>
      <c r="AR111" s="20" t="n">
        <v>28.30184</v>
      </c>
      <c r="AS111" s="20" t="n">
        <v>40.43</v>
      </c>
      <c r="AT111" s="49" t="n">
        <v>264</v>
      </c>
      <c r="AU111" s="50">
        <f>IF(I111="","管理人规模；","")&amp;IF(J111="","产品规模标识；","")&amp;IF(AND(F111&lt;3,O111=""),"R_incep；","")&amp;IF(N111="","近三年收益；","")&amp;IF(U111="","近三年胜率；","")&amp;IF(AND(V111&lt;&gt;"",OR(V111&lt;0,V111&gt;1)),"胜率窗口口径不一致；","")&amp;IF(AA111="","近三年回撤；","")&amp;IF(AD111="","短期卡玛；","")&amp;IF(AND(P111&lt;&gt;"",AE111=""),"DD_long不可识别；","")</f>
        <v/>
      </c>
      <c r="AV111" s="51" t="n"/>
      <c r="AW111" s="22" t="inlineStr">
        <is>
          <t>0-5亿元</t>
        </is>
      </c>
      <c r="AX111" s="22" t="inlineStr">
        <is>
          <t>2026-08-24</t>
        </is>
      </c>
      <c r="AY111" s="22" t="inlineStr">
        <is>
          <t>深圳鑫泰禾私募证券投资基金管理有限公司</t>
        </is>
      </c>
      <c r="AZ111" s="22" t="inlineStr">
        <is>
          <t>2026-08-24</t>
        </is>
      </c>
      <c r="BA111" s="22" t="inlineStr">
        <is>
          <t>https://gs.amac.org.cn/amac-infodisc/res/pof/manager/101000041857.html</t>
        </is>
      </c>
      <c r="BB111" s="22" t="inlineStr">
        <is>
          <t>鑫泰禾安赢1号私募证券投资基金</t>
        </is>
      </c>
      <c r="BC111" s="22" t="inlineStr">
        <is>
          <t>2026-06-25</t>
        </is>
      </c>
      <c r="BD111" s="22" t="inlineStr">
        <is>
          <t>已匹配</t>
        </is>
      </c>
      <c r="BE111" t="inlineStr">
        <is>
          <t>https://gs.amac.org.cn/amac-infodisc/res/pof/fund/2410291900108187.html</t>
        </is>
      </c>
      <c r="BF111" t="inlineStr">
        <is>
          <t>已核验</t>
        </is>
      </c>
    </row>
    <row r="112" hidden="1" ht="28" customHeight="1" s="73">
      <c r="A112" s="2" t="n">
        <v>96</v>
      </c>
      <c r="B112" s="18" t="inlineStr">
        <is>
          <t>慕途盈川1号</t>
        </is>
      </c>
      <c r="C112" s="18">
        <f>'sheet4-原始数据'!B97</f>
        <v/>
      </c>
      <c r="D112" s="18" t="inlineStr">
        <is>
          <t>慕途基金</t>
        </is>
      </c>
      <c r="E112" s="90" t="inlineStr">
        <is>
          <t>2024-11-25</t>
        </is>
      </c>
      <c r="F112" s="20" t="n">
        <v>1.8042</v>
      </c>
      <c r="G112" s="2">
        <f>IF(F112="","",IF(F112&lt;1,"不入池","入池"))</f>
        <v/>
      </c>
      <c r="H112" s="42" t="inlineStr">
        <is>
          <t>10-20亿元</t>
        </is>
      </c>
      <c r="I112" s="20" t="n">
        <v>80</v>
      </c>
      <c r="J112" s="43" t="inlineStr">
        <is>
          <t>无低于1000万元标识</t>
        </is>
      </c>
      <c r="K112" s="20" t="n">
        <v>100</v>
      </c>
      <c r="L112" s="20" t="n">
        <v>70</v>
      </c>
      <c r="M112" s="44" t="n">
        <v>0.1312</v>
      </c>
      <c r="N112" s="44" t="n"/>
      <c r="O112" s="45" t="n"/>
      <c r="P112" s="46" t="n"/>
      <c r="Q112" s="20" t="n">
        <v>83.68000000000001</v>
      </c>
      <c r="R112" s="20" t="n"/>
      <c r="S112" s="20" t="n">
        <v>83.68000000000001</v>
      </c>
      <c r="T112" s="44" t="n">
        <v>0.7692</v>
      </c>
      <c r="U112" s="44" t="n"/>
      <c r="V112" s="46" t="n"/>
      <c r="W112" s="20" t="n">
        <v>76.92</v>
      </c>
      <c r="X112" s="20" t="n"/>
      <c r="Y112" s="20" t="n">
        <v>76.92</v>
      </c>
      <c r="Z112" s="46" t="n">
        <v>0.02256971323390273</v>
      </c>
      <c r="AA112" s="44" t="n"/>
      <c r="AB112" s="46" t="n">
        <v>0.02256971323390273</v>
      </c>
      <c r="AC112" s="20" t="n">
        <v>71.08</v>
      </c>
      <c r="AD112" s="91" t="n">
        <v>5.8131</v>
      </c>
      <c r="AE112" s="46" t="n"/>
      <c r="AF112" s="20" t="n"/>
      <c r="AG112" s="20" t="n">
        <v>69.93000000000001</v>
      </c>
      <c r="AH112" s="20" t="n"/>
      <c r="AI112" s="20" t="n">
        <v>69.93000000000001</v>
      </c>
      <c r="AJ112" s="46" t="n"/>
      <c r="AK112" s="20" t="n"/>
      <c r="AL112" s="20" t="n">
        <v>83</v>
      </c>
      <c r="AM112" s="20" t="n">
        <v>81.65000000000001</v>
      </c>
      <c r="AN112" s="20" t="n">
        <v>71.08</v>
      </c>
      <c r="AO112" s="20" t="n">
        <v>69.93000000000001</v>
      </c>
      <c r="AP112" s="20" t="n"/>
      <c r="AQ112" s="92" t="n">
        <v>0.7</v>
      </c>
      <c r="AR112" s="20" t="n">
        <v>52.60564</v>
      </c>
      <c r="AS112" s="20" t="n">
        <v>75.15000000000001</v>
      </c>
      <c r="AT112" s="49" t="n">
        <v>87</v>
      </c>
      <c r="AU112" s="50">
        <f>IF(I112="","管理人规模；","")&amp;IF(J112="","产品规模标识；","")&amp;IF(AND(F112&lt;3,O112=""),"R_incep；","")&amp;IF(N112="","近三年收益；","")&amp;IF(U112="","近三年胜率；","")&amp;IF(AND(V112&lt;&gt;"",OR(V112&lt;0,V112&gt;1)),"胜率窗口口径不一致；","")&amp;IF(AA112="","近三年回撤；","")&amp;IF(AD112="","短期卡玛；","")&amp;IF(AND(P112&lt;&gt;"",AE112=""),"DD_long不可识别；","")</f>
        <v/>
      </c>
      <c r="AV112" s="51" t="n"/>
      <c r="AW112" s="22" t="inlineStr">
        <is>
          <t>10-20亿元</t>
        </is>
      </c>
      <c r="AX112" s="22" t="inlineStr">
        <is>
          <t>2026-06-12</t>
        </is>
      </c>
      <c r="AY112" s="22" t="inlineStr">
        <is>
          <t>上海慕途私募基金管理有限公司</t>
        </is>
      </c>
      <c r="AZ112" s="22" t="inlineStr">
        <is>
          <t>2026-06-12</t>
        </is>
      </c>
      <c r="BA112" s="22" t="inlineStr">
        <is>
          <t>https://gs.amac.org.cn/amac-infodisc/res/pof/manager/2106221238106983.html</t>
        </is>
      </c>
      <c r="BB112" s="22" t="inlineStr">
        <is>
          <t>慕途盈川1号私募证券投资基金</t>
        </is>
      </c>
      <c r="BC112" s="22" t="inlineStr">
        <is>
          <t>2024-12-10</t>
        </is>
      </c>
      <c r="BD112" s="22" t="inlineStr">
        <is>
          <t>已匹配</t>
        </is>
      </c>
      <c r="BE112" t="inlineStr">
        <is>
          <t>https://gs.amac.org.cn/amac-infodisc/res/pof/fund/2412092007109429.html</t>
        </is>
      </c>
      <c r="BF112" t="inlineStr">
        <is>
          <t>已核验</t>
        </is>
      </c>
    </row>
    <row r="113" hidden="1" ht="28" customHeight="1" s="73">
      <c r="A113" s="2" t="n">
        <v>97</v>
      </c>
      <c r="B113" s="18" t="inlineStr">
        <is>
          <t>根鸟利恩稳健套利二号</t>
        </is>
      </c>
      <c r="C113" s="18">
        <f>'sheet4-原始数据'!B98</f>
        <v/>
      </c>
      <c r="D113" s="18" t="inlineStr">
        <is>
          <t>上海利恩</t>
        </is>
      </c>
      <c r="E113" s="90" t="inlineStr">
        <is>
          <t>2024-12-03</t>
        </is>
      </c>
      <c r="F113" s="20" t="n">
        <v>1.7823</v>
      </c>
      <c r="G113" s="2">
        <f>IF(F113="","",IF(F113&lt;1,"不入池","入池"))</f>
        <v/>
      </c>
      <c r="H113" s="42" t="inlineStr">
        <is>
          <t>0-5亿元</t>
        </is>
      </c>
      <c r="I113" s="20" t="n">
        <v>60</v>
      </c>
      <c r="J113" s="43" t="inlineStr">
        <is>
          <t>无低于1000万元标识</t>
        </is>
      </c>
      <c r="K113" s="20" t="n">
        <v>100</v>
      </c>
      <c r="L113" s="20" t="n">
        <v>70</v>
      </c>
      <c r="M113" s="44" t="n">
        <v>0.0564</v>
      </c>
      <c r="N113" s="44" t="n"/>
      <c r="O113" s="45" t="n"/>
      <c r="P113" s="46" t="n"/>
      <c r="Q113" s="20" t="n">
        <v>48.61</v>
      </c>
      <c r="R113" s="20" t="n"/>
      <c r="S113" s="20" t="n">
        <v>48.61</v>
      </c>
      <c r="T113" s="44" t="n">
        <v>0.6923</v>
      </c>
      <c r="U113" s="44" t="n"/>
      <c r="V113" s="46" t="n"/>
      <c r="W113" s="20" t="n">
        <v>69.23</v>
      </c>
      <c r="X113" s="20" t="n"/>
      <c r="Y113" s="20" t="n">
        <v>69.23</v>
      </c>
      <c r="Z113" s="46" t="n">
        <v>0.0167552954457681</v>
      </c>
      <c r="AA113" s="44" t="n"/>
      <c r="AB113" s="46" t="n">
        <v>0.0167552954457681</v>
      </c>
      <c r="AC113" s="20" t="n">
        <v>75.95999999999999</v>
      </c>
      <c r="AD113" s="91" t="n">
        <v>3.3661</v>
      </c>
      <c r="AE113" s="46" t="n"/>
      <c r="AF113" s="20" t="n"/>
      <c r="AG113" s="20" t="n">
        <v>57.34</v>
      </c>
      <c r="AH113" s="20" t="n"/>
      <c r="AI113" s="20" t="n">
        <v>57.34</v>
      </c>
      <c r="AJ113" s="46" t="n"/>
      <c r="AK113" s="20" t="n"/>
      <c r="AL113" s="20" t="n">
        <v>75</v>
      </c>
      <c r="AM113" s="20" t="n">
        <v>54.8</v>
      </c>
      <c r="AN113" s="20" t="n">
        <v>75.95999999999999</v>
      </c>
      <c r="AO113" s="20" t="n">
        <v>57.34</v>
      </c>
      <c r="AP113" s="20" t="n"/>
      <c r="AQ113" s="92" t="n">
        <v>0.7</v>
      </c>
      <c r="AR113" s="20" t="n">
        <v>47.13672</v>
      </c>
      <c r="AS113" s="20" t="n">
        <v>67.34</v>
      </c>
      <c r="AT113" s="49" t="n">
        <v>134</v>
      </c>
      <c r="AU113" s="50">
        <f>IF(I113="","管理人规模；","")&amp;IF(J113="","产品规模标识；","")&amp;IF(AND(F113&lt;3,O113=""),"R_incep；","")&amp;IF(N113="","近三年收益；","")&amp;IF(U113="","近三年胜率；","")&amp;IF(AND(V113&lt;&gt;"",OR(V113&lt;0,V113&gt;1)),"胜率窗口口径不一致；","")&amp;IF(AA113="","近三年回撤；","")&amp;IF(AD113="","短期卡玛；","")&amp;IF(AND(P113&lt;&gt;"",AE113=""),"DD_long不可识别；","")</f>
        <v/>
      </c>
      <c r="AV113" s="51" t="n"/>
      <c r="AW113" s="22" t="inlineStr">
        <is>
          <t>0-5亿元</t>
        </is>
      </c>
      <c r="AX113" s="22" t="inlineStr">
        <is>
          <t>2026-04-13</t>
        </is>
      </c>
      <c r="AY113" s="22" t="inlineStr">
        <is>
          <t>上海利恩私募基金管理有限公司</t>
        </is>
      </c>
      <c r="AZ113" s="22" t="inlineStr">
        <is>
          <t>2026-04-13</t>
        </is>
      </c>
      <c r="BA113" s="22" t="inlineStr">
        <is>
          <t>https://gs.amac.org.cn/amac-infodisc/res/pof/manager/101000031741.html</t>
        </is>
      </c>
      <c r="BB113" s="22" t="inlineStr">
        <is>
          <t>根鸟利恩稳健套利二号私募证券投资基金</t>
        </is>
      </c>
      <c r="BC113" s="22" t="inlineStr">
        <is>
          <t>2024-12-11</t>
        </is>
      </c>
      <c r="BD113" s="22" t="inlineStr">
        <is>
          <t>已匹配</t>
        </is>
      </c>
      <c r="BE113" t="inlineStr">
        <is>
          <t>https://gs.amac.org.cn/amac-infodisc/res/pof/fund/2412111450104834.html</t>
        </is>
      </c>
      <c r="BF113" t="inlineStr">
        <is>
          <t>已核验</t>
        </is>
      </c>
    </row>
    <row r="114" hidden="1" ht="28" customHeight="1" s="73">
      <c r="A114" s="2" t="n">
        <v>98</v>
      </c>
      <c r="B114" s="18" t="inlineStr">
        <is>
          <t>唐德幽兰量化套利一号A类</t>
        </is>
      </c>
      <c r="C114" s="18">
        <f>'sheet4-原始数据'!B99</f>
        <v/>
      </c>
      <c r="D114" s="18" t="inlineStr">
        <is>
          <t>深圳唐德</t>
        </is>
      </c>
      <c r="E114" s="90" t="inlineStr">
        <is>
          <t>2024-04-26</t>
        </is>
      </c>
      <c r="F114" s="20" t="n">
        <v>2.3874</v>
      </c>
      <c r="G114" s="2">
        <f>IF(F114="","",IF(F114&lt;1,"不入池","入池"))</f>
        <v/>
      </c>
      <c r="H114" s="42" t="inlineStr">
        <is>
          <t>0-5亿元</t>
        </is>
      </c>
      <c r="I114" s="20" t="n">
        <v>60</v>
      </c>
      <c r="J114" s="43" t="inlineStr">
        <is>
          <t>无低于1000万元标识</t>
        </is>
      </c>
      <c r="K114" s="20" t="n"/>
      <c r="L114" s="20" t="n">
        <v>70</v>
      </c>
      <c r="M114" s="44" t="n">
        <v>0.0861</v>
      </c>
      <c r="N114" s="44" t="n"/>
      <c r="O114" s="45" t="n"/>
      <c r="P114" s="46" t="n"/>
      <c r="Q114" s="20" t="n">
        <v>68.75</v>
      </c>
      <c r="R114" s="20" t="n"/>
      <c r="S114" s="20" t="n">
        <v>68.75</v>
      </c>
      <c r="T114" s="44" t="n">
        <v>0.8462000000000001</v>
      </c>
      <c r="U114" s="44" t="n"/>
      <c r="V114" s="46" t="n"/>
      <c r="W114" s="20" t="n">
        <v>84.62</v>
      </c>
      <c r="X114" s="20" t="n"/>
      <c r="Y114" s="20" t="n">
        <v>84.62</v>
      </c>
      <c r="Z114" s="46" t="n">
        <v>0.02532650900105895</v>
      </c>
      <c r="AA114" s="44" t="n"/>
      <c r="AB114" s="46" t="n">
        <v>0.02532650900105895</v>
      </c>
      <c r="AC114" s="20" t="n">
        <v>64.81</v>
      </c>
      <c r="AD114" s="91" t="n">
        <v>3.3996</v>
      </c>
      <c r="AE114" s="46" t="n"/>
      <c r="AF114" s="20" t="n"/>
      <c r="AG114" s="20" t="n">
        <v>58.04</v>
      </c>
      <c r="AH114" s="20" t="n"/>
      <c r="AI114" s="20" t="n">
        <v>58.04</v>
      </c>
      <c r="AJ114" s="46" t="n"/>
      <c r="AK114" s="20" t="n"/>
      <c r="AL114" s="20" t="n">
        <v>64.29000000000001</v>
      </c>
      <c r="AM114" s="20" t="n">
        <v>73.51000000000001</v>
      </c>
      <c r="AN114" s="20" t="n">
        <v>64.81</v>
      </c>
      <c r="AO114" s="20" t="n">
        <v>58.04</v>
      </c>
      <c r="AP114" s="20" t="n"/>
      <c r="AQ114" s="92" t="n">
        <v>0.655</v>
      </c>
      <c r="AR114" s="20" t="n">
        <v>42.22102</v>
      </c>
      <c r="AS114" s="20" t="n">
        <v>64.45999999999999</v>
      </c>
      <c r="AT114" s="49" t="n">
        <v>150</v>
      </c>
      <c r="AU114" s="50">
        <f>IF(I114="","管理人规模；","")&amp;IF(J114="","产品规模标识；","")&amp;IF(AND(F114&lt;3,O114=""),"R_incep；","")&amp;IF(N114="","近三年收益；","")&amp;IF(U114="","近三年胜率；","")&amp;IF(AND(V114&lt;&gt;"",OR(V114&lt;0,V114&gt;1)),"胜率窗口口径不一致；","")&amp;IF(AA114="","近三年回撤；","")&amp;IF(AD114="","短期卡玛；","")&amp;IF(AND(P114&lt;&gt;"",AE114=""),"DD_long不可识别；","")</f>
        <v/>
      </c>
      <c r="AV114" s="51" t="n"/>
      <c r="AW114" s="22" t="inlineStr">
        <is>
          <t>0-5亿元</t>
        </is>
      </c>
      <c r="AX114" s="22" t="inlineStr">
        <is>
          <t>2026-02-10</t>
        </is>
      </c>
      <c r="AY114" s="22" t="inlineStr">
        <is>
          <t>深圳唐德私募证券投资基金管理有限公司 深圳唐德私募证券投资基金管理有限公司</t>
        </is>
      </c>
      <c r="AZ114" s="22" t="inlineStr">
        <is>
          <t>2026-02-10</t>
        </is>
      </c>
      <c r="BA114" s="22" t="inlineStr">
        <is>
          <t>https://gs.amac.org.cn/amac-infodisc/res/pof/manager/101000038100.html</t>
        </is>
      </c>
      <c r="BB114" s="22" t="n"/>
      <c r="BC114" s="22" t="n"/>
      <c r="BD114" s="22" t="inlineStr">
        <is>
          <t>产品未匹配，管理人已按名称补录</t>
        </is>
      </c>
      <c r="BF114" t="inlineStr">
        <is>
          <t>未核验</t>
        </is>
      </c>
    </row>
    <row r="115" hidden="1" ht="28" customHeight="1" s="73">
      <c r="A115" s="2" t="n">
        <v>99</v>
      </c>
      <c r="B115" s="18" t="inlineStr">
        <is>
          <t>启元高粱2号</t>
        </is>
      </c>
      <c r="C115" s="18">
        <f>'sheet4-原始数据'!B100</f>
        <v/>
      </c>
      <c r="D115" s="18" t="inlineStr">
        <is>
          <t>温州启元资管</t>
        </is>
      </c>
      <c r="E115" s="90" t="inlineStr">
        <is>
          <t>2024-12-17</t>
        </is>
      </c>
      <c r="F115" s="20" t="n">
        <v>1.744</v>
      </c>
      <c r="G115" s="2">
        <f>IF(F115="","",IF(F115&lt;1,"不入池","入池"))</f>
        <v/>
      </c>
      <c r="H115" s="42" t="inlineStr">
        <is>
          <t>20-50亿元</t>
        </is>
      </c>
      <c r="I115" s="20" t="n">
        <v>90</v>
      </c>
      <c r="J115" s="43" t="inlineStr">
        <is>
          <t>无低于1000万元标识</t>
        </is>
      </c>
      <c r="K115" s="20" t="n">
        <v>100</v>
      </c>
      <c r="L115" s="20" t="n">
        <v>70</v>
      </c>
      <c r="M115" s="44" t="n">
        <v>-0.0434</v>
      </c>
      <c r="N115" s="44" t="n"/>
      <c r="O115" s="45" t="n"/>
      <c r="P115" s="46" t="n"/>
      <c r="Q115" s="20" t="n">
        <v>8.68</v>
      </c>
      <c r="R115" s="20" t="n"/>
      <c r="S115" s="20" t="n">
        <v>8.68</v>
      </c>
      <c r="T115" s="44" t="n">
        <v>0.5385</v>
      </c>
      <c r="U115" s="44" t="n"/>
      <c r="V115" s="46" t="n"/>
      <c r="W115" s="20" t="n">
        <v>53.84999999999999</v>
      </c>
      <c r="X115" s="20" t="n"/>
      <c r="Y115" s="20" t="n">
        <v>53.84999999999999</v>
      </c>
      <c r="Z115" s="46" t="n">
        <v>0.1786008230452675</v>
      </c>
      <c r="AA115" s="44" t="n"/>
      <c r="AB115" s="46" t="n">
        <v>0.1786008230452675</v>
      </c>
      <c r="AC115" s="20" t="n">
        <v>12.89</v>
      </c>
      <c r="AD115" s="91" t="n">
        <v>-0.243</v>
      </c>
      <c r="AE115" s="46" t="n"/>
      <c r="AF115" s="20" t="n"/>
      <c r="AG115" s="20" t="n">
        <v>10.49</v>
      </c>
      <c r="AH115" s="20" t="n"/>
      <c r="AI115" s="20" t="n">
        <v>10.49</v>
      </c>
      <c r="AJ115" s="46" t="n"/>
      <c r="AK115" s="20" t="n"/>
      <c r="AL115" s="20" t="n">
        <v>87</v>
      </c>
      <c r="AM115" s="20" t="n">
        <v>22.23</v>
      </c>
      <c r="AN115" s="20" t="n">
        <v>12.89</v>
      </c>
      <c r="AO115" s="20" t="n">
        <v>10.49</v>
      </c>
      <c r="AP115" s="20" t="n"/>
      <c r="AQ115" s="92" t="n">
        <v>0.7</v>
      </c>
      <c r="AR115" s="20" t="n">
        <v>20.82842</v>
      </c>
      <c r="AS115" s="20" t="n">
        <v>29.75</v>
      </c>
      <c r="AT115" s="49" t="n">
        <v>295</v>
      </c>
      <c r="AU115" s="50">
        <f>IF(I115="","管理人规模；","")&amp;IF(J115="","产品规模标识；","")&amp;IF(AND(F115&lt;3,O115=""),"R_incep；","")&amp;IF(N115="","近三年收益；","")&amp;IF(U115="","近三年胜率；","")&amp;IF(AND(V115&lt;&gt;"",OR(V115&lt;0,V115&gt;1)),"胜率窗口口径不一致；","")&amp;IF(AA115="","近三年回撤；","")&amp;IF(AD115="","短期卡玛；","")&amp;IF(AND(P115&lt;&gt;"",AE115=""),"DD_long不可识别；","")</f>
        <v/>
      </c>
      <c r="AV115" s="51" t="n"/>
      <c r="AW115" s="22" t="inlineStr">
        <is>
          <t>20-50亿元</t>
        </is>
      </c>
      <c r="AX115" s="22" t="inlineStr">
        <is>
          <t>2026-02-10</t>
        </is>
      </c>
      <c r="AY115" s="22" t="inlineStr">
        <is>
          <t>温州启元资产管理有限公司</t>
        </is>
      </c>
      <c r="AZ115" s="22" t="inlineStr">
        <is>
          <t>2026-02-10</t>
        </is>
      </c>
      <c r="BA115" s="22" t="inlineStr">
        <is>
          <t>https://gs.amac.org.cn/amac-infodisc/res/pof/manager/101000016432.html</t>
        </is>
      </c>
      <c r="BB115" s="22" t="inlineStr">
        <is>
          <t>启元高粱2号私募证券投资基金</t>
        </is>
      </c>
      <c r="BC115" s="22" t="inlineStr">
        <is>
          <t>2026-01-20</t>
        </is>
      </c>
      <c r="BD115" s="22" t="inlineStr">
        <is>
          <t>已匹配</t>
        </is>
      </c>
      <c r="BE115" t="inlineStr">
        <is>
          <t>https://gs.amac.org.cn/amac-infodisc/res/pof/fund/2412181712104964.html</t>
        </is>
      </c>
      <c r="BF115" t="inlineStr">
        <is>
          <t>已核验</t>
        </is>
      </c>
    </row>
    <row r="116" hidden="1" ht="28" customHeight="1" s="73">
      <c r="A116" s="2" t="n">
        <v>100</v>
      </c>
      <c r="B116" s="18" t="inlineStr">
        <is>
          <t>六妙星滚雪粒1号</t>
        </is>
      </c>
      <c r="C116" s="18">
        <f>'sheet4-原始数据'!B101</f>
        <v/>
      </c>
      <c r="D116" s="18" t="inlineStr">
        <is>
          <t>北京六妙星</t>
        </is>
      </c>
      <c r="E116" s="90" t="inlineStr">
        <is>
          <t>2024-12-16</t>
        </is>
      </c>
      <c r="F116" s="20" t="n">
        <v>1.7467</v>
      </c>
      <c r="G116" s="2">
        <f>IF(F116="","",IF(F116&lt;1,"不入池","入池"))</f>
        <v/>
      </c>
      <c r="H116" s="42" t="inlineStr">
        <is>
          <t>20-50亿元</t>
        </is>
      </c>
      <c r="I116" s="20" t="n">
        <v>90</v>
      </c>
      <c r="J116" s="43" t="inlineStr">
        <is>
          <t>无低于1000万元标识</t>
        </is>
      </c>
      <c r="K116" s="20" t="n">
        <v>100</v>
      </c>
      <c r="L116" s="20" t="n">
        <v>70</v>
      </c>
      <c r="M116" s="44" t="n">
        <v>0.0931</v>
      </c>
      <c r="N116" s="44" t="n"/>
      <c r="O116" s="45" t="n"/>
      <c r="P116" s="46" t="n"/>
      <c r="Q116" s="20" t="n">
        <v>74.65000000000001</v>
      </c>
      <c r="R116" s="20" t="n"/>
      <c r="S116" s="20" t="n">
        <v>74.65000000000001</v>
      </c>
      <c r="T116" s="44" t="n">
        <v>0.6153999999999999</v>
      </c>
      <c r="U116" s="44" t="n"/>
      <c r="V116" s="46" t="n"/>
      <c r="W116" s="20" t="n">
        <v>61.53999999999999</v>
      </c>
      <c r="X116" s="20" t="n"/>
      <c r="Y116" s="20" t="n">
        <v>61.53999999999999</v>
      </c>
      <c r="Z116" s="46" t="n">
        <v>0.08224381625441697</v>
      </c>
      <c r="AA116" s="44" t="n"/>
      <c r="AB116" s="46" t="n">
        <v>0.08224381625441697</v>
      </c>
      <c r="AC116" s="20" t="n">
        <v>32.06</v>
      </c>
      <c r="AD116" s="91" t="n">
        <v>1.132</v>
      </c>
      <c r="AE116" s="46" t="n"/>
      <c r="AF116" s="20" t="n"/>
      <c r="AG116" s="20" t="n">
        <v>37.06</v>
      </c>
      <c r="AH116" s="20" t="n"/>
      <c r="AI116" s="20" t="n">
        <v>37.06</v>
      </c>
      <c r="AJ116" s="46" t="n"/>
      <c r="AK116" s="20" t="n"/>
      <c r="AL116" s="20" t="n">
        <v>87</v>
      </c>
      <c r="AM116" s="20" t="n">
        <v>70.72</v>
      </c>
      <c r="AN116" s="20" t="n">
        <v>32.06</v>
      </c>
      <c r="AO116" s="20" t="n">
        <v>37.06</v>
      </c>
      <c r="AP116" s="20" t="n"/>
      <c r="AQ116" s="92" t="n">
        <v>0.7</v>
      </c>
      <c r="AR116" s="20" t="n">
        <v>36.22184</v>
      </c>
      <c r="AS116" s="20" t="n">
        <v>51.75</v>
      </c>
      <c r="AT116" s="49" t="n">
        <v>213</v>
      </c>
      <c r="AU116" s="50">
        <f>IF(I116="","管理人规模；","")&amp;IF(J116="","产品规模标识；","")&amp;IF(AND(F116&lt;3,O116=""),"R_incep；","")&amp;IF(N116="","近三年收益；","")&amp;IF(U116="","近三年胜率；","")&amp;IF(AND(V116&lt;&gt;"",OR(V116&lt;0,V116&gt;1)),"胜率窗口口径不一致；","")&amp;IF(AA116="","近三年回撤；","")&amp;IF(AD116="","短期卡玛；","")&amp;IF(AND(P116&lt;&gt;"",AE116=""),"DD_long不可识别；","")</f>
        <v/>
      </c>
      <c r="AV116" s="51" t="n"/>
      <c r="AW116" s="22" t="inlineStr">
        <is>
          <t>20-50亿元</t>
        </is>
      </c>
      <c r="AX116" s="22" t="inlineStr">
        <is>
          <t>2026-04-24</t>
        </is>
      </c>
      <c r="AY116" s="22" t="inlineStr">
        <is>
          <t>六妙星（北京）私募基金管理有限公司</t>
        </is>
      </c>
      <c r="AZ116" s="22" t="inlineStr">
        <is>
          <t>2026-04-24</t>
        </is>
      </c>
      <c r="BA116" s="22" t="inlineStr">
        <is>
          <t>https://gs.amac.org.cn/amac-infodisc/res/pof/manager/2012211324102340.html</t>
        </is>
      </c>
      <c r="BB116" s="22" t="inlineStr">
        <is>
          <t>六妙星滚雪粒1号私募证券投资基金</t>
        </is>
      </c>
      <c r="BC116" s="22" t="inlineStr">
        <is>
          <t>2025-11-07</t>
        </is>
      </c>
      <c r="BD116" s="22" t="inlineStr">
        <is>
          <t>已匹配</t>
        </is>
      </c>
      <c r="BE116" t="inlineStr">
        <is>
          <t>https://gs.amac.org.cn/amac-infodisc/res/pof/fund/2412311133107562.html</t>
        </is>
      </c>
      <c r="BF116" t="inlineStr">
        <is>
          <t>已核验</t>
        </is>
      </c>
    </row>
    <row r="117" hidden="1" ht="28" customHeight="1" s="73">
      <c r="A117" s="2" t="n">
        <v>101</v>
      </c>
      <c r="B117" s="18" t="inlineStr">
        <is>
          <t>纵帆禾裕二号</t>
        </is>
      </c>
      <c r="C117" s="18">
        <f>'sheet4-原始数据'!B102</f>
        <v/>
      </c>
      <c r="D117" s="18" t="inlineStr">
        <is>
          <t>海南纵帆</t>
        </is>
      </c>
      <c r="E117" s="90" t="inlineStr">
        <is>
          <t>2024-12-24</t>
        </is>
      </c>
      <c r="F117" s="20" t="n">
        <v>1.7248</v>
      </c>
      <c r="G117" s="2">
        <f>IF(F117="","",IF(F117&lt;1,"不入池","入池"))</f>
        <v/>
      </c>
      <c r="H117" s="42" t="inlineStr">
        <is>
          <t>0-5亿元</t>
        </is>
      </c>
      <c r="I117" s="20" t="n">
        <v>60</v>
      </c>
      <c r="J117" s="43" t="inlineStr">
        <is>
          <t>无低于1000万元标识</t>
        </is>
      </c>
      <c r="K117" s="20" t="n">
        <v>100</v>
      </c>
      <c r="L117" s="20" t="n">
        <v>70</v>
      </c>
      <c r="M117" s="44" t="n">
        <v>0.0519</v>
      </c>
      <c r="N117" s="44" t="n"/>
      <c r="O117" s="45" t="n"/>
      <c r="P117" s="46" t="n"/>
      <c r="Q117" s="20" t="n">
        <v>46.18</v>
      </c>
      <c r="R117" s="20" t="n"/>
      <c r="S117" s="20" t="n">
        <v>46.18</v>
      </c>
      <c r="T117" s="44" t="n">
        <v>0.6923</v>
      </c>
      <c r="U117" s="44" t="n"/>
      <c r="V117" s="46" t="n"/>
      <c r="W117" s="20" t="n">
        <v>69.23</v>
      </c>
      <c r="X117" s="20" t="n"/>
      <c r="Y117" s="20" t="n">
        <v>69.23</v>
      </c>
      <c r="Z117" s="46" t="n">
        <v>0.04732378955046959</v>
      </c>
      <c r="AA117" s="44" t="n"/>
      <c r="AB117" s="46" t="n">
        <v>0.04732378955046959</v>
      </c>
      <c r="AC117" s="20" t="n">
        <v>45.99</v>
      </c>
      <c r="AD117" s="91" t="n">
        <v>1.0967</v>
      </c>
      <c r="AE117" s="46" t="n"/>
      <c r="AF117" s="20" t="n"/>
      <c r="AG117" s="20" t="n">
        <v>36.36</v>
      </c>
      <c r="AH117" s="20" t="n"/>
      <c r="AI117" s="20" t="n">
        <v>36.36</v>
      </c>
      <c r="AJ117" s="46" t="n"/>
      <c r="AK117" s="20" t="n"/>
      <c r="AL117" s="20" t="n">
        <v>75</v>
      </c>
      <c r="AM117" s="20" t="n">
        <v>53.1</v>
      </c>
      <c r="AN117" s="20" t="n">
        <v>45.99</v>
      </c>
      <c r="AO117" s="20" t="n">
        <v>36.36</v>
      </c>
      <c r="AP117" s="20" t="n"/>
      <c r="AQ117" s="92" t="n">
        <v>0.7</v>
      </c>
      <c r="AR117" s="20" t="n">
        <v>35.6637</v>
      </c>
      <c r="AS117" s="20" t="n">
        <v>50.95</v>
      </c>
      <c r="AT117" s="49" t="n">
        <v>217</v>
      </c>
      <c r="AU117" s="50">
        <f>IF(I117="","管理人规模；","")&amp;IF(J117="","产品规模标识；","")&amp;IF(AND(F117&lt;3,O117=""),"R_incep；","")&amp;IF(N117="","近三年收益；","")&amp;IF(U117="","近三年胜率；","")&amp;IF(AND(V117&lt;&gt;"",OR(V117&lt;0,V117&gt;1)),"胜率窗口口径不一致；","")&amp;IF(AA117="","近三年回撤；","")&amp;IF(AD117="","短期卡玛；","")&amp;IF(AND(P117&lt;&gt;"",AE117=""),"DD_long不可识别；","")</f>
        <v/>
      </c>
      <c r="AV117" s="51" t="n"/>
      <c r="AW117" s="22" t="inlineStr">
        <is>
          <t>0-5亿元</t>
        </is>
      </c>
      <c r="AX117" s="22" t="inlineStr">
        <is>
          <t>2026-09-03</t>
        </is>
      </c>
      <c r="AY117" s="22" t="inlineStr">
        <is>
          <t>海南纵帆私募基金管理有限公司</t>
        </is>
      </c>
      <c r="AZ117" s="22" t="inlineStr">
        <is>
          <t>2026-09-03</t>
        </is>
      </c>
      <c r="BA117" s="22" t="inlineStr">
        <is>
          <t>https://gs.amac.org.cn/amac-infodisc/res/pof/manager/2010291454105615.html</t>
        </is>
      </c>
      <c r="BB117" s="22" t="inlineStr">
        <is>
          <t>纵帆禾裕二号私募证券投资基金</t>
        </is>
      </c>
      <c r="BC117" s="22" t="inlineStr">
        <is>
          <t>2024-12-27</t>
        </is>
      </c>
      <c r="BD117" s="22" t="inlineStr">
        <is>
          <t>已匹配</t>
        </is>
      </c>
      <c r="BE117" t="inlineStr">
        <is>
          <t>https://gs.amac.org.cn/amac-infodisc/res/pof/fund/2412261646108609.html</t>
        </is>
      </c>
      <c r="BF117" t="inlineStr">
        <is>
          <t>已核验</t>
        </is>
      </c>
    </row>
    <row r="118" hidden="1" ht="28" customHeight="1" s="73">
      <c r="A118" s="2" t="n">
        <v>102</v>
      </c>
      <c r="B118" s="18" t="inlineStr">
        <is>
          <t>纵帆禾裕一号</t>
        </is>
      </c>
      <c r="C118" s="18">
        <f>'sheet4-原始数据'!B103</f>
        <v/>
      </c>
      <c r="D118" s="18" t="inlineStr">
        <is>
          <t>海南纵帆</t>
        </is>
      </c>
      <c r="E118" s="90" t="inlineStr">
        <is>
          <t>2024-12-31</t>
        </is>
      </c>
      <c r="F118" s="20" t="n">
        <v>1.7057</v>
      </c>
      <c r="G118" s="2">
        <f>IF(F118="","",IF(F118&lt;1,"不入池","入池"))</f>
        <v/>
      </c>
      <c r="H118" s="42" t="inlineStr">
        <is>
          <t>0-5亿元</t>
        </is>
      </c>
      <c r="I118" s="20" t="n">
        <v>60</v>
      </c>
      <c r="J118" s="43" t="inlineStr">
        <is>
          <t>无低于1000万元标识</t>
        </is>
      </c>
      <c r="K118" s="20" t="n">
        <v>100</v>
      </c>
      <c r="L118" s="20" t="n">
        <v>70</v>
      </c>
      <c r="M118" s="44" t="n">
        <v>0.0688</v>
      </c>
      <c r="N118" s="44" t="n"/>
      <c r="O118" s="45" t="n"/>
      <c r="P118" s="46" t="n"/>
      <c r="Q118" s="20" t="n">
        <v>57.29</v>
      </c>
      <c r="R118" s="20" t="n"/>
      <c r="S118" s="20" t="n">
        <v>57.29</v>
      </c>
      <c r="T118" s="44" t="n">
        <v>0.6923</v>
      </c>
      <c r="U118" s="44" t="n"/>
      <c r="V118" s="46" t="n"/>
      <c r="W118" s="20" t="n">
        <v>69.23</v>
      </c>
      <c r="X118" s="20" t="n"/>
      <c r="Y118" s="20" t="n">
        <v>69.23</v>
      </c>
      <c r="Z118" s="46" t="n">
        <v>0.02855601211970282</v>
      </c>
      <c r="AA118" s="44" t="n"/>
      <c r="AB118" s="46" t="n">
        <v>0.02855601211970282</v>
      </c>
      <c r="AC118" s="20" t="n">
        <v>59.93</v>
      </c>
      <c r="AD118" s="91" t="n">
        <v>2.4093</v>
      </c>
      <c r="AE118" s="46" t="n"/>
      <c r="AF118" s="20" t="n"/>
      <c r="AG118" s="20" t="n">
        <v>51.4</v>
      </c>
      <c r="AH118" s="20" t="n"/>
      <c r="AI118" s="20" t="n">
        <v>51.4</v>
      </c>
      <c r="AJ118" s="46" t="n"/>
      <c r="AK118" s="20" t="n"/>
      <c r="AL118" s="20" t="n">
        <v>75</v>
      </c>
      <c r="AM118" s="20" t="n">
        <v>60.87</v>
      </c>
      <c r="AN118" s="20" t="n">
        <v>59.93</v>
      </c>
      <c r="AO118" s="20" t="n">
        <v>51.4</v>
      </c>
      <c r="AP118" s="20" t="n"/>
      <c r="AQ118" s="92" t="n">
        <v>0.7</v>
      </c>
      <c r="AR118" s="20" t="n">
        <v>42.78914</v>
      </c>
      <c r="AS118" s="20" t="n">
        <v>61.13</v>
      </c>
      <c r="AT118" s="49" t="n">
        <v>160</v>
      </c>
      <c r="AU118" s="50">
        <f>IF(I118="","管理人规模；","")&amp;IF(J118="","产品规模标识；","")&amp;IF(AND(F118&lt;3,O118=""),"R_incep；","")&amp;IF(N118="","近三年收益；","")&amp;IF(U118="","近三年胜率；","")&amp;IF(AND(V118&lt;&gt;"",OR(V118&lt;0,V118&gt;1)),"胜率窗口口径不一致；","")&amp;IF(AA118="","近三年回撤；","")&amp;IF(AD118="","短期卡玛；","")&amp;IF(AND(P118&lt;&gt;"",AE118=""),"DD_long不可识别；","")</f>
        <v/>
      </c>
      <c r="AV118" s="51" t="n"/>
      <c r="AW118" s="22" t="inlineStr">
        <is>
          <t>0-5亿元</t>
        </is>
      </c>
      <c r="AX118" s="22" t="inlineStr">
        <is>
          <t>2026-09-03</t>
        </is>
      </c>
      <c r="AY118" s="22" t="inlineStr">
        <is>
          <t>海南纵帆私募基金管理有限公司</t>
        </is>
      </c>
      <c r="AZ118" s="22" t="inlineStr">
        <is>
          <t>2026-09-03</t>
        </is>
      </c>
      <c r="BA118" s="22" t="inlineStr">
        <is>
          <t>https://gs.amac.org.cn/amac-infodisc/res/pof/manager/2010291454105615.html</t>
        </is>
      </c>
      <c r="BB118" s="22" t="inlineStr">
        <is>
          <t>纵帆禾裕一号私募证券投资基金</t>
        </is>
      </c>
      <c r="BC118" s="22" t="inlineStr">
        <is>
          <t>2025-01-06</t>
        </is>
      </c>
      <c r="BD118" s="22" t="inlineStr">
        <is>
          <t>已匹配</t>
        </is>
      </c>
      <c r="BE118" t="inlineStr">
        <is>
          <t>https://gs.amac.org.cn/amac-infodisc/res/pof/fund/2501061019107429.html</t>
        </is>
      </c>
      <c r="BF118" t="inlineStr">
        <is>
          <t>已核验</t>
        </is>
      </c>
    </row>
    <row r="119" hidden="1" ht="28" customHeight="1" s="73">
      <c r="A119" s="2" t="n">
        <v>103</v>
      </c>
      <c r="B119" s="18" t="inlineStr">
        <is>
          <t>广联宏稳健2号</t>
        </is>
      </c>
      <c r="C119" s="18">
        <f>'sheet4-原始数据'!B104</f>
        <v/>
      </c>
      <c r="D119" s="18" t="inlineStr">
        <is>
          <t>海南广联宏</t>
        </is>
      </c>
      <c r="E119" s="90" t="inlineStr">
        <is>
          <t>2025-02-17</t>
        </is>
      </c>
      <c r="F119" s="20" t="n">
        <v>1.5743</v>
      </c>
      <c r="G119" s="2">
        <f>IF(F119="","",IF(F119&lt;1,"不入池","入池"))</f>
        <v/>
      </c>
      <c r="H119" s="42" t="inlineStr">
        <is>
          <t>5-10亿元</t>
        </is>
      </c>
      <c r="I119" s="20" t="n">
        <v>70</v>
      </c>
      <c r="J119" s="43" t="inlineStr">
        <is>
          <t>无低于1000万元标识</t>
        </is>
      </c>
      <c r="K119" s="20" t="n">
        <v>100</v>
      </c>
      <c r="L119" s="20" t="n">
        <v>70</v>
      </c>
      <c r="M119" s="44" t="n">
        <v>0.2138</v>
      </c>
      <c r="N119" s="44" t="n"/>
      <c r="O119" s="45" t="n"/>
      <c r="P119" s="46" t="n"/>
      <c r="Q119" s="20" t="n">
        <v>92.36</v>
      </c>
      <c r="R119" s="20" t="n"/>
      <c r="S119" s="20" t="n">
        <v>92.36</v>
      </c>
      <c r="T119" s="44" t="n">
        <v>0.8462000000000001</v>
      </c>
      <c r="U119" s="44" t="n"/>
      <c r="V119" s="46" t="n"/>
      <c r="W119" s="20" t="n">
        <v>84.62</v>
      </c>
      <c r="X119" s="20" t="n"/>
      <c r="Y119" s="20" t="n">
        <v>84.62</v>
      </c>
      <c r="Z119" s="46" t="n">
        <v>0.01881098392531916</v>
      </c>
      <c r="AA119" s="44" t="n"/>
      <c r="AB119" s="46" t="n">
        <v>0.01881098392531916</v>
      </c>
      <c r="AC119" s="20" t="n">
        <v>73.52</v>
      </c>
      <c r="AD119" s="91" t="n">
        <v>11.3657</v>
      </c>
      <c r="AE119" s="46" t="n"/>
      <c r="AF119" s="20" t="n"/>
      <c r="AG119" s="20" t="n">
        <v>83.92</v>
      </c>
      <c r="AH119" s="20" t="n"/>
      <c r="AI119" s="20" t="n">
        <v>83.92</v>
      </c>
      <c r="AJ119" s="46" t="n"/>
      <c r="AK119" s="20" t="n"/>
      <c r="AL119" s="20" t="n">
        <v>79</v>
      </c>
      <c r="AM119" s="20" t="n">
        <v>90.04000000000001</v>
      </c>
      <c r="AN119" s="20" t="n">
        <v>73.52</v>
      </c>
      <c r="AO119" s="20" t="n">
        <v>83.92</v>
      </c>
      <c r="AP119" s="20" t="n"/>
      <c r="AQ119" s="92" t="n">
        <v>0.7</v>
      </c>
      <c r="AR119" s="20" t="n">
        <v>56.14016</v>
      </c>
      <c r="AS119" s="20" t="n">
        <v>80.2</v>
      </c>
      <c r="AT119" s="49" t="n">
        <v>62</v>
      </c>
      <c r="AU119" s="50">
        <f>IF(I119="","管理人规模；","")&amp;IF(J119="","产品规模标识；","")&amp;IF(AND(F119&lt;3,O119=""),"R_incep；","")&amp;IF(N119="","近三年收益；","")&amp;IF(U119="","近三年胜率；","")&amp;IF(AND(V119&lt;&gt;"",OR(V119&lt;0,V119&gt;1)),"胜率窗口口径不一致；","")&amp;IF(AA119="","近三年回撤；","")&amp;IF(AD119="","短期卡玛；","")&amp;IF(AND(P119&lt;&gt;"",AE119=""),"DD_long不可识别；","")</f>
        <v/>
      </c>
      <c r="AV119" s="51" t="n"/>
      <c r="AW119" s="22" t="inlineStr">
        <is>
          <t>5-10亿元</t>
        </is>
      </c>
      <c r="AX119" s="22" t="inlineStr">
        <is>
          <t>2025-09-10</t>
        </is>
      </c>
      <c r="AY119" s="22" t="inlineStr">
        <is>
          <t>海南广联宏私募基金管理有限公司</t>
        </is>
      </c>
      <c r="AZ119" s="22" t="inlineStr">
        <is>
          <t>2025-09-10</t>
        </is>
      </c>
      <c r="BA119" s="22" t="inlineStr">
        <is>
          <t>https://gs.amac.org.cn/amac-infodisc/res/pof/manager/2109061042100364.html</t>
        </is>
      </c>
      <c r="BB119" s="22" t="inlineStr">
        <is>
          <t>广联宏稳健2号私募证券投资基金</t>
        </is>
      </c>
      <c r="BC119" s="22" t="inlineStr">
        <is>
          <t>2025-02-20</t>
        </is>
      </c>
      <c r="BD119" s="22" t="inlineStr">
        <is>
          <t>已匹配</t>
        </is>
      </c>
      <c r="BE119" t="inlineStr">
        <is>
          <t>https://gs.amac.org.cn/amac-infodisc/res/pof/fund/2502201715102727.html</t>
        </is>
      </c>
      <c r="BF119" t="inlineStr">
        <is>
          <t>已核验</t>
        </is>
      </c>
    </row>
    <row r="120" hidden="1" ht="28" customHeight="1" s="73">
      <c r="A120" s="2" t="n">
        <v>104</v>
      </c>
      <c r="B120" s="18" t="inlineStr">
        <is>
          <t>濡圣橡石2号</t>
        </is>
      </c>
      <c r="C120" s="18">
        <f>'sheet4-原始数据'!B105</f>
        <v/>
      </c>
      <c r="D120" s="18" t="inlineStr">
        <is>
          <t>上海濡圣</t>
        </is>
      </c>
      <c r="E120" s="90" t="inlineStr">
        <is>
          <t>2025-02-18</t>
        </is>
      </c>
      <c r="F120" s="20" t="n">
        <v>1.5715</v>
      </c>
      <c r="G120" s="2">
        <f>IF(F120="","",IF(F120&lt;1,"不入池","入池"))</f>
        <v/>
      </c>
      <c r="H120" s="42" t="inlineStr">
        <is>
          <t>0-5亿元</t>
        </is>
      </c>
      <c r="I120" s="20" t="n">
        <v>60</v>
      </c>
      <c r="J120" s="43" t="inlineStr">
        <is>
          <t>低于1000万元</t>
        </is>
      </c>
      <c r="K120" s="20" t="n">
        <v>0</v>
      </c>
      <c r="L120" s="20" t="n">
        <v>70</v>
      </c>
      <c r="M120" s="44" t="n">
        <v>0.0118</v>
      </c>
      <c r="N120" s="44" t="n"/>
      <c r="O120" s="45" t="n"/>
      <c r="P120" s="46" t="n"/>
      <c r="Q120" s="20" t="n">
        <v>21.18</v>
      </c>
      <c r="R120" s="20" t="n"/>
      <c r="S120" s="20" t="n">
        <v>21.18</v>
      </c>
      <c r="T120" s="44" t="n">
        <v>0.3846</v>
      </c>
      <c r="U120" s="44" t="n"/>
      <c r="V120" s="46" t="n"/>
      <c r="W120" s="20" t="n">
        <v>38.46</v>
      </c>
      <c r="X120" s="20" t="n"/>
      <c r="Y120" s="20" t="n">
        <v>38.46</v>
      </c>
      <c r="Z120" s="46" t="n">
        <v>0.1003401360544218</v>
      </c>
      <c r="AA120" s="44" t="n"/>
      <c r="AB120" s="46" t="n">
        <v>0.1003401360544218</v>
      </c>
      <c r="AC120" s="20" t="n">
        <v>26.13</v>
      </c>
      <c r="AD120" s="91" t="n">
        <v>0.1176</v>
      </c>
      <c r="AE120" s="46" t="n"/>
      <c r="AF120" s="20" t="n"/>
      <c r="AG120" s="20" t="n">
        <v>18.53</v>
      </c>
      <c r="AH120" s="20" t="n"/>
      <c r="AI120" s="20" t="n">
        <v>18.53</v>
      </c>
      <c r="AJ120" s="46" t="n"/>
      <c r="AK120" s="20" t="n"/>
      <c r="AL120" s="20" t="n">
        <v>45</v>
      </c>
      <c r="AM120" s="20" t="n">
        <v>26.36</v>
      </c>
      <c r="AN120" s="20" t="n">
        <v>26.13</v>
      </c>
      <c r="AO120" s="20" t="n">
        <v>18.53</v>
      </c>
      <c r="AP120" s="20" t="n"/>
      <c r="AQ120" s="92" t="n">
        <v>0.7</v>
      </c>
      <c r="AR120" s="20" t="n">
        <v>19.78158</v>
      </c>
      <c r="AS120" s="20" t="n">
        <v>28.26</v>
      </c>
      <c r="AT120" s="49" t="n">
        <v>303</v>
      </c>
      <c r="AU120" s="50">
        <f>IF(I120="","管理人规模；","")&amp;IF(J120="","产品规模标识；","")&amp;IF(AND(F120&lt;3,O120=""),"R_incep；","")&amp;IF(N120="","近三年收益；","")&amp;IF(U120="","近三年胜率；","")&amp;IF(AND(V120&lt;&gt;"",OR(V120&lt;0,V120&gt;1)),"胜率窗口口径不一致；","")&amp;IF(AA120="","近三年回撤；","")&amp;IF(AD120="","短期卡玛；","")&amp;IF(AND(P120&lt;&gt;"",AE120=""),"DD_long不可识别；","")</f>
        <v/>
      </c>
      <c r="AV120" s="51" t="n"/>
      <c r="AW120" s="22" t="inlineStr">
        <is>
          <t>0-5亿元</t>
        </is>
      </c>
      <c r="AX120" s="22" t="inlineStr">
        <is>
          <t>2025-12-22</t>
        </is>
      </c>
      <c r="AY120" s="22" t="inlineStr">
        <is>
          <t>上海濡圣私募基金管理有限公司</t>
        </is>
      </c>
      <c r="AZ120" s="22" t="inlineStr">
        <is>
          <t>2025-12-22</t>
        </is>
      </c>
      <c r="BA120" s="22" t="inlineStr">
        <is>
          <t>https://gs.amac.org.cn/amac-infodisc/res/pof/manager/101000050489.html</t>
        </is>
      </c>
      <c r="BB120" s="22" t="inlineStr">
        <is>
          <t>濡圣橡石2号私募证券投资基金</t>
        </is>
      </c>
      <c r="BC120" s="22" t="inlineStr">
        <is>
          <t>2025-02-25</t>
        </is>
      </c>
      <c r="BD120" s="22" t="inlineStr">
        <is>
          <t>已匹配</t>
        </is>
      </c>
      <c r="BE120" t="inlineStr">
        <is>
          <t>https://gs.amac.org.cn/amac-infodisc/res/pof/fund/2502241929109266.html</t>
        </is>
      </c>
      <c r="BF120" t="inlineStr">
        <is>
          <t>已核验</t>
        </is>
      </c>
    </row>
    <row r="121" hidden="1" ht="28" customHeight="1" s="73">
      <c r="A121" s="2" t="n">
        <v>105</v>
      </c>
      <c r="B121" s="18" t="inlineStr">
        <is>
          <t>九木套利1号</t>
        </is>
      </c>
      <c r="C121" s="18">
        <f>'sheet4-原始数据'!B106</f>
        <v/>
      </c>
      <c r="D121" s="18" t="inlineStr">
        <is>
          <t>深圳九木</t>
        </is>
      </c>
      <c r="E121" s="90" t="inlineStr">
        <is>
          <t>2025-04-22</t>
        </is>
      </c>
      <c r="F121" s="20" t="n">
        <v>1.399</v>
      </c>
      <c r="G121" s="2">
        <f>IF(F121="","",IF(F121&lt;1,"不入池","入池"))</f>
        <v/>
      </c>
      <c r="H121" s="42" t="inlineStr">
        <is>
          <t>10-20亿元</t>
        </is>
      </c>
      <c r="I121" s="20" t="n">
        <v>80</v>
      </c>
      <c r="J121" s="43" t="inlineStr">
        <is>
          <t>无低于1000万元标识</t>
        </is>
      </c>
      <c r="K121" s="20" t="n">
        <v>100</v>
      </c>
      <c r="L121" s="20" t="n">
        <v>70</v>
      </c>
      <c r="M121" s="44" t="n">
        <v>0.009899999999999999</v>
      </c>
      <c r="N121" s="44" t="n"/>
      <c r="O121" s="45" t="n"/>
      <c r="P121" s="46" t="n"/>
      <c r="Q121" s="20" t="n">
        <v>19.79</v>
      </c>
      <c r="R121" s="20" t="n"/>
      <c r="S121" s="20" t="n">
        <v>19.79</v>
      </c>
      <c r="T121" s="44" t="n">
        <v>0.5385</v>
      </c>
      <c r="U121" s="44" t="n"/>
      <c r="V121" s="46" t="n"/>
      <c r="W121" s="20" t="n">
        <v>53.84999999999999</v>
      </c>
      <c r="X121" s="20" t="n">
        <v>100</v>
      </c>
      <c r="Y121" s="20" t="n">
        <v>72.31</v>
      </c>
      <c r="Z121" s="46" t="n">
        <v>0.03539506614229531</v>
      </c>
      <c r="AA121" s="44" t="n"/>
      <c r="AB121" s="46" t="n">
        <v>0.03539506614229531</v>
      </c>
      <c r="AC121" s="20" t="n">
        <v>54.7</v>
      </c>
      <c r="AD121" s="91" t="n">
        <v>0.2797</v>
      </c>
      <c r="AE121" s="46" t="n"/>
      <c r="AF121" s="20" t="n"/>
      <c r="AG121" s="20" t="n">
        <v>20.98</v>
      </c>
      <c r="AH121" s="20" t="n"/>
      <c r="AI121" s="20" t="n">
        <v>20.98</v>
      </c>
      <c r="AJ121" s="46" t="n"/>
      <c r="AK121" s="20" t="n"/>
      <c r="AL121" s="20" t="n">
        <v>83</v>
      </c>
      <c r="AM121" s="20" t="n">
        <v>41.67</v>
      </c>
      <c r="AN121" s="20" t="n">
        <v>54.7</v>
      </c>
      <c r="AO121" s="20" t="n">
        <v>20.98</v>
      </c>
      <c r="AP121" s="20" t="n"/>
      <c r="AQ121" s="92" t="n">
        <v>0.724</v>
      </c>
      <c r="AR121" s="20" t="n">
        <v>35.90236</v>
      </c>
      <c r="AS121" s="20" t="n">
        <v>49.59</v>
      </c>
      <c r="AT121" s="49" t="n">
        <v>228</v>
      </c>
      <c r="AU121" s="50">
        <f>IF(I121="","管理人规模；","")&amp;IF(J121="","产品规模标识；","")&amp;IF(AND(F121&lt;3,O121=""),"R_incep；","")&amp;IF(N121="","近三年收益；","")&amp;IF(U121="","近三年胜率；","")&amp;IF(AND(V121&lt;&gt;"",OR(V121&lt;0,V121&gt;1)),"胜率窗口口径不一致；","")&amp;IF(AA121="","近三年回撤；","")&amp;IF(AD121="","短期卡玛；","")&amp;IF(AND(P121&lt;&gt;"",AE121=""),"DD_long不可识别；","")</f>
        <v/>
      </c>
      <c r="AV121" s="51" t="n"/>
      <c r="AW121" s="22" t="inlineStr">
        <is>
          <t>10-20亿元</t>
        </is>
      </c>
      <c r="AX121" s="22" t="inlineStr">
        <is>
          <t>2026-06-01</t>
        </is>
      </c>
      <c r="AY121" s="22" t="inlineStr">
        <is>
          <t>深圳九木私募证券基金管理有限公司</t>
        </is>
      </c>
      <c r="AZ121" s="22" t="inlineStr">
        <is>
          <t>2026-06-01</t>
        </is>
      </c>
      <c r="BA121" s="22" t="inlineStr">
        <is>
          <t>https://gs.amac.org.cn/amac-infodisc/res/pof/manager/2502261446106414.html</t>
        </is>
      </c>
      <c r="BB121" s="22" t="inlineStr">
        <is>
          <t>九木套利1号私募证券投资基金</t>
        </is>
      </c>
      <c r="BC121" s="22" t="inlineStr">
        <is>
          <t>2025-04-25</t>
        </is>
      </c>
      <c r="BD121" s="22" t="inlineStr">
        <is>
          <t>已匹配</t>
        </is>
      </c>
      <c r="BE121" t="inlineStr">
        <is>
          <t>https://gs.amac.org.cn/amac-infodisc/res/pof/fund/2504251101107555.html</t>
        </is>
      </c>
      <c r="BF121" t="inlineStr">
        <is>
          <t>已核验</t>
        </is>
      </c>
    </row>
    <row r="122" hidden="1" ht="28" customHeight="1" s="73">
      <c r="A122" s="2" t="n">
        <v>106</v>
      </c>
      <c r="B122" s="18" t="inlineStr">
        <is>
          <t>邦阁赤水1号</t>
        </is>
      </c>
      <c r="C122" s="18">
        <f>'sheet4-原始数据'!B107</f>
        <v/>
      </c>
      <c r="D122" s="18" t="inlineStr">
        <is>
          <t>上海邦阁</t>
        </is>
      </c>
      <c r="E122" s="90" t="inlineStr">
        <is>
          <t>2025-05-29</t>
        </is>
      </c>
      <c r="F122" s="20" t="n">
        <v>1.2977</v>
      </c>
      <c r="G122" s="2">
        <f>IF(F122="","",IF(F122&lt;1,"不入池","入池"))</f>
        <v/>
      </c>
      <c r="H122" s="42" t="inlineStr">
        <is>
          <t>0-5亿元</t>
        </is>
      </c>
      <c r="I122" s="20" t="n">
        <v>60</v>
      </c>
      <c r="J122" s="43" t="inlineStr">
        <is>
          <t>无低于1000万元标识</t>
        </is>
      </c>
      <c r="K122" s="20" t="n">
        <v>100</v>
      </c>
      <c r="L122" s="20" t="n">
        <v>70</v>
      </c>
      <c r="M122" s="44" t="n">
        <v>-0.1189</v>
      </c>
      <c r="N122" s="44" t="n"/>
      <c r="O122" s="45" t="n"/>
      <c r="P122" s="46" t="n"/>
      <c r="Q122" s="20" t="n">
        <v>3.13</v>
      </c>
      <c r="R122" s="20" t="n"/>
      <c r="S122" s="20" t="n">
        <v>3.13</v>
      </c>
      <c r="T122" s="44" t="n">
        <v>0.07690000000000001</v>
      </c>
      <c r="U122" s="44" t="n"/>
      <c r="V122" s="46" t="n"/>
      <c r="W122" s="20" t="n">
        <v>7.690000000000001</v>
      </c>
      <c r="X122" s="20" t="n">
        <v>100</v>
      </c>
      <c r="Y122" s="20" t="n">
        <v>44.61</v>
      </c>
      <c r="Z122" s="46" t="n">
        <v>0.1421908634298015</v>
      </c>
      <c r="AA122" s="44" t="n"/>
      <c r="AB122" s="46" t="n">
        <v>0.1421908634298015</v>
      </c>
      <c r="AC122" s="20" t="n">
        <v>16.03</v>
      </c>
      <c r="AD122" s="91" t="n">
        <v>-0.8362000000000001</v>
      </c>
      <c r="AE122" s="46" t="n"/>
      <c r="AF122" s="20" t="n"/>
      <c r="AG122" s="20" t="n">
        <v>1.75</v>
      </c>
      <c r="AH122" s="20" t="n"/>
      <c r="AI122" s="20" t="n">
        <v>1.75</v>
      </c>
      <c r="AJ122" s="46" t="n"/>
      <c r="AK122" s="20" t="n"/>
      <c r="AL122" s="20" t="n">
        <v>75</v>
      </c>
      <c r="AM122" s="20" t="n">
        <v>20.41</v>
      </c>
      <c r="AN122" s="20" t="n">
        <v>16.03</v>
      </c>
      <c r="AO122" s="20" t="n">
        <v>1.75</v>
      </c>
      <c r="AP122" s="20" t="n"/>
      <c r="AQ122" s="92" t="n">
        <v>0.724</v>
      </c>
      <c r="AR122" s="20" t="n">
        <v>18.51226</v>
      </c>
      <c r="AS122" s="20" t="n">
        <v>25.57</v>
      </c>
      <c r="AT122" s="49" t="n">
        <v>307</v>
      </c>
      <c r="AU122" s="50">
        <f>IF(I122="","管理人规模；","")&amp;IF(J122="","产品规模标识；","")&amp;IF(AND(F122&lt;3,O122=""),"R_incep；","")&amp;IF(N122="","近三年收益；","")&amp;IF(U122="","近三年胜率；","")&amp;IF(AND(V122&lt;&gt;"",OR(V122&lt;0,V122&gt;1)),"胜率窗口口径不一致；","")&amp;IF(AA122="","近三年回撤；","")&amp;IF(AD122="","短期卡玛；","")&amp;IF(AND(P122&lt;&gt;"",AE122=""),"DD_long不可识别；","")</f>
        <v/>
      </c>
      <c r="AV122" s="51" t="n"/>
      <c r="AW122" s="22" t="inlineStr">
        <is>
          <t>0-5亿元</t>
        </is>
      </c>
      <c r="AX122" s="22" t="inlineStr">
        <is>
          <t>2026-06-29</t>
        </is>
      </c>
      <c r="AY122" s="22" t="inlineStr">
        <is>
          <t>上海邦阁私募基金管理有限公司</t>
        </is>
      </c>
      <c r="AZ122" s="22" t="inlineStr">
        <is>
          <t>2026-06-29</t>
        </is>
      </c>
      <c r="BA122" s="22" t="inlineStr">
        <is>
          <t>https://gs.amac.org.cn/amac-infodisc/res/pof/manager/101000026158.html</t>
        </is>
      </c>
      <c r="BB122" s="22" t="inlineStr">
        <is>
          <t>邦阁赤水1号私募证券投资基金</t>
        </is>
      </c>
      <c r="BC122" s="22" t="inlineStr">
        <is>
          <t>2025-06-04</t>
        </is>
      </c>
      <c r="BD122" s="22" t="inlineStr">
        <is>
          <t>已匹配</t>
        </is>
      </c>
      <c r="BE122" t="inlineStr">
        <is>
          <t>https://gs.amac.org.cn/amac-infodisc/res/pof/fund/2506041444104018.html</t>
        </is>
      </c>
      <c r="BF122" t="inlineStr">
        <is>
          <t>已核验</t>
        </is>
      </c>
    </row>
    <row r="123" hidden="1" ht="28" customHeight="1" s="73">
      <c r="A123" s="2" t="n">
        <v>107</v>
      </c>
      <c r="B123" s="18" t="inlineStr">
        <is>
          <t>嘉和传承如期而至二期A类</t>
        </is>
      </c>
      <c r="C123" s="18">
        <f>'sheet4-原始数据'!B108</f>
        <v/>
      </c>
      <c r="D123" s="18" t="inlineStr">
        <is>
          <t>上海嘉和传承</t>
        </is>
      </c>
      <c r="E123" s="90" t="inlineStr">
        <is>
          <t>2025-06-03</t>
        </is>
      </c>
      <c r="F123" s="20" t="n">
        <v>1.2841</v>
      </c>
      <c r="G123" s="2">
        <f>IF(F123="","",IF(F123&lt;1,"不入池","入池"))</f>
        <v/>
      </c>
      <c r="H123" s="42" t="inlineStr">
        <is>
          <t>5-10亿元</t>
        </is>
      </c>
      <c r="I123" s="20" t="n">
        <v>70</v>
      </c>
      <c r="J123" s="43" t="inlineStr">
        <is>
          <t>无低于1000万元标识</t>
        </is>
      </c>
      <c r="K123" s="20" t="n"/>
      <c r="L123" s="20" t="n">
        <v>70</v>
      </c>
      <c r="M123" s="44" t="n">
        <v>0.3268</v>
      </c>
      <c r="N123" s="44" t="n"/>
      <c r="O123" s="45" t="n"/>
      <c r="P123" s="46" t="n"/>
      <c r="Q123" s="20" t="n">
        <v>97.56999999999999</v>
      </c>
      <c r="R123" s="20" t="n"/>
      <c r="S123" s="20" t="n">
        <v>97.56999999999999</v>
      </c>
      <c r="T123" s="44" t="n">
        <v>0.6923</v>
      </c>
      <c r="U123" s="44" t="n"/>
      <c r="V123" s="46" t="n"/>
      <c r="W123" s="20" t="n">
        <v>69.23</v>
      </c>
      <c r="X123" s="20" t="n">
        <v>100</v>
      </c>
      <c r="Y123" s="20" t="n">
        <v>81.54000000000001</v>
      </c>
      <c r="Z123" s="46" t="n">
        <v>0.08733764498369768</v>
      </c>
      <c r="AA123" s="44" t="n"/>
      <c r="AB123" s="46" t="n">
        <v>0.08733764498369768</v>
      </c>
      <c r="AC123" s="20" t="n">
        <v>29.97</v>
      </c>
      <c r="AD123" s="91" t="n">
        <v>3.7418</v>
      </c>
      <c r="AE123" s="46" t="n"/>
      <c r="AF123" s="20" t="n"/>
      <c r="AG123" s="20" t="n">
        <v>60.49</v>
      </c>
      <c r="AH123" s="20" t="n"/>
      <c r="AI123" s="20" t="n">
        <v>60.49</v>
      </c>
      <c r="AJ123" s="46" t="n"/>
      <c r="AK123" s="20" t="n"/>
      <c r="AL123" s="20" t="n">
        <v>70</v>
      </c>
      <c r="AM123" s="20" t="n">
        <v>90.89</v>
      </c>
      <c r="AN123" s="20" t="n">
        <v>29.97</v>
      </c>
      <c r="AO123" s="20" t="n">
        <v>60.49</v>
      </c>
      <c r="AP123" s="20" t="n"/>
      <c r="AQ123" s="92" t="n">
        <v>0.679</v>
      </c>
      <c r="AR123" s="20" t="n">
        <v>38.81886</v>
      </c>
      <c r="AS123" s="20" t="n">
        <v>57.17</v>
      </c>
      <c r="AT123" s="49" t="n">
        <v>187</v>
      </c>
      <c r="AU123" s="50">
        <f>IF(I123="","管理人规模；","")&amp;IF(J123="","产品规模标识；","")&amp;IF(AND(F123&lt;3,O123=""),"R_incep；","")&amp;IF(N123="","近三年收益；","")&amp;IF(U123="","近三年胜率；","")&amp;IF(AND(V123&lt;&gt;"",OR(V123&lt;0,V123&gt;1)),"胜率窗口口径不一致；","")&amp;IF(AA123="","近三年回撤；","")&amp;IF(AD123="","短期卡玛；","")&amp;IF(AND(P123&lt;&gt;"",AE123=""),"DD_long不可识别；","")</f>
        <v/>
      </c>
      <c r="AV123" s="51" t="n"/>
      <c r="AW123" s="22" t="inlineStr">
        <is>
          <t>5-10亿元</t>
        </is>
      </c>
      <c r="AX123" s="22" t="inlineStr">
        <is>
          <t>2025-08-08</t>
        </is>
      </c>
      <c r="AY123" s="22" t="inlineStr">
        <is>
          <t>上海嘉和传承私募基金管理有限公司 上海嘉和传承私募基金管理有限公司</t>
        </is>
      </c>
      <c r="AZ123" s="22" t="inlineStr">
        <is>
          <t>2025-08-08</t>
        </is>
      </c>
      <c r="BA123" s="22" t="inlineStr">
        <is>
          <t>https://gs.amac.org.cn/amac-infodisc/res/pof/manager/2203031405108672.html</t>
        </is>
      </c>
      <c r="BB123" s="22" t="n"/>
      <c r="BC123" s="22" t="n"/>
      <c r="BD123" s="22" t="inlineStr">
        <is>
          <t>产品未匹配，管理人已按名称补录</t>
        </is>
      </c>
      <c r="BF123" t="inlineStr">
        <is>
          <t>未核验</t>
        </is>
      </c>
    </row>
    <row r="124" hidden="1" ht="28" customHeight="1" s="73">
      <c r="A124" s="2" t="n">
        <v>108</v>
      </c>
      <c r="B124" s="18" t="inlineStr">
        <is>
          <t>龙智五福</t>
        </is>
      </c>
      <c r="C124" s="18">
        <f>'sheet4-原始数据'!B109</f>
        <v/>
      </c>
      <c r="D124" s="18" t="inlineStr">
        <is>
          <t>广州龙智投资</t>
        </is>
      </c>
      <c r="E124" s="90" t="inlineStr">
        <is>
          <t>2025-06-19</t>
        </is>
      </c>
      <c r="F124" s="20" t="n">
        <v>1.2402</v>
      </c>
      <c r="G124" s="2">
        <f>IF(F124="","",IF(F124&lt;1,"不入池","入池"))</f>
        <v/>
      </c>
      <c r="H124" s="42" t="inlineStr">
        <is>
          <t>0-5亿元</t>
        </is>
      </c>
      <c r="I124" s="20" t="n">
        <v>60</v>
      </c>
      <c r="J124" s="43" t="inlineStr">
        <is>
          <t>低于1000万元</t>
        </is>
      </c>
      <c r="K124" s="20" t="n">
        <v>0</v>
      </c>
      <c r="L124" s="20" t="n">
        <v>70</v>
      </c>
      <c r="M124" s="44" t="n">
        <v>0.0044</v>
      </c>
      <c r="N124" s="44" t="n"/>
      <c r="O124" s="45" t="n"/>
      <c r="P124" s="46" t="n"/>
      <c r="Q124" s="20" t="n">
        <v>17.71</v>
      </c>
      <c r="R124" s="20" t="n"/>
      <c r="S124" s="20" t="n">
        <v>17.71</v>
      </c>
      <c r="T124" s="44" t="n">
        <v>0.3846</v>
      </c>
      <c r="U124" s="44" t="n"/>
      <c r="V124" s="46" t="n"/>
      <c r="W124" s="20" t="n">
        <v>38.46</v>
      </c>
      <c r="X124" s="20" t="n">
        <v>100</v>
      </c>
      <c r="Y124" s="20" t="n">
        <v>63.08</v>
      </c>
      <c r="Z124" s="46" t="n">
        <v>0.03223443223443223</v>
      </c>
      <c r="AA124" s="44" t="n"/>
      <c r="AB124" s="46" t="n">
        <v>0.03223443223443223</v>
      </c>
      <c r="AC124" s="20" t="n">
        <v>57.14</v>
      </c>
      <c r="AD124" s="91" t="n">
        <v>0.1365</v>
      </c>
      <c r="AE124" s="46" t="n"/>
      <c r="AF124" s="20" t="n"/>
      <c r="AG124" s="20" t="n">
        <v>19.23</v>
      </c>
      <c r="AH124" s="20" t="n"/>
      <c r="AI124" s="20" t="n">
        <v>19.23</v>
      </c>
      <c r="AJ124" s="46" t="n"/>
      <c r="AK124" s="20" t="n"/>
      <c r="AL124" s="20" t="n">
        <v>45</v>
      </c>
      <c r="AM124" s="20" t="n">
        <v>36.61</v>
      </c>
      <c r="AN124" s="20" t="n">
        <v>57.14</v>
      </c>
      <c r="AO124" s="20" t="n">
        <v>19.23</v>
      </c>
      <c r="AP124" s="20" t="n"/>
      <c r="AQ124" s="92" t="n">
        <v>0.724</v>
      </c>
      <c r="AR124" s="20" t="n">
        <v>29.7686</v>
      </c>
      <c r="AS124" s="20" t="n">
        <v>41.12</v>
      </c>
      <c r="AT124" s="49" t="n">
        <v>262</v>
      </c>
      <c r="AU124" s="50">
        <f>IF(I124="","管理人规模；","")&amp;IF(J124="","产品规模标识；","")&amp;IF(AND(F124&lt;3,O124=""),"R_incep；","")&amp;IF(N124="","近三年收益；","")&amp;IF(U124="","近三年胜率；","")&amp;IF(AND(V124&lt;&gt;"",OR(V124&lt;0,V124&gt;1)),"胜率窗口口径不一致；","")&amp;IF(AA124="","近三年回撤；","")&amp;IF(AD124="","短期卡玛；","")&amp;IF(AND(P124&lt;&gt;"",AE124=""),"DD_long不可识别；","")</f>
        <v/>
      </c>
      <c r="AV124" s="51" t="n"/>
      <c r="AW124" s="22" t="inlineStr">
        <is>
          <t>0-5亿元</t>
        </is>
      </c>
      <c r="AX124" s="22" t="inlineStr">
        <is>
          <t>2020-05-29</t>
        </is>
      </c>
      <c r="AY124" s="22" t="inlineStr">
        <is>
          <t>广州市龙智投资管理有限公司</t>
        </is>
      </c>
      <c r="AZ124" s="22" t="inlineStr">
        <is>
          <t>2020-05-29</t>
        </is>
      </c>
      <c r="BA124" s="22" t="inlineStr">
        <is>
          <t>https://gs.amac.org.cn/amac-infodisc/res/pof/manager/1704141230109314.html</t>
        </is>
      </c>
      <c r="BB124" s="22" t="inlineStr">
        <is>
          <t>龙智五福私募证券投资基金</t>
        </is>
      </c>
      <c r="BC124" s="22" t="inlineStr">
        <is>
          <t>2025-06-27</t>
        </is>
      </c>
      <c r="BD124" s="22" t="inlineStr">
        <is>
          <t>已匹配</t>
        </is>
      </c>
      <c r="BE124" t="inlineStr">
        <is>
          <t>https://gs.amac.org.cn/amac-infodisc/res/pof/fund/2506271924100188.html</t>
        </is>
      </c>
      <c r="BF124" t="inlineStr">
        <is>
          <t>已核验</t>
        </is>
      </c>
    </row>
    <row r="125" hidden="1" ht="28" customHeight="1" s="73">
      <c r="A125" s="2" t="n">
        <v>109</v>
      </c>
      <c r="B125" s="18" t="inlineStr">
        <is>
          <t>六妙星彩云归低波2号</t>
        </is>
      </c>
      <c r="C125" s="18">
        <f>'sheet4-原始数据'!B110</f>
        <v/>
      </c>
      <c r="D125" s="18" t="inlineStr">
        <is>
          <t>北京六妙星</t>
        </is>
      </c>
      <c r="E125" s="90" t="inlineStr">
        <is>
          <t>2025-06-25</t>
        </is>
      </c>
      <c r="F125" s="20" t="n">
        <v>1.2238</v>
      </c>
      <c r="G125" s="2">
        <f>IF(F125="","",IF(F125&lt;1,"不入池","入池"))</f>
        <v/>
      </c>
      <c r="H125" s="42" t="inlineStr">
        <is>
          <t>20-50亿元</t>
        </is>
      </c>
      <c r="I125" s="20" t="n">
        <v>90</v>
      </c>
      <c r="J125" s="43" t="inlineStr">
        <is>
          <t>无低于1000万元标识</t>
        </is>
      </c>
      <c r="K125" s="20" t="n">
        <v>100</v>
      </c>
      <c r="L125" s="20" t="n">
        <v>70</v>
      </c>
      <c r="M125" s="44" t="n">
        <v>0.0194</v>
      </c>
      <c r="N125" s="44" t="n"/>
      <c r="O125" s="45" t="n"/>
      <c r="P125" s="46" t="n"/>
      <c r="Q125" s="20" t="n">
        <v>24.31</v>
      </c>
      <c r="R125" s="20" t="n"/>
      <c r="S125" s="20" t="n">
        <v>24.31</v>
      </c>
      <c r="T125" s="44" t="n">
        <v>0.5385</v>
      </c>
      <c r="U125" s="44" t="n"/>
      <c r="V125" s="46" t="n"/>
      <c r="W125" s="20" t="n">
        <v>53.84999999999999</v>
      </c>
      <c r="X125" s="20" t="n">
        <v>100</v>
      </c>
      <c r="Y125" s="20" t="n">
        <v>72.31</v>
      </c>
      <c r="Z125" s="46" t="n">
        <v>0.03429379529786106</v>
      </c>
      <c r="AA125" s="44" t="n"/>
      <c r="AB125" s="46" t="n">
        <v>0.03429379529786106</v>
      </c>
      <c r="AC125" s="20" t="n">
        <v>56.45</v>
      </c>
      <c r="AD125" s="91" t="n">
        <v>0.5657</v>
      </c>
      <c r="AE125" s="46" t="n"/>
      <c r="AF125" s="20" t="n"/>
      <c r="AG125" s="20" t="n">
        <v>26.92</v>
      </c>
      <c r="AH125" s="20" t="n"/>
      <c r="AI125" s="20" t="n">
        <v>26.92</v>
      </c>
      <c r="AJ125" s="46" t="n"/>
      <c r="AK125" s="20" t="n"/>
      <c r="AL125" s="20" t="n">
        <v>87</v>
      </c>
      <c r="AM125" s="20" t="n">
        <v>44.31</v>
      </c>
      <c r="AN125" s="20" t="n">
        <v>56.45</v>
      </c>
      <c r="AO125" s="20" t="n">
        <v>26.92</v>
      </c>
      <c r="AP125" s="20" t="n"/>
      <c r="AQ125" s="92" t="n">
        <v>0.724</v>
      </c>
      <c r="AR125" s="20" t="n">
        <v>38.38874</v>
      </c>
      <c r="AS125" s="20" t="n">
        <v>53.02</v>
      </c>
      <c r="AT125" s="49" t="n">
        <v>206</v>
      </c>
      <c r="AU125" s="50">
        <f>IF(I125="","管理人规模；","")&amp;IF(J125="","产品规模标识；","")&amp;IF(AND(F125&lt;3,O125=""),"R_incep；","")&amp;IF(N125="","近三年收益；","")&amp;IF(U125="","近三年胜率；","")&amp;IF(AND(V125&lt;&gt;"",OR(V125&lt;0,V125&gt;1)),"胜率窗口口径不一致；","")&amp;IF(AA125="","近三年回撤；","")&amp;IF(AD125="","短期卡玛；","")&amp;IF(AND(P125&lt;&gt;"",AE125=""),"DD_long不可识别；","")</f>
        <v/>
      </c>
      <c r="AV125" s="51" t="n"/>
      <c r="AW125" s="22" t="inlineStr">
        <is>
          <t>20-50亿元</t>
        </is>
      </c>
      <c r="AX125" s="22" t="inlineStr">
        <is>
          <t>2026-04-24</t>
        </is>
      </c>
      <c r="AY125" s="22" t="inlineStr">
        <is>
          <t>六妙星（北京）私募基金管理有限公司</t>
        </is>
      </c>
      <c r="AZ125" s="22" t="inlineStr">
        <is>
          <t>2026-04-24</t>
        </is>
      </c>
      <c r="BA125" s="22" t="inlineStr">
        <is>
          <t>https://gs.amac.org.cn/amac-infodisc/res/pof/manager/2012211324102340.html</t>
        </is>
      </c>
      <c r="BB125" s="22" t="inlineStr">
        <is>
          <t>六妙星彩云归低波2号私募证券投资基金</t>
        </is>
      </c>
      <c r="BC125" s="22" t="inlineStr">
        <is>
          <t>2026-04-17</t>
        </is>
      </c>
      <c r="BD125" s="22" t="inlineStr">
        <is>
          <t>已匹配</t>
        </is>
      </c>
      <c r="BE125" t="inlineStr">
        <is>
          <t>https://gs.amac.org.cn/amac-infodisc/res/pof/fund/2507011111106192.html</t>
        </is>
      </c>
      <c r="BF125" t="inlineStr">
        <is>
          <t>已核验</t>
        </is>
      </c>
    </row>
    <row r="126" hidden="1" ht="28" customHeight="1" s="73">
      <c r="A126" s="2" t="n">
        <v>110</v>
      </c>
      <c r="B126" s="18" t="inlineStr">
        <is>
          <t>纵帆禾裕三号</t>
        </is>
      </c>
      <c r="C126" s="18">
        <f>'sheet4-原始数据'!B111</f>
        <v/>
      </c>
      <c r="D126" s="18" t="inlineStr">
        <is>
          <t>海南纵帆</t>
        </is>
      </c>
      <c r="E126" s="90" t="inlineStr">
        <is>
          <t>2025-08-08</t>
        </is>
      </c>
      <c r="F126" s="20" t="n">
        <v>1.1034</v>
      </c>
      <c r="G126" s="2">
        <f>IF(F126="","",IF(F126&lt;1,"不入池","入池"))</f>
        <v/>
      </c>
      <c r="H126" s="42" t="inlineStr">
        <is>
          <t>0-5亿元</t>
        </is>
      </c>
      <c r="I126" s="20" t="n">
        <v>60</v>
      </c>
      <c r="J126" s="43" t="inlineStr">
        <is>
          <t>无低于1000万元标识</t>
        </is>
      </c>
      <c r="K126" s="20" t="n">
        <v>100</v>
      </c>
      <c r="L126" s="20" t="n">
        <v>70</v>
      </c>
      <c r="M126" s="44" t="n">
        <v>0.0461</v>
      </c>
      <c r="N126" s="44" t="n"/>
      <c r="O126" s="45" t="n"/>
      <c r="P126" s="46" t="n"/>
      <c r="Q126" s="20" t="n">
        <v>43.06</v>
      </c>
      <c r="R126" s="20" t="n"/>
      <c r="S126" s="20" t="n">
        <v>43.06</v>
      </c>
      <c r="T126" s="44" t="n">
        <v>0.6923</v>
      </c>
      <c r="U126" s="44" t="n"/>
      <c r="V126" s="46" t="n"/>
      <c r="W126" s="20" t="n">
        <v>69.23</v>
      </c>
      <c r="X126" s="20" t="n">
        <v>100</v>
      </c>
      <c r="Y126" s="20" t="n">
        <v>81.54000000000001</v>
      </c>
      <c r="Z126" s="46" t="n">
        <v>0.04509880649579339</v>
      </c>
      <c r="AA126" s="44" t="n"/>
      <c r="AB126" s="46" t="n">
        <v>0.04509880649579339</v>
      </c>
      <c r="AC126" s="20" t="n">
        <v>47.74</v>
      </c>
      <c r="AD126" s="91" t="n">
        <v>1.0222</v>
      </c>
      <c r="AE126" s="46" t="n"/>
      <c r="AF126" s="20" t="n"/>
      <c r="AG126" s="20" t="n">
        <v>34.97</v>
      </c>
      <c r="AH126" s="20" t="n"/>
      <c r="AI126" s="20" t="n">
        <v>34.97</v>
      </c>
      <c r="AJ126" s="46" t="n"/>
      <c r="AK126" s="20" t="n"/>
      <c r="AL126" s="20" t="n">
        <v>75</v>
      </c>
      <c r="AM126" s="20" t="n">
        <v>59.09</v>
      </c>
      <c r="AN126" s="20" t="n">
        <v>47.74</v>
      </c>
      <c r="AO126" s="20" t="n">
        <v>34.97</v>
      </c>
      <c r="AP126" s="20" t="n"/>
      <c r="AQ126" s="92" t="n">
        <v>0.724</v>
      </c>
      <c r="AR126" s="20" t="n">
        <v>37.98892</v>
      </c>
      <c r="AS126" s="20" t="n">
        <v>52.47</v>
      </c>
      <c r="AT126" s="49" t="n">
        <v>208</v>
      </c>
      <c r="AU126" s="50">
        <f>IF(I126="","管理人规模；","")&amp;IF(J126="","产品规模标识；","")&amp;IF(AND(F126&lt;3,O126=""),"R_incep；","")&amp;IF(N126="","近三年收益；","")&amp;IF(U126="","近三年胜率；","")&amp;IF(AND(V126&lt;&gt;"",OR(V126&lt;0,V126&gt;1)),"胜率窗口口径不一致；","")&amp;IF(AA126="","近三年回撤；","")&amp;IF(AD126="","短期卡玛；","")&amp;IF(AND(P126&lt;&gt;"",AE126=""),"DD_long不可识别；","")</f>
        <v/>
      </c>
      <c r="AV126" s="51" t="n"/>
      <c r="AW126" s="22" t="inlineStr">
        <is>
          <t>0-5亿元</t>
        </is>
      </c>
      <c r="AX126" s="22" t="inlineStr">
        <is>
          <t>2026-09-03</t>
        </is>
      </c>
      <c r="AY126" s="22" t="inlineStr">
        <is>
          <t>海南纵帆私募基金管理有限公司</t>
        </is>
      </c>
      <c r="AZ126" s="22" t="inlineStr">
        <is>
          <t>2026-09-03</t>
        </is>
      </c>
      <c r="BA126" s="22" t="inlineStr">
        <is>
          <t>https://gs.amac.org.cn/amac-infodisc/res/pof/manager/2010291454105615.html</t>
        </is>
      </c>
      <c r="BB126" s="22" t="inlineStr">
        <is>
          <t>纵帆禾裕三号私募证券投资基金</t>
        </is>
      </c>
      <c r="BC126" s="22" t="inlineStr">
        <is>
          <t>2025-08-13</t>
        </is>
      </c>
      <c r="BD126" s="22" t="inlineStr">
        <is>
          <t>已匹配</t>
        </is>
      </c>
      <c r="BE126" t="inlineStr">
        <is>
          <t>https://gs.amac.org.cn/amac-infodisc/res/pof/fund/2508130929107823.html</t>
        </is>
      </c>
      <c r="BF126" t="inlineStr">
        <is>
          <t>已核验</t>
        </is>
      </c>
    </row>
    <row r="127" hidden="1" ht="28" customHeight="1" s="73">
      <c r="A127" s="2" t="n">
        <v>111</v>
      </c>
      <c r="B127" s="18" t="inlineStr">
        <is>
          <t>鋆晟狮王套利</t>
        </is>
      </c>
      <c r="C127" s="18">
        <f>'sheet4-原始数据'!B112</f>
        <v/>
      </c>
      <c r="D127" s="18" t="inlineStr">
        <is>
          <t>上海鋆晟投资</t>
        </is>
      </c>
      <c r="E127" s="90" t="inlineStr">
        <is>
          <t>2019-07-18</t>
        </is>
      </c>
      <c r="F127" s="20" t="n">
        <v>7.1622</v>
      </c>
      <c r="G127" s="2">
        <f>IF(F127="","",IF(F127&lt;1,"不入池","入池"))</f>
        <v/>
      </c>
      <c r="H127" s="42" t="inlineStr">
        <is>
          <t>5-10亿元</t>
        </is>
      </c>
      <c r="I127" s="20" t="n">
        <v>70</v>
      </c>
      <c r="J127" s="43" t="inlineStr">
        <is>
          <t>无低于1000万元标识</t>
        </is>
      </c>
      <c r="K127" s="20" t="n">
        <v>100</v>
      </c>
      <c r="L127" s="20" t="n">
        <v>100</v>
      </c>
      <c r="M127" s="44" t="n">
        <v>0.1328</v>
      </c>
      <c r="N127" s="44" t="n">
        <v>0.0704</v>
      </c>
      <c r="O127" s="45" t="n"/>
      <c r="P127" s="46" t="n">
        <v>0.04050106834175771</v>
      </c>
      <c r="Q127" s="20" t="n">
        <v>84.38</v>
      </c>
      <c r="R127" s="20" t="n">
        <v>28</v>
      </c>
      <c r="S127" s="20" t="n">
        <v>61.83</v>
      </c>
      <c r="T127" s="44" t="n">
        <v>0.8462000000000001</v>
      </c>
      <c r="U127" s="44" t="n">
        <v>0.7837999999999999</v>
      </c>
      <c r="V127" s="46" t="n">
        <v>0.75</v>
      </c>
      <c r="W127" s="20" t="n">
        <v>84.62</v>
      </c>
      <c r="X127" s="20" t="n">
        <v>75</v>
      </c>
      <c r="Y127" s="20" t="n">
        <v>80.77</v>
      </c>
      <c r="Z127" s="46" t="n">
        <v>0.0107413818205348</v>
      </c>
      <c r="AA127" s="44" t="n">
        <v>0.0147</v>
      </c>
      <c r="AB127" s="46" t="n">
        <v>0.0147</v>
      </c>
      <c r="AC127" s="20" t="n">
        <v>78.40000000000001</v>
      </c>
      <c r="AD127" s="91" t="n">
        <v>12.3634</v>
      </c>
      <c r="AE127" s="46" t="n">
        <v>0.0147</v>
      </c>
      <c r="AF127" s="20" t="n">
        <v>2.755174717126375</v>
      </c>
      <c r="AG127" s="20" t="n">
        <v>84.62</v>
      </c>
      <c r="AH127" s="20" t="n">
        <v>75</v>
      </c>
      <c r="AI127" s="20" t="n">
        <v>80.77</v>
      </c>
      <c r="AJ127" s="46" t="n">
        <v>0.0704</v>
      </c>
      <c r="AK127" s="20" t="n">
        <v>100</v>
      </c>
      <c r="AL127" s="20" t="n">
        <v>88</v>
      </c>
      <c r="AM127" s="20" t="n">
        <v>67.51000000000001</v>
      </c>
      <c r="AN127" s="20" t="n">
        <v>78.40000000000001</v>
      </c>
      <c r="AO127" s="20" t="n">
        <v>80.77</v>
      </c>
      <c r="AP127" s="20" t="n">
        <v>100</v>
      </c>
      <c r="AQ127" s="92" t="n">
        <v>1</v>
      </c>
      <c r="AR127" s="20" t="n">
        <v>80.53384</v>
      </c>
      <c r="AS127" s="20" t="n">
        <v>80.53</v>
      </c>
      <c r="AT127" s="49" t="n">
        <v>59</v>
      </c>
      <c r="AU127" s="50">
        <f>IF(I127="","管理人规模；","")&amp;IF(J127="","产品规模标识；","")&amp;IF(AND(F127&lt;3,O127=""),"R_incep；","")&amp;IF(N127="","近三年收益；","")&amp;IF(U127="","近三年胜率；","")&amp;IF(AND(V127&lt;&gt;"",OR(V127&lt;0,V127&gt;1)),"胜率窗口口径不一致；","")&amp;IF(AA127="","近三年回撤；","")&amp;IF(AD127="","短期卡玛；","")&amp;IF(AND(P127&lt;&gt;"",AE127=""),"DD_long不可识别；","")</f>
        <v/>
      </c>
      <c r="AV127" s="51" t="n">
        <v>80.53384</v>
      </c>
      <c r="AW127" s="22" t="inlineStr">
        <is>
          <t>5-10亿元</t>
        </is>
      </c>
      <c r="AX127" s="22" t="inlineStr">
        <is>
          <t>2026-08-24</t>
        </is>
      </c>
      <c r="AY127" s="22" t="inlineStr">
        <is>
          <t>上海鋆晟投资管理有限公司</t>
        </is>
      </c>
      <c r="AZ127" s="22" t="inlineStr">
        <is>
          <t>2026-08-24</t>
        </is>
      </c>
      <c r="BA127" s="22" t="inlineStr">
        <is>
          <t>https://gs.amac.org.cn/amac-infodisc/res/pof/manager/101000039679.html</t>
        </is>
      </c>
      <c r="BB127" s="22" t="inlineStr">
        <is>
          <t>鋆晟狮王套利私募证券投资基金</t>
        </is>
      </c>
      <c r="BC127" s="22" t="inlineStr">
        <is>
          <t>2024-01-18</t>
        </is>
      </c>
      <c r="BD127" s="22" t="inlineStr">
        <is>
          <t>已匹配</t>
        </is>
      </c>
      <c r="BE127" t="inlineStr">
        <is>
          <t>https://gs.amac.org.cn/amac-infodisc/res/pof/fund/1908021524105625.html</t>
        </is>
      </c>
      <c r="BF127" t="inlineStr">
        <is>
          <t>已核验</t>
        </is>
      </c>
    </row>
    <row r="128" hidden="1" ht="28" customHeight="1" s="73">
      <c r="A128" s="2" t="n">
        <v>112</v>
      </c>
      <c r="B128" s="18" t="inlineStr">
        <is>
          <t>晟通京华宏观对冲</t>
        </is>
      </c>
      <c r="C128" s="18">
        <f>'sheet4-原始数据'!B113</f>
        <v/>
      </c>
      <c r="D128" s="18" t="inlineStr">
        <is>
          <t>深圳前海晟通资管</t>
        </is>
      </c>
      <c r="E128" s="90" t="inlineStr">
        <is>
          <t>2020-12-04</t>
        </is>
      </c>
      <c r="F128" s="20" t="n">
        <v>5.7796</v>
      </c>
      <c r="G128" s="2">
        <f>IF(F128="","",IF(F128&lt;1,"不入池","入池"))</f>
        <v/>
      </c>
      <c r="H128" s="42" t="inlineStr">
        <is>
          <t>0-5亿元</t>
        </is>
      </c>
      <c r="I128" s="20" t="n">
        <v>60</v>
      </c>
      <c r="J128" s="43" t="inlineStr">
        <is>
          <t>低于1000万元</t>
        </is>
      </c>
      <c r="K128" s="20" t="n">
        <v>0</v>
      </c>
      <c r="L128" s="20" t="n">
        <v>100</v>
      </c>
      <c r="M128" s="44" t="n">
        <v>-0.0136</v>
      </c>
      <c r="N128" s="44" t="n">
        <v>0.0186</v>
      </c>
      <c r="O128" s="45" t="n"/>
      <c r="P128" s="46" t="n">
        <v>0.0350920570467308</v>
      </c>
      <c r="Q128" s="20" t="n">
        <v>13.72</v>
      </c>
      <c r="R128" s="20" t="n">
        <v>21</v>
      </c>
      <c r="S128" s="20" t="n">
        <v>16.63</v>
      </c>
      <c r="T128" s="44" t="n">
        <v>0.3846</v>
      </c>
      <c r="U128" s="44" t="n">
        <v>0.4595</v>
      </c>
      <c r="V128" s="46" t="n">
        <v>0.5000708333333334</v>
      </c>
      <c r="W128" s="20" t="n">
        <v>38.46</v>
      </c>
      <c r="X128" s="20" t="n">
        <v>50.00708333333333</v>
      </c>
      <c r="Y128" s="20" t="n">
        <v>43.08</v>
      </c>
      <c r="Z128" s="46" t="n">
        <v>0.1394871794871795</v>
      </c>
      <c r="AA128" s="44" t="n">
        <v>0.1396</v>
      </c>
      <c r="AB128" s="46" t="n">
        <v>0.1396</v>
      </c>
      <c r="AC128" s="20" t="n">
        <v>16.72</v>
      </c>
      <c r="AD128" s="91" t="n">
        <v>-0.0975</v>
      </c>
      <c r="AE128" s="46" t="n">
        <v>0.1396</v>
      </c>
      <c r="AF128" s="20" t="n">
        <v>0.2513757668103925</v>
      </c>
      <c r="AG128" s="20" t="n">
        <v>15.03</v>
      </c>
      <c r="AH128" s="20" t="n">
        <v>11.76</v>
      </c>
      <c r="AI128" s="20" t="n">
        <v>13.72</v>
      </c>
      <c r="AJ128" s="46" t="n">
        <v>0.0186</v>
      </c>
      <c r="AK128" s="20" t="n">
        <v>80</v>
      </c>
      <c r="AL128" s="20" t="n">
        <v>54</v>
      </c>
      <c r="AM128" s="20" t="n">
        <v>24.57</v>
      </c>
      <c r="AN128" s="20" t="n">
        <v>16.72</v>
      </c>
      <c r="AO128" s="20" t="n">
        <v>13.72</v>
      </c>
      <c r="AP128" s="20" t="n">
        <v>80</v>
      </c>
      <c r="AQ128" s="92" t="n">
        <v>1</v>
      </c>
      <c r="AR128" s="20" t="n">
        <v>29.30981</v>
      </c>
      <c r="AS128" s="20" t="n">
        <v>29.31</v>
      </c>
      <c r="AT128" s="49" t="n">
        <v>299</v>
      </c>
      <c r="AU128" s="50">
        <f>IF(I128="","管理人规模；","")&amp;IF(J128="","产品规模标识；","")&amp;IF(AND(F128&lt;3,O128=""),"R_incep；","")&amp;IF(N128="","近三年收益；","")&amp;IF(U128="","近三年胜率；","")&amp;IF(AND(V128&lt;&gt;"",OR(V128&lt;0,V128&gt;1)),"胜率窗口口径不一致；","")&amp;IF(AA128="","近三年回撤；","")&amp;IF(AD128="","短期卡玛；","")&amp;IF(AND(P128&lt;&gt;"",AE128=""),"DD_long不可识别；","")</f>
        <v/>
      </c>
      <c r="AV128" s="51" t="n">
        <v>29.30981</v>
      </c>
      <c r="AW128" s="22" t="inlineStr">
        <is>
          <t>0-5亿元</t>
        </is>
      </c>
      <c r="AX128" s="22" t="inlineStr">
        <is>
          <t>2026-01-05</t>
        </is>
      </c>
      <c r="AY128" s="22" t="inlineStr">
        <is>
          <t>深圳前海晟通资产管理有限公司</t>
        </is>
      </c>
      <c r="AZ128" s="22" t="inlineStr">
        <is>
          <t>2026-01-05</t>
        </is>
      </c>
      <c r="BA128" s="22" t="inlineStr">
        <is>
          <t>https://gs.amac.org.cn/amac-infodisc/res/pof/manager/1703281619108152.html</t>
        </is>
      </c>
      <c r="BB128" s="22" t="inlineStr">
        <is>
          <t>晟通京华宏观对冲私募证券投资基金</t>
        </is>
      </c>
      <c r="BC128" s="22" t="inlineStr">
        <is>
          <t>2026-07-03</t>
        </is>
      </c>
      <c r="BD128" s="22" t="inlineStr">
        <is>
          <t>已匹配</t>
        </is>
      </c>
      <c r="BE128" t="inlineStr">
        <is>
          <t>https://gs.amac.org.cn/amac-infodisc/res/pof/fund/2012101712107143.html</t>
        </is>
      </c>
      <c r="BF128" t="inlineStr">
        <is>
          <t>已核验</t>
        </is>
      </c>
    </row>
    <row r="129" hidden="1" ht="28" customHeight="1" s="73">
      <c r="A129" s="2" t="n">
        <v>113</v>
      </c>
      <c r="B129" s="18" t="inlineStr">
        <is>
          <t>量客投资金选套利1号</t>
        </is>
      </c>
      <c r="C129" s="18">
        <f>'sheet4-原始数据'!B114</f>
        <v/>
      </c>
      <c r="D129" s="18" t="inlineStr">
        <is>
          <t>上海量客</t>
        </is>
      </c>
      <c r="E129" s="90" t="inlineStr">
        <is>
          <t>2020-12-31</t>
        </is>
      </c>
      <c r="F129" s="20" t="n">
        <v>5.7057</v>
      </c>
      <c r="G129" s="2">
        <f>IF(F129="","",IF(F129&lt;1,"不入池","入池"))</f>
        <v/>
      </c>
      <c r="H129" s="42" t="inlineStr">
        <is>
          <t>50-100亿元</t>
        </is>
      </c>
      <c r="I129" s="20" t="n">
        <v>90</v>
      </c>
      <c r="J129" s="43" t="inlineStr">
        <is>
          <t>无低于1000万元标识</t>
        </is>
      </c>
      <c r="K129" s="20" t="n">
        <v>100</v>
      </c>
      <c r="L129" s="20" t="n">
        <v>100</v>
      </c>
      <c r="M129" s="44" t="n">
        <v>0.0629</v>
      </c>
      <c r="N129" s="44" t="n">
        <v>0.0862</v>
      </c>
      <c r="O129" s="45" t="n">
        <v>0.1282881747781812</v>
      </c>
      <c r="P129" s="46" t="n">
        <v>0.09804084203551389</v>
      </c>
      <c r="Q129" s="20" t="n">
        <v>53.65</v>
      </c>
      <c r="R129" s="20" t="n">
        <v>71.5</v>
      </c>
      <c r="S129" s="20" t="n">
        <v>60.79</v>
      </c>
      <c r="T129" s="44" t="n">
        <v>1</v>
      </c>
      <c r="U129" s="44" t="n">
        <v>0.9459000000000001</v>
      </c>
      <c r="V129" s="46" t="n">
        <v>0.9165958333333334</v>
      </c>
      <c r="W129" s="20" t="n">
        <v>100</v>
      </c>
      <c r="X129" s="20" t="n">
        <v>91.65958333333334</v>
      </c>
      <c r="Y129" s="20" t="n">
        <v>96.66</v>
      </c>
      <c r="Z129" s="46" t="n">
        <v>0.001453159293057641</v>
      </c>
      <c r="AA129" s="44" t="n">
        <v>0.0033</v>
      </c>
      <c r="AB129" s="46" t="n">
        <v>0.0033</v>
      </c>
      <c r="AC129" s="20" t="n">
        <v>97.73999999999999</v>
      </c>
      <c r="AD129" s="91" t="n">
        <v>43.285</v>
      </c>
      <c r="AE129" s="46" t="n">
        <v>0.0033</v>
      </c>
      <c r="AF129" s="20" t="n">
        <v>29.70934607136784</v>
      </c>
      <c r="AG129" s="20" t="n">
        <v>96.84999999999999</v>
      </c>
      <c r="AH129" s="20" t="n">
        <v>99.26000000000001</v>
      </c>
      <c r="AI129" s="20" t="n">
        <v>97.81</v>
      </c>
      <c r="AJ129" s="46" t="n">
        <v>0.0862</v>
      </c>
      <c r="AK129" s="20" t="n">
        <v>80</v>
      </c>
      <c r="AL129" s="20" t="n">
        <v>96</v>
      </c>
      <c r="AM129" s="20" t="n">
        <v>71.55</v>
      </c>
      <c r="AN129" s="20" t="n">
        <v>97.73999999999999</v>
      </c>
      <c r="AO129" s="20" t="n">
        <v>97.81</v>
      </c>
      <c r="AP129" s="20" t="n">
        <v>80</v>
      </c>
      <c r="AQ129" s="92" t="n">
        <v>1</v>
      </c>
      <c r="AR129" s="20" t="n">
        <v>90.48963000000001</v>
      </c>
      <c r="AS129" s="20" t="n">
        <v>90.48999999999999</v>
      </c>
      <c r="AT129" s="49" t="n">
        <v>10</v>
      </c>
      <c r="AU129" s="50">
        <f>IF(I129="","管理人规模；","")&amp;IF(J129="","产品规模标识；","")&amp;IF(AND(F129&lt;3,O129=""),"R_incep；","")&amp;IF(N129="","近三年收益；","")&amp;IF(U129="","近三年胜率；","")&amp;IF(AND(V129&lt;&gt;"",OR(V129&lt;0,V129&gt;1)),"胜率窗口口径不一致；","")&amp;IF(AA129="","近三年回撤；","")&amp;IF(AD129="","短期卡玛；","")&amp;IF(AND(P129&lt;&gt;"",AE129=""),"DD_long不可识别；","")</f>
        <v/>
      </c>
      <c r="AV129" s="51" t="n">
        <v>90.48963000000001</v>
      </c>
      <c r="AW129" s="22" t="inlineStr">
        <is>
          <t>50-100亿元</t>
        </is>
      </c>
      <c r="AX129" s="22" t="inlineStr">
        <is>
          <t>2026-06-01</t>
        </is>
      </c>
      <c r="AY129" s="22" t="inlineStr">
        <is>
          <t>上海量客私募基金管理有限公司</t>
        </is>
      </c>
      <c r="AZ129" s="22" t="inlineStr">
        <is>
          <t>2026-06-01</t>
        </is>
      </c>
      <c r="BA129" s="22" t="inlineStr">
        <is>
          <t>https://gs.amac.org.cn/amac-infodisc/res/pof/manager/101000000790.html</t>
        </is>
      </c>
      <c r="BB129" s="22" t="inlineStr">
        <is>
          <t>量客投资金选套利1号私募证券投资基金</t>
        </is>
      </c>
      <c r="BC129" s="22" t="inlineStr">
        <is>
          <t>2025-03-06</t>
        </is>
      </c>
      <c r="BD129" s="22" t="inlineStr">
        <is>
          <t>已匹配</t>
        </is>
      </c>
      <c r="BE129" t="inlineStr">
        <is>
          <t>https://gs.amac.org.cn/amac-infodisc/res/pof/fund/2101061734111873.html</t>
        </is>
      </c>
      <c r="BF129" t="inlineStr">
        <is>
          <t>已核验</t>
        </is>
      </c>
    </row>
    <row r="130" hidden="1" ht="28" customHeight="1" s="73">
      <c r="A130" s="2" t="n">
        <v>114</v>
      </c>
      <c r="B130" s="18" t="inlineStr">
        <is>
          <t>洮利11号1期</t>
        </is>
      </c>
      <c r="C130" s="18">
        <f>'sheet4-原始数据'!B115</f>
        <v/>
      </c>
      <c r="D130" s="18" t="inlineStr">
        <is>
          <t>上海洮利</t>
        </is>
      </c>
      <c r="E130" s="90" t="inlineStr">
        <is>
          <t>2021-01-15</t>
        </is>
      </c>
      <c r="F130" s="20" t="n">
        <v>5.6646</v>
      </c>
      <c r="G130" s="2">
        <f>IF(F130="","",IF(F130&lt;1,"不入池","入池"))</f>
        <v/>
      </c>
      <c r="H130" s="42" t="inlineStr">
        <is>
          <t>5-10亿元</t>
        </is>
      </c>
      <c r="I130" s="20" t="n">
        <v>70</v>
      </c>
      <c r="J130" s="43" t="inlineStr">
        <is>
          <t>低于1000万元</t>
        </is>
      </c>
      <c r="K130" s="20" t="n">
        <v>0</v>
      </c>
      <c r="L130" s="20" t="n">
        <v>100</v>
      </c>
      <c r="M130" s="44" t="n">
        <v>-0.2292</v>
      </c>
      <c r="N130" s="44" t="n">
        <v>-0.1373</v>
      </c>
      <c r="O130" s="45" t="n"/>
      <c r="P130" s="46" t="n">
        <v>-0.08731934782024708</v>
      </c>
      <c r="Q130" s="20" t="n">
        <v>1.04</v>
      </c>
      <c r="R130" s="20" t="n">
        <v>0</v>
      </c>
      <c r="S130" s="20" t="n">
        <v>0.62</v>
      </c>
      <c r="T130" s="44" t="n">
        <v>0.5385</v>
      </c>
      <c r="U130" s="44" t="n">
        <v>0.4865</v>
      </c>
      <c r="V130" s="46" t="n">
        <v>0.4583333333333333</v>
      </c>
      <c r="W130" s="20" t="n">
        <v>53.84999999999999</v>
      </c>
      <c r="X130" s="20" t="n">
        <v>45.83333333333333</v>
      </c>
      <c r="Y130" s="20" t="n">
        <v>50.64</v>
      </c>
      <c r="Z130" s="46" t="n">
        <v>0.3895971443141255</v>
      </c>
      <c r="AA130" s="44" t="n">
        <v>0.3909</v>
      </c>
      <c r="AB130" s="46" t="n">
        <v>0.3909</v>
      </c>
      <c r="AC130" s="20" t="n">
        <v>0.7</v>
      </c>
      <c r="AD130" s="91" t="n">
        <v>-0.5883</v>
      </c>
      <c r="AE130" s="46" t="n">
        <v>0.3909</v>
      </c>
      <c r="AF130" s="20" t="n">
        <v>-0.2233802707092532</v>
      </c>
      <c r="AG130" s="20" t="n">
        <v>5.24</v>
      </c>
      <c r="AH130" s="20" t="n">
        <v>0</v>
      </c>
      <c r="AI130" s="20" t="n">
        <v>3.14</v>
      </c>
      <c r="AJ130" s="46" t="n">
        <v>-0.1373</v>
      </c>
      <c r="AK130" s="20" t="n">
        <v>80</v>
      </c>
      <c r="AL130" s="20" t="n">
        <v>58</v>
      </c>
      <c r="AM130" s="20" t="n">
        <v>15.63</v>
      </c>
      <c r="AN130" s="20" t="n">
        <v>0.7</v>
      </c>
      <c r="AO130" s="20" t="n">
        <v>3.14</v>
      </c>
      <c r="AP130" s="20" t="n">
        <v>80</v>
      </c>
      <c r="AQ130" s="92" t="n">
        <v>1</v>
      </c>
      <c r="AR130" s="20" t="n">
        <v>20.94416</v>
      </c>
      <c r="AS130" s="20" t="n">
        <v>20.94</v>
      </c>
      <c r="AT130" s="49" t="n">
        <v>312</v>
      </c>
      <c r="AU130" s="50">
        <f>IF(I130="","管理人规模；","")&amp;IF(J130="","产品规模标识；","")&amp;IF(AND(F130&lt;3,O130=""),"R_incep；","")&amp;IF(N130="","近三年收益；","")&amp;IF(U130="","近三年胜率；","")&amp;IF(AND(V130&lt;&gt;"",OR(V130&lt;0,V130&gt;1)),"胜率窗口口径不一致；","")&amp;IF(AA130="","近三年回撤；","")&amp;IF(AD130="","短期卡玛；","")&amp;IF(AND(P130&lt;&gt;"",AE130=""),"DD_long不可识别；","")</f>
        <v/>
      </c>
      <c r="AV130" s="51" t="n">
        <v>20.94416</v>
      </c>
      <c r="AW130" s="22" t="inlineStr">
        <is>
          <t>5-10亿元</t>
        </is>
      </c>
      <c r="AX130" s="22" t="inlineStr">
        <is>
          <t>2026-05-20</t>
        </is>
      </c>
      <c r="AY130" s="22" t="inlineStr">
        <is>
          <t>上海洮利私募基金管理有限公司</t>
        </is>
      </c>
      <c r="AZ130" s="22" t="inlineStr">
        <is>
          <t>2026-05-20</t>
        </is>
      </c>
      <c r="BA130" s="22" t="inlineStr">
        <is>
          <t>https://gs.amac.org.cn/amac-infodisc/res/pof/manager/1905071402101724.html</t>
        </is>
      </c>
      <c r="BB130" s="22" t="inlineStr">
        <is>
          <t>洮利11号1期私募证券投资基金</t>
        </is>
      </c>
      <c r="BC130" s="22" t="inlineStr">
        <is>
          <t>2022-08-01</t>
        </is>
      </c>
      <c r="BD130" s="22" t="inlineStr">
        <is>
          <t>已匹配</t>
        </is>
      </c>
      <c r="BE130" t="inlineStr">
        <is>
          <t>https://gs.amac.org.cn/amac-infodisc/res/pof/fund/2101201950101722.html</t>
        </is>
      </c>
      <c r="BF130" t="inlineStr">
        <is>
          <t>已核验</t>
        </is>
      </c>
    </row>
    <row r="131" hidden="1" ht="28" customHeight="1" s="73">
      <c r="A131" s="2" t="n">
        <v>115</v>
      </c>
      <c r="B131" s="18" t="inlineStr">
        <is>
          <t>悬铃稳健1号</t>
        </is>
      </c>
      <c r="C131" s="18">
        <f>'sheet4-原始数据'!B116</f>
        <v/>
      </c>
      <c r="D131" s="18" t="inlineStr">
        <is>
          <t>上海悬铃</t>
        </is>
      </c>
      <c r="E131" s="90" t="inlineStr">
        <is>
          <t>2022-02-16</t>
        </is>
      </c>
      <c r="F131" s="20" t="n">
        <v>4.5777</v>
      </c>
      <c r="G131" s="2">
        <f>IF(F131="","",IF(F131&lt;1,"不入池","入池"))</f>
        <v/>
      </c>
      <c r="H131" s="42" t="inlineStr">
        <is>
          <t>20-50亿元</t>
        </is>
      </c>
      <c r="I131" s="20" t="n">
        <v>90</v>
      </c>
      <c r="J131" s="43" t="inlineStr">
        <is>
          <t>低于1000万元</t>
        </is>
      </c>
      <c r="K131" s="20" t="n">
        <v>0</v>
      </c>
      <c r="L131" s="20" t="n">
        <v>100</v>
      </c>
      <c r="M131" s="44" t="n">
        <v>-0.0292</v>
      </c>
      <c r="N131" s="44" t="n">
        <v>0.0398</v>
      </c>
      <c r="O131" s="45" t="n"/>
      <c r="P131" s="46" t="n">
        <v>0.07611785134697935</v>
      </c>
      <c r="Q131" s="20" t="n">
        <v>10.07</v>
      </c>
      <c r="R131" s="20" t="n">
        <v>62</v>
      </c>
      <c r="S131" s="20" t="n">
        <v>30.84</v>
      </c>
      <c r="T131" s="44" t="n">
        <v>0.4615</v>
      </c>
      <c r="U131" s="44" t="n">
        <v>0.5676</v>
      </c>
      <c r="V131" s="46" t="n">
        <v>0.6250708333333334</v>
      </c>
      <c r="W131" s="20" t="n">
        <v>46.15</v>
      </c>
      <c r="X131" s="20" t="n">
        <v>62.50708333333333</v>
      </c>
      <c r="Y131" s="20" t="n">
        <v>52.69</v>
      </c>
      <c r="Z131" s="46" t="n">
        <v>0.05102219115848331</v>
      </c>
      <c r="AA131" s="44" t="n">
        <v>0.0814</v>
      </c>
      <c r="AB131" s="46" t="n">
        <v>0.0814</v>
      </c>
      <c r="AC131" s="20" t="n">
        <v>32.4</v>
      </c>
      <c r="AD131" s="91" t="n">
        <v>-0.5723</v>
      </c>
      <c r="AE131" s="46" t="n">
        <v>0.0814</v>
      </c>
      <c r="AF131" s="20" t="n">
        <v>0.9351087389063802</v>
      </c>
      <c r="AG131" s="20" t="n">
        <v>5.77</v>
      </c>
      <c r="AH131" s="20" t="n">
        <v>39.71</v>
      </c>
      <c r="AI131" s="20" t="n">
        <v>19.35</v>
      </c>
      <c r="AJ131" s="46" t="n">
        <v>0.0398</v>
      </c>
      <c r="AK131" s="20" t="n">
        <v>80</v>
      </c>
      <c r="AL131" s="20" t="n">
        <v>66</v>
      </c>
      <c r="AM131" s="20" t="n">
        <v>37.4</v>
      </c>
      <c r="AN131" s="20" t="n">
        <v>32.4</v>
      </c>
      <c r="AO131" s="20" t="n">
        <v>19.35</v>
      </c>
      <c r="AP131" s="20" t="n">
        <v>80</v>
      </c>
      <c r="AQ131" s="92" t="n">
        <v>1</v>
      </c>
      <c r="AR131" s="20" t="n">
        <v>39.28325</v>
      </c>
      <c r="AS131" s="20" t="n">
        <v>39.28</v>
      </c>
      <c r="AT131" s="49" t="n">
        <v>272</v>
      </c>
      <c r="AU131" s="50">
        <f>IF(I131="","管理人规模；","")&amp;IF(J131="","产品规模标识；","")&amp;IF(AND(F131&lt;3,O131=""),"R_incep；","")&amp;IF(N131="","近三年收益；","")&amp;IF(U131="","近三年胜率；","")&amp;IF(AND(V131&lt;&gt;"",OR(V131&lt;0,V131&gt;1)),"胜率窗口口径不一致；","")&amp;IF(AA131="","近三年回撤；","")&amp;IF(AD131="","短期卡玛；","")&amp;IF(AND(P131&lt;&gt;"",AE131=""),"DD_long不可识别；","")</f>
        <v/>
      </c>
      <c r="AV131" s="51" t="n">
        <v>39.28325</v>
      </c>
      <c r="AW131" s="22" t="inlineStr">
        <is>
          <t>20-50亿元</t>
        </is>
      </c>
      <c r="AX131" s="22" t="inlineStr">
        <is>
          <t>2026-07-13</t>
        </is>
      </c>
      <c r="AY131" s="22" t="inlineStr">
        <is>
          <t>上海悬铃私募基金管理有限公司</t>
        </is>
      </c>
      <c r="AZ131" s="22" t="inlineStr">
        <is>
          <t>2026-07-13</t>
        </is>
      </c>
      <c r="BA131" s="22" t="inlineStr">
        <is>
          <t>https://gs.amac.org.cn/amac-infodisc/res/pof/manager/1701161209103763.html</t>
        </is>
      </c>
      <c r="BB131" s="22" t="inlineStr">
        <is>
          <t>悬铃稳健1号私募证券投资基金</t>
        </is>
      </c>
      <c r="BC131" s="22" t="inlineStr">
        <is>
          <t>2022-02-17</t>
        </is>
      </c>
      <c r="BD131" s="22" t="inlineStr">
        <is>
          <t>已匹配</t>
        </is>
      </c>
      <c r="BE131" t="inlineStr">
        <is>
          <t>https://gs.amac.org.cn/amac-infodisc/res/pof/fund/2202161802107592.html</t>
        </is>
      </c>
      <c r="BF131" t="inlineStr">
        <is>
          <t>已核验</t>
        </is>
      </c>
    </row>
    <row r="132" hidden="1" ht="28" customHeight="1" s="73">
      <c r="A132" s="2" t="n">
        <v>116</v>
      </c>
      <c r="B132" s="18" t="inlineStr">
        <is>
          <t>若谷凌云一号</t>
        </is>
      </c>
      <c r="C132" s="18">
        <f>'sheet4-原始数据'!B117</f>
        <v/>
      </c>
      <c r="D132" s="18" t="inlineStr">
        <is>
          <t>海南若谷</t>
        </is>
      </c>
      <c r="E132" s="90" t="inlineStr">
        <is>
          <t>2022-05-18</t>
        </is>
      </c>
      <c r="F132" s="20" t="n">
        <v>4.3285</v>
      </c>
      <c r="G132" s="2">
        <f>IF(F132="","",IF(F132&lt;1,"不入池","入池"))</f>
        <v/>
      </c>
      <c r="H132" s="42" t="inlineStr">
        <is>
          <t>0-5亿元</t>
        </is>
      </c>
      <c r="I132" s="20" t="n">
        <v>60</v>
      </c>
      <c r="J132" s="43" t="inlineStr">
        <is>
          <t>低于1000万元</t>
        </is>
      </c>
      <c r="K132" s="20" t="n">
        <v>0</v>
      </c>
      <c r="L132" s="20" t="n">
        <v>100</v>
      </c>
      <c r="M132" s="44" t="n"/>
      <c r="N132" s="44" t="n"/>
      <c r="O132" s="45" t="n"/>
      <c r="P132" s="46" t="n"/>
      <c r="Q132" s="20" t="n"/>
      <c r="R132" s="20" t="n"/>
      <c r="S132" s="20" t="n"/>
      <c r="T132" s="44" t="n"/>
      <c r="U132" s="44" t="n"/>
      <c r="V132" s="46" t="n"/>
      <c r="W132" s="20" t="n"/>
      <c r="X132" s="20" t="n"/>
      <c r="Y132" s="20" t="n"/>
      <c r="Z132" s="46" t="n"/>
      <c r="AA132" s="44" t="n"/>
      <c r="AB132" s="46" t="n"/>
      <c r="AC132" s="20" t="n"/>
      <c r="AD132" s="91" t="n"/>
      <c r="AE132" s="46" t="n"/>
      <c r="AF132" s="20" t="n"/>
      <c r="AG132" s="20" t="n"/>
      <c r="AH132" s="20" t="n"/>
      <c r="AI132" s="20" t="n"/>
      <c r="AJ132" s="46" t="n"/>
      <c r="AK132" s="20" t="n"/>
      <c r="AL132" s="20" t="n">
        <v>54</v>
      </c>
      <c r="AM132" s="20" t="n"/>
      <c r="AN132" s="20" t="n"/>
      <c r="AO132" s="20" t="n"/>
      <c r="AP132" s="20" t="n"/>
      <c r="AQ132" s="92" t="n">
        <v>0.15</v>
      </c>
      <c r="AR132" s="20" t="n">
        <v>8.1</v>
      </c>
      <c r="AS132" s="20" t="n">
        <v>54</v>
      </c>
      <c r="AT132" s="49" t="n">
        <v>202</v>
      </c>
      <c r="AU132" s="50">
        <f>IF(I132="","管理人规模；","")&amp;IF(J132="","产品规模标识；","")&amp;IF(AND(F132&lt;3,O132=""),"R_incep；","")&amp;IF(N132="","近三年收益；","")&amp;IF(U132="","近三年胜率；","")&amp;IF(AND(V132&lt;&gt;"",OR(V132&lt;0,V132&gt;1)),"胜率窗口口径不一致；","")&amp;IF(AA132="","近三年回撤；","")&amp;IF(AD132="","短期卡玛；","")&amp;IF(AND(P132&lt;&gt;"",AE132=""),"DD_long不可识别；","")</f>
        <v/>
      </c>
      <c r="AV132" s="51" t="n"/>
      <c r="AW132" s="22" t="inlineStr">
        <is>
          <t>0-5亿元</t>
        </is>
      </c>
      <c r="AX132" s="22" t="inlineStr">
        <is>
          <t>2025-12-01</t>
        </is>
      </c>
      <c r="AY132" s="22" t="inlineStr">
        <is>
          <t>海南若谷私募基金管理有限公司</t>
        </is>
      </c>
      <c r="AZ132" s="22" t="inlineStr">
        <is>
          <t>2025-12-01</t>
        </is>
      </c>
      <c r="BA132" s="22" t="inlineStr">
        <is>
          <t>https://gs.amac.org.cn/amac-infodisc/res/pof/manager/2106151358101928.html</t>
        </is>
      </c>
      <c r="BB132" s="22" t="inlineStr">
        <is>
          <t>若谷凌云一号私募证券投资基金</t>
        </is>
      </c>
      <c r="BC132" s="22" t="inlineStr">
        <is>
          <t>2022-08-30</t>
        </is>
      </c>
      <c r="BD132" s="22" t="inlineStr">
        <is>
          <t>已匹配</t>
        </is>
      </c>
      <c r="BE132" t="inlineStr">
        <is>
          <t>https://gs.amac.org.cn/amac-infodisc/res/pof/fund/2205271705100699.html</t>
        </is>
      </c>
      <c r="BF132" t="inlineStr">
        <is>
          <t>已核验</t>
        </is>
      </c>
    </row>
    <row r="133" hidden="1" ht="28" customHeight="1" s="73">
      <c r="A133" s="2" t="n">
        <v>117</v>
      </c>
      <c r="B133" s="18" t="inlineStr">
        <is>
          <t>时间稳健1号</t>
        </is>
      </c>
      <c r="C133" s="18">
        <f>'sheet4-原始数据'!B118</f>
        <v/>
      </c>
      <c r="D133" s="18" t="inlineStr">
        <is>
          <t>青岛时间</t>
        </is>
      </c>
      <c r="E133" s="90" t="inlineStr">
        <is>
          <t>2023-03-01</t>
        </is>
      </c>
      <c r="F133" s="20" t="n">
        <v>3.5428</v>
      </c>
      <c r="G133" s="2">
        <f>IF(F133="","",IF(F133&lt;1,"不入池","入池"))</f>
        <v/>
      </c>
      <c r="H133" s="42" t="inlineStr">
        <is>
          <t>0-5亿元</t>
        </is>
      </c>
      <c r="I133" s="20" t="n">
        <v>60</v>
      </c>
      <c r="J133" s="43" t="inlineStr">
        <is>
          <t>无低于1000万元标识</t>
        </is>
      </c>
      <c r="K133" s="20" t="n">
        <v>100</v>
      </c>
      <c r="L133" s="20" t="n">
        <v>100</v>
      </c>
      <c r="M133" s="44" t="n">
        <v>0.2527</v>
      </c>
      <c r="N133" s="44" t="n">
        <v>0.327</v>
      </c>
      <c r="O133" s="45" t="n"/>
      <c r="P133" s="46" t="n">
        <v>0.3657865941190597</v>
      </c>
      <c r="Q133" s="20" t="n">
        <v>93.75</v>
      </c>
      <c r="R133" s="20" t="n">
        <v>99.5</v>
      </c>
      <c r="S133" s="20" t="n">
        <v>96.05</v>
      </c>
      <c r="T133" s="44" t="n">
        <v>0.8462000000000001</v>
      </c>
      <c r="U133" s="44" t="n">
        <v>0.6215999999999999</v>
      </c>
      <c r="V133" s="46" t="n">
        <v>0.4999416666666666</v>
      </c>
      <c r="W133" s="20" t="n">
        <v>84.62</v>
      </c>
      <c r="X133" s="20" t="n">
        <v>49.99416666666666</v>
      </c>
      <c r="Y133" s="20" t="n">
        <v>70.77</v>
      </c>
      <c r="Z133" s="46" t="n">
        <v>0.009505395920240436</v>
      </c>
      <c r="AA133" s="44" t="n">
        <v>0.2202</v>
      </c>
      <c r="AB133" s="46" t="n">
        <v>0.2202</v>
      </c>
      <c r="AC133" s="20" t="n">
        <v>8.710000000000001</v>
      </c>
      <c r="AD133" s="91" t="n">
        <v>26.5849</v>
      </c>
      <c r="AE133" s="46" t="n">
        <v>0.2202</v>
      </c>
      <c r="AF133" s="20" t="n">
        <v>1.661156194909444</v>
      </c>
      <c r="AG133" s="20" t="n">
        <v>93.36</v>
      </c>
      <c r="AH133" s="20" t="n">
        <v>60.29</v>
      </c>
      <c r="AI133" s="20" t="n">
        <v>80.13</v>
      </c>
      <c r="AJ133" s="46" t="n">
        <v>0.327</v>
      </c>
      <c r="AK133" s="20" t="n">
        <v>80</v>
      </c>
      <c r="AL133" s="20" t="n">
        <v>84</v>
      </c>
      <c r="AM133" s="20" t="n">
        <v>88.47</v>
      </c>
      <c r="AN133" s="20" t="n">
        <v>8.710000000000001</v>
      </c>
      <c r="AO133" s="20" t="n">
        <v>80.13</v>
      </c>
      <c r="AP133" s="20" t="n">
        <v>80</v>
      </c>
      <c r="AQ133" s="92" t="n">
        <v>1</v>
      </c>
      <c r="AR133" s="20" t="n">
        <v>64.51027999999999</v>
      </c>
      <c r="AS133" s="20" t="n">
        <v>64.51000000000001</v>
      </c>
      <c r="AT133" s="49" t="n">
        <v>149</v>
      </c>
      <c r="AU133" s="50">
        <f>IF(I133="","管理人规模；","")&amp;IF(J133="","产品规模标识；","")&amp;IF(AND(F133&lt;3,O133=""),"R_incep；","")&amp;IF(N133="","近三年收益；","")&amp;IF(U133="","近三年胜率；","")&amp;IF(AND(V133&lt;&gt;"",OR(V133&lt;0,V133&gt;1)),"胜率窗口口径不一致；","")&amp;IF(AA133="","近三年回撤；","")&amp;IF(AD133="","短期卡玛；","")&amp;IF(AND(P133&lt;&gt;"",AE133=""),"DD_long不可识别；","")</f>
        <v/>
      </c>
      <c r="AV133" s="51" t="n">
        <v>64.51027999999999</v>
      </c>
      <c r="AW133" s="22" t="inlineStr">
        <is>
          <t>0-5亿元</t>
        </is>
      </c>
      <c r="AX133" s="22" t="inlineStr">
        <is>
          <t>2025-12-23</t>
        </is>
      </c>
      <c r="AY133" s="22" t="inlineStr">
        <is>
          <t>青岛时间私募基金管理有限公司</t>
        </is>
      </c>
      <c r="AZ133" s="22" t="inlineStr">
        <is>
          <t>2025-12-23</t>
        </is>
      </c>
      <c r="BA133" s="22" t="inlineStr">
        <is>
          <t>https://gs.amac.org.cn/amac-infodisc/res/pof/manager/2007291034107765.html</t>
        </is>
      </c>
      <c r="BB133" s="22" t="inlineStr">
        <is>
          <t>时间稳健1号私募证券投资基金</t>
        </is>
      </c>
      <c r="BC133" s="22" t="inlineStr">
        <is>
          <t>2024-10-10</t>
        </is>
      </c>
      <c r="BD133" s="22" t="inlineStr">
        <is>
          <t>已匹配</t>
        </is>
      </c>
      <c r="BE133" t="inlineStr">
        <is>
          <t>https://gs.amac.org.cn/amac-infodisc/res/pof/fund/2303061420106400.html</t>
        </is>
      </c>
      <c r="BF133" t="inlineStr">
        <is>
          <t>已核验</t>
        </is>
      </c>
    </row>
    <row r="134" hidden="1" ht="28" customHeight="1" s="73">
      <c r="A134" s="2" t="n">
        <v>118</v>
      </c>
      <c r="B134" s="18" t="inlineStr">
        <is>
          <t>安合融信匠人匠心7号</t>
        </is>
      </c>
      <c r="C134" s="18">
        <f>'sheet4-原始数据'!B119</f>
        <v/>
      </c>
      <c r="D134" s="18" t="inlineStr">
        <is>
          <t>青岛安合融信</t>
        </is>
      </c>
      <c r="E134" s="90" t="inlineStr">
        <is>
          <t>2023-03-16</t>
        </is>
      </c>
      <c r="F134" s="20" t="n">
        <v>3.5017</v>
      </c>
      <c r="G134" s="2">
        <f>IF(F134="","",IF(F134&lt;1,"不入池","入池"))</f>
        <v/>
      </c>
      <c r="H134" s="42" t="inlineStr">
        <is>
          <t>0-5亿元</t>
        </is>
      </c>
      <c r="I134" s="20" t="n">
        <v>60</v>
      </c>
      <c r="J134" s="43" t="inlineStr">
        <is>
          <t>无低于1000万元标识</t>
        </is>
      </c>
      <c r="K134" s="20" t="n">
        <v>100</v>
      </c>
      <c r="L134" s="20" t="n">
        <v>100</v>
      </c>
      <c r="M134" s="44" t="n"/>
      <c r="N134" s="44" t="n"/>
      <c r="O134" s="45" t="n"/>
      <c r="P134" s="46" t="n"/>
      <c r="Q134" s="20" t="n"/>
      <c r="R134" s="20" t="n"/>
      <c r="S134" s="20" t="n"/>
      <c r="T134" s="44" t="n"/>
      <c r="U134" s="44" t="n"/>
      <c r="V134" s="46" t="n"/>
      <c r="W134" s="20" t="n"/>
      <c r="X134" s="20" t="n"/>
      <c r="Y134" s="20" t="n"/>
      <c r="Z134" s="46" t="n"/>
      <c r="AA134" s="44" t="n"/>
      <c r="AB134" s="46" t="n"/>
      <c r="AC134" s="20" t="n"/>
      <c r="AD134" s="91" t="n"/>
      <c r="AE134" s="46" t="n"/>
      <c r="AF134" s="20" t="n"/>
      <c r="AG134" s="20" t="n"/>
      <c r="AH134" s="20" t="n"/>
      <c r="AI134" s="20" t="n"/>
      <c r="AJ134" s="46" t="n"/>
      <c r="AK134" s="20" t="n"/>
      <c r="AL134" s="20" t="n">
        <v>84</v>
      </c>
      <c r="AM134" s="20" t="n"/>
      <c r="AN134" s="20" t="n"/>
      <c r="AO134" s="20" t="n"/>
      <c r="AP134" s="20" t="n"/>
      <c r="AQ134" s="92" t="n">
        <v>0.15</v>
      </c>
      <c r="AR134" s="20" t="n">
        <v>12.6</v>
      </c>
      <c r="AS134" s="20" t="n">
        <v>84</v>
      </c>
      <c r="AT134" s="49" t="n">
        <v>36</v>
      </c>
      <c r="AU134" s="50">
        <f>IF(I134="","管理人规模；","")&amp;IF(J134="","产品规模标识；","")&amp;IF(AND(F134&lt;3,O134=""),"R_incep；","")&amp;IF(N134="","近三年收益；","")&amp;IF(U134="","近三年胜率；","")&amp;IF(AND(V134&lt;&gt;"",OR(V134&lt;0,V134&gt;1)),"胜率窗口口径不一致；","")&amp;IF(AA134="","近三年回撤；","")&amp;IF(AD134="","短期卡玛；","")&amp;IF(AND(P134&lt;&gt;"",AE134=""),"DD_long不可识别；","")</f>
        <v/>
      </c>
      <c r="AV134" s="51" t="n"/>
      <c r="AW134" s="22" t="inlineStr">
        <is>
          <t>0-5亿元</t>
        </is>
      </c>
      <c r="AX134" s="22" t="inlineStr">
        <is>
          <t>2025-07-30</t>
        </is>
      </c>
      <c r="AY134" s="22" t="inlineStr">
        <is>
          <t>安合融信（青岛）私募基金管理有限公司</t>
        </is>
      </c>
      <c r="AZ134" s="22" t="inlineStr">
        <is>
          <t>2025-07-30</t>
        </is>
      </c>
      <c r="BA134" s="22" t="inlineStr">
        <is>
          <t>https://gs.amac.org.cn/amac-infodisc/res/pof/manager/2108161405106293.html</t>
        </is>
      </c>
      <c r="BB134" s="22" t="inlineStr">
        <is>
          <t>安合融信匠人匠心7号私募证券投资基金</t>
        </is>
      </c>
      <c r="BC134" s="22" t="inlineStr">
        <is>
          <t>2026-01-22</t>
        </is>
      </c>
      <c r="BD134" s="22" t="inlineStr">
        <is>
          <t>已匹配</t>
        </is>
      </c>
      <c r="BE134" t="inlineStr">
        <is>
          <t>https://gs.amac.org.cn/amac-infodisc/res/pof/fund/2303221733112563.html</t>
        </is>
      </c>
      <c r="BF134" t="inlineStr">
        <is>
          <t>已核验</t>
        </is>
      </c>
    </row>
    <row r="135" hidden="1" ht="28" customHeight="1" s="73">
      <c r="A135" s="2" t="n">
        <v>119</v>
      </c>
      <c r="B135" s="18" t="inlineStr">
        <is>
          <t>交叉智能-量化增强2号</t>
        </is>
      </c>
      <c r="C135" s="18">
        <f>'sheet4-原始数据'!B120</f>
        <v/>
      </c>
      <c r="D135" s="18" t="inlineStr">
        <is>
          <t>北京交叉智能</t>
        </is>
      </c>
      <c r="E135" s="90" t="inlineStr">
        <is>
          <t>2023-04-19</t>
        </is>
      </c>
      <c r="F135" s="20" t="n">
        <v>3.4086</v>
      </c>
      <c r="G135" s="2">
        <f>IF(F135="","",IF(F135&lt;1,"不入池","入池"))</f>
        <v/>
      </c>
      <c r="H135" s="42" t="inlineStr">
        <is>
          <t>5-10亿元</t>
        </is>
      </c>
      <c r="I135" s="20" t="n">
        <v>70</v>
      </c>
      <c r="J135" s="43" t="inlineStr">
        <is>
          <t>无低于1000万元标识</t>
        </is>
      </c>
      <c r="K135" s="20" t="n">
        <v>100</v>
      </c>
      <c r="L135" s="20" t="n">
        <v>100</v>
      </c>
      <c r="M135" s="44" t="n">
        <v>0.0112</v>
      </c>
      <c r="N135" s="44" t="n">
        <v>0.08869999999999999</v>
      </c>
      <c r="O135" s="45" t="n"/>
      <c r="P135" s="46" t="n">
        <v>0.1296497327462309</v>
      </c>
      <c r="Q135" s="20" t="n">
        <v>20.83</v>
      </c>
      <c r="R135" s="20" t="n">
        <v>84</v>
      </c>
      <c r="S135" s="20" t="n">
        <v>46.1</v>
      </c>
      <c r="T135" s="44" t="n">
        <v>0.6923</v>
      </c>
      <c r="U135" s="44" t="n">
        <v>0.8108</v>
      </c>
      <c r="V135" s="46" t="n">
        <v>0.8749874999999999</v>
      </c>
      <c r="W135" s="20" t="n">
        <v>69.23</v>
      </c>
      <c r="X135" s="20" t="n">
        <v>87.49874999999999</v>
      </c>
      <c r="Y135" s="20" t="n">
        <v>76.54000000000001</v>
      </c>
      <c r="Z135" s="46" t="n">
        <v>0.03447214527546938</v>
      </c>
      <c r="AA135" s="44" t="n">
        <v>0.0346</v>
      </c>
      <c r="AB135" s="46" t="n">
        <v>0.0346</v>
      </c>
      <c r="AC135" s="20" t="n">
        <v>55.75</v>
      </c>
      <c r="AD135" s="91" t="n">
        <v>0.3249</v>
      </c>
      <c r="AE135" s="46" t="n">
        <v>0.0346</v>
      </c>
      <c r="AF135" s="20" t="n">
        <v>3.747102102492224</v>
      </c>
      <c r="AG135" s="20" t="n">
        <v>21.68</v>
      </c>
      <c r="AH135" s="20" t="n">
        <v>80.15000000000001</v>
      </c>
      <c r="AI135" s="20" t="n">
        <v>45.07</v>
      </c>
      <c r="AJ135" s="46" t="n">
        <v>0.08869999999999999</v>
      </c>
      <c r="AK135" s="20" t="n">
        <v>80</v>
      </c>
      <c r="AL135" s="20" t="n">
        <v>88</v>
      </c>
      <c r="AM135" s="20" t="n">
        <v>55.23</v>
      </c>
      <c r="AN135" s="20" t="n">
        <v>55.75</v>
      </c>
      <c r="AO135" s="20" t="n">
        <v>45.07</v>
      </c>
      <c r="AP135" s="20" t="n">
        <v>80</v>
      </c>
      <c r="AQ135" s="92" t="n">
        <v>1</v>
      </c>
      <c r="AR135" s="20" t="n">
        <v>59.70387</v>
      </c>
      <c r="AS135" s="20" t="n">
        <v>59.7</v>
      </c>
      <c r="AT135" s="49" t="n">
        <v>172</v>
      </c>
      <c r="AU135" s="50">
        <f>IF(I135="","管理人规模；","")&amp;IF(J135="","产品规模标识；","")&amp;IF(AND(F135&lt;3,O135=""),"R_incep；","")&amp;IF(N135="","近三年收益；","")&amp;IF(U135="","近三年胜率；","")&amp;IF(AND(V135&lt;&gt;"",OR(V135&lt;0,V135&gt;1)),"胜率窗口口径不一致；","")&amp;IF(AA135="","近三年回撤；","")&amp;IF(AD135="","短期卡玛；","")&amp;IF(AND(P135&lt;&gt;"",AE135=""),"DD_long不可识别；","")</f>
        <v/>
      </c>
      <c r="AV135" s="51" t="n">
        <v>59.70387</v>
      </c>
      <c r="AW135" s="22" t="inlineStr">
        <is>
          <t>5-10亿元</t>
        </is>
      </c>
      <c r="AX135" s="22" t="inlineStr">
        <is>
          <t>2025-07-15</t>
        </is>
      </c>
      <c r="AY135" s="22" t="inlineStr">
        <is>
          <t>交叉智能（北京）私募基金管理有限公司</t>
        </is>
      </c>
      <c r="AZ135" s="22" t="inlineStr">
        <is>
          <t>2025-07-15</t>
        </is>
      </c>
      <c r="BA135" s="22" t="inlineStr">
        <is>
          <t>https://gs.amac.org.cn/amac-infodisc/res/pof/manager/2108121438108586.html</t>
        </is>
      </c>
      <c r="BB135" s="22" t="inlineStr">
        <is>
          <t>交叉智能-量化增强2号私募证券投资基金</t>
        </is>
      </c>
      <c r="BC135" s="22" t="inlineStr">
        <is>
          <t>2025-04-23</t>
        </is>
      </c>
      <c r="BD135" s="22" t="inlineStr">
        <is>
          <t>已匹配</t>
        </is>
      </c>
      <c r="BE135" t="inlineStr">
        <is>
          <t>https://gs.amac.org.cn/amac-infodisc/res/pof/fund/2304211705109378.html</t>
        </is>
      </c>
      <c r="BF135" t="inlineStr">
        <is>
          <t>已核验</t>
        </is>
      </c>
    </row>
    <row r="136" hidden="1" ht="28" customHeight="1" s="73">
      <c r="A136" s="2" t="n">
        <v>120</v>
      </c>
      <c r="B136" s="18" t="inlineStr">
        <is>
          <t>在赢利贞一号</t>
        </is>
      </c>
      <c r="C136" s="18">
        <f>'sheet4-原始数据'!B121</f>
        <v/>
      </c>
      <c r="D136" s="18" t="inlineStr">
        <is>
          <t>浙江在赢</t>
        </is>
      </c>
      <c r="E136" s="90" t="inlineStr">
        <is>
          <t>2024-02-01</t>
        </is>
      </c>
      <c r="F136" s="20" t="n">
        <v>2.6201</v>
      </c>
      <c r="G136" s="2">
        <f>IF(F136="","",IF(F136&lt;1,"不入池","入池"))</f>
        <v/>
      </c>
      <c r="H136" s="42" t="inlineStr">
        <is>
          <t>5-10亿元</t>
        </is>
      </c>
      <c r="I136" s="20" t="n">
        <v>70</v>
      </c>
      <c r="J136" s="43" t="inlineStr">
        <is>
          <t>无低于1000万元标识</t>
        </is>
      </c>
      <c r="K136" s="20" t="n">
        <v>100</v>
      </c>
      <c r="L136" s="20" t="n">
        <v>70</v>
      </c>
      <c r="M136" s="44" t="n">
        <v>0.106</v>
      </c>
      <c r="N136" s="44" t="n"/>
      <c r="O136" s="45" t="n"/>
      <c r="P136" s="46" t="n"/>
      <c r="Q136" s="20" t="n">
        <v>77.78</v>
      </c>
      <c r="R136" s="20" t="n"/>
      <c r="S136" s="20" t="n">
        <v>77.78</v>
      </c>
      <c r="T136" s="44" t="n">
        <v>0.6923</v>
      </c>
      <c r="U136" s="44" t="n"/>
      <c r="V136" s="46" t="n"/>
      <c r="W136" s="20" t="n">
        <v>69.23</v>
      </c>
      <c r="X136" s="20" t="n"/>
      <c r="Y136" s="20" t="n">
        <v>69.23</v>
      </c>
      <c r="Z136" s="46" t="n">
        <v>0.0161155454199924</v>
      </c>
      <c r="AA136" s="44" t="n"/>
      <c r="AB136" s="46" t="n">
        <v>0.0161155454199924</v>
      </c>
      <c r="AC136" s="20" t="n">
        <v>76.66</v>
      </c>
      <c r="AD136" s="91" t="n">
        <v>6.5775</v>
      </c>
      <c r="AE136" s="46" t="n"/>
      <c r="AF136" s="20" t="n"/>
      <c r="AG136" s="20" t="n">
        <v>73.08</v>
      </c>
      <c r="AH136" s="20" t="n"/>
      <c r="AI136" s="20" t="n">
        <v>73.08</v>
      </c>
      <c r="AJ136" s="46" t="n"/>
      <c r="AK136" s="20" t="n"/>
      <c r="AL136" s="20" t="n">
        <v>79</v>
      </c>
      <c r="AM136" s="20" t="n">
        <v>75.22</v>
      </c>
      <c r="AN136" s="20" t="n">
        <v>76.66</v>
      </c>
      <c r="AO136" s="20" t="n">
        <v>73.08</v>
      </c>
      <c r="AP136" s="20" t="n"/>
      <c r="AQ136" s="92" t="n">
        <v>0.7</v>
      </c>
      <c r="AR136" s="20" t="n">
        <v>53.1952</v>
      </c>
      <c r="AS136" s="20" t="n">
        <v>75.98999999999999</v>
      </c>
      <c r="AT136" s="49" t="n">
        <v>82</v>
      </c>
      <c r="AU136" s="50">
        <f>IF(I136="","管理人规模；","")&amp;IF(J136="","产品规模标识；","")&amp;IF(AND(F136&lt;3,O136=""),"R_incep；","")&amp;IF(N136="","近三年收益；","")&amp;IF(U136="","近三年胜率；","")&amp;IF(AND(V136&lt;&gt;"",OR(V136&lt;0,V136&gt;1)),"胜率窗口口径不一致；","")&amp;IF(AA136="","近三年回撤；","")&amp;IF(AD136="","短期卡玛；","")&amp;IF(AND(P136&lt;&gt;"",AE136=""),"DD_long不可识别；","")</f>
        <v/>
      </c>
      <c r="AV136" s="51" t="n"/>
      <c r="AW136" s="22" t="inlineStr">
        <is>
          <t>5-10亿元</t>
        </is>
      </c>
      <c r="AX136" s="22" t="inlineStr">
        <is>
          <t>2026-02-02</t>
        </is>
      </c>
      <c r="AY136" s="22" t="inlineStr">
        <is>
          <t>浙江在赢私募基金管理有限公司</t>
        </is>
      </c>
      <c r="AZ136" s="22" t="inlineStr">
        <is>
          <t>2026-02-02</t>
        </is>
      </c>
      <c r="BA136" s="22" t="inlineStr">
        <is>
          <t>https://gs.amac.org.cn/amac-infodisc/res/pof/manager/101000009803.html</t>
        </is>
      </c>
      <c r="BB136" s="22" t="inlineStr">
        <is>
          <t>在赢利贞一号私募证券投资基金</t>
        </is>
      </c>
      <c r="BC136" s="22" t="inlineStr">
        <is>
          <t>2024-11-14</t>
        </is>
      </c>
      <c r="BD136" s="22" t="inlineStr">
        <is>
          <t>已匹配</t>
        </is>
      </c>
      <c r="BE136" t="inlineStr">
        <is>
          <t>https://gs.amac.org.cn/amac-infodisc/res/pof/fund/2402081747101183.html</t>
        </is>
      </c>
      <c r="BF136" t="inlineStr">
        <is>
          <t>已核验</t>
        </is>
      </c>
    </row>
    <row r="137" hidden="1" ht="28" customHeight="1" s="73">
      <c r="A137" s="2" t="n">
        <v>121</v>
      </c>
      <c r="B137" s="18" t="inlineStr">
        <is>
          <t>奶酪善水六号</t>
        </is>
      </c>
      <c r="C137" s="18">
        <f>'sheet4-原始数据'!B122</f>
        <v/>
      </c>
      <c r="D137" s="18" t="inlineStr">
        <is>
          <t>广东奶酪</t>
        </is>
      </c>
      <c r="E137" s="90" t="inlineStr">
        <is>
          <t>2024-03-05</t>
        </is>
      </c>
      <c r="F137" s="20" t="n">
        <v>2.5298</v>
      </c>
      <c r="G137" s="2">
        <f>IF(F137="","",IF(F137&lt;1,"不入池","入池"))</f>
        <v/>
      </c>
      <c r="H137" s="42" t="inlineStr">
        <is>
          <t>10-20亿元</t>
        </is>
      </c>
      <c r="I137" s="20" t="n">
        <v>80</v>
      </c>
      <c r="J137" s="43" t="inlineStr">
        <is>
          <t>无低于1000万元标识</t>
        </is>
      </c>
      <c r="K137" s="20" t="n">
        <v>100</v>
      </c>
      <c r="L137" s="20" t="n">
        <v>70</v>
      </c>
      <c r="M137" s="44" t="n">
        <v>0.1134</v>
      </c>
      <c r="N137" s="44" t="n"/>
      <c r="O137" s="45" t="n"/>
      <c r="P137" s="46" t="n"/>
      <c r="Q137" s="20" t="n">
        <v>81.25</v>
      </c>
      <c r="R137" s="20" t="n"/>
      <c r="S137" s="20" t="n">
        <v>81.25</v>
      </c>
      <c r="T137" s="44" t="n">
        <v>0.6923</v>
      </c>
      <c r="U137" s="44" t="n"/>
      <c r="V137" s="46" t="n"/>
      <c r="W137" s="20" t="n">
        <v>69.23</v>
      </c>
      <c r="X137" s="20" t="n"/>
      <c r="Y137" s="20" t="n">
        <v>69.23</v>
      </c>
      <c r="Z137" s="46" t="n">
        <v>0.09461037877523777</v>
      </c>
      <c r="AA137" s="44" t="n"/>
      <c r="AB137" s="46" t="n">
        <v>0.09461037877523777</v>
      </c>
      <c r="AC137" s="20" t="n">
        <v>28.22</v>
      </c>
      <c r="AD137" s="91" t="n">
        <v>1.1986</v>
      </c>
      <c r="AE137" s="46" t="n"/>
      <c r="AF137" s="20" t="n"/>
      <c r="AG137" s="20" t="n">
        <v>37.41</v>
      </c>
      <c r="AH137" s="20" t="n"/>
      <c r="AI137" s="20" t="n">
        <v>37.41</v>
      </c>
      <c r="AJ137" s="46" t="n"/>
      <c r="AK137" s="20" t="n"/>
      <c r="AL137" s="20" t="n">
        <v>83</v>
      </c>
      <c r="AM137" s="20" t="n">
        <v>77.64</v>
      </c>
      <c r="AN137" s="20" t="n">
        <v>28.22</v>
      </c>
      <c r="AO137" s="20" t="n">
        <v>37.41</v>
      </c>
      <c r="AP137" s="20" t="n"/>
      <c r="AQ137" s="92" t="n">
        <v>0.7</v>
      </c>
      <c r="AR137" s="20" t="n">
        <v>35.55608</v>
      </c>
      <c r="AS137" s="20" t="n">
        <v>50.79</v>
      </c>
      <c r="AT137" s="49" t="n">
        <v>220</v>
      </c>
      <c r="AU137" s="50">
        <f>IF(I137="","管理人规模；","")&amp;IF(J137="","产品规模标识；","")&amp;IF(AND(F137&lt;3,O137=""),"R_incep；","")&amp;IF(N137="","近三年收益；","")&amp;IF(U137="","近三年胜率；","")&amp;IF(AND(V137&lt;&gt;"",OR(V137&lt;0,V137&gt;1)),"胜率窗口口径不一致；","")&amp;IF(AA137="","近三年回撤；","")&amp;IF(AD137="","短期卡玛；","")&amp;IF(AND(P137&lt;&gt;"",AE137=""),"DD_long不可识别；","")</f>
        <v/>
      </c>
      <c r="AV137" s="51" t="n"/>
      <c r="AW137" s="22" t="inlineStr">
        <is>
          <t>10-20亿元</t>
        </is>
      </c>
      <c r="AX137" s="22" t="inlineStr">
        <is>
          <t>2025-12-29</t>
        </is>
      </c>
      <c r="AY137" s="22" t="inlineStr">
        <is>
          <t>广东奶酪私募基金管理股份有限公司</t>
        </is>
      </c>
      <c r="AZ137" s="22" t="inlineStr">
        <is>
          <t>2025-12-29</t>
        </is>
      </c>
      <c r="BA137" s="22" t="inlineStr">
        <is>
          <t>https://gs.amac.org.cn/amac-infodisc/res/pof/manager/101000045017.html</t>
        </is>
      </c>
      <c r="BB137" s="22" t="inlineStr">
        <is>
          <t>奶酪善水六号私募证券投资基金</t>
        </is>
      </c>
      <c r="BC137" s="22" t="inlineStr">
        <is>
          <t>2024-11-13</t>
        </is>
      </c>
      <c r="BD137" s="22" t="inlineStr">
        <is>
          <t>已匹配</t>
        </is>
      </c>
      <c r="BE137" t="inlineStr">
        <is>
          <t>https://gs.amac.org.cn/amac-infodisc/res/pof/fund/2403051000101731.html</t>
        </is>
      </c>
      <c r="BF137" t="inlineStr">
        <is>
          <t>已核验</t>
        </is>
      </c>
    </row>
    <row r="138" hidden="1" ht="28" customHeight="1" s="73">
      <c r="A138" s="2" t="n">
        <v>122</v>
      </c>
      <c r="B138" s="18" t="inlineStr">
        <is>
          <t>华睿东方世家进取6号</t>
        </is>
      </c>
      <c r="C138" s="18">
        <f>'sheet4-原始数据'!B123</f>
        <v/>
      </c>
      <c r="D138" s="18" t="inlineStr">
        <is>
          <t>天津华睿千和资管</t>
        </is>
      </c>
      <c r="E138" s="90" t="inlineStr">
        <is>
          <t>2024-03-25</t>
        </is>
      </c>
      <c r="F138" s="20" t="n">
        <v>2.475</v>
      </c>
      <c r="G138" s="2">
        <f>IF(F138="","",IF(F138&lt;1,"不入池","入池"))</f>
        <v/>
      </c>
      <c r="H138" s="42" t="inlineStr">
        <is>
          <t>5-10亿元</t>
        </is>
      </c>
      <c r="I138" s="20" t="n">
        <v>70</v>
      </c>
      <c r="J138" s="43" t="inlineStr">
        <is>
          <t>低于1000万元</t>
        </is>
      </c>
      <c r="K138" s="20" t="n">
        <v>0</v>
      </c>
      <c r="L138" s="20" t="n">
        <v>70</v>
      </c>
      <c r="M138" s="44" t="n">
        <v>0.08929999999999999</v>
      </c>
      <c r="N138" s="44" t="n"/>
      <c r="O138" s="45" t="n"/>
      <c r="P138" s="46" t="n"/>
      <c r="Q138" s="20" t="n">
        <v>71.88</v>
      </c>
      <c r="R138" s="20" t="n"/>
      <c r="S138" s="20" t="n">
        <v>71.88</v>
      </c>
      <c r="T138" s="44" t="n">
        <v>0.5385</v>
      </c>
      <c r="U138" s="44" t="n"/>
      <c r="V138" s="46" t="n"/>
      <c r="W138" s="20" t="n">
        <v>53.84999999999999</v>
      </c>
      <c r="X138" s="20" t="n"/>
      <c r="Y138" s="20" t="n">
        <v>53.84999999999999</v>
      </c>
      <c r="Z138" s="46" t="n">
        <v>0.1198979591836734</v>
      </c>
      <c r="AA138" s="44" t="n"/>
      <c r="AB138" s="46" t="n">
        <v>0.1198979591836734</v>
      </c>
      <c r="AC138" s="20" t="n">
        <v>20.56</v>
      </c>
      <c r="AD138" s="91" t="n">
        <v>0.7448</v>
      </c>
      <c r="AE138" s="46" t="n"/>
      <c r="AF138" s="20" t="n"/>
      <c r="AG138" s="20" t="n">
        <v>29.72</v>
      </c>
      <c r="AH138" s="20" t="n"/>
      <c r="AI138" s="20" t="n">
        <v>29.72</v>
      </c>
      <c r="AJ138" s="46" t="n"/>
      <c r="AK138" s="20" t="n"/>
      <c r="AL138" s="20" t="n">
        <v>49</v>
      </c>
      <c r="AM138" s="20" t="n">
        <v>66.47</v>
      </c>
      <c r="AN138" s="20" t="n">
        <v>20.56</v>
      </c>
      <c r="AO138" s="20" t="n">
        <v>29.72</v>
      </c>
      <c r="AP138" s="20" t="n"/>
      <c r="AQ138" s="92" t="n">
        <v>0.7</v>
      </c>
      <c r="AR138" s="20" t="n">
        <v>25.81612</v>
      </c>
      <c r="AS138" s="20" t="n">
        <v>36.88</v>
      </c>
      <c r="AT138" s="49" t="n">
        <v>280</v>
      </c>
      <c r="AU138" s="50">
        <f>IF(I138="","管理人规模；","")&amp;IF(J138="","产品规模标识；","")&amp;IF(AND(F138&lt;3,O138=""),"R_incep；","")&amp;IF(N138="","近三年收益；","")&amp;IF(U138="","近三年胜率；","")&amp;IF(AND(V138&lt;&gt;"",OR(V138&lt;0,V138&gt;1)),"胜率窗口口径不一致；","")&amp;IF(AA138="","近三年回撤；","")&amp;IF(AD138="","短期卡玛；","")&amp;IF(AND(P138&lt;&gt;"",AE138=""),"DD_long不可识别；","")</f>
        <v/>
      </c>
      <c r="AV138" s="51" t="n"/>
      <c r="AW138" s="22" t="inlineStr">
        <is>
          <t>5-10亿元</t>
        </is>
      </c>
      <c r="AX138" s="22" t="inlineStr">
        <is>
          <t>2026-01-12</t>
        </is>
      </c>
      <c r="AY138" s="22" t="inlineStr">
        <is>
          <t>华睿千和（天津）资产管理有限公司</t>
        </is>
      </c>
      <c r="AZ138" s="22" t="inlineStr">
        <is>
          <t>2026-01-12</t>
        </is>
      </c>
      <c r="BA138" s="22" t="inlineStr">
        <is>
          <t>https://gs.amac.org.cn/amac-infodisc/res/pof/manager/101000023136.html</t>
        </is>
      </c>
      <c r="BB138" s="22" t="inlineStr">
        <is>
          <t>华睿东方世家进取6号私募证券投资基金</t>
        </is>
      </c>
      <c r="BC138" s="22" t="inlineStr">
        <is>
          <t>2026-03-19</t>
        </is>
      </c>
      <c r="BD138" s="22" t="inlineStr">
        <is>
          <t>已匹配</t>
        </is>
      </c>
      <c r="BE138" t="inlineStr">
        <is>
          <t>https://gs.amac.org.cn/amac-infodisc/res/pof/fund/2403281739102203.html</t>
        </is>
      </c>
      <c r="BF138" t="inlineStr">
        <is>
          <t>已核验</t>
        </is>
      </c>
    </row>
    <row r="139" hidden="1" ht="28" customHeight="1" s="73">
      <c r="A139" s="2" t="n">
        <v>123</v>
      </c>
      <c r="B139" s="18" t="inlineStr">
        <is>
          <t>涌涵农本一号</t>
        </is>
      </c>
      <c r="C139" s="18">
        <f>'sheet4-原始数据'!B124</f>
        <v/>
      </c>
      <c r="D139" s="18" t="inlineStr">
        <is>
          <t>上海涌涵</t>
        </is>
      </c>
      <c r="E139" s="90" t="inlineStr">
        <is>
          <t>2025-05-26</t>
        </is>
      </c>
      <c r="F139" s="20" t="n">
        <v>1.306</v>
      </c>
      <c r="G139" s="2">
        <f>IF(F139="","",IF(F139&lt;1,"不入池","入池"))</f>
        <v/>
      </c>
      <c r="H139" s="42" t="inlineStr">
        <is>
          <t>10-20亿元</t>
        </is>
      </c>
      <c r="I139" s="20" t="n">
        <v>80</v>
      </c>
      <c r="J139" s="43" t="inlineStr">
        <is>
          <t>无低于1000万元标识</t>
        </is>
      </c>
      <c r="K139" s="20" t="n">
        <v>100</v>
      </c>
      <c r="L139" s="20" t="n">
        <v>70</v>
      </c>
      <c r="M139" s="44" t="n">
        <v>0.2443</v>
      </c>
      <c r="N139" s="44" t="n"/>
      <c r="O139" s="45" t="n"/>
      <c r="P139" s="46" t="n"/>
      <c r="Q139" s="20" t="n">
        <v>93.40000000000001</v>
      </c>
      <c r="R139" s="20" t="n"/>
      <c r="S139" s="20" t="n">
        <v>93.40000000000001</v>
      </c>
      <c r="T139" s="44" t="n">
        <v>0.4615</v>
      </c>
      <c r="U139" s="44" t="n"/>
      <c r="V139" s="46" t="n"/>
      <c r="W139" s="20" t="n">
        <v>46.15</v>
      </c>
      <c r="X139" s="20" t="n">
        <v>100</v>
      </c>
      <c r="Y139" s="20" t="n">
        <v>67.69</v>
      </c>
      <c r="Z139" s="46" t="n">
        <v>0.1965406275140788</v>
      </c>
      <c r="AA139" s="44" t="n"/>
      <c r="AB139" s="46" t="n">
        <v>0.1965406275140788</v>
      </c>
      <c r="AC139" s="20" t="n">
        <v>10.45</v>
      </c>
      <c r="AD139" s="91" t="n">
        <v>1.243</v>
      </c>
      <c r="AE139" s="46" t="n"/>
      <c r="AF139" s="20" t="n"/>
      <c r="AG139" s="20" t="n">
        <v>38.11</v>
      </c>
      <c r="AH139" s="20" t="n"/>
      <c r="AI139" s="20" t="n">
        <v>38.11</v>
      </c>
      <c r="AJ139" s="46" t="n"/>
      <c r="AK139" s="20" t="n"/>
      <c r="AL139" s="20" t="n">
        <v>83</v>
      </c>
      <c r="AM139" s="20" t="n">
        <v>82.69</v>
      </c>
      <c r="AN139" s="20" t="n">
        <v>10.45</v>
      </c>
      <c r="AO139" s="20" t="n">
        <v>38.11</v>
      </c>
      <c r="AP139" s="20" t="n"/>
      <c r="AQ139" s="92" t="n">
        <v>0.724</v>
      </c>
      <c r="AR139" s="20" t="n">
        <v>33.8293</v>
      </c>
      <c r="AS139" s="20" t="n">
        <v>46.73</v>
      </c>
      <c r="AT139" s="49" t="n">
        <v>237</v>
      </c>
      <c r="AU139" s="50">
        <f>IF(I139="","管理人规模；","")&amp;IF(J139="","产品规模标识；","")&amp;IF(AND(F139&lt;3,O139=""),"R_incep；","")&amp;IF(N139="","近三年收益；","")&amp;IF(U139="","近三年胜率；","")&amp;IF(AND(V139&lt;&gt;"",OR(V139&lt;0,V139&gt;1)),"胜率窗口口径不一致；","")&amp;IF(AA139="","近三年回撤；","")&amp;IF(AD139="","短期卡玛；","")&amp;IF(AND(P139&lt;&gt;"",AE139=""),"DD_long不可识别；","")</f>
        <v/>
      </c>
      <c r="AV139" s="51" t="n"/>
      <c r="AW139" s="22" t="inlineStr">
        <is>
          <t>10-20亿元</t>
        </is>
      </c>
      <c r="AX139" s="22" t="inlineStr">
        <is>
          <t>2026-08-07</t>
        </is>
      </c>
      <c r="AY139" s="22" t="inlineStr">
        <is>
          <t>上海涌涵私募基金管理有限公司</t>
        </is>
      </c>
      <c r="AZ139" s="22" t="inlineStr">
        <is>
          <t>2026-08-07</t>
        </is>
      </c>
      <c r="BA139" s="22" t="inlineStr">
        <is>
          <t>https://gs.amac.org.cn/amac-infodisc/res/pof/manager/2108301436104889.html</t>
        </is>
      </c>
      <c r="BB139" s="22" t="inlineStr">
        <is>
          <t>涌涵农本一号私募证券投资基金</t>
        </is>
      </c>
      <c r="BC139" s="22" t="inlineStr">
        <is>
          <t>2026-03-26</t>
        </is>
      </c>
      <c r="BD139" s="22" t="inlineStr">
        <is>
          <t>已匹配</t>
        </is>
      </c>
      <c r="BE139" t="inlineStr">
        <is>
          <t>https://gs.amac.org.cn/amac-infodisc/res/pof/fund/2506041444103887.html</t>
        </is>
      </c>
      <c r="BF139" t="inlineStr">
        <is>
          <t>已核验</t>
        </is>
      </c>
    </row>
    <row r="140" hidden="1" ht="28" customHeight="1" s="73">
      <c r="A140" s="2" t="n">
        <v>124</v>
      </c>
      <c r="B140" s="18" t="inlineStr">
        <is>
          <t>慧衍锐智3号A类</t>
        </is>
      </c>
      <c r="C140" s="18">
        <f>'sheet4-原始数据'!B125</f>
        <v/>
      </c>
      <c r="D140" s="18" t="inlineStr">
        <is>
          <t>上海慧衍</t>
        </is>
      </c>
      <c r="E140" s="90" t="inlineStr">
        <is>
          <t>2024-01-19</t>
        </is>
      </c>
      <c r="F140" s="20" t="n">
        <v>2.6557</v>
      </c>
      <c r="G140" s="2">
        <f>IF(F140="","",IF(F140&lt;1,"不入池","入池"))</f>
        <v/>
      </c>
      <c r="H140" s="42" t="inlineStr">
        <is>
          <t>10-20亿元</t>
        </is>
      </c>
      <c r="I140" s="20" t="n">
        <v>80</v>
      </c>
      <c r="J140" s="43" t="inlineStr">
        <is>
          <t>无低于1000万元标识</t>
        </is>
      </c>
      <c r="K140" s="20" t="n"/>
      <c r="L140" s="20" t="n">
        <v>70</v>
      </c>
      <c r="M140" s="44" t="n">
        <v>0.0308</v>
      </c>
      <c r="N140" s="44" t="n"/>
      <c r="O140" s="45" t="n"/>
      <c r="P140" s="46" t="n"/>
      <c r="Q140" s="20" t="n">
        <v>31.25</v>
      </c>
      <c r="R140" s="20" t="n"/>
      <c r="S140" s="20" t="n">
        <v>31.25</v>
      </c>
      <c r="T140" s="44" t="n">
        <v>0.4615</v>
      </c>
      <c r="U140" s="44" t="n"/>
      <c r="V140" s="46" t="n"/>
      <c r="W140" s="20" t="n">
        <v>46.15</v>
      </c>
      <c r="X140" s="20" t="n"/>
      <c r="Y140" s="20" t="n">
        <v>46.15</v>
      </c>
      <c r="Z140" s="46" t="n">
        <v>0.06182256122039342</v>
      </c>
      <c r="AA140" s="44" t="n"/>
      <c r="AB140" s="46" t="n">
        <v>0.06182256122039342</v>
      </c>
      <c r="AC140" s="20" t="n">
        <v>38.33</v>
      </c>
      <c r="AD140" s="91" t="n">
        <v>0.4982</v>
      </c>
      <c r="AE140" s="46" t="n"/>
      <c r="AF140" s="20" t="n"/>
      <c r="AG140" s="20" t="n">
        <v>24.83</v>
      </c>
      <c r="AH140" s="20" t="n"/>
      <c r="AI140" s="20" t="n">
        <v>24.83</v>
      </c>
      <c r="AJ140" s="46" t="n"/>
      <c r="AK140" s="20" t="n"/>
      <c r="AL140" s="20" t="n">
        <v>75.70999999999999</v>
      </c>
      <c r="AM140" s="20" t="n">
        <v>35.72</v>
      </c>
      <c r="AN140" s="20" t="n">
        <v>38.33</v>
      </c>
      <c r="AO140" s="20" t="n">
        <v>24.83</v>
      </c>
      <c r="AP140" s="20" t="n"/>
      <c r="AQ140" s="92" t="n">
        <v>0.655</v>
      </c>
      <c r="AR140" s="20" t="n">
        <v>26.2883</v>
      </c>
      <c r="AS140" s="20" t="n">
        <v>40.13</v>
      </c>
      <c r="AT140" s="49" t="n">
        <v>265</v>
      </c>
      <c r="AU140" s="50">
        <f>IF(I140="","管理人规模；","")&amp;IF(J140="","产品规模标识；","")&amp;IF(AND(F140&lt;3,O140=""),"R_incep；","")&amp;IF(N140="","近三年收益；","")&amp;IF(U140="","近三年胜率；","")&amp;IF(AND(V140&lt;&gt;"",OR(V140&lt;0,V140&gt;1)),"胜率窗口口径不一致；","")&amp;IF(AA140="","近三年回撤；","")&amp;IF(AD140="","短期卡玛；","")&amp;IF(AND(P140&lt;&gt;"",AE140=""),"DD_long不可识别；","")</f>
        <v/>
      </c>
      <c r="AV140" s="51" t="n"/>
      <c r="AW140" s="22" t="inlineStr">
        <is>
          <t>10-20亿元</t>
        </is>
      </c>
      <c r="AX140" s="22" t="inlineStr">
        <is>
          <t>2026-08-12</t>
        </is>
      </c>
      <c r="AY140" s="22" t="inlineStr">
        <is>
          <t>上海慧衍私募基金管理有限公司 上海慧衍私募基金管理有限公司</t>
        </is>
      </c>
      <c r="AZ140" s="22" t="inlineStr">
        <is>
          <t>2026-08-12</t>
        </is>
      </c>
      <c r="BA140" s="22" t="inlineStr">
        <is>
          <t>https://gs.amac.org.cn/amac-infodisc/res/pof/manager/2103171746100111.html</t>
        </is>
      </c>
      <c r="BB140" s="22" t="n"/>
      <c r="BC140" s="22" t="n"/>
      <c r="BD140" s="22" t="inlineStr">
        <is>
          <t>产品未匹配，管理人已按名称补录</t>
        </is>
      </c>
      <c r="BF140" t="inlineStr">
        <is>
          <t>未核验</t>
        </is>
      </c>
    </row>
    <row r="141" hidden="1" ht="28" customHeight="1" s="73">
      <c r="A141" s="2" t="n">
        <v>125</v>
      </c>
      <c r="B141" s="18" t="inlineStr">
        <is>
          <t>时间稳健1号B类</t>
        </is>
      </c>
      <c r="C141" s="18">
        <f>'sheet4-原始数据'!B126</f>
        <v/>
      </c>
      <c r="D141" s="18" t="inlineStr">
        <is>
          <t>青岛时间</t>
        </is>
      </c>
      <c r="E141" s="90" t="inlineStr">
        <is>
          <t>2023-03-01</t>
        </is>
      </c>
      <c r="F141" s="20" t="n">
        <v>3.5428</v>
      </c>
      <c r="G141" s="2">
        <f>IF(F141="","",IF(F141&lt;1,"不入池","入池"))</f>
        <v/>
      </c>
      <c r="H141" s="42" t="inlineStr">
        <is>
          <t>0-5亿元</t>
        </is>
      </c>
      <c r="I141" s="20" t="n">
        <v>60</v>
      </c>
      <c r="J141" s="43" t="inlineStr">
        <is>
          <t>无低于1000万元标识</t>
        </is>
      </c>
      <c r="K141" s="20" t="n"/>
      <c r="L141" s="20" t="n">
        <v>100</v>
      </c>
      <c r="M141" s="44" t="n"/>
      <c r="N141" s="44" t="n"/>
      <c r="O141" s="45" t="n"/>
      <c r="P141" s="46" t="n"/>
      <c r="Q141" s="20" t="n"/>
      <c r="R141" s="20" t="n"/>
      <c r="S141" s="20" t="n"/>
      <c r="T141" s="44" t="n"/>
      <c r="U141" s="44" t="n"/>
      <c r="V141" s="46" t="n"/>
      <c r="W141" s="20" t="n"/>
      <c r="X141" s="20" t="n"/>
      <c r="Y141" s="20" t="n"/>
      <c r="Z141" s="46" t="n"/>
      <c r="AA141" s="44" t="n"/>
      <c r="AB141" s="46" t="n"/>
      <c r="AC141" s="20" t="n"/>
      <c r="AD141" s="91" t="n"/>
      <c r="AE141" s="46" t="n"/>
      <c r="AF141" s="20" t="n"/>
      <c r="AG141" s="20" t="n"/>
      <c r="AH141" s="20" t="n"/>
      <c r="AI141" s="20" t="n"/>
      <c r="AJ141" s="46" t="n"/>
      <c r="AK141" s="20" t="n"/>
      <c r="AL141" s="20" t="n">
        <v>77.14</v>
      </c>
      <c r="AM141" s="20" t="n"/>
      <c r="AN141" s="20" t="n"/>
      <c r="AO141" s="20" t="n"/>
      <c r="AP141" s="20" t="n"/>
      <c r="AQ141" s="92" t="n">
        <v>0.105</v>
      </c>
      <c r="AR141" s="20" t="n">
        <v>8.1</v>
      </c>
      <c r="AS141" s="20" t="n">
        <v>77.14</v>
      </c>
      <c r="AT141" s="49" t="n">
        <v>77</v>
      </c>
      <c r="AU141" s="50">
        <f>IF(I141="","管理人规模；","")&amp;IF(J141="","产品规模标识；","")&amp;IF(AND(F141&lt;3,O141=""),"R_incep；","")&amp;IF(N141="","近三年收益；","")&amp;IF(U141="","近三年胜率；","")&amp;IF(AND(V141&lt;&gt;"",OR(V141&lt;0,V141&gt;1)),"胜率窗口口径不一致；","")&amp;IF(AA141="","近三年回撤；","")&amp;IF(AD141="","短期卡玛；","")&amp;IF(AND(P141&lt;&gt;"",AE141=""),"DD_long不可识别；","")</f>
        <v/>
      </c>
      <c r="AV141" s="51" t="n"/>
      <c r="AW141" s="22" t="inlineStr">
        <is>
          <t>0-5亿元</t>
        </is>
      </c>
      <c r="AX141" s="22" t="inlineStr">
        <is>
          <t>2025-12-23</t>
        </is>
      </c>
      <c r="AY141" s="22" t="inlineStr">
        <is>
          <t>青岛时间私募基金管理有限公司 青岛时间私募基金管理有限公司</t>
        </is>
      </c>
      <c r="AZ141" s="22" t="inlineStr">
        <is>
          <t>2025-12-23</t>
        </is>
      </c>
      <c r="BA141" s="22" t="inlineStr">
        <is>
          <t>https://gs.amac.org.cn/amac-infodisc/res/pof/manager/2007291034107765.html</t>
        </is>
      </c>
      <c r="BB141" s="22" t="n"/>
      <c r="BC141" s="22" t="n"/>
      <c r="BD141" s="22" t="inlineStr">
        <is>
          <t>产品未匹配，管理人已按名称补录</t>
        </is>
      </c>
      <c r="BF141" t="inlineStr">
        <is>
          <t>未核验</t>
        </is>
      </c>
    </row>
    <row r="142" hidden="1" ht="28" customHeight="1" s="73">
      <c r="A142" s="2" t="n">
        <v>126</v>
      </c>
      <c r="B142" s="18" t="inlineStr">
        <is>
          <t>磬晟启晟1号</t>
        </is>
      </c>
      <c r="C142" s="18">
        <f>'sheet4-原始数据'!B127</f>
        <v/>
      </c>
      <c r="D142" s="18" t="inlineStr">
        <is>
          <t>上海磬晟</t>
        </is>
      </c>
      <c r="E142" s="90" t="inlineStr">
        <is>
          <t>2018-01-31</t>
        </is>
      </c>
      <c r="F142" s="20" t="n">
        <v>8.621499999999999</v>
      </c>
      <c r="G142" s="2">
        <f>IF(F142="","",IF(F142&lt;1,"不入池","入池"))</f>
        <v/>
      </c>
      <c r="H142" s="42" t="inlineStr">
        <is>
          <t>5-10亿元</t>
        </is>
      </c>
      <c r="I142" s="20" t="n">
        <v>70</v>
      </c>
      <c r="J142" s="43" t="inlineStr">
        <is>
          <t>无低于1000万元标识</t>
        </is>
      </c>
      <c r="K142" s="20" t="n">
        <v>100</v>
      </c>
      <c r="L142" s="20" t="n">
        <v>100</v>
      </c>
      <c r="M142" s="44" t="n">
        <v>-0.018</v>
      </c>
      <c r="N142" s="44" t="n">
        <v>0.0024</v>
      </c>
      <c r="O142" s="45" t="n"/>
      <c r="P142" s="46" t="n">
        <v>0.01275837457856754</v>
      </c>
      <c r="Q142" s="20" t="n">
        <v>12.15</v>
      </c>
      <c r="R142" s="20" t="n">
        <v>7</v>
      </c>
      <c r="S142" s="20" t="n">
        <v>10.09</v>
      </c>
      <c r="T142" s="44" t="n">
        <v>0.6153999999999999</v>
      </c>
      <c r="U142" s="44" t="n">
        <v>0.4595</v>
      </c>
      <c r="V142" s="46" t="n">
        <v>0.3750541666666667</v>
      </c>
      <c r="W142" s="20" t="n">
        <v>61.53999999999999</v>
      </c>
      <c r="X142" s="20" t="n">
        <v>37.50541666666667</v>
      </c>
      <c r="Y142" s="20" t="n">
        <v>51.93</v>
      </c>
      <c r="Z142" s="46" t="n">
        <v>0.08442776735459663</v>
      </c>
      <c r="AA142" s="44" t="n">
        <v>0.1037</v>
      </c>
      <c r="AB142" s="46" t="n">
        <v>0.1037</v>
      </c>
      <c r="AC142" s="20" t="n">
        <v>25.78</v>
      </c>
      <c r="AD142" s="91" t="n">
        <v>-0.2132</v>
      </c>
      <c r="AE142" s="46" t="n">
        <v>0.1037</v>
      </c>
      <c r="AF142" s="20" t="n">
        <v>0.1230315774210949</v>
      </c>
      <c r="AG142" s="20" t="n">
        <v>10.84</v>
      </c>
      <c r="AH142" s="20" t="n">
        <v>8.82</v>
      </c>
      <c r="AI142" s="20" t="n">
        <v>10.03</v>
      </c>
      <c r="AJ142" s="46" t="n">
        <v>0.0024</v>
      </c>
      <c r="AK142" s="20" t="n">
        <v>80</v>
      </c>
      <c r="AL142" s="20" t="n">
        <v>88</v>
      </c>
      <c r="AM142" s="20" t="n">
        <v>22.64</v>
      </c>
      <c r="AN142" s="20" t="n">
        <v>25.78</v>
      </c>
      <c r="AO142" s="20" t="n">
        <v>10.03</v>
      </c>
      <c r="AP142" s="20" t="n">
        <v>80</v>
      </c>
      <c r="AQ142" s="92" t="n">
        <v>1</v>
      </c>
      <c r="AR142" s="20" t="n">
        <v>35.18277</v>
      </c>
      <c r="AS142" s="20" t="n">
        <v>35.18</v>
      </c>
      <c r="AT142" s="49" t="n">
        <v>285</v>
      </c>
      <c r="AU142" s="50">
        <f>IF(I142="","管理人规模；","")&amp;IF(J142="","产品规模标识；","")&amp;IF(AND(F142&lt;3,O142=""),"R_incep；","")&amp;IF(N142="","近三年收益；","")&amp;IF(U142="","近三年胜率；","")&amp;IF(AND(V142&lt;&gt;"",OR(V142&lt;0,V142&gt;1)),"胜率窗口口径不一致；","")&amp;IF(AA142="","近三年回撤；","")&amp;IF(AD142="","短期卡玛；","")&amp;IF(AND(P142&lt;&gt;"",AE142=""),"DD_long不可识别；","")</f>
        <v/>
      </c>
      <c r="AV142" s="51" t="n">
        <v>35.18277</v>
      </c>
      <c r="AW142" s="22" t="inlineStr">
        <is>
          <t>5-10亿元</t>
        </is>
      </c>
      <c r="AX142" s="22" t="inlineStr">
        <is>
          <t>2025-02-05</t>
        </is>
      </c>
      <c r="AY142" s="22" t="inlineStr">
        <is>
          <t>上海磬晟私募基金管理有限公司</t>
        </is>
      </c>
      <c r="AZ142" s="22" t="inlineStr">
        <is>
          <t>2025-02-05</t>
        </is>
      </c>
      <c r="BA142" s="22" t="inlineStr">
        <is>
          <t>https://gs.amac.org.cn/amac-infodisc/res/pof/manager/1612231709103386.html</t>
        </is>
      </c>
      <c r="BB142" s="22" t="inlineStr">
        <is>
          <t>磬晟启晟1号私募证券投资基金</t>
        </is>
      </c>
      <c r="BC142" s="22" t="inlineStr">
        <is>
          <t>2026-08-06</t>
        </is>
      </c>
      <c r="BD142" s="22" t="inlineStr">
        <is>
          <t>已匹配</t>
        </is>
      </c>
      <c r="BE142" t="inlineStr">
        <is>
          <t>https://gs.amac.org.cn/amac-infodisc/res/pof/fund/1802081849101993.html</t>
        </is>
      </c>
      <c r="BF142" t="inlineStr">
        <is>
          <t>已核验</t>
        </is>
      </c>
    </row>
    <row r="143" hidden="1" ht="28" customHeight="1" s="73">
      <c r="A143" s="2" t="n">
        <v>127</v>
      </c>
      <c r="B143" s="18" t="inlineStr">
        <is>
          <t>悬铃瑞享C号1期</t>
        </is>
      </c>
      <c r="C143" s="18">
        <f>'sheet4-原始数据'!B128</f>
        <v/>
      </c>
      <c r="D143" s="18" t="inlineStr">
        <is>
          <t>上海悬铃</t>
        </is>
      </c>
      <c r="E143" s="90" t="inlineStr">
        <is>
          <t>2023-04-18</t>
        </is>
      </c>
      <c r="F143" s="20" t="n">
        <v>3.4114</v>
      </c>
      <c r="G143" s="2">
        <f>IF(F143="","",IF(F143&lt;1,"不入池","入池"))</f>
        <v/>
      </c>
      <c r="H143" s="42" t="inlineStr">
        <is>
          <t>20-50亿元</t>
        </is>
      </c>
      <c r="I143" s="20" t="n">
        <v>90</v>
      </c>
      <c r="J143" s="43" t="inlineStr">
        <is>
          <t>低于1000万元</t>
        </is>
      </c>
      <c r="K143" s="20" t="n">
        <v>0</v>
      </c>
      <c r="L143" s="20" t="n">
        <v>100</v>
      </c>
      <c r="M143" s="44" t="n">
        <v>-0.1002</v>
      </c>
      <c r="N143" s="44" t="n">
        <v>-0.0043</v>
      </c>
      <c r="O143" s="45" t="n"/>
      <c r="P143" s="46" t="n">
        <v>0.04741735665334024</v>
      </c>
      <c r="Q143" s="20" t="n">
        <v>3.47</v>
      </c>
      <c r="R143" s="20" t="n">
        <v>34.5</v>
      </c>
      <c r="S143" s="20" t="n">
        <v>15.88</v>
      </c>
      <c r="T143" s="44" t="n">
        <v>0.3077</v>
      </c>
      <c r="U143" s="44" t="n">
        <v>0.5405</v>
      </c>
      <c r="V143" s="46" t="n">
        <v>0.6666</v>
      </c>
      <c r="W143" s="20" t="n">
        <v>30.77</v>
      </c>
      <c r="X143" s="20" t="n">
        <v>66.66</v>
      </c>
      <c r="Y143" s="20" t="n">
        <v>45.13</v>
      </c>
      <c r="Z143" s="46" t="n">
        <v>0.1137343927355278</v>
      </c>
      <c r="AA143" s="44" t="n">
        <v>0.1177</v>
      </c>
      <c r="AB143" s="46" t="n">
        <v>0.1177</v>
      </c>
      <c r="AC143" s="20" t="n">
        <v>22.3</v>
      </c>
      <c r="AD143" s="91" t="n">
        <v>-0.881</v>
      </c>
      <c r="AE143" s="46" t="n">
        <v>0.1177</v>
      </c>
      <c r="AF143" s="20" t="n">
        <v>0.4028662417446069</v>
      </c>
      <c r="AG143" s="20" t="n">
        <v>1.05</v>
      </c>
      <c r="AH143" s="20" t="n">
        <v>17.65</v>
      </c>
      <c r="AI143" s="20" t="n">
        <v>7.69</v>
      </c>
      <c r="AJ143" s="46" t="n">
        <v>-0.0043</v>
      </c>
      <c r="AK143" s="20" t="n">
        <v>80</v>
      </c>
      <c r="AL143" s="20" t="n">
        <v>66</v>
      </c>
      <c r="AM143" s="20" t="n">
        <v>24.66</v>
      </c>
      <c r="AN143" s="20" t="n">
        <v>22.3</v>
      </c>
      <c r="AO143" s="20" t="n">
        <v>7.69</v>
      </c>
      <c r="AP143" s="20" t="n">
        <v>80</v>
      </c>
      <c r="AQ143" s="92" t="n">
        <v>1</v>
      </c>
      <c r="AR143" s="20" t="n">
        <v>30.71304</v>
      </c>
      <c r="AS143" s="20" t="n">
        <v>30.71</v>
      </c>
      <c r="AT143" s="49" t="n">
        <v>293</v>
      </c>
      <c r="AU143" s="50">
        <f>IF(I143="","管理人规模；","")&amp;IF(J143="","产品规模标识；","")&amp;IF(AND(F143&lt;3,O143=""),"R_incep；","")&amp;IF(N143="","近三年收益；","")&amp;IF(U143="","近三年胜率；","")&amp;IF(AND(V143&lt;&gt;"",OR(V143&lt;0,V143&gt;1)),"胜率窗口口径不一致；","")&amp;IF(AA143="","近三年回撤；","")&amp;IF(AD143="","短期卡玛；","")&amp;IF(AND(P143&lt;&gt;"",AE143=""),"DD_long不可识别；","")</f>
        <v/>
      </c>
      <c r="AV143" s="51" t="n">
        <v>30.71304</v>
      </c>
      <c r="AW143" s="22" t="inlineStr">
        <is>
          <t>20-50亿元</t>
        </is>
      </c>
      <c r="AX143" s="22" t="inlineStr">
        <is>
          <t>2026-07-13</t>
        </is>
      </c>
      <c r="AY143" s="22" t="inlineStr">
        <is>
          <t>上海悬铃私募基金管理有限公司</t>
        </is>
      </c>
      <c r="AZ143" s="22" t="inlineStr">
        <is>
          <t>2026-07-13</t>
        </is>
      </c>
      <c r="BA143" s="22" t="inlineStr">
        <is>
          <t>https://gs.amac.org.cn/amac-infodisc/res/pof/manager/1701161209103763.html</t>
        </is>
      </c>
      <c r="BB143" s="22" t="inlineStr">
        <is>
          <t>悬铃瑞享C号1期私募证券投资基金</t>
        </is>
      </c>
      <c r="BC143" s="22" t="inlineStr">
        <is>
          <t>2026-06-03</t>
        </is>
      </c>
      <c r="BD143" s="22" t="inlineStr">
        <is>
          <t>已匹配</t>
        </is>
      </c>
      <c r="BE143" t="inlineStr">
        <is>
          <t>https://gs.amac.org.cn/amac-infodisc/res/pof/fund/2304181407104117.html</t>
        </is>
      </c>
      <c r="BF143" t="inlineStr">
        <is>
          <t>已核验</t>
        </is>
      </c>
    </row>
    <row r="144" hidden="1" ht="28" customHeight="1" s="73">
      <c r="A144" s="2" t="n">
        <v>128</v>
      </c>
      <c r="B144" s="18" t="inlineStr">
        <is>
          <t>奶酪鑫鑫宝九号</t>
        </is>
      </c>
      <c r="C144" s="18">
        <f>'sheet4-原始数据'!B129</f>
        <v/>
      </c>
      <c r="D144" s="18" t="inlineStr">
        <is>
          <t>广东奶酪</t>
        </is>
      </c>
      <c r="E144" s="90" t="inlineStr">
        <is>
          <t>2023-10-24</t>
        </is>
      </c>
      <c r="F144" s="20" t="n">
        <v>2.8939</v>
      </c>
      <c r="G144" s="2">
        <f>IF(F144="","",IF(F144&lt;1,"不入池","入池"))</f>
        <v/>
      </c>
      <c r="H144" s="42" t="inlineStr">
        <is>
          <t>10-20亿元</t>
        </is>
      </c>
      <c r="I144" s="20" t="n">
        <v>80</v>
      </c>
      <c r="J144" s="43" t="inlineStr">
        <is>
          <t>无低于1000万元标识</t>
        </is>
      </c>
      <c r="K144" s="20" t="n">
        <v>100</v>
      </c>
      <c r="L144" s="20" t="n">
        <v>70</v>
      </c>
      <c r="M144" s="44" t="n">
        <v>0.0384</v>
      </c>
      <c r="N144" s="44" t="n"/>
      <c r="O144" s="45" t="n"/>
      <c r="P144" s="46" t="n"/>
      <c r="Q144" s="20" t="n">
        <v>35.24</v>
      </c>
      <c r="R144" s="20" t="n"/>
      <c r="S144" s="20" t="n">
        <v>35.24</v>
      </c>
      <c r="T144" s="44" t="n">
        <v>1</v>
      </c>
      <c r="U144" s="44" t="n"/>
      <c r="V144" s="46" t="n"/>
      <c r="W144" s="20" t="n">
        <v>100</v>
      </c>
      <c r="X144" s="20" t="n"/>
      <c r="Y144" s="20" t="n">
        <v>100</v>
      </c>
      <c r="Z144" s="46" t="n"/>
      <c r="AA144" s="44" t="n"/>
      <c r="AB144" s="46" t="n"/>
      <c r="AC144" s="20" t="n"/>
      <c r="AD144" s="91" t="n"/>
      <c r="AE144" s="46" t="n"/>
      <c r="AF144" s="20" t="n"/>
      <c r="AG144" s="20" t="n"/>
      <c r="AH144" s="20" t="n"/>
      <c r="AI144" s="20" t="n"/>
      <c r="AJ144" s="46" t="n"/>
      <c r="AK144" s="20" t="n"/>
      <c r="AL144" s="20" t="n">
        <v>83</v>
      </c>
      <c r="AM144" s="20" t="n">
        <v>54.67</v>
      </c>
      <c r="AN144" s="20" t="n"/>
      <c r="AO144" s="20" t="n"/>
      <c r="AP144" s="20" t="n"/>
      <c r="AQ144" s="92" t="n">
        <v>0.27</v>
      </c>
      <c r="AR144" s="20" t="n">
        <v>19.01016</v>
      </c>
      <c r="AS144" s="20" t="n">
        <v>70.41</v>
      </c>
      <c r="AT144" s="49" t="n">
        <v>116</v>
      </c>
      <c r="AU144" s="50">
        <f>IF(I144="","管理人规模；","")&amp;IF(J144="","产品规模标识；","")&amp;IF(AND(F144&lt;3,O144=""),"R_incep；","")&amp;IF(N144="","近三年收益；","")&amp;IF(U144="","近三年胜率；","")&amp;IF(AND(V144&lt;&gt;"",OR(V144&lt;0,V144&gt;1)),"胜率窗口口径不一致；","")&amp;IF(AA144="","近三年回撤；","")&amp;IF(AD144="","短期卡玛；","")&amp;IF(AND(P144&lt;&gt;"",AE144=""),"DD_long不可识别；","")</f>
        <v/>
      </c>
      <c r="AV144" s="51" t="n"/>
      <c r="AW144" s="22" t="inlineStr">
        <is>
          <t>10-20亿元</t>
        </is>
      </c>
      <c r="AX144" s="22" t="inlineStr">
        <is>
          <t>2025-12-29</t>
        </is>
      </c>
      <c r="AY144" s="22" t="inlineStr">
        <is>
          <t>广东奶酪私募基金管理股份有限公司</t>
        </is>
      </c>
      <c r="AZ144" s="22" t="inlineStr">
        <is>
          <t>2025-12-29</t>
        </is>
      </c>
      <c r="BA144" s="22" t="inlineStr">
        <is>
          <t>https://gs.amac.org.cn/amac-infodisc/res/pof/manager/101000045017.html</t>
        </is>
      </c>
      <c r="BB144" s="22" t="inlineStr">
        <is>
          <t>奶酪鑫鑫宝九号私募证券投资基金</t>
        </is>
      </c>
      <c r="BC144" s="22" t="inlineStr">
        <is>
          <t>2026-04-24</t>
        </is>
      </c>
      <c r="BD144" s="22" t="inlineStr">
        <is>
          <t>已匹配</t>
        </is>
      </c>
      <c r="BE144" t="inlineStr">
        <is>
          <t>https://gs.amac.org.cn/amac-infodisc/res/pof/fund/2310231835105165.html</t>
        </is>
      </c>
      <c r="BF144" t="inlineStr">
        <is>
          <t>已核验</t>
        </is>
      </c>
    </row>
    <row r="145" hidden="1" ht="28" customHeight="1" s="73">
      <c r="A145" s="2" t="n">
        <v>129</v>
      </c>
      <c r="B145" s="18" t="inlineStr">
        <is>
          <t>博普安兴私享一号C类</t>
        </is>
      </c>
      <c r="C145" s="18">
        <f>'sheet4-原始数据'!B130</f>
        <v/>
      </c>
      <c r="D145" s="18" t="inlineStr">
        <is>
          <t>深圳前海博普资管</t>
        </is>
      </c>
      <c r="E145" s="90" t="inlineStr">
        <is>
          <t>2024-03-22</t>
        </is>
      </c>
      <c r="F145" s="20" t="n">
        <v>2.4832</v>
      </c>
      <c r="G145" s="2">
        <f>IF(F145="","",IF(F145&lt;1,"不入池","入池"))</f>
        <v/>
      </c>
      <c r="H145" s="42" t="inlineStr">
        <is>
          <t>50-100亿元</t>
        </is>
      </c>
      <c r="I145" s="20" t="n">
        <v>90</v>
      </c>
      <c r="J145" s="43" t="inlineStr">
        <is>
          <t>无低于1000万元标识</t>
        </is>
      </c>
      <c r="K145" s="20" t="n"/>
      <c r="L145" s="20" t="n">
        <v>70</v>
      </c>
      <c r="M145" s="44" t="n">
        <v>0.0617</v>
      </c>
      <c r="N145" s="44" t="n"/>
      <c r="O145" s="45" t="n"/>
      <c r="P145" s="46" t="n"/>
      <c r="Q145" s="20" t="n">
        <v>52.26</v>
      </c>
      <c r="R145" s="20" t="n"/>
      <c r="S145" s="20" t="n">
        <v>52.26</v>
      </c>
      <c r="T145" s="44" t="n">
        <v>0.9231</v>
      </c>
      <c r="U145" s="44" t="n"/>
      <c r="V145" s="46" t="n"/>
      <c r="W145" s="20" t="n">
        <v>92.31</v>
      </c>
      <c r="X145" s="20" t="n"/>
      <c r="Y145" s="20" t="n">
        <v>92.31</v>
      </c>
      <c r="Z145" s="46" t="n">
        <v>0.006626784237490199</v>
      </c>
      <c r="AA145" s="44" t="n"/>
      <c r="AB145" s="46" t="n">
        <v>0.006626784237490199</v>
      </c>
      <c r="AC145" s="20" t="n">
        <v>90.59</v>
      </c>
      <c r="AD145" s="91" t="n">
        <v>9.310700000000001</v>
      </c>
      <c r="AE145" s="46" t="n"/>
      <c r="AF145" s="20" t="n"/>
      <c r="AG145" s="20" t="n">
        <v>76.92</v>
      </c>
      <c r="AH145" s="20" t="n"/>
      <c r="AI145" s="20" t="n">
        <v>76.92</v>
      </c>
      <c r="AJ145" s="46" t="n"/>
      <c r="AK145" s="20" t="n"/>
      <c r="AL145" s="20" t="n">
        <v>81.43000000000001</v>
      </c>
      <c r="AM145" s="20" t="n">
        <v>64.28</v>
      </c>
      <c r="AN145" s="20" t="n">
        <v>90.59</v>
      </c>
      <c r="AO145" s="20" t="n">
        <v>76.92</v>
      </c>
      <c r="AP145" s="20" t="n"/>
      <c r="AQ145" s="92" t="n">
        <v>0.655</v>
      </c>
      <c r="AR145" s="20" t="n">
        <v>52.7561</v>
      </c>
      <c r="AS145" s="20" t="n">
        <v>80.54000000000001</v>
      </c>
      <c r="AT145" s="49" t="n">
        <v>58</v>
      </c>
      <c r="AU145" s="50">
        <f>IF(I145="","管理人规模；","")&amp;IF(J145="","产品规模标识；","")&amp;IF(AND(F145&lt;3,O145=""),"R_incep；","")&amp;IF(N145="","近三年收益；","")&amp;IF(U145="","近三年胜率；","")&amp;IF(AND(V145&lt;&gt;"",OR(V145&lt;0,V145&gt;1)),"胜率窗口口径不一致；","")&amp;IF(AA145="","近三年回撤；","")&amp;IF(AD145="","短期卡玛；","")&amp;IF(AND(P145&lt;&gt;"",AE145=""),"DD_long不可识别；","")</f>
        <v/>
      </c>
      <c r="AV145" s="51" t="n"/>
      <c r="AW145" s="22" t="inlineStr">
        <is>
          <t>50-100亿元</t>
        </is>
      </c>
      <c r="AX145" s="22" t="inlineStr">
        <is>
          <t>2023-10-20</t>
        </is>
      </c>
      <c r="AY145" s="22" t="inlineStr">
        <is>
          <t>深圳前海博普资产管理有限公司 深圳前海博普资产管理有限公司</t>
        </is>
      </c>
      <c r="AZ145" s="22" t="inlineStr">
        <is>
          <t>2023-10-20</t>
        </is>
      </c>
      <c r="BA145" s="22" t="inlineStr">
        <is>
          <t>https://gs.amac.org.cn/amac-infodisc/res/pof/manager/1709041706102598.html</t>
        </is>
      </c>
      <c r="BB145" s="22" t="n"/>
      <c r="BC145" s="22" t="n"/>
      <c r="BD145" s="22" t="inlineStr">
        <is>
          <t>产品未匹配，管理人已按名称补录</t>
        </is>
      </c>
      <c r="BF145" t="inlineStr">
        <is>
          <t>未核验</t>
        </is>
      </c>
    </row>
    <row r="146" hidden="1" ht="28" customHeight="1" s="73">
      <c r="A146" s="2" t="n">
        <v>130</v>
      </c>
      <c r="B146" s="18" t="inlineStr">
        <is>
          <t>盛冠达稳享量化套利</t>
        </is>
      </c>
      <c r="C146" s="18">
        <f>'sheet4-原始数据'!B131</f>
        <v/>
      </c>
      <c r="D146" s="18" t="inlineStr">
        <is>
          <t>海南盛冠达</t>
        </is>
      </c>
      <c r="E146" s="90" t="inlineStr">
        <is>
          <t>2025-06-04</t>
        </is>
      </c>
      <c r="F146" s="20" t="n">
        <v>1.2813</v>
      </c>
      <c r="G146" s="2">
        <f>IF(F146="","",IF(F146&lt;1,"不入池","入池"))</f>
        <v/>
      </c>
      <c r="H146" s="42" t="inlineStr">
        <is>
          <t>20-50亿元</t>
        </is>
      </c>
      <c r="I146" s="20" t="n">
        <v>90</v>
      </c>
      <c r="J146" s="43" t="inlineStr">
        <is>
          <t>低于1000万元</t>
        </is>
      </c>
      <c r="K146" s="20" t="n">
        <v>0</v>
      </c>
      <c r="L146" s="20" t="n">
        <v>70</v>
      </c>
      <c r="M146" s="44" t="n">
        <v>0.0321</v>
      </c>
      <c r="N146" s="44" t="n"/>
      <c r="O146" s="45" t="n"/>
      <c r="P146" s="46" t="n"/>
      <c r="Q146" s="20" t="n">
        <v>31.94</v>
      </c>
      <c r="R146" s="20" t="n"/>
      <c r="S146" s="20" t="n">
        <v>31.94</v>
      </c>
      <c r="T146" s="44" t="n">
        <v>0.5385</v>
      </c>
      <c r="U146" s="44" t="n"/>
      <c r="V146" s="46" t="n"/>
      <c r="W146" s="20" t="n">
        <v>53.84999999999999</v>
      </c>
      <c r="X146" s="20" t="n">
        <v>100</v>
      </c>
      <c r="Y146" s="20" t="n">
        <v>72.31</v>
      </c>
      <c r="Z146" s="46" t="n">
        <v>0.01569912456595099</v>
      </c>
      <c r="AA146" s="44" t="n"/>
      <c r="AB146" s="46" t="n">
        <v>0.01569912456595099</v>
      </c>
      <c r="AC146" s="20" t="n">
        <v>77.7</v>
      </c>
      <c r="AD146" s="91" t="n">
        <v>2.0447</v>
      </c>
      <c r="AE146" s="46" t="n"/>
      <c r="AF146" s="20" t="n"/>
      <c r="AG146" s="20" t="n">
        <v>47.2</v>
      </c>
      <c r="AH146" s="20" t="n"/>
      <c r="AI146" s="20" t="n">
        <v>47.2</v>
      </c>
      <c r="AJ146" s="46" t="n"/>
      <c r="AK146" s="20" t="n"/>
      <c r="AL146" s="20" t="n">
        <v>57</v>
      </c>
      <c r="AM146" s="20" t="n">
        <v>48.76</v>
      </c>
      <c r="AN146" s="20" t="n">
        <v>77.7</v>
      </c>
      <c r="AO146" s="20" t="n">
        <v>47.2</v>
      </c>
      <c r="AP146" s="20" t="n"/>
      <c r="AQ146" s="92" t="n">
        <v>0.724</v>
      </c>
      <c r="AR146" s="20" t="n">
        <v>43.49256</v>
      </c>
      <c r="AS146" s="20" t="n">
        <v>60.07</v>
      </c>
      <c r="AT146" s="49" t="n">
        <v>169</v>
      </c>
      <c r="AU146" s="50">
        <f>IF(I146="","管理人规模；","")&amp;IF(J146="","产品规模标识；","")&amp;IF(AND(F146&lt;3,O146=""),"R_incep；","")&amp;IF(N146="","近三年收益；","")&amp;IF(U146="","近三年胜率；","")&amp;IF(AND(V146&lt;&gt;"",OR(V146&lt;0,V146&gt;1)),"胜率窗口口径不一致；","")&amp;IF(AA146="","近三年回撤；","")&amp;IF(AD146="","短期卡玛；","")&amp;IF(AND(P146&lt;&gt;"",AE146=""),"DD_long不可识别；","")</f>
        <v/>
      </c>
      <c r="AV146" s="51" t="n"/>
      <c r="AW146" s="22" t="inlineStr">
        <is>
          <t>20-50亿元</t>
        </is>
      </c>
      <c r="AX146" s="22" t="inlineStr">
        <is>
          <t>2026-01-05</t>
        </is>
      </c>
      <c r="AY146" s="22" t="inlineStr">
        <is>
          <t>海南盛冠达私募基金管理有限公司</t>
        </is>
      </c>
      <c r="AZ146" s="22" t="inlineStr">
        <is>
          <t>2026-01-05</t>
        </is>
      </c>
      <c r="BA146" s="22" t="inlineStr">
        <is>
          <t>https://gs.amac.org.cn/amac-infodisc/res/pof/manager/101000001663.html</t>
        </is>
      </c>
      <c r="BB146" s="22" t="inlineStr">
        <is>
          <t>盛冠达稳享量化套利私募证券投资基金</t>
        </is>
      </c>
      <c r="BC146" s="22" t="inlineStr">
        <is>
          <t>2025-06-20</t>
        </is>
      </c>
      <c r="BD146" s="22" t="inlineStr">
        <is>
          <t>已匹配</t>
        </is>
      </c>
      <c r="BE146" t="inlineStr">
        <is>
          <t>https://gs.amac.org.cn/amac-infodisc/res/pof/fund/2506201458107445.html</t>
        </is>
      </c>
      <c r="BF146" t="inlineStr">
        <is>
          <t>已核验</t>
        </is>
      </c>
    </row>
    <row r="147" hidden="1" ht="28" customHeight="1" s="73">
      <c r="A147" s="2" t="n">
        <v>131</v>
      </c>
      <c r="B147" s="18" t="inlineStr">
        <is>
          <t>悬铃成长1号</t>
        </is>
      </c>
      <c r="C147" s="18">
        <f>'sheet4-原始数据'!B132</f>
        <v/>
      </c>
      <c r="D147" s="18" t="inlineStr">
        <is>
          <t>上海悬铃</t>
        </is>
      </c>
      <c r="E147" s="90" t="inlineStr">
        <is>
          <t>2021-12-29</t>
        </is>
      </c>
      <c r="F147" s="20" t="n">
        <v>4.7118</v>
      </c>
      <c r="G147" s="2">
        <f>IF(F147="","",IF(F147&lt;1,"不入池","入池"))</f>
        <v/>
      </c>
      <c r="H147" s="42" t="inlineStr">
        <is>
          <t>20-50亿元</t>
        </is>
      </c>
      <c r="I147" s="20" t="n">
        <v>90</v>
      </c>
      <c r="J147" s="43" t="inlineStr">
        <is>
          <t>低于1000万元</t>
        </is>
      </c>
      <c r="K147" s="20" t="n">
        <v>0</v>
      </c>
      <c r="L147" s="20" t="n">
        <v>100</v>
      </c>
      <c r="M147" s="44" t="n">
        <v>0.0257</v>
      </c>
      <c r="N147" s="44" t="n">
        <v>0.0951</v>
      </c>
      <c r="O147" s="45" t="n"/>
      <c r="P147" s="46" t="n">
        <v>0.1315415106222506</v>
      </c>
      <c r="Q147" s="20" t="n">
        <v>27.08</v>
      </c>
      <c r="R147" s="20" t="n">
        <v>85</v>
      </c>
      <c r="S147" s="20" t="n">
        <v>50.25</v>
      </c>
      <c r="T147" s="44" t="n">
        <v>0.5385</v>
      </c>
      <c r="U147" s="44" t="n">
        <v>0.6215999999999999</v>
      </c>
      <c r="V147" s="46" t="n">
        <v>0.6666124999999999</v>
      </c>
      <c r="W147" s="20" t="n">
        <v>53.84999999999999</v>
      </c>
      <c r="X147" s="20" t="n">
        <v>66.66125</v>
      </c>
      <c r="Y147" s="20" t="n">
        <v>58.97</v>
      </c>
      <c r="Z147" s="46" t="n">
        <v>0.08223999999999999</v>
      </c>
      <c r="AA147" s="44" t="n">
        <v>0.1362</v>
      </c>
      <c r="AB147" s="46" t="n">
        <v>0.1362</v>
      </c>
      <c r="AC147" s="20" t="n">
        <v>17.42</v>
      </c>
      <c r="AD147" s="91" t="n">
        <v>0.3125</v>
      </c>
      <c r="AE147" s="46" t="n">
        <v>0.1362</v>
      </c>
      <c r="AF147" s="20" t="n">
        <v>0.9657967006038959</v>
      </c>
      <c r="AG147" s="20" t="n">
        <v>21.33</v>
      </c>
      <c r="AH147" s="20" t="n">
        <v>41.18</v>
      </c>
      <c r="AI147" s="20" t="n">
        <v>29.27</v>
      </c>
      <c r="AJ147" s="46" t="n">
        <v>0.0951</v>
      </c>
      <c r="AK147" s="20" t="n">
        <v>80</v>
      </c>
      <c r="AL147" s="20" t="n">
        <v>66</v>
      </c>
      <c r="AM147" s="20" t="n">
        <v>52.87</v>
      </c>
      <c r="AN147" s="20" t="n">
        <v>17.42</v>
      </c>
      <c r="AO147" s="20" t="n">
        <v>29.27</v>
      </c>
      <c r="AP147" s="20" t="n">
        <v>80</v>
      </c>
      <c r="AQ147" s="92" t="n">
        <v>1</v>
      </c>
      <c r="AR147" s="20" t="n">
        <v>41.60919</v>
      </c>
      <c r="AS147" s="20" t="n">
        <v>41.61</v>
      </c>
      <c r="AT147" s="49" t="n">
        <v>255</v>
      </c>
      <c r="AU147" s="50">
        <f>IF(I147="","管理人规模；","")&amp;IF(J147="","产品规模标识；","")&amp;IF(AND(F147&lt;3,O147=""),"R_incep；","")&amp;IF(N147="","近三年收益；","")&amp;IF(U147="","近三年胜率；","")&amp;IF(AND(V147&lt;&gt;"",OR(V147&lt;0,V147&gt;1)),"胜率窗口口径不一致；","")&amp;IF(AA147="","近三年回撤；","")&amp;IF(AD147="","短期卡玛；","")&amp;IF(AND(P147&lt;&gt;"",AE147=""),"DD_long不可识别；","")</f>
        <v/>
      </c>
      <c r="AV147" s="51" t="n">
        <v>41.60919</v>
      </c>
      <c r="AW147" s="22" t="inlineStr">
        <is>
          <t>20-50亿元</t>
        </is>
      </c>
      <c r="AX147" s="22" t="inlineStr">
        <is>
          <t>2026-07-13</t>
        </is>
      </c>
      <c r="AY147" s="22" t="inlineStr">
        <is>
          <t>上海悬铃私募基金管理有限公司</t>
        </is>
      </c>
      <c r="AZ147" s="22" t="inlineStr">
        <is>
          <t>2026-07-13</t>
        </is>
      </c>
      <c r="BA147" s="22" t="inlineStr">
        <is>
          <t>https://gs.amac.org.cn/amac-infodisc/res/pof/manager/1701161209103763.html</t>
        </is>
      </c>
      <c r="BB147" s="22" t="inlineStr">
        <is>
          <t>悬铃成长1号私募证券投资基金</t>
        </is>
      </c>
      <c r="BC147" s="22" t="inlineStr">
        <is>
          <t>2025-02-17</t>
        </is>
      </c>
      <c r="BD147" s="22" t="inlineStr">
        <is>
          <t>已匹配</t>
        </is>
      </c>
      <c r="BE147" t="inlineStr">
        <is>
          <t>https://gs.amac.org.cn/amac-infodisc/res/pof/fund/2112291739105312.html</t>
        </is>
      </c>
      <c r="BF147" t="inlineStr">
        <is>
          <t>已核验</t>
        </is>
      </c>
    </row>
    <row r="148" hidden="1" ht="28" customHeight="1" s="73">
      <c r="A148" s="2" t="n">
        <v>132</v>
      </c>
      <c r="B148" s="18" t="inlineStr">
        <is>
          <t>岳鑫遥4号</t>
        </is>
      </c>
      <c r="C148" s="18">
        <f>'sheet4-原始数据'!B133</f>
        <v/>
      </c>
      <c r="D148" s="18" t="inlineStr">
        <is>
          <t>北京岳鑫遥</t>
        </is>
      </c>
      <c r="E148" s="90" t="inlineStr">
        <is>
          <t>2022-11-24</t>
        </is>
      </c>
      <c r="F148" s="20" t="n">
        <v>3.8084</v>
      </c>
      <c r="G148" s="2">
        <f>IF(F148="","",IF(F148&lt;1,"不入池","入池"))</f>
        <v/>
      </c>
      <c r="H148" s="42" t="inlineStr">
        <is>
          <t>5-10亿元</t>
        </is>
      </c>
      <c r="I148" s="20" t="n">
        <v>70</v>
      </c>
      <c r="J148" s="43" t="inlineStr">
        <is>
          <t>无低于1000万元标识</t>
        </is>
      </c>
      <c r="K148" s="20" t="n">
        <v>100</v>
      </c>
      <c r="L148" s="20" t="n">
        <v>100</v>
      </c>
      <c r="M148" s="44" t="n"/>
      <c r="N148" s="44" t="n"/>
      <c r="O148" s="45" t="n"/>
      <c r="P148" s="46" t="n"/>
      <c r="Q148" s="20" t="n"/>
      <c r="R148" s="20" t="n"/>
      <c r="S148" s="20" t="n"/>
      <c r="T148" s="44" t="n"/>
      <c r="U148" s="44" t="n"/>
      <c r="V148" s="46" t="n"/>
      <c r="W148" s="20" t="n"/>
      <c r="X148" s="20" t="n"/>
      <c r="Y148" s="20" t="n"/>
      <c r="Z148" s="46" t="n"/>
      <c r="AA148" s="44" t="n"/>
      <c r="AB148" s="46" t="n"/>
      <c r="AC148" s="20" t="n"/>
      <c r="AD148" s="91" t="n"/>
      <c r="AE148" s="46" t="n"/>
      <c r="AF148" s="20" t="n"/>
      <c r="AG148" s="20" t="n"/>
      <c r="AH148" s="20" t="n"/>
      <c r="AI148" s="20" t="n"/>
      <c r="AJ148" s="46" t="n"/>
      <c r="AK148" s="20" t="n"/>
      <c r="AL148" s="20" t="n">
        <v>88</v>
      </c>
      <c r="AM148" s="20" t="n"/>
      <c r="AN148" s="20" t="n"/>
      <c r="AO148" s="20" t="n"/>
      <c r="AP148" s="20" t="n"/>
      <c r="AQ148" s="92" t="n">
        <v>0.15</v>
      </c>
      <c r="AR148" s="20" t="n">
        <v>13.2</v>
      </c>
      <c r="AS148" s="20" t="n">
        <v>88</v>
      </c>
      <c r="AT148" s="49" t="n">
        <v>15</v>
      </c>
      <c r="AU148" s="50">
        <f>IF(I148="","管理人规模；","")&amp;IF(J148="","产品规模标识；","")&amp;IF(AND(F148&lt;3,O148=""),"R_incep；","")&amp;IF(N148="","近三年收益；","")&amp;IF(U148="","近三年胜率；","")&amp;IF(AND(V148&lt;&gt;"",OR(V148&lt;0,V148&gt;1)),"胜率窗口口径不一致；","")&amp;IF(AA148="","近三年回撤；","")&amp;IF(AD148="","短期卡玛；","")&amp;IF(AND(P148&lt;&gt;"",AE148=""),"DD_long不可识别；","")</f>
        <v/>
      </c>
      <c r="AV148" s="51" t="n"/>
      <c r="AW148" s="22" t="inlineStr">
        <is>
          <t>5-10亿元</t>
        </is>
      </c>
      <c r="AX148" s="22" t="inlineStr">
        <is>
          <t>2026-05-07</t>
        </is>
      </c>
      <c r="AY148" s="22" t="inlineStr">
        <is>
          <t>岳鑫遥（北京）私募基金管理有限公司</t>
        </is>
      </c>
      <c r="AZ148" s="22" t="inlineStr">
        <is>
          <t>2026-05-07</t>
        </is>
      </c>
      <c r="BA148" s="22" t="inlineStr">
        <is>
          <t>https://gs.amac.org.cn/amac-infodisc/res/pof/manager/2207041830121644.html</t>
        </is>
      </c>
      <c r="BB148" s="22" t="inlineStr">
        <is>
          <t>岳鑫遥4号私募证券投资基金</t>
        </is>
      </c>
      <c r="BC148" s="22" t="inlineStr">
        <is>
          <t>2024-09-03</t>
        </is>
      </c>
      <c r="BD148" s="22" t="inlineStr">
        <is>
          <t>已匹配</t>
        </is>
      </c>
      <c r="BE148" t="inlineStr">
        <is>
          <t>https://gs.amac.org.cn/amac-infodisc/res/pof/fund/2212071732102482.html</t>
        </is>
      </c>
      <c r="BF148" t="inlineStr">
        <is>
          <t>已核验</t>
        </is>
      </c>
    </row>
    <row r="149" hidden="1" ht="28" customHeight="1" s="73">
      <c r="A149" s="2" t="n">
        <v>133</v>
      </c>
      <c r="B149" s="18" t="inlineStr">
        <is>
          <t>安合融信匠人匠心10号</t>
        </is>
      </c>
      <c r="C149" s="18">
        <f>'sheet4-原始数据'!B134</f>
        <v/>
      </c>
      <c r="D149" s="18" t="inlineStr">
        <is>
          <t>青岛安合融信</t>
        </is>
      </c>
      <c r="E149" s="90" t="inlineStr">
        <is>
          <t>2023-09-05</t>
        </is>
      </c>
      <c r="F149" s="20" t="n">
        <v>3.0281</v>
      </c>
      <c r="G149" s="2">
        <f>IF(F149="","",IF(F149&lt;1,"不入池","入池"))</f>
        <v/>
      </c>
      <c r="H149" s="42" t="inlineStr">
        <is>
          <t>0-5亿元</t>
        </is>
      </c>
      <c r="I149" s="20" t="n">
        <v>60</v>
      </c>
      <c r="J149" s="43" t="inlineStr">
        <is>
          <t>无低于1000万元标识</t>
        </is>
      </c>
      <c r="K149" s="20" t="n">
        <v>100</v>
      </c>
      <c r="L149" s="20" t="n">
        <v>100</v>
      </c>
      <c r="M149" s="44" t="n"/>
      <c r="N149" s="44" t="n"/>
      <c r="O149" s="45" t="n"/>
      <c r="P149" s="46" t="n"/>
      <c r="Q149" s="20" t="n"/>
      <c r="R149" s="20" t="n"/>
      <c r="S149" s="20" t="n"/>
      <c r="T149" s="44" t="n"/>
      <c r="U149" s="44" t="n"/>
      <c r="V149" s="46" t="n"/>
      <c r="W149" s="20" t="n"/>
      <c r="X149" s="20" t="n"/>
      <c r="Y149" s="20" t="n"/>
      <c r="Z149" s="46" t="n"/>
      <c r="AA149" s="44" t="n"/>
      <c r="AB149" s="46" t="n"/>
      <c r="AC149" s="20" t="n"/>
      <c r="AD149" s="91" t="n"/>
      <c r="AE149" s="46" t="n"/>
      <c r="AF149" s="20" t="n"/>
      <c r="AG149" s="20" t="n"/>
      <c r="AH149" s="20" t="n"/>
      <c r="AI149" s="20" t="n"/>
      <c r="AJ149" s="46" t="n"/>
      <c r="AK149" s="20" t="n"/>
      <c r="AL149" s="20" t="n">
        <v>84</v>
      </c>
      <c r="AM149" s="20" t="n"/>
      <c r="AN149" s="20" t="n"/>
      <c r="AO149" s="20" t="n"/>
      <c r="AP149" s="20" t="n"/>
      <c r="AQ149" s="92" t="n">
        <v>0.15</v>
      </c>
      <c r="AR149" s="20" t="n">
        <v>12.6</v>
      </c>
      <c r="AS149" s="20" t="n">
        <v>84</v>
      </c>
      <c r="AT149" s="49" t="n">
        <v>37</v>
      </c>
      <c r="AU149" s="50">
        <f>IF(I149="","管理人规模；","")&amp;IF(J149="","产品规模标识；","")&amp;IF(AND(F149&lt;3,O149=""),"R_incep；","")&amp;IF(N149="","近三年收益；","")&amp;IF(U149="","近三年胜率；","")&amp;IF(AND(V149&lt;&gt;"",OR(V149&lt;0,V149&gt;1)),"胜率窗口口径不一致；","")&amp;IF(AA149="","近三年回撤；","")&amp;IF(AD149="","短期卡玛；","")&amp;IF(AND(P149&lt;&gt;"",AE149=""),"DD_long不可识别；","")</f>
        <v/>
      </c>
      <c r="AV149" s="51" t="n"/>
      <c r="AW149" s="22" t="inlineStr">
        <is>
          <t>0-5亿元</t>
        </is>
      </c>
      <c r="AX149" s="22" t="inlineStr">
        <is>
          <t>2025-07-30</t>
        </is>
      </c>
      <c r="AY149" s="22" t="inlineStr">
        <is>
          <t>安合融信（青岛）私募基金管理有限公司</t>
        </is>
      </c>
      <c r="AZ149" s="22" t="inlineStr">
        <is>
          <t>2025-07-30</t>
        </is>
      </c>
      <c r="BA149" s="22" t="inlineStr">
        <is>
          <t>https://gs.amac.org.cn/amac-infodisc/res/pof/manager/2108161405106293.html</t>
        </is>
      </c>
      <c r="BB149" s="22" t="inlineStr">
        <is>
          <t>安合融信匠人匠心10号私募证券投资基金</t>
        </is>
      </c>
      <c r="BC149" s="22" t="inlineStr">
        <is>
          <t>2026-01-22</t>
        </is>
      </c>
      <c r="BD149" s="22" t="inlineStr">
        <is>
          <t>已匹配</t>
        </is>
      </c>
      <c r="BE149" t="inlineStr">
        <is>
          <t>https://gs.amac.org.cn/amac-infodisc/res/pof/fund/2309081103102439.html</t>
        </is>
      </c>
      <c r="BF149" t="inlineStr">
        <is>
          <t>已核验</t>
        </is>
      </c>
    </row>
    <row r="150" hidden="1" ht="28" customHeight="1" s="73">
      <c r="A150" s="2" t="n">
        <v>134</v>
      </c>
      <c r="B150" s="18" t="inlineStr">
        <is>
          <t>灵涛卧龙</t>
        </is>
      </c>
      <c r="C150" s="18">
        <f>'sheet4-原始数据'!B135</f>
        <v/>
      </c>
      <c r="D150" s="18" t="inlineStr">
        <is>
          <t>灵涛基金</t>
        </is>
      </c>
      <c r="E150" s="90" t="inlineStr">
        <is>
          <t>2018-12-13</t>
        </is>
      </c>
      <c r="F150" s="20" t="n">
        <v>7.7563</v>
      </c>
      <c r="G150" s="2">
        <f>IF(F150="","",IF(F150&lt;1,"不入池","入池"))</f>
        <v/>
      </c>
      <c r="H150" s="42" t="inlineStr">
        <is>
          <t>5-10亿元</t>
        </is>
      </c>
      <c r="I150" s="20" t="n">
        <v>70</v>
      </c>
      <c r="J150" s="43" t="inlineStr">
        <is>
          <t>无低于1000万元标识</t>
        </is>
      </c>
      <c r="K150" s="20" t="n">
        <v>100</v>
      </c>
      <c r="L150" s="20" t="n">
        <v>100</v>
      </c>
      <c r="M150" s="44" t="n"/>
      <c r="N150" s="44" t="n"/>
      <c r="O150" s="45" t="n"/>
      <c r="P150" s="46" t="n"/>
      <c r="Q150" s="20" t="n"/>
      <c r="R150" s="20" t="n"/>
      <c r="S150" s="20" t="n"/>
      <c r="T150" s="44" t="n"/>
      <c r="U150" s="44" t="n"/>
      <c r="V150" s="46" t="n"/>
      <c r="W150" s="20" t="n"/>
      <c r="X150" s="20" t="n"/>
      <c r="Y150" s="20" t="n"/>
      <c r="Z150" s="46" t="n"/>
      <c r="AA150" s="44" t="n"/>
      <c r="AB150" s="46" t="n"/>
      <c r="AC150" s="20" t="n"/>
      <c r="AD150" s="91" t="n"/>
      <c r="AE150" s="46" t="n"/>
      <c r="AF150" s="20" t="n"/>
      <c r="AG150" s="20" t="n"/>
      <c r="AH150" s="20" t="n"/>
      <c r="AI150" s="20" t="n"/>
      <c r="AJ150" s="46" t="n"/>
      <c r="AK150" s="20" t="n"/>
      <c r="AL150" s="20" t="n">
        <v>88</v>
      </c>
      <c r="AM150" s="20" t="n"/>
      <c r="AN150" s="20" t="n"/>
      <c r="AO150" s="20" t="n"/>
      <c r="AP150" s="20" t="n"/>
      <c r="AQ150" s="92" t="n">
        <v>0.15</v>
      </c>
      <c r="AR150" s="20" t="n">
        <v>13.2</v>
      </c>
      <c r="AS150" s="20" t="n">
        <v>88</v>
      </c>
      <c r="AT150" s="49" t="n">
        <v>16</v>
      </c>
      <c r="AU150" s="50">
        <f>IF(I150="","管理人规模；","")&amp;IF(J150="","产品规模标识；","")&amp;IF(AND(F150&lt;3,O150=""),"R_incep；","")&amp;IF(N150="","近三年收益；","")&amp;IF(U150="","近三年胜率；","")&amp;IF(AND(V150&lt;&gt;"",OR(V150&lt;0,V150&gt;1)),"胜率窗口口径不一致；","")&amp;IF(AA150="","近三年回撤；","")&amp;IF(AD150="","短期卡玛；","")&amp;IF(AND(P150&lt;&gt;"",AE150=""),"DD_long不可识别；","")</f>
        <v/>
      </c>
      <c r="AV150" s="51" t="n"/>
      <c r="AW150" s="22" t="inlineStr">
        <is>
          <t>5-10亿元</t>
        </is>
      </c>
      <c r="AX150" s="22" t="inlineStr">
        <is>
          <t>2026-08-20</t>
        </is>
      </c>
      <c r="AY150" s="22" t="inlineStr">
        <is>
          <t>灵涛私募基金管理（上海）有限公司</t>
        </is>
      </c>
      <c r="AZ150" s="22" t="inlineStr">
        <is>
          <t>2026-08-20</t>
        </is>
      </c>
      <c r="BA150" s="22" t="inlineStr">
        <is>
          <t>https://gs.amac.org.cn/amac-infodisc/res/pof/manager/101000034805.html</t>
        </is>
      </c>
      <c r="BB150" s="22" t="inlineStr">
        <is>
          <t>灵涛卧龙证券投资私募基金</t>
        </is>
      </c>
      <c r="BC150" s="22" t="inlineStr">
        <is>
          <t>2026-07-30</t>
        </is>
      </c>
      <c r="BD150" s="22" t="inlineStr">
        <is>
          <t>已匹配</t>
        </is>
      </c>
      <c r="BE150" t="inlineStr">
        <is>
          <t>https://gs.amac.org.cn/amac-infodisc/res/pof/fund/1812171730109976.html</t>
        </is>
      </c>
      <c r="BF150" t="inlineStr">
        <is>
          <t>已核验</t>
        </is>
      </c>
    </row>
    <row r="151" hidden="1" ht="28" customHeight="1" s="73">
      <c r="A151" s="2" t="n">
        <v>135</v>
      </c>
      <c r="B151" s="18" t="inlineStr">
        <is>
          <t>祁腾蜂赢1号</t>
        </is>
      </c>
      <c r="C151" s="18">
        <f>'sheet4-原始数据'!B136</f>
        <v/>
      </c>
      <c r="D151" s="18" t="inlineStr">
        <is>
          <t>宁波祁腾投资</t>
        </is>
      </c>
      <c r="E151" s="90" t="inlineStr">
        <is>
          <t>2019-01-25</t>
        </is>
      </c>
      <c r="F151" s="20" t="n">
        <v>7.6386</v>
      </c>
      <c r="G151" s="2">
        <f>IF(F151="","",IF(F151&lt;1,"不入池","入池"))</f>
        <v/>
      </c>
      <c r="H151" s="42" t="inlineStr">
        <is>
          <t>0-5亿元</t>
        </is>
      </c>
      <c r="I151" s="20" t="n">
        <v>60</v>
      </c>
      <c r="J151" s="43" t="inlineStr">
        <is>
          <t>无低于1000万元标识</t>
        </is>
      </c>
      <c r="K151" s="20" t="n">
        <v>100</v>
      </c>
      <c r="L151" s="20" t="n">
        <v>100</v>
      </c>
      <c r="M151" s="44" t="n">
        <v>0.1381603422619047</v>
      </c>
      <c r="N151" s="44" t="n">
        <v>0.1195426395220311</v>
      </c>
      <c r="O151" s="45" t="n">
        <v>0.1244496470559275</v>
      </c>
      <c r="P151" s="46" t="n">
        <v>0.1103483050842702</v>
      </c>
      <c r="Q151" s="20" t="n">
        <v>85.42</v>
      </c>
      <c r="R151" s="20" t="n">
        <v>75.5</v>
      </c>
      <c r="S151" s="20" t="n">
        <v>81.45</v>
      </c>
      <c r="T151" s="44" t="n">
        <v>0.7692307692307693</v>
      </c>
      <c r="U151" s="44" t="n">
        <v>0.7837837837837838</v>
      </c>
      <c r="V151" s="46" t="n">
        <v>0.7916666666666666</v>
      </c>
      <c r="W151" s="20" t="n">
        <v>76.92307692307693</v>
      </c>
      <c r="X151" s="20" t="n">
        <v>79.16666666666666</v>
      </c>
      <c r="Y151" s="20" t="n">
        <v>77.81999999999999</v>
      </c>
      <c r="Z151" s="46" t="n">
        <v>0.004863171777118369</v>
      </c>
      <c r="AA151" s="44" t="n">
        <v>0.00533091362785687</v>
      </c>
      <c r="AB151" s="46" t="n">
        <v>0.00533091362785687</v>
      </c>
      <c r="AC151" s="20" t="n">
        <v>93.38</v>
      </c>
      <c r="AD151" s="91" t="n">
        <v>28.40951309019366</v>
      </c>
      <c r="AE151" s="46" t="n">
        <v>0.00533091362785687</v>
      </c>
      <c r="AF151" s="20" t="n">
        <v>20.69969854841417</v>
      </c>
      <c r="AG151" s="20" t="n">
        <v>93.70999999999999</v>
      </c>
      <c r="AH151" s="20" t="n">
        <v>97.79000000000001</v>
      </c>
      <c r="AI151" s="20" t="n">
        <v>95.34</v>
      </c>
      <c r="AJ151" s="46" t="n">
        <v>0.1195426395220311</v>
      </c>
      <c r="AK151" s="20" t="n">
        <v>100</v>
      </c>
      <c r="AL151" s="20" t="n">
        <v>84</v>
      </c>
      <c r="AM151" s="20" t="n">
        <v>80.36</v>
      </c>
      <c r="AN151" s="20" t="n">
        <v>93.38</v>
      </c>
      <c r="AO151" s="20" t="n">
        <v>95.34</v>
      </c>
      <c r="AP151" s="20" t="n">
        <v>100</v>
      </c>
      <c r="AQ151" s="92" t="n">
        <v>1</v>
      </c>
      <c r="AR151" s="20" t="n">
        <v>90.62011076923076</v>
      </c>
      <c r="AS151" s="20" t="n">
        <v>90.62</v>
      </c>
      <c r="AT151" s="49" t="n">
        <v>9</v>
      </c>
      <c r="AU151" s="50">
        <f>IF(I151="","管理人规模；","")&amp;IF(J151="","产品规模标识；","")&amp;IF(AND(F151&lt;3,O151=""),"R_incep；","")&amp;IF(N151="","近三年收益；","")&amp;IF(U151="","近三年胜率；","")&amp;IF(AND(V151&lt;&gt;"",OR(V151&lt;0,V151&gt;1)),"胜率窗口口径不一致；","")&amp;IF(AA151="","近三年回撤；","")&amp;IF(AD151="","短期卡玛；","")&amp;IF(AND(P151&lt;&gt;"",AE151=""),"DD_long不可识别；","")</f>
        <v/>
      </c>
      <c r="AV151" s="51" t="n">
        <v>90.62011076923076</v>
      </c>
      <c r="AW151" s="22" t="inlineStr">
        <is>
          <t>0-5亿元</t>
        </is>
      </c>
      <c r="AX151" s="22" t="inlineStr">
        <is>
          <t>2024-10-28</t>
        </is>
      </c>
      <c r="AY151" s="22" t="inlineStr">
        <is>
          <t>宁波祁腾投资管理有限公司</t>
        </is>
      </c>
      <c r="AZ151" s="22" t="inlineStr">
        <is>
          <t>2024-10-28</t>
        </is>
      </c>
      <c r="BA151" s="22" t="inlineStr">
        <is>
          <t>https://gs.amac.org.cn/amac-infodisc/res/pof/manager/1809041559102185.html</t>
        </is>
      </c>
      <c r="BB151" s="22" t="inlineStr">
        <is>
          <t>祁腾蜂赢1号私募证券投资基金</t>
        </is>
      </c>
      <c r="BC151" s="22" t="inlineStr">
        <is>
          <t>2025-04-22</t>
        </is>
      </c>
      <c r="BD151" s="22" t="inlineStr">
        <is>
          <t>已匹配</t>
        </is>
      </c>
      <c r="BE151" t="inlineStr">
        <is>
          <t>https://gs.amac.org.cn/amac-infodisc/res/pof/fund/1902010925104002.html</t>
        </is>
      </c>
      <c r="BF151" t="inlineStr">
        <is>
          <t>已核验</t>
        </is>
      </c>
    </row>
    <row r="152" hidden="1" ht="28" customHeight="1" s="73">
      <c r="A152" s="2" t="n">
        <v>136</v>
      </c>
      <c r="B152" s="18" t="inlineStr">
        <is>
          <t>殊馥馥源套利1号</t>
        </is>
      </c>
      <c r="C152" s="18">
        <f>'sheet4-原始数据'!B137</f>
        <v/>
      </c>
      <c r="D152" s="18" t="inlineStr">
        <is>
          <t>上海殊馥投资</t>
        </is>
      </c>
      <c r="E152" s="90" t="inlineStr">
        <is>
          <t>2019-04-30</t>
        </is>
      </c>
      <c r="F152" s="20" t="n">
        <v>7.3785</v>
      </c>
      <c r="G152" s="2">
        <f>IF(F152="","",IF(F152&lt;1,"不入池","入池"))</f>
        <v/>
      </c>
      <c r="H152" s="42" t="inlineStr">
        <is>
          <t>10-20亿元</t>
        </is>
      </c>
      <c r="I152" s="20" t="n">
        <v>80</v>
      </c>
      <c r="J152" s="43" t="inlineStr">
        <is>
          <t>无低于1000万元标识</t>
        </is>
      </c>
      <c r="K152" s="20" t="n">
        <v>100</v>
      </c>
      <c r="L152" s="20" t="n">
        <v>100</v>
      </c>
      <c r="M152" s="44" t="n">
        <v>0.0922</v>
      </c>
      <c r="N152" s="44" t="n">
        <v>0.0677</v>
      </c>
      <c r="O152" s="45" t="n"/>
      <c r="P152" s="46" t="n">
        <v>0.05565686911923384</v>
      </c>
      <c r="Q152" s="20" t="n">
        <v>74.31</v>
      </c>
      <c r="R152" s="20" t="n">
        <v>44</v>
      </c>
      <c r="S152" s="20" t="n">
        <v>62.19</v>
      </c>
      <c r="T152" s="44" t="n">
        <v>0.9231</v>
      </c>
      <c r="U152" s="44" t="n">
        <v>0.7837999999999999</v>
      </c>
      <c r="V152" s="46" t="n">
        <v>0.7083458333333331</v>
      </c>
      <c r="W152" s="20" t="n">
        <v>92.31</v>
      </c>
      <c r="X152" s="20" t="n">
        <v>70.83458333333331</v>
      </c>
      <c r="Y152" s="20" t="n">
        <v>83.72</v>
      </c>
      <c r="Z152" s="46" t="n">
        <v>0.008726102593223548</v>
      </c>
      <c r="AA152" s="44" t="n">
        <v>0.05019999999999999</v>
      </c>
      <c r="AB152" s="46" t="n">
        <v>0.05019999999999999</v>
      </c>
      <c r="AC152" s="20" t="n">
        <v>44.95</v>
      </c>
      <c r="AD152" s="91" t="n">
        <v>10.566</v>
      </c>
      <c r="AE152" s="46" t="n">
        <v>0.05019999999999999</v>
      </c>
      <c r="AF152" s="20" t="n">
        <v>1.108702572096292</v>
      </c>
      <c r="AG152" s="20" t="n">
        <v>82.17</v>
      </c>
      <c r="AH152" s="20" t="n">
        <v>46.32</v>
      </c>
      <c r="AI152" s="20" t="n">
        <v>67.83</v>
      </c>
      <c r="AJ152" s="46" t="n">
        <v>0.0677</v>
      </c>
      <c r="AK152" s="20" t="n">
        <v>100</v>
      </c>
      <c r="AL152" s="20" t="n">
        <v>92</v>
      </c>
      <c r="AM152" s="20" t="n">
        <v>68.65000000000001</v>
      </c>
      <c r="AN152" s="20" t="n">
        <v>44.95</v>
      </c>
      <c r="AO152" s="20" t="n">
        <v>67.83</v>
      </c>
      <c r="AP152" s="20" t="n">
        <v>100</v>
      </c>
      <c r="AQ152" s="92" t="n">
        <v>1</v>
      </c>
      <c r="AR152" s="20" t="n">
        <v>69.11573</v>
      </c>
      <c r="AS152" s="20" t="n">
        <v>69.12</v>
      </c>
      <c r="AT152" s="49" t="n">
        <v>129</v>
      </c>
      <c r="AU152" s="50">
        <f>IF(I152="","管理人规模；","")&amp;IF(J152="","产品规模标识；","")&amp;IF(AND(F152&lt;3,O152=""),"R_incep；","")&amp;IF(N152="","近三年收益；","")&amp;IF(U152="","近三年胜率；","")&amp;IF(AND(V152&lt;&gt;"",OR(V152&lt;0,V152&gt;1)),"胜率窗口口径不一致；","")&amp;IF(AA152="","近三年回撤；","")&amp;IF(AD152="","短期卡玛；","")&amp;IF(AND(P152&lt;&gt;"",AE152=""),"DD_long不可识别；","")</f>
        <v/>
      </c>
      <c r="AV152" s="51" t="n">
        <v>69.11573</v>
      </c>
      <c r="AW152" s="22" t="inlineStr">
        <is>
          <t>10-20亿元</t>
        </is>
      </c>
      <c r="AX152" s="22" t="inlineStr">
        <is>
          <t>2026-06-29</t>
        </is>
      </c>
      <c r="AY152" s="22" t="inlineStr">
        <is>
          <t>上海殊馥投资管理有限公司</t>
        </is>
      </c>
      <c r="AZ152" s="22" t="inlineStr">
        <is>
          <t>2026-06-29</t>
        </is>
      </c>
      <c r="BA152" s="22" t="inlineStr">
        <is>
          <t>https://gs.amac.org.cn/amac-infodisc/res/pof/manager/101000042776.html</t>
        </is>
      </c>
      <c r="BB152" s="22" t="inlineStr">
        <is>
          <t>殊馥馥源套利1号私募证券投资基金</t>
        </is>
      </c>
      <c r="BC152" s="22" t="inlineStr">
        <is>
          <t>2024-09-20</t>
        </is>
      </c>
      <c r="BD152" s="22" t="inlineStr">
        <is>
          <t>已匹配</t>
        </is>
      </c>
      <c r="BE152" t="inlineStr">
        <is>
          <t>https://gs.amac.org.cn/amac-infodisc/res/pof/fund/1905151920101338.html</t>
        </is>
      </c>
      <c r="BF152" t="inlineStr">
        <is>
          <t>已核验</t>
        </is>
      </c>
    </row>
    <row r="153" hidden="1" ht="28" customHeight="1" s="73">
      <c r="A153" s="2" t="n">
        <v>137</v>
      </c>
      <c r="B153" s="18" t="inlineStr">
        <is>
          <t>杉阳云杉混合1号</t>
        </is>
      </c>
      <c r="C153" s="18">
        <f>'sheet4-原始数据'!B138</f>
        <v/>
      </c>
      <c r="D153" s="18" t="inlineStr">
        <is>
          <t>上海杉阳</t>
        </is>
      </c>
      <c r="E153" s="90" t="inlineStr">
        <is>
          <t>2020-05-29</t>
        </is>
      </c>
      <c r="F153" s="20" t="n">
        <v>6.2971</v>
      </c>
      <c r="G153" s="2">
        <f>IF(F153="","",IF(F153&lt;1,"不入池","入池"))</f>
        <v/>
      </c>
      <c r="H153" s="42" t="inlineStr">
        <is>
          <t>0-5亿元</t>
        </is>
      </c>
      <c r="I153" s="20" t="n">
        <v>60</v>
      </c>
      <c r="J153" s="43" t="inlineStr">
        <is>
          <t>无低于1000万元标识</t>
        </is>
      </c>
      <c r="K153" s="20" t="n">
        <v>100</v>
      </c>
      <c r="L153" s="20" t="n">
        <v>100</v>
      </c>
      <c r="M153" s="44" t="n">
        <v>0.07969999999999999</v>
      </c>
      <c r="N153" s="44" t="n">
        <v>0.04559999999999999</v>
      </c>
      <c r="O153" s="45" t="n"/>
      <c r="P153" s="46" t="n">
        <v>0.02895601711131413</v>
      </c>
      <c r="Q153" s="20" t="n">
        <v>66.67</v>
      </c>
      <c r="R153" s="20" t="n">
        <v>15</v>
      </c>
      <c r="S153" s="20" t="n">
        <v>46</v>
      </c>
      <c r="T153" s="44" t="n">
        <v>0.8462000000000001</v>
      </c>
      <c r="U153" s="44" t="n">
        <v>0.7297</v>
      </c>
      <c r="V153" s="46" t="n">
        <v>0.6665958333333333</v>
      </c>
      <c r="W153" s="20" t="n">
        <v>84.62</v>
      </c>
      <c r="X153" s="20" t="n">
        <v>66.65958333333333</v>
      </c>
      <c r="Y153" s="20" t="n">
        <v>77.44</v>
      </c>
      <c r="Z153" s="46" t="n">
        <v>0.004852063801290636</v>
      </c>
      <c r="AA153" s="44" t="n">
        <v>0.03</v>
      </c>
      <c r="AB153" s="46" t="n">
        <v>0.03</v>
      </c>
      <c r="AC153" s="20" t="n">
        <v>58.54</v>
      </c>
      <c r="AD153" s="91" t="n">
        <v>16.426</v>
      </c>
      <c r="AE153" s="46" t="n">
        <v>0.03</v>
      </c>
      <c r="AF153" s="20" t="n">
        <v>0.9652005703771376</v>
      </c>
      <c r="AG153" s="20" t="n">
        <v>89.16</v>
      </c>
      <c r="AH153" s="20" t="n">
        <v>40.44</v>
      </c>
      <c r="AI153" s="20" t="n">
        <v>69.67</v>
      </c>
      <c r="AJ153" s="46" t="n">
        <v>0.04559999999999999</v>
      </c>
      <c r="AK153" s="20" t="n">
        <v>100</v>
      </c>
      <c r="AL153" s="20" t="n">
        <v>84</v>
      </c>
      <c r="AM153" s="20" t="n">
        <v>55.43</v>
      </c>
      <c r="AN153" s="20" t="n">
        <v>58.54</v>
      </c>
      <c r="AO153" s="20" t="n">
        <v>69.67</v>
      </c>
      <c r="AP153" s="20" t="n">
        <v>100</v>
      </c>
      <c r="AQ153" s="92" t="n">
        <v>1</v>
      </c>
      <c r="AR153" s="20" t="n">
        <v>69.22302999999999</v>
      </c>
      <c r="AS153" s="20" t="n">
        <v>69.22</v>
      </c>
      <c r="AT153" s="49" t="n">
        <v>127</v>
      </c>
      <c r="AU153" s="50">
        <f>IF(I153="","管理人规模；","")&amp;IF(J153="","产品规模标识；","")&amp;IF(AND(F153&lt;3,O153=""),"R_incep；","")&amp;IF(N153="","近三年收益；","")&amp;IF(U153="","近三年胜率；","")&amp;IF(AND(V153&lt;&gt;"",OR(V153&lt;0,V153&gt;1)),"胜率窗口口径不一致；","")&amp;IF(AA153="","近三年回撤；","")&amp;IF(AD153="","短期卡玛；","")&amp;IF(AND(P153&lt;&gt;"",AE153=""),"DD_long不可识别；","")</f>
        <v/>
      </c>
      <c r="AV153" s="51" t="n">
        <v>69.22302999999999</v>
      </c>
      <c r="AW153" s="22" t="inlineStr">
        <is>
          <t>0-5亿元</t>
        </is>
      </c>
      <c r="AX153" s="22" t="inlineStr">
        <is>
          <t>2026-05-06</t>
        </is>
      </c>
      <c r="AY153" s="22" t="inlineStr">
        <is>
          <t>上海杉阳私募基金管理有限公司</t>
        </is>
      </c>
      <c r="AZ153" s="22" t="inlineStr">
        <is>
          <t>2026-05-06</t>
        </is>
      </c>
      <c r="BA153" s="22" t="inlineStr">
        <is>
          <t>https://gs.amac.org.cn/amac-infodisc/res/pof/manager/2001061547104837.html</t>
        </is>
      </c>
      <c r="BB153" s="22" t="inlineStr">
        <is>
          <t>杉阳云杉混合1号私募证券投资基金</t>
        </is>
      </c>
      <c r="BC153" s="22" t="inlineStr">
        <is>
          <t>2025-07-17</t>
        </is>
      </c>
      <c r="BD153" s="22" t="inlineStr">
        <is>
          <t>已匹配</t>
        </is>
      </c>
      <c r="BE153" t="inlineStr">
        <is>
          <t>https://gs.amac.org.cn/amac-infodisc/res/pof/fund/2006011729109166.html</t>
        </is>
      </c>
      <c r="BF153" t="inlineStr">
        <is>
          <t>已核验</t>
        </is>
      </c>
    </row>
    <row r="154" hidden="1" ht="28" customHeight="1" s="73">
      <c r="A154" s="2" t="n">
        <v>138</v>
      </c>
      <c r="B154" s="18" t="inlineStr">
        <is>
          <t>申毅格物22号</t>
        </is>
      </c>
      <c r="C154" s="18">
        <f>'sheet4-原始数据'!B139</f>
        <v/>
      </c>
      <c r="D154" s="18" t="inlineStr">
        <is>
          <t>上海申毅投资</t>
        </is>
      </c>
      <c r="E154" s="90" t="inlineStr">
        <is>
          <t>2020-07-14</t>
        </is>
      </c>
      <c r="F154" s="20" t="n">
        <v>6.1711</v>
      </c>
      <c r="G154" s="2">
        <f>IF(F154="","",IF(F154&lt;1,"不入池","入池"))</f>
        <v/>
      </c>
      <c r="H154" s="42" t="inlineStr">
        <is>
          <t>100亿元以上</t>
        </is>
      </c>
      <c r="I154" s="20" t="n">
        <v>100</v>
      </c>
      <c r="J154" s="43" t="inlineStr">
        <is>
          <t>无低于1000万元标识</t>
        </is>
      </c>
      <c r="K154" s="20" t="n">
        <v>100</v>
      </c>
      <c r="L154" s="20" t="n">
        <v>100</v>
      </c>
      <c r="M154" s="44" t="n">
        <v>0.06320000000000001</v>
      </c>
      <c r="N154" s="44" t="n">
        <v>0.09669999999999999</v>
      </c>
      <c r="O154" s="45" t="n"/>
      <c r="P154" s="46" t="n">
        <v>0.1138437729708628</v>
      </c>
      <c r="Q154" s="20" t="n">
        <v>54.34</v>
      </c>
      <c r="R154" s="20" t="n">
        <v>78.5</v>
      </c>
      <c r="S154" s="20" t="n">
        <v>64</v>
      </c>
      <c r="T154" s="44" t="n">
        <v>0.5385</v>
      </c>
      <c r="U154" s="44" t="n">
        <v>0.6757</v>
      </c>
      <c r="V154" s="46" t="n">
        <v>0.7500166666666667</v>
      </c>
      <c r="W154" s="20" t="n">
        <v>53.84999999999999</v>
      </c>
      <c r="X154" s="20" t="n">
        <v>75.00166666666667</v>
      </c>
      <c r="Y154" s="20" t="n">
        <v>62.31</v>
      </c>
      <c r="Z154" s="46" t="n">
        <v>0.03715243078008348</v>
      </c>
      <c r="AA154" s="44" t="n">
        <v>0.1318</v>
      </c>
      <c r="AB154" s="46" t="n">
        <v>0.1318</v>
      </c>
      <c r="AC154" s="20" t="n">
        <v>18.47</v>
      </c>
      <c r="AD154" s="91" t="n">
        <v>1.7011</v>
      </c>
      <c r="AE154" s="46" t="n">
        <v>0.1318</v>
      </c>
      <c r="AF154" s="20" t="n">
        <v>0.8637615551658785</v>
      </c>
      <c r="AG154" s="20" t="n">
        <v>43.71</v>
      </c>
      <c r="AH154" s="20" t="n">
        <v>35.29</v>
      </c>
      <c r="AI154" s="20" t="n">
        <v>40.34</v>
      </c>
      <c r="AJ154" s="46" t="n">
        <v>0.09669999999999999</v>
      </c>
      <c r="AK154" s="20" t="n">
        <v>80</v>
      </c>
      <c r="AL154" s="20" t="n">
        <v>100</v>
      </c>
      <c r="AM154" s="20" t="n">
        <v>63.5</v>
      </c>
      <c r="AN154" s="20" t="n">
        <v>18.47</v>
      </c>
      <c r="AO154" s="20" t="n">
        <v>40.34</v>
      </c>
      <c r="AP154" s="20" t="n">
        <v>80</v>
      </c>
      <c r="AQ154" s="92" t="n">
        <v>1</v>
      </c>
      <c r="AR154" s="20" t="n">
        <v>52.4193</v>
      </c>
      <c r="AS154" s="20" t="n">
        <v>52.42</v>
      </c>
      <c r="AT154" s="49" t="n">
        <v>209</v>
      </c>
      <c r="AU154" s="50">
        <f>IF(I154="","管理人规模；","")&amp;IF(J154="","产品规模标识；","")&amp;IF(AND(F154&lt;3,O154=""),"R_incep；","")&amp;IF(N154="","近三年收益；","")&amp;IF(U154="","近三年胜率；","")&amp;IF(AND(V154&lt;&gt;"",OR(V154&lt;0,V154&gt;1)),"胜率窗口口径不一致；","")&amp;IF(AA154="","近三年回撤；","")&amp;IF(AD154="","短期卡玛；","")&amp;IF(AND(P154&lt;&gt;"",AE154=""),"DD_long不可识别；","")</f>
        <v/>
      </c>
      <c r="AV154" s="51" t="n">
        <v>52.4193</v>
      </c>
      <c r="AW154" s="22" t="inlineStr">
        <is>
          <t>100亿元以上</t>
        </is>
      </c>
      <c r="AX154" s="22" t="inlineStr">
        <is>
          <t>2026-04-28</t>
        </is>
      </c>
      <c r="AY154" s="22" t="inlineStr">
        <is>
          <t>上海申毅投资股份有限公司</t>
        </is>
      </c>
      <c r="AZ154" s="22" t="inlineStr">
        <is>
          <t>2026-04-28</t>
        </is>
      </c>
      <c r="BA154" s="22" t="inlineStr">
        <is>
          <t>https://gs.amac.org.cn/amac-infodisc/res/pof/manager/101000000870.html</t>
        </is>
      </c>
      <c r="BB154" s="22" t="inlineStr">
        <is>
          <t>申毅格物22号私募证券投资基金</t>
        </is>
      </c>
      <c r="BC154" s="22" t="inlineStr">
        <is>
          <t>2026-06-01</t>
        </is>
      </c>
      <c r="BD154" s="22" t="inlineStr">
        <is>
          <t>已匹配</t>
        </is>
      </c>
      <c r="BE154" t="inlineStr">
        <is>
          <t>https://gs.amac.org.cn/amac-infodisc/res/pof/fund/2007131911107433.html</t>
        </is>
      </c>
      <c r="BF154" t="inlineStr">
        <is>
          <t>已核验</t>
        </is>
      </c>
    </row>
    <row r="155" hidden="1" ht="28" customHeight="1" s="73">
      <c r="A155" s="2" t="n">
        <v>139</v>
      </c>
      <c r="B155" s="18" t="inlineStr">
        <is>
          <t>鹿秀驯鹿5号</t>
        </is>
      </c>
      <c r="C155" s="18">
        <f>'sheet4-原始数据'!B140</f>
        <v/>
      </c>
      <c r="D155" s="18" t="inlineStr">
        <is>
          <t>青岛鹿秀投资</t>
        </is>
      </c>
      <c r="E155" s="90" t="inlineStr">
        <is>
          <t>2020-08-31</t>
        </is>
      </c>
      <c r="F155" s="20" t="n">
        <v>6.0397</v>
      </c>
      <c r="G155" s="2">
        <f>IF(F155="","",IF(F155&lt;1,"不入池","入池"))</f>
        <v/>
      </c>
      <c r="H155" s="42" t="inlineStr">
        <is>
          <t>50-100亿元</t>
        </is>
      </c>
      <c r="I155" s="20" t="n">
        <v>90</v>
      </c>
      <c r="J155" s="43" t="inlineStr">
        <is>
          <t>无低于1000万元标识</t>
        </is>
      </c>
      <c r="K155" s="20" t="n">
        <v>100</v>
      </c>
      <c r="L155" s="20" t="n">
        <v>100</v>
      </c>
      <c r="M155" s="44" t="n">
        <v>-0.4218</v>
      </c>
      <c r="N155" s="44" t="n">
        <v>-0.1882</v>
      </c>
      <c r="O155" s="45" t="n"/>
      <c r="P155" s="46" t="n">
        <v>-0.03808980702114206</v>
      </c>
      <c r="Q155" s="20" t="n">
        <v>0</v>
      </c>
      <c r="R155" s="20" t="n">
        <v>1</v>
      </c>
      <c r="S155" s="20" t="n">
        <v>0.4</v>
      </c>
      <c r="T155" s="44" t="n">
        <v>0.4615</v>
      </c>
      <c r="U155" s="44" t="n">
        <v>0.3784</v>
      </c>
      <c r="V155" s="46" t="n">
        <v>0.3333875</v>
      </c>
      <c r="W155" s="20" t="n">
        <v>46.15</v>
      </c>
      <c r="X155" s="20" t="n">
        <v>33.33875</v>
      </c>
      <c r="Y155" s="20" t="n">
        <v>41.03</v>
      </c>
      <c r="Z155" s="46" t="n">
        <v>0.4991125310614129</v>
      </c>
      <c r="AA155" s="44" t="n">
        <v>0.5484</v>
      </c>
      <c r="AB155" s="46" t="n">
        <v>0.5484</v>
      </c>
      <c r="AC155" s="20" t="n">
        <v>0.35</v>
      </c>
      <c r="AD155" s="91" t="n">
        <v>-0.8451</v>
      </c>
      <c r="AE155" s="46" t="n">
        <v>0.5484</v>
      </c>
      <c r="AF155" s="20" t="n">
        <v>-0.06945624912680902</v>
      </c>
      <c r="AG155" s="20" t="n">
        <v>1.4</v>
      </c>
      <c r="AH155" s="20" t="n">
        <v>4.41</v>
      </c>
      <c r="AI155" s="20" t="n">
        <v>2.6</v>
      </c>
      <c r="AJ155" s="46" t="n">
        <v>-0.1882</v>
      </c>
      <c r="AK155" s="20" t="n">
        <v>60</v>
      </c>
      <c r="AL155" s="20" t="n">
        <v>96</v>
      </c>
      <c r="AM155" s="20" t="n">
        <v>12.59</v>
      </c>
      <c r="AN155" s="20" t="n">
        <v>0.35</v>
      </c>
      <c r="AO155" s="20" t="n">
        <v>2.6</v>
      </c>
      <c r="AP155" s="20" t="n">
        <v>60</v>
      </c>
      <c r="AQ155" s="92" t="n">
        <v>1</v>
      </c>
      <c r="AR155" s="20" t="n">
        <v>23.78623</v>
      </c>
      <c r="AS155" s="20" t="n">
        <v>23.79</v>
      </c>
      <c r="AT155" s="49" t="n">
        <v>309</v>
      </c>
      <c r="AU155" s="50">
        <f>IF(I155="","管理人规模；","")&amp;IF(J155="","产品规模标识；","")&amp;IF(AND(F155&lt;3,O155=""),"R_incep；","")&amp;IF(N155="","近三年收益；","")&amp;IF(U155="","近三年胜率；","")&amp;IF(AND(V155&lt;&gt;"",OR(V155&lt;0,V155&gt;1)),"胜率窗口口径不一致；","")&amp;IF(AA155="","近三年回撤；","")&amp;IF(AD155="","短期卡玛；","")&amp;IF(AND(P155&lt;&gt;"",AE155=""),"DD_long不可识别；","")</f>
        <v/>
      </c>
      <c r="AV155" s="51" t="n">
        <v>23.78623</v>
      </c>
      <c r="AW155" s="22" t="inlineStr">
        <is>
          <t>50-100亿元</t>
        </is>
      </c>
      <c r="AX155" s="22" t="inlineStr">
        <is>
          <t>2025-01-10</t>
        </is>
      </c>
      <c r="AY155" s="22" t="inlineStr">
        <is>
          <t>青岛鹿秀投资管理有限公司</t>
        </is>
      </c>
      <c r="AZ155" s="22" t="inlineStr">
        <is>
          <t>2025-01-10</t>
        </is>
      </c>
      <c r="BA155" s="22" t="inlineStr">
        <is>
          <t>https://gs.amac.org.cn/amac-infodisc/res/pof/manager/1612231708101923.html</t>
        </is>
      </c>
      <c r="BB155" s="22" t="inlineStr">
        <is>
          <t>鹿秀驯鹿5号私募证券投资基金</t>
        </is>
      </c>
      <c r="BC155" s="22" t="inlineStr">
        <is>
          <t>2025-07-01</t>
        </is>
      </c>
      <c r="BD155" s="22" t="inlineStr">
        <is>
          <t>已匹配</t>
        </is>
      </c>
      <c r="BE155" t="inlineStr">
        <is>
          <t>https://gs.amac.org.cn/amac-infodisc/res/pof/fund/2008311029109749.html</t>
        </is>
      </c>
      <c r="BF155" t="inlineStr">
        <is>
          <t>已核验</t>
        </is>
      </c>
    </row>
    <row r="156" hidden="1" ht="28" customHeight="1" s="73">
      <c r="A156" s="2" t="n">
        <v>140</v>
      </c>
      <c r="B156" s="18" t="inlineStr">
        <is>
          <t>鹿秀驯鹿10号</t>
        </is>
      </c>
      <c r="C156" s="18">
        <f>'sheet4-原始数据'!B141</f>
        <v/>
      </c>
      <c r="D156" s="18" t="inlineStr">
        <is>
          <t>青岛鹿秀投资</t>
        </is>
      </c>
      <c r="E156" s="90" t="inlineStr">
        <is>
          <t>2020-12-09</t>
        </is>
      </c>
      <c r="F156" s="20" t="n">
        <v>5.7659</v>
      </c>
      <c r="G156" s="2">
        <f>IF(F156="","",IF(F156&lt;1,"不入池","入池"))</f>
        <v/>
      </c>
      <c r="H156" s="42" t="inlineStr">
        <is>
          <t>50-100亿元</t>
        </is>
      </c>
      <c r="I156" s="20" t="n">
        <v>90</v>
      </c>
      <c r="J156" s="43" t="inlineStr">
        <is>
          <t>无低于1000万元标识</t>
        </is>
      </c>
      <c r="K156" s="20" t="n">
        <v>100</v>
      </c>
      <c r="L156" s="20" t="n">
        <v>100</v>
      </c>
      <c r="M156" s="44" t="n">
        <v>0.5082</v>
      </c>
      <c r="N156" s="44" t="n">
        <v>0.3293</v>
      </c>
      <c r="O156" s="45" t="n"/>
      <c r="P156" s="46" t="n">
        <v>0.2479725673853677</v>
      </c>
      <c r="Q156" s="20" t="n">
        <v>98.95999999999999</v>
      </c>
      <c r="R156" s="20" t="n">
        <v>96.5</v>
      </c>
      <c r="S156" s="20" t="n">
        <v>97.98</v>
      </c>
      <c r="T156" s="44" t="n">
        <v>0.6153999999999999</v>
      </c>
      <c r="U156" s="44" t="n">
        <v>0.6757</v>
      </c>
      <c r="V156" s="46" t="n">
        <v>0.7083624999999999</v>
      </c>
      <c r="W156" s="20" t="n">
        <v>61.53999999999999</v>
      </c>
      <c r="X156" s="20" t="n">
        <v>70.83624999999999</v>
      </c>
      <c r="Y156" s="20" t="n">
        <v>65.26000000000001</v>
      </c>
      <c r="Z156" s="46" t="n">
        <v>0.2926070935052971</v>
      </c>
      <c r="AA156" s="44" t="n">
        <v>0.2926</v>
      </c>
      <c r="AB156" s="46" t="n">
        <v>0.2926070935052971</v>
      </c>
      <c r="AC156" s="20" t="n">
        <v>4.53</v>
      </c>
      <c r="AD156" s="91" t="n">
        <v>1.7368</v>
      </c>
      <c r="AE156" s="46" t="n"/>
      <c r="AF156" s="20" t="n"/>
      <c r="AG156" s="20" t="n">
        <v>44.06</v>
      </c>
      <c r="AH156" s="20" t="n"/>
      <c r="AI156" s="20" t="n">
        <v>44.06</v>
      </c>
      <c r="AJ156" s="46" t="n">
        <v>0.3293</v>
      </c>
      <c r="AK156" s="20" t="n">
        <v>100</v>
      </c>
      <c r="AL156" s="20" t="n">
        <v>96</v>
      </c>
      <c r="AM156" s="20" t="n">
        <v>88.16</v>
      </c>
      <c r="AN156" s="20" t="n">
        <v>4.53</v>
      </c>
      <c r="AO156" s="20" t="n">
        <v>44.06</v>
      </c>
      <c r="AP156" s="20" t="n">
        <v>100</v>
      </c>
      <c r="AQ156" s="92" t="n">
        <v>0.88</v>
      </c>
      <c r="AR156" s="20" t="n">
        <v>51.09545</v>
      </c>
      <c r="AS156" s="20" t="n">
        <v>58.06</v>
      </c>
      <c r="AT156" s="49" t="n">
        <v>181</v>
      </c>
      <c r="AU156" s="50">
        <f>IF(I156="","管理人规模；","")&amp;IF(J156="","产品规模标识；","")&amp;IF(AND(F156&lt;3,O156=""),"R_incep；","")&amp;IF(N156="","近三年收益；","")&amp;IF(U156="","近三年胜率；","")&amp;IF(AND(V156&lt;&gt;"",OR(V156&lt;0,V156&gt;1)),"胜率窗口口径不一致；","")&amp;IF(AA156="","近三年回撤；","")&amp;IF(AD156="","短期卡玛；","")&amp;IF(AND(P156&lt;&gt;"",AE156=""),"DD_long不可识别；","")</f>
        <v/>
      </c>
      <c r="AV156" s="51" t="n"/>
      <c r="AW156" s="22" t="inlineStr">
        <is>
          <t>50-100亿元</t>
        </is>
      </c>
      <c r="AX156" s="22" t="inlineStr">
        <is>
          <t>2025-01-10</t>
        </is>
      </c>
      <c r="AY156" s="22" t="inlineStr">
        <is>
          <t>青岛鹿秀投资管理有限公司</t>
        </is>
      </c>
      <c r="AZ156" s="22" t="inlineStr">
        <is>
          <t>2025-01-10</t>
        </is>
      </c>
      <c r="BA156" s="22" t="inlineStr">
        <is>
          <t>https://gs.amac.org.cn/amac-infodisc/res/pof/manager/1612231708101923.html</t>
        </is>
      </c>
      <c r="BB156" s="22" t="inlineStr">
        <is>
          <t>鹿秀驯鹿10号私募证券投资基金</t>
        </is>
      </c>
      <c r="BC156" s="22" t="inlineStr">
        <is>
          <t>2023-07-17</t>
        </is>
      </c>
      <c r="BD156" s="22" t="inlineStr">
        <is>
          <t>已匹配</t>
        </is>
      </c>
      <c r="BE156" t="inlineStr">
        <is>
          <t>https://gs.amac.org.cn/amac-infodisc/res/pof/fund/2012081718105854.html</t>
        </is>
      </c>
      <c r="BF156" t="inlineStr">
        <is>
          <t>已核验</t>
        </is>
      </c>
    </row>
    <row r="157" hidden="1" ht="28" customHeight="1" s="73">
      <c r="A157" s="2" t="n">
        <v>141</v>
      </c>
      <c r="B157" s="18" t="inlineStr">
        <is>
          <t>九招真格量化套利一号</t>
        </is>
      </c>
      <c r="C157" s="18">
        <f>'sheet4-原始数据'!B142</f>
        <v/>
      </c>
      <c r="D157" s="18" t="inlineStr">
        <is>
          <t>武汉九招</t>
        </is>
      </c>
      <c r="E157" s="90" t="inlineStr">
        <is>
          <t>2021-03-16</t>
        </is>
      </c>
      <c r="F157" s="20" t="n">
        <v>5.5003</v>
      </c>
      <c r="G157" s="2">
        <f>IF(F157="","",IF(F157&lt;1,"不入池","入池"))</f>
        <v/>
      </c>
      <c r="H157" s="42" t="inlineStr">
        <is>
          <t>5-10亿元</t>
        </is>
      </c>
      <c r="I157" s="20" t="n">
        <v>70</v>
      </c>
      <c r="J157" s="43" t="inlineStr">
        <is>
          <t>无低于1000万元标识</t>
        </is>
      </c>
      <c r="K157" s="20" t="n">
        <v>100</v>
      </c>
      <c r="L157" s="20" t="n">
        <v>100</v>
      </c>
      <c r="M157" s="44" t="n">
        <v>0.1466</v>
      </c>
      <c r="N157" s="44" t="n">
        <v>0.1381</v>
      </c>
      <c r="O157" s="45" t="n"/>
      <c r="P157" s="46" t="n">
        <v>0.1338736589209277</v>
      </c>
      <c r="Q157" s="20" t="n">
        <v>87.15000000000001</v>
      </c>
      <c r="R157" s="20" t="n">
        <v>86</v>
      </c>
      <c r="S157" s="20" t="n">
        <v>86.69</v>
      </c>
      <c r="T157" s="44" t="n">
        <v>1</v>
      </c>
      <c r="U157" s="44" t="n">
        <v>0.8919</v>
      </c>
      <c r="V157" s="46" t="n">
        <v>0.8333458333333335</v>
      </c>
      <c r="W157" s="20" t="n">
        <v>100</v>
      </c>
      <c r="X157" s="20" t="n">
        <v>83.33458333333334</v>
      </c>
      <c r="Y157" s="20" t="n">
        <v>93.33</v>
      </c>
      <c r="Z157" s="46" t="n">
        <v>0.004746056823185103</v>
      </c>
      <c r="AA157" s="44" t="n">
        <v>0.0249</v>
      </c>
      <c r="AB157" s="46" t="n">
        <v>0.0249</v>
      </c>
      <c r="AC157" s="20" t="n">
        <v>66.90000000000001</v>
      </c>
      <c r="AD157" s="91" t="n">
        <v>30.8888</v>
      </c>
      <c r="AE157" s="46" t="n">
        <v>0.0249</v>
      </c>
      <c r="AF157" s="20" t="n">
        <v>5.376452165499106</v>
      </c>
      <c r="AG157" s="20" t="n">
        <v>94.41</v>
      </c>
      <c r="AH157" s="20" t="n">
        <v>86.76000000000001</v>
      </c>
      <c r="AI157" s="20" t="n">
        <v>91.34999999999999</v>
      </c>
      <c r="AJ157" s="46" t="n">
        <v>0.1381</v>
      </c>
      <c r="AK157" s="20" t="n">
        <v>100</v>
      </c>
      <c r="AL157" s="20" t="n">
        <v>88</v>
      </c>
      <c r="AM157" s="20" t="n">
        <v>88.68000000000001</v>
      </c>
      <c r="AN157" s="20" t="n">
        <v>66.90000000000001</v>
      </c>
      <c r="AO157" s="20" t="n">
        <v>91.34999999999999</v>
      </c>
      <c r="AP157" s="20" t="n">
        <v>100</v>
      </c>
      <c r="AQ157" s="92" t="n">
        <v>1</v>
      </c>
      <c r="AR157" s="20" t="n">
        <v>85.06663</v>
      </c>
      <c r="AS157" s="20" t="n">
        <v>85.06999999999999</v>
      </c>
      <c r="AT157" s="49" t="n">
        <v>30</v>
      </c>
      <c r="AU157" s="50">
        <f>IF(I157="","管理人规模；","")&amp;IF(J157="","产品规模标识；","")&amp;IF(AND(F157&lt;3,O157=""),"R_incep；","")&amp;IF(N157="","近三年收益；","")&amp;IF(U157="","近三年胜率；","")&amp;IF(AND(V157&lt;&gt;"",OR(V157&lt;0,V157&gt;1)),"胜率窗口口径不一致；","")&amp;IF(AA157="","近三年回撤；","")&amp;IF(AD157="","短期卡玛；","")&amp;IF(AND(P157&lt;&gt;"",AE157=""),"DD_long不可识别；","")</f>
        <v/>
      </c>
      <c r="AV157" s="51" t="n">
        <v>85.06663</v>
      </c>
      <c r="AW157" s="22" t="inlineStr">
        <is>
          <t>5-10亿元</t>
        </is>
      </c>
      <c r="AX157" s="22" t="inlineStr">
        <is>
          <t>2026-07-21</t>
        </is>
      </c>
      <c r="AY157" s="22" t="inlineStr">
        <is>
          <t>武汉九招私募基金管理有限公司</t>
        </is>
      </c>
      <c r="AZ157" s="22" t="inlineStr">
        <is>
          <t>2026-07-21</t>
        </is>
      </c>
      <c r="BA157" s="22" t="inlineStr">
        <is>
          <t>https://gs.amac.org.cn/amac-infodisc/res/pof/manager/2301051740101642.html</t>
        </is>
      </c>
      <c r="BB157" s="22" t="inlineStr">
        <is>
          <t>九招真格量化套利一号私募证券投资基金</t>
        </is>
      </c>
      <c r="BC157" s="22" t="inlineStr">
        <is>
          <t>2025-07-21</t>
        </is>
      </c>
      <c r="BD157" s="22" t="inlineStr">
        <is>
          <t>已匹配</t>
        </is>
      </c>
      <c r="BE157" t="inlineStr">
        <is>
          <t>https://gs.amac.org.cn/amac-infodisc/res/pof/fund/2103231905105915.html</t>
        </is>
      </c>
      <c r="BF157" t="inlineStr">
        <is>
          <t>已核验</t>
        </is>
      </c>
    </row>
    <row r="158" hidden="1" ht="28" customHeight="1" s="73">
      <c r="A158" s="2" t="n">
        <v>142</v>
      </c>
      <c r="B158" s="18" t="inlineStr">
        <is>
          <t>宏翼高频1号</t>
        </is>
      </c>
      <c r="C158" s="18">
        <f>'sheet4-原始数据'!B143</f>
        <v/>
      </c>
      <c r="D158" s="18" t="inlineStr">
        <is>
          <t>上海宏翼</t>
        </is>
      </c>
      <c r="E158" s="90" t="inlineStr">
        <is>
          <t>2021-03-30</t>
        </is>
      </c>
      <c r="F158" s="20" t="n">
        <v>5.462</v>
      </c>
      <c r="G158" s="2">
        <f>IF(F158="","",IF(F158&lt;1,"不入池","入池"))</f>
        <v/>
      </c>
      <c r="H158" s="42" t="inlineStr">
        <is>
          <t>5-10亿元</t>
        </is>
      </c>
      <c r="I158" s="20" t="n">
        <v>70</v>
      </c>
      <c r="J158" s="43" t="inlineStr">
        <is>
          <t>无低于1000万元标识</t>
        </is>
      </c>
      <c r="K158" s="20" t="n">
        <v>100</v>
      </c>
      <c r="L158" s="20" t="n">
        <v>100</v>
      </c>
      <c r="M158" s="44" t="n">
        <v>0.1017</v>
      </c>
      <c r="N158" s="44" t="n">
        <v>0.114</v>
      </c>
      <c r="O158" s="45" t="n"/>
      <c r="P158" s="46" t="n">
        <v>0.1202014011269876</v>
      </c>
      <c r="Q158" s="20" t="n">
        <v>77.08</v>
      </c>
      <c r="R158" s="20" t="n">
        <v>81</v>
      </c>
      <c r="S158" s="20" t="n">
        <v>78.65000000000001</v>
      </c>
      <c r="T158" s="44" t="n">
        <v>0.6153999999999999</v>
      </c>
      <c r="U158" s="44" t="n">
        <v>0.7027</v>
      </c>
      <c r="V158" s="46" t="n">
        <v>0.7499875</v>
      </c>
      <c r="W158" s="20" t="n">
        <v>61.53999999999999</v>
      </c>
      <c r="X158" s="20" t="n">
        <v>74.99875</v>
      </c>
      <c r="Y158" s="20" t="n">
        <v>66.92</v>
      </c>
      <c r="Z158" s="46" t="n">
        <v>0.1733424237259246</v>
      </c>
      <c r="AA158" s="44" t="n">
        <v>0.1734</v>
      </c>
      <c r="AB158" s="46" t="n">
        <v>0.1734</v>
      </c>
      <c r="AC158" s="20" t="n">
        <v>13.94</v>
      </c>
      <c r="AD158" s="91" t="n">
        <v>0.5867</v>
      </c>
      <c r="AE158" s="46" t="n"/>
      <c r="AF158" s="20" t="n"/>
      <c r="AG158" s="20" t="n">
        <v>27.62</v>
      </c>
      <c r="AH158" s="20" t="n"/>
      <c r="AI158" s="20" t="n">
        <v>27.62</v>
      </c>
      <c r="AJ158" s="46" t="n">
        <v>0.114</v>
      </c>
      <c r="AK158" s="20" t="n">
        <v>80</v>
      </c>
      <c r="AL158" s="20" t="n">
        <v>88</v>
      </c>
      <c r="AM158" s="20" t="n">
        <v>75.13</v>
      </c>
      <c r="AN158" s="20" t="n">
        <v>13.94</v>
      </c>
      <c r="AO158" s="20" t="n">
        <v>27.62</v>
      </c>
      <c r="AP158" s="20" t="n">
        <v>80</v>
      </c>
      <c r="AQ158" s="92" t="n">
        <v>0.88</v>
      </c>
      <c r="AR158" s="20" t="n">
        <v>44.68273</v>
      </c>
      <c r="AS158" s="20" t="n">
        <v>50.78</v>
      </c>
      <c r="AT158" s="49" t="n">
        <v>221</v>
      </c>
      <c r="AU158" s="50">
        <f>IF(I158="","管理人规模；","")&amp;IF(J158="","产品规模标识；","")&amp;IF(AND(F158&lt;3,O158=""),"R_incep；","")&amp;IF(N158="","近三年收益；","")&amp;IF(U158="","近三年胜率；","")&amp;IF(AND(V158&lt;&gt;"",OR(V158&lt;0,V158&gt;1)),"胜率窗口口径不一致；","")&amp;IF(AA158="","近三年回撤；","")&amp;IF(AD158="","短期卡玛；","")&amp;IF(AND(P158&lt;&gt;"",AE158=""),"DD_long不可识别；","")</f>
        <v/>
      </c>
      <c r="AV158" s="51" t="n"/>
      <c r="AW158" s="22" t="inlineStr">
        <is>
          <t>5-10亿元</t>
        </is>
      </c>
      <c r="AX158" s="22" t="inlineStr">
        <is>
          <t>2026-01-05</t>
        </is>
      </c>
      <c r="AY158" s="22" t="inlineStr">
        <is>
          <t>上海宏翼私募基金管理有限公司</t>
        </is>
      </c>
      <c r="AZ158" s="22" t="inlineStr">
        <is>
          <t>2026-01-05</t>
        </is>
      </c>
      <c r="BA158" s="22" t="inlineStr">
        <is>
          <t>https://gs.amac.org.cn/amac-infodisc/res/pof/manager/2008271406105036.html</t>
        </is>
      </c>
      <c r="BB158" s="22" t="inlineStr">
        <is>
          <t>宏翼高频1号私募证券投资基金</t>
        </is>
      </c>
      <c r="BC158" s="22" t="inlineStr">
        <is>
          <t>2022-01-05</t>
        </is>
      </c>
      <c r="BD158" s="22" t="inlineStr">
        <is>
          <t>已匹配</t>
        </is>
      </c>
      <c r="BE158" t="inlineStr">
        <is>
          <t>https://gs.amac.org.cn/amac-infodisc/res/pof/fund/2104071855107484.html</t>
        </is>
      </c>
      <c r="BF158" t="inlineStr">
        <is>
          <t>已核验</t>
        </is>
      </c>
    </row>
    <row r="159" hidden="1" ht="28" customHeight="1" s="73">
      <c r="A159" s="2" t="n">
        <v>143</v>
      </c>
      <c r="B159" s="18" t="inlineStr">
        <is>
          <t>钧誉厚德量化对冲11号</t>
        </is>
      </c>
      <c r="C159" s="18">
        <f>'sheet4-原始数据'!B144</f>
        <v/>
      </c>
      <c r="D159" s="18" t="inlineStr">
        <is>
          <t>珠海钧誉资管</t>
        </is>
      </c>
      <c r="E159" s="90" t="inlineStr">
        <is>
          <t>2021-05-07</t>
        </is>
      </c>
      <c r="F159" s="20" t="n">
        <v>5.358</v>
      </c>
      <c r="G159" s="2">
        <f>IF(F159="","",IF(F159&lt;1,"不入池","入池"))</f>
        <v/>
      </c>
      <c r="H159" s="42" t="inlineStr">
        <is>
          <t>0-5亿元</t>
        </is>
      </c>
      <c r="I159" s="20" t="n">
        <v>60</v>
      </c>
      <c r="J159" s="43" t="inlineStr">
        <is>
          <t>无低于1000万元标识</t>
        </is>
      </c>
      <c r="K159" s="20" t="n">
        <v>100</v>
      </c>
      <c r="L159" s="20" t="n">
        <v>100</v>
      </c>
      <c r="M159" s="44" t="n">
        <v>0.1090311523016432</v>
      </c>
      <c r="N159" s="44" t="n">
        <v>0.08030601138775961</v>
      </c>
      <c r="O159" s="45" t="n">
        <v>0.08985495565769552</v>
      </c>
      <c r="P159" s="46" t="n">
        <v>0.06622366212361763</v>
      </c>
      <c r="Q159" s="20" t="n">
        <v>79.51000000000001</v>
      </c>
      <c r="R159" s="20" t="n">
        <v>53.5</v>
      </c>
      <c r="S159" s="20" t="n">
        <v>69.11</v>
      </c>
      <c r="T159" s="44" t="n"/>
      <c r="U159" s="44" t="n"/>
      <c r="V159" s="46" t="n"/>
      <c r="W159" s="20" t="n"/>
      <c r="X159" s="20" t="n"/>
      <c r="Y159" s="20" t="n"/>
      <c r="Z159" s="46" t="n">
        <v>0.00826733361122689</v>
      </c>
      <c r="AA159" s="44" t="n">
        <v>0.00826733361122689</v>
      </c>
      <c r="AB159" s="46" t="n">
        <v>0.00826733361122689</v>
      </c>
      <c r="AC159" s="20" t="n">
        <v>87.8</v>
      </c>
      <c r="AD159" s="91" t="n">
        <v>13.18818828764583</v>
      </c>
      <c r="AE159" s="46" t="n"/>
      <c r="AF159" s="20" t="n"/>
      <c r="AG159" s="20" t="n">
        <v>86.01000000000001</v>
      </c>
      <c r="AH159" s="20" t="n"/>
      <c r="AI159" s="20" t="n">
        <v>86.01000000000001</v>
      </c>
      <c r="AJ159" s="46" t="n">
        <v>0.08030601138775961</v>
      </c>
      <c r="AK159" s="20" t="n">
        <v>100</v>
      </c>
      <c r="AL159" s="20" t="n">
        <v>84</v>
      </c>
      <c r="AM159" s="20" t="n">
        <v>69.11</v>
      </c>
      <c r="AN159" s="20" t="n">
        <v>87.8</v>
      </c>
      <c r="AO159" s="20" t="n">
        <v>86.01000000000001</v>
      </c>
      <c r="AP159" s="20" t="n">
        <v>100</v>
      </c>
      <c r="AQ159" s="92" t="n">
        <v>0.82</v>
      </c>
      <c r="AR159" s="20" t="n">
        <v>69.70663999999999</v>
      </c>
      <c r="AS159" s="20" t="n">
        <v>85.01000000000001</v>
      </c>
      <c r="AT159" s="49" t="n">
        <v>32</v>
      </c>
      <c r="AU159" s="50">
        <f>IF(I159="","管理人规模；","")&amp;IF(J159="","产品规模标识；","")&amp;IF(AND(F159&lt;3,O159=""),"R_incep；","")&amp;IF(N159="","近三年收益；","")&amp;IF(U159="","近三年胜率；","")&amp;IF(AND(V159&lt;&gt;"",OR(V159&lt;0,V159&gt;1)),"胜率窗口口径不一致；","")&amp;IF(AA159="","近三年回撤；","")&amp;IF(AD159="","短期卡玛；","")&amp;IF(AND(P159&lt;&gt;"",AE159=""),"DD_long不可识别；","")</f>
        <v/>
      </c>
      <c r="AV159" s="51" t="n"/>
      <c r="AW159" s="22" t="inlineStr">
        <is>
          <t>0-5亿元</t>
        </is>
      </c>
      <c r="AX159" s="22" t="inlineStr">
        <is>
          <t>2024-06-28</t>
        </is>
      </c>
      <c r="AY159" s="22" t="inlineStr">
        <is>
          <t>珠海钧誉资产管理有限公司</t>
        </is>
      </c>
      <c r="AZ159" s="22" t="inlineStr">
        <is>
          <t>2024-06-28</t>
        </is>
      </c>
      <c r="BA159" s="22" t="inlineStr">
        <is>
          <t>https://gs.amac.org.cn/amac-infodisc/res/pof/manager/1801241613109731.html</t>
        </is>
      </c>
      <c r="BB159" s="22" t="inlineStr">
        <is>
          <t>钧誉厚德量化对冲11号私募证券投资基金</t>
        </is>
      </c>
      <c r="BC159" s="22" t="inlineStr">
        <is>
          <t>2024-11-07</t>
        </is>
      </c>
      <c r="BD159" s="22" t="inlineStr">
        <is>
          <t>已匹配</t>
        </is>
      </c>
      <c r="BE159" t="inlineStr">
        <is>
          <t>https://gs.amac.org.cn/amac-infodisc/res/pof/fund/2105111737102298.html</t>
        </is>
      </c>
      <c r="BF159" t="inlineStr">
        <is>
          <t>已核验</t>
        </is>
      </c>
    </row>
    <row r="160" hidden="1" ht="28" customHeight="1" s="73">
      <c r="A160" s="2" t="n">
        <v>144</v>
      </c>
      <c r="B160" s="18" t="inlineStr">
        <is>
          <t>巨博华多元策略1号</t>
        </is>
      </c>
      <c r="C160" s="18">
        <f>'sheet4-原始数据'!B145</f>
        <v/>
      </c>
      <c r="D160" s="18" t="inlineStr">
        <is>
          <t>深圳巨博华</t>
        </is>
      </c>
      <c r="E160" s="90" t="inlineStr">
        <is>
          <t>2021-07-12</t>
        </is>
      </c>
      <c r="F160" s="20" t="n">
        <v>5.1773</v>
      </c>
      <c r="G160" s="2">
        <f>IF(F160="","",IF(F160&lt;1,"不入池","入池"))</f>
        <v/>
      </c>
      <c r="H160" s="42" t="inlineStr">
        <is>
          <t>0-5亿元</t>
        </is>
      </c>
      <c r="I160" s="20" t="n">
        <v>60</v>
      </c>
      <c r="J160" s="43" t="inlineStr">
        <is>
          <t>无低于1000万元标识</t>
        </is>
      </c>
      <c r="K160" s="20" t="n">
        <v>100</v>
      </c>
      <c r="L160" s="20" t="n">
        <v>100</v>
      </c>
      <c r="M160" s="44" t="n"/>
      <c r="N160" s="44" t="n"/>
      <c r="O160" s="45" t="n"/>
      <c r="P160" s="46" t="n"/>
      <c r="Q160" s="20" t="n"/>
      <c r="R160" s="20" t="n"/>
      <c r="S160" s="20" t="n"/>
      <c r="T160" s="44" t="n"/>
      <c r="U160" s="44" t="n"/>
      <c r="V160" s="46" t="n"/>
      <c r="W160" s="20" t="n"/>
      <c r="X160" s="20" t="n"/>
      <c r="Y160" s="20" t="n"/>
      <c r="Z160" s="46" t="n"/>
      <c r="AA160" s="44" t="n"/>
      <c r="AB160" s="46" t="n"/>
      <c r="AC160" s="20" t="n"/>
      <c r="AD160" s="91" t="n"/>
      <c r="AE160" s="46" t="n"/>
      <c r="AF160" s="20" t="n"/>
      <c r="AG160" s="20" t="n"/>
      <c r="AH160" s="20" t="n"/>
      <c r="AI160" s="20" t="n"/>
      <c r="AJ160" s="46" t="n"/>
      <c r="AK160" s="20" t="n"/>
      <c r="AL160" s="20" t="n">
        <v>84</v>
      </c>
      <c r="AM160" s="20" t="n"/>
      <c r="AN160" s="20" t="n"/>
      <c r="AO160" s="20" t="n"/>
      <c r="AP160" s="20" t="n"/>
      <c r="AQ160" s="92" t="n">
        <v>0.15</v>
      </c>
      <c r="AR160" s="20" t="n">
        <v>12.6</v>
      </c>
      <c r="AS160" s="20" t="n">
        <v>84</v>
      </c>
      <c r="AT160" s="49" t="n">
        <v>38</v>
      </c>
      <c r="AU160" s="50">
        <f>IF(I160="","管理人规模；","")&amp;IF(J160="","产品规模标识；","")&amp;IF(AND(F160&lt;3,O160=""),"R_incep；","")&amp;IF(N160="","近三年收益；","")&amp;IF(U160="","近三年胜率；","")&amp;IF(AND(V160&lt;&gt;"",OR(V160&lt;0,V160&gt;1)),"胜率窗口口径不一致；","")&amp;IF(AA160="","近三年回撤；","")&amp;IF(AD160="","短期卡玛；","")&amp;IF(AND(P160&lt;&gt;"",AE160=""),"DD_long不可识别；","")</f>
        <v/>
      </c>
      <c r="AV160" s="51" t="n"/>
      <c r="AW160" s="22" t="inlineStr">
        <is>
          <t>0-5亿元</t>
        </is>
      </c>
      <c r="AX160" s="22" t="inlineStr">
        <is>
          <t>2026-02-13</t>
        </is>
      </c>
      <c r="AY160" s="22" t="inlineStr">
        <is>
          <t>深圳市巨博华私募证券基金管理有限公司</t>
        </is>
      </c>
      <c r="AZ160" s="22" t="inlineStr">
        <is>
          <t>2026-02-13</t>
        </is>
      </c>
      <c r="BA160" s="22" t="inlineStr">
        <is>
          <t>https://gs.amac.org.cn/amac-infodisc/res/pof/manager/101000024658.html</t>
        </is>
      </c>
      <c r="BB160" s="22" t="inlineStr">
        <is>
          <t>巨博华多元策略1号证券私募投资基金</t>
        </is>
      </c>
      <c r="BC160" s="22" t="inlineStr">
        <is>
          <t>2025-07-23</t>
        </is>
      </c>
      <c r="BD160" s="22" t="inlineStr">
        <is>
          <t>已匹配</t>
        </is>
      </c>
      <c r="BE160" t="inlineStr">
        <is>
          <t>https://gs.amac.org.cn/amac-infodisc/res/pof/fund/2107201820100745.html</t>
        </is>
      </c>
      <c r="BF160" t="inlineStr">
        <is>
          <t>已核验</t>
        </is>
      </c>
    </row>
    <row r="161" hidden="1" ht="28" customHeight="1" s="73">
      <c r="A161" s="2" t="n">
        <v>145</v>
      </c>
      <c r="B161" s="18" t="inlineStr">
        <is>
          <t>杉阳云杉混合1号A类</t>
        </is>
      </c>
      <c r="C161" s="18">
        <f>'sheet4-原始数据'!B146</f>
        <v/>
      </c>
      <c r="D161" s="18" t="inlineStr">
        <is>
          <t>上海杉阳</t>
        </is>
      </c>
      <c r="E161" s="90" t="inlineStr">
        <is>
          <t>2020-05-29</t>
        </is>
      </c>
      <c r="F161" s="20" t="n">
        <v>6.2971</v>
      </c>
      <c r="G161" s="2">
        <f>IF(F161="","",IF(F161&lt;1,"不入池","入池"))</f>
        <v/>
      </c>
      <c r="H161" s="42" t="inlineStr">
        <is>
          <t>0-5亿元</t>
        </is>
      </c>
      <c r="I161" s="20" t="n">
        <v>60</v>
      </c>
      <c r="J161" s="43" t="inlineStr">
        <is>
          <t>无低于1000万元标识</t>
        </is>
      </c>
      <c r="K161" s="20" t="n"/>
      <c r="L161" s="20" t="n">
        <v>100</v>
      </c>
      <c r="M161" s="44" t="n">
        <v>0.073</v>
      </c>
      <c r="N161" s="44" t="n">
        <v>0.0412</v>
      </c>
      <c r="O161" s="45" t="n"/>
      <c r="P161" s="46" t="n">
        <v>0.02565518101956821</v>
      </c>
      <c r="Q161" s="20" t="n">
        <v>61.46</v>
      </c>
      <c r="R161" s="20" t="n">
        <v>13</v>
      </c>
      <c r="S161" s="20" t="n">
        <v>42.08</v>
      </c>
      <c r="T161" s="44" t="n">
        <v>0.7692</v>
      </c>
      <c r="U161" s="44" t="n">
        <v>0.7027</v>
      </c>
      <c r="V161" s="46" t="n">
        <v>0.6666791666666668</v>
      </c>
      <c r="W161" s="20" t="n">
        <v>76.92</v>
      </c>
      <c r="X161" s="20" t="n">
        <v>66.66791666666668</v>
      </c>
      <c r="Y161" s="20" t="n">
        <v>72.81999999999999</v>
      </c>
      <c r="Z161" s="46" t="n">
        <v>0.005842617492636701</v>
      </c>
      <c r="AA161" s="44" t="n">
        <v>0.031</v>
      </c>
      <c r="AB161" s="46" t="n">
        <v>0.031</v>
      </c>
      <c r="AC161" s="20" t="n">
        <v>57.84</v>
      </c>
      <c r="AD161" s="91" t="n">
        <v>12.4944</v>
      </c>
      <c r="AE161" s="46" t="n">
        <v>0.031</v>
      </c>
      <c r="AF161" s="20" t="n">
        <v>0.8275864845022003</v>
      </c>
      <c r="AG161" s="20" t="n">
        <v>84.97</v>
      </c>
      <c r="AH161" s="20" t="n">
        <v>33.09</v>
      </c>
      <c r="AI161" s="20" t="n">
        <v>64.22</v>
      </c>
      <c r="AJ161" s="46" t="n">
        <v>0.0412</v>
      </c>
      <c r="AK161" s="20" t="n">
        <v>100</v>
      </c>
      <c r="AL161" s="20" t="n">
        <v>77.14</v>
      </c>
      <c r="AM161" s="20" t="n">
        <v>51.3</v>
      </c>
      <c r="AN161" s="20" t="n">
        <v>57.84</v>
      </c>
      <c r="AO161" s="20" t="n">
        <v>64.22</v>
      </c>
      <c r="AP161" s="20" t="n">
        <v>100</v>
      </c>
      <c r="AQ161" s="92" t="n">
        <v>0.955</v>
      </c>
      <c r="AR161" s="20" t="n">
        <v>62.08519</v>
      </c>
      <c r="AS161" s="20" t="n">
        <v>65.01000000000001</v>
      </c>
      <c r="AT161" s="49" t="n">
        <v>147</v>
      </c>
      <c r="AU161" s="50">
        <f>IF(I161="","管理人规模；","")&amp;IF(J161="","产品规模标识；","")&amp;IF(AND(F161&lt;3,O161=""),"R_incep；","")&amp;IF(N161="","近三年收益；","")&amp;IF(U161="","近三年胜率；","")&amp;IF(AND(V161&lt;&gt;"",OR(V161&lt;0,V161&gt;1)),"胜率窗口口径不一致；","")&amp;IF(AA161="","近三年回撤；","")&amp;IF(AD161="","短期卡玛；","")&amp;IF(AND(P161&lt;&gt;"",AE161=""),"DD_long不可识别；","")</f>
        <v/>
      </c>
      <c r="AV161" s="51" t="n"/>
      <c r="AW161" s="22" t="inlineStr">
        <is>
          <t>0-5亿元</t>
        </is>
      </c>
      <c r="AX161" s="22" t="inlineStr">
        <is>
          <t>2026-05-06</t>
        </is>
      </c>
      <c r="AY161" s="22" t="inlineStr">
        <is>
          <t>上海杉阳私募基金管理有限公司 上海杉阳私募基金管理有限公司</t>
        </is>
      </c>
      <c r="AZ161" s="22" t="inlineStr">
        <is>
          <t>2026-05-06</t>
        </is>
      </c>
      <c r="BA161" s="22" t="inlineStr">
        <is>
          <t>https://gs.amac.org.cn/amac-infodisc/res/pof/manager/2001061547104837.html</t>
        </is>
      </c>
      <c r="BB161" s="22" t="n"/>
      <c r="BC161" s="22" t="n"/>
      <c r="BD161" s="22" t="inlineStr">
        <is>
          <t>产品未匹配，管理人已按名称补录</t>
        </is>
      </c>
      <c r="BF161" t="inlineStr">
        <is>
          <t>未核验</t>
        </is>
      </c>
    </row>
    <row r="162" hidden="1" ht="28" customHeight="1" s="73">
      <c r="A162" s="2" t="n">
        <v>146</v>
      </c>
      <c r="B162" s="18" t="inlineStr">
        <is>
          <t>嘉和传承精研二期</t>
        </is>
      </c>
      <c r="C162" s="18">
        <f>'sheet4-原始数据'!B147</f>
        <v/>
      </c>
      <c r="D162" s="18" t="inlineStr">
        <is>
          <t>上海嘉和传承</t>
        </is>
      </c>
      <c r="E162" s="90" t="inlineStr">
        <is>
          <t>2021-12-07</t>
        </is>
      </c>
      <c r="F162" s="20" t="n">
        <v>4.7721</v>
      </c>
      <c r="G162" s="2">
        <f>IF(F162="","",IF(F162&lt;1,"不入池","入池"))</f>
        <v/>
      </c>
      <c r="H162" s="42" t="inlineStr">
        <is>
          <t>5-10亿元</t>
        </is>
      </c>
      <c r="I162" s="20" t="n">
        <v>70</v>
      </c>
      <c r="J162" s="43" t="inlineStr">
        <is>
          <t>无低于1000万元标识</t>
        </is>
      </c>
      <c r="K162" s="20" t="n">
        <v>100</v>
      </c>
      <c r="L162" s="20" t="n">
        <v>100</v>
      </c>
      <c r="M162" s="44" t="n">
        <v>0.0694</v>
      </c>
      <c r="N162" s="44" t="n">
        <v>0.1189</v>
      </c>
      <c r="O162" s="45" t="n"/>
      <c r="P162" s="46" t="n">
        <v>0.1445026982427053</v>
      </c>
      <c r="Q162" s="20" t="n">
        <v>57.64</v>
      </c>
      <c r="R162" s="20" t="n">
        <v>88.5</v>
      </c>
      <c r="S162" s="20" t="n">
        <v>69.98</v>
      </c>
      <c r="T162" s="44" t="n">
        <v>0.5385</v>
      </c>
      <c r="U162" s="44" t="n">
        <v>0.5946</v>
      </c>
      <c r="V162" s="46" t="n">
        <v>0.6249875</v>
      </c>
      <c r="W162" s="20" t="n">
        <v>53.84999999999999</v>
      </c>
      <c r="X162" s="20" t="n">
        <v>62.49875</v>
      </c>
      <c r="Y162" s="20" t="n">
        <v>57.31</v>
      </c>
      <c r="Z162" s="46" t="n">
        <v>0.0894445160458822</v>
      </c>
      <c r="AA162" s="44" t="n">
        <v>0.08939999999999999</v>
      </c>
      <c r="AB162" s="46" t="n">
        <v>0.0894445160458822</v>
      </c>
      <c r="AC162" s="20" t="n">
        <v>29.27</v>
      </c>
      <c r="AD162" s="91" t="n">
        <v>0.7759</v>
      </c>
      <c r="AE162" s="46" t="n"/>
      <c r="AF162" s="20" t="n"/>
      <c r="AG162" s="20" t="n">
        <v>30.42</v>
      </c>
      <c r="AH162" s="20" t="n"/>
      <c r="AI162" s="20" t="n">
        <v>30.42</v>
      </c>
      <c r="AJ162" s="46" t="n">
        <v>0.1189</v>
      </c>
      <c r="AK162" s="20" t="n">
        <v>80</v>
      </c>
      <c r="AL162" s="20" t="n">
        <v>88</v>
      </c>
      <c r="AM162" s="20" t="n">
        <v>66.18000000000001</v>
      </c>
      <c r="AN162" s="20" t="n">
        <v>29.27</v>
      </c>
      <c r="AO162" s="20" t="n">
        <v>30.42</v>
      </c>
      <c r="AP162" s="20" t="n">
        <v>80</v>
      </c>
      <c r="AQ162" s="92" t="n">
        <v>0.88</v>
      </c>
      <c r="AR162" s="20" t="n">
        <v>47.22943</v>
      </c>
      <c r="AS162" s="20" t="n">
        <v>53.67</v>
      </c>
      <c r="AT162" s="49" t="n">
        <v>204</v>
      </c>
      <c r="AU162" s="50">
        <f>IF(I162="","管理人规模；","")&amp;IF(J162="","产品规模标识；","")&amp;IF(AND(F162&lt;3,O162=""),"R_incep；","")&amp;IF(N162="","近三年收益；","")&amp;IF(U162="","近三年胜率；","")&amp;IF(AND(V162&lt;&gt;"",OR(V162&lt;0,V162&gt;1)),"胜率窗口口径不一致；","")&amp;IF(AA162="","近三年回撤；","")&amp;IF(AD162="","短期卡玛；","")&amp;IF(AND(P162&lt;&gt;"",AE162=""),"DD_long不可识别；","")</f>
        <v/>
      </c>
      <c r="AV162" s="51" t="n"/>
      <c r="AW162" s="22" t="inlineStr">
        <is>
          <t>5-10亿元</t>
        </is>
      </c>
      <c r="AX162" s="22" t="inlineStr">
        <is>
          <t>2025-08-08</t>
        </is>
      </c>
      <c r="AY162" s="22" t="inlineStr">
        <is>
          <t>上海嘉和传承私募基金管理有限公司</t>
        </is>
      </c>
      <c r="AZ162" s="22" t="inlineStr">
        <is>
          <t>2025-08-08</t>
        </is>
      </c>
      <c r="BA162" s="22" t="inlineStr">
        <is>
          <t>https://gs.amac.org.cn/amac-infodisc/res/pof/manager/2203031405108672.html</t>
        </is>
      </c>
      <c r="BB162" s="22" t="inlineStr">
        <is>
          <t>嘉和传承精研二期私募证券投资基金</t>
        </is>
      </c>
      <c r="BC162" s="22" t="inlineStr">
        <is>
          <t>2026-06-05</t>
        </is>
      </c>
      <c r="BD162" s="22" t="inlineStr">
        <is>
          <t>已匹配</t>
        </is>
      </c>
      <c r="BE162" t="inlineStr">
        <is>
          <t>https://gs.amac.org.cn/amac-infodisc/res/pof/fund/2112091906107607.html</t>
        </is>
      </c>
      <c r="BF162" t="inlineStr">
        <is>
          <t>已核验</t>
        </is>
      </c>
    </row>
    <row r="163" hidden="1" ht="28" customHeight="1" s="73">
      <c r="A163" s="2" t="n">
        <v>147</v>
      </c>
      <c r="B163" s="18" t="inlineStr">
        <is>
          <t>呈瑞复合策略1号</t>
        </is>
      </c>
      <c r="C163" s="18">
        <f>'sheet4-原始数据'!B148</f>
        <v/>
      </c>
      <c r="D163" s="18" t="inlineStr">
        <is>
          <t>上海呈瑞投资</t>
        </is>
      </c>
      <c r="E163" s="90" t="inlineStr">
        <is>
          <t>2021-12-17</t>
        </is>
      </c>
      <c r="F163" s="20" t="n">
        <v>4.7447</v>
      </c>
      <c r="G163" s="2">
        <f>IF(F163="","",IF(F163&lt;1,"不入池","入池"))</f>
        <v/>
      </c>
      <c r="H163" s="42" t="inlineStr">
        <is>
          <t>50-100亿元</t>
        </is>
      </c>
      <c r="I163" s="20" t="n">
        <v>90</v>
      </c>
      <c r="J163" s="43" t="inlineStr">
        <is>
          <t>无低于1000万元标识</t>
        </is>
      </c>
      <c r="K163" s="20" t="n">
        <v>100</v>
      </c>
      <c r="L163" s="20" t="n">
        <v>100</v>
      </c>
      <c r="M163" s="44" t="n">
        <v>0.9287000000000001</v>
      </c>
      <c r="N163" s="44" t="n">
        <v>0.2027</v>
      </c>
      <c r="O163" s="45" t="n"/>
      <c r="P163" s="46" t="n">
        <v>-0.05026241267722686</v>
      </c>
      <c r="Q163" s="20" t="n">
        <v>99.65000000000001</v>
      </c>
      <c r="R163" s="20" t="n">
        <v>0.5</v>
      </c>
      <c r="S163" s="20" t="n">
        <v>59.99</v>
      </c>
      <c r="T163" s="44" t="n">
        <v>0.6153999999999999</v>
      </c>
      <c r="U163" s="44" t="n">
        <v>0.6215999999999999</v>
      </c>
      <c r="V163" s="46" t="n">
        <v>0.6249583333333333</v>
      </c>
      <c r="W163" s="20" t="n">
        <v>61.53999999999999</v>
      </c>
      <c r="X163" s="20" t="n">
        <v>62.49583333333333</v>
      </c>
      <c r="Y163" s="20" t="n">
        <v>61.92</v>
      </c>
      <c r="Z163" s="46" t="n">
        <v>0.1704067964549808</v>
      </c>
      <c r="AA163" s="44" t="n">
        <v>0.2943</v>
      </c>
      <c r="AB163" s="46" t="n">
        <v>0.2943</v>
      </c>
      <c r="AC163" s="20" t="n">
        <v>4.18</v>
      </c>
      <c r="AD163" s="91" t="n">
        <v>5.4499</v>
      </c>
      <c r="AE163" s="46" t="n">
        <v>0.2943</v>
      </c>
      <c r="AF163" s="20" t="n">
        <v>-0.1707863155869075</v>
      </c>
      <c r="AG163" s="20" t="n">
        <v>68.53</v>
      </c>
      <c r="AH163" s="20" t="n">
        <v>0.74</v>
      </c>
      <c r="AI163" s="20" t="n">
        <v>41.41</v>
      </c>
      <c r="AJ163" s="46" t="n">
        <v>0.2027</v>
      </c>
      <c r="AK163" s="20" t="n">
        <v>100</v>
      </c>
      <c r="AL163" s="20" t="n">
        <v>96</v>
      </c>
      <c r="AM163" s="20" t="n">
        <v>60.57</v>
      </c>
      <c r="AN163" s="20" t="n">
        <v>4.18</v>
      </c>
      <c r="AO163" s="20" t="n">
        <v>41.41</v>
      </c>
      <c r="AP163" s="20" t="n">
        <v>100</v>
      </c>
      <c r="AQ163" s="92" t="n">
        <v>1</v>
      </c>
      <c r="AR163" s="20" t="n">
        <v>49.98314</v>
      </c>
      <c r="AS163" s="20" t="n">
        <v>49.98</v>
      </c>
      <c r="AT163" s="49" t="n">
        <v>224</v>
      </c>
      <c r="AU163" s="50">
        <f>IF(I163="","管理人规模；","")&amp;IF(J163="","产品规模标识；","")&amp;IF(AND(F163&lt;3,O163=""),"R_incep；","")&amp;IF(N163="","近三年收益；","")&amp;IF(U163="","近三年胜率；","")&amp;IF(AND(V163&lt;&gt;"",OR(V163&lt;0,V163&gt;1)),"胜率窗口口径不一致；","")&amp;IF(AA163="","近三年回撤；","")&amp;IF(AD163="","短期卡玛；","")&amp;IF(AND(P163&lt;&gt;"",AE163=""),"DD_long不可识别；","")</f>
        <v/>
      </c>
      <c r="AV163" s="51" t="n">
        <v>49.98314</v>
      </c>
      <c r="AW163" s="22" t="inlineStr">
        <is>
          <t>50-100亿元</t>
        </is>
      </c>
      <c r="AX163" s="22" t="inlineStr">
        <is>
          <t>2025-06-25</t>
        </is>
      </c>
      <c r="AY163" s="22" t="inlineStr">
        <is>
          <t>上海呈瑞投资管理有限公司</t>
        </is>
      </c>
      <c r="AZ163" s="22" t="inlineStr">
        <is>
          <t>2025-06-25</t>
        </is>
      </c>
      <c r="BA163" s="22" t="inlineStr">
        <is>
          <t>https://gs.amac.org.cn/amac-infodisc/res/pof/manager/101000000860.html</t>
        </is>
      </c>
      <c r="BB163" s="22" t="inlineStr">
        <is>
          <t>呈瑞复合策略1号私募证券投资基金</t>
        </is>
      </c>
      <c r="BC163" s="22" t="inlineStr">
        <is>
          <t>2025-06-06</t>
        </is>
      </c>
      <c r="BD163" s="22" t="inlineStr">
        <is>
          <t>已匹配</t>
        </is>
      </c>
      <c r="BE163" t="inlineStr">
        <is>
          <t>https://gs.amac.org.cn/amac-infodisc/res/pof/fund/2112281829100961.html</t>
        </is>
      </c>
      <c r="BF163" t="inlineStr">
        <is>
          <t>已核验</t>
        </is>
      </c>
    </row>
    <row r="164" hidden="1" ht="28" customHeight="1" s="73">
      <c r="A164" s="2" t="n">
        <v>148</v>
      </c>
      <c r="B164" s="18" t="inlineStr">
        <is>
          <t>晨翰6号</t>
        </is>
      </c>
      <c r="C164" s="18">
        <f>'sheet4-原始数据'!B149</f>
        <v/>
      </c>
      <c r="D164" s="18" t="inlineStr">
        <is>
          <t>晋江晨翰</t>
        </is>
      </c>
      <c r="E164" s="90" t="inlineStr">
        <is>
          <t>2022-01-14</t>
        </is>
      </c>
      <c r="F164" s="20" t="n">
        <v>4.668</v>
      </c>
      <c r="G164" s="2">
        <f>IF(F164="","",IF(F164&lt;1,"不入池","入池"))</f>
        <v/>
      </c>
      <c r="H164" s="42" t="inlineStr">
        <is>
          <t>5-10亿元</t>
        </is>
      </c>
      <c r="I164" s="20" t="n">
        <v>70</v>
      </c>
      <c r="J164" s="43" t="inlineStr">
        <is>
          <t>无低于1000万元标识</t>
        </is>
      </c>
      <c r="K164" s="20" t="n">
        <v>100</v>
      </c>
      <c r="L164" s="20" t="n">
        <v>100</v>
      </c>
      <c r="M164" s="44" t="n">
        <v>0.0883</v>
      </c>
      <c r="N164" s="44" t="n">
        <v>0.0542</v>
      </c>
      <c r="O164" s="45" t="n"/>
      <c r="P164" s="46" t="n">
        <v>0.03755279160045522</v>
      </c>
      <c r="Q164" s="20" t="n">
        <v>71.53</v>
      </c>
      <c r="R164" s="20" t="n">
        <v>23</v>
      </c>
      <c r="S164" s="20" t="n">
        <v>52.12</v>
      </c>
      <c r="T164" s="44" t="n">
        <v>0.4615</v>
      </c>
      <c r="U164" s="44" t="n">
        <v>0.5405</v>
      </c>
      <c r="V164" s="46" t="n">
        <v>0.5832916666666667</v>
      </c>
      <c r="W164" s="20" t="n">
        <v>46.15</v>
      </c>
      <c r="X164" s="20" t="n">
        <v>58.32916666666667</v>
      </c>
      <c r="Y164" s="20" t="n">
        <v>51.02</v>
      </c>
      <c r="Z164" s="46" t="n">
        <v>0.05032486036703523</v>
      </c>
      <c r="AA164" s="44" t="n">
        <v>0.0503</v>
      </c>
      <c r="AB164" s="46" t="n">
        <v>0.05032486036703523</v>
      </c>
      <c r="AC164" s="20" t="n">
        <v>44.6</v>
      </c>
      <c r="AD164" s="91" t="n">
        <v>1.7546</v>
      </c>
      <c r="AE164" s="46" t="n"/>
      <c r="AF164" s="20" t="n"/>
      <c r="AG164" s="20" t="n">
        <v>44.76</v>
      </c>
      <c r="AH164" s="20" t="n"/>
      <c r="AI164" s="20" t="n">
        <v>44.76</v>
      </c>
      <c r="AJ164" s="46" t="n">
        <v>0.0542</v>
      </c>
      <c r="AK164" s="20" t="n">
        <v>100</v>
      </c>
      <c r="AL164" s="20" t="n">
        <v>88</v>
      </c>
      <c r="AM164" s="20" t="n">
        <v>51.79</v>
      </c>
      <c r="AN164" s="20" t="n">
        <v>44.6</v>
      </c>
      <c r="AO164" s="20" t="n">
        <v>44.76</v>
      </c>
      <c r="AP164" s="20" t="n">
        <v>100</v>
      </c>
      <c r="AQ164" s="92" t="n">
        <v>0.88</v>
      </c>
      <c r="AR164" s="20" t="n">
        <v>52.76462</v>
      </c>
      <c r="AS164" s="20" t="n">
        <v>59.96</v>
      </c>
      <c r="AT164" s="49" t="n">
        <v>170</v>
      </c>
      <c r="AU164" s="50">
        <f>IF(I164="","管理人规模；","")&amp;IF(J164="","产品规模标识；","")&amp;IF(AND(F164&lt;3,O164=""),"R_incep；","")&amp;IF(N164="","近三年收益；","")&amp;IF(U164="","近三年胜率；","")&amp;IF(AND(V164&lt;&gt;"",OR(V164&lt;0,V164&gt;1)),"胜率窗口口径不一致；","")&amp;IF(AA164="","近三年回撤；","")&amp;IF(AD164="","短期卡玛；","")&amp;IF(AND(P164&lt;&gt;"",AE164=""),"DD_long不可识别；","")</f>
        <v/>
      </c>
      <c r="AV164" s="51" t="n"/>
      <c r="AW164" s="22" t="inlineStr">
        <is>
          <t>5-10亿元</t>
        </is>
      </c>
      <c r="AX164" s="22" t="inlineStr">
        <is>
          <t>2026-07-31</t>
        </is>
      </c>
      <c r="AY164" s="22" t="inlineStr">
        <is>
          <t>晋江市晨翰私募基金管理有限公司</t>
        </is>
      </c>
      <c r="AZ164" s="22" t="inlineStr">
        <is>
          <t>2026-07-31</t>
        </is>
      </c>
      <c r="BA164" s="22" t="inlineStr">
        <is>
          <t>https://gs.amac.org.cn/amac-infodisc/res/pof/manager/2002211754119480.html</t>
        </is>
      </c>
      <c r="BB164" s="22" t="inlineStr">
        <is>
          <t>晨翰6号私募证券投资基金</t>
        </is>
      </c>
      <c r="BC164" s="22" t="inlineStr">
        <is>
          <t>2025-09-19</t>
        </is>
      </c>
      <c r="BD164" s="22" t="inlineStr">
        <is>
          <t>已匹配</t>
        </is>
      </c>
      <c r="BE164" t="inlineStr">
        <is>
          <t>https://gs.amac.org.cn/amac-infodisc/res/pof/fund/2201191737119713.html</t>
        </is>
      </c>
      <c r="BF164" t="inlineStr">
        <is>
          <t>已核验</t>
        </is>
      </c>
    </row>
    <row r="165" hidden="1" ht="28" customHeight="1" s="73">
      <c r="A165" s="2" t="n">
        <v>149</v>
      </c>
      <c r="B165" s="18" t="inlineStr">
        <is>
          <t>博普量化对冲6号A类</t>
        </is>
      </c>
      <c r="C165" s="18">
        <f>'sheet4-原始数据'!B150</f>
        <v/>
      </c>
      <c r="D165" s="18" t="inlineStr">
        <is>
          <t>深圳前海博普资管</t>
        </is>
      </c>
      <c r="E165" s="90" t="inlineStr">
        <is>
          <t>2018-11-26</t>
        </is>
      </c>
      <c r="F165" s="20" t="n">
        <v>7.8029</v>
      </c>
      <c r="G165" s="2">
        <f>IF(F165="","",IF(F165&lt;1,"不入池","入池"))</f>
        <v/>
      </c>
      <c r="H165" s="42" t="inlineStr">
        <is>
          <t>50-100亿元</t>
        </is>
      </c>
      <c r="I165" s="20" t="n">
        <v>90</v>
      </c>
      <c r="J165" s="43" t="inlineStr">
        <is>
          <t>无低于1000万元标识</t>
        </is>
      </c>
      <c r="K165" s="20" t="n"/>
      <c r="L165" s="20" t="n">
        <v>100</v>
      </c>
      <c r="M165" s="44" t="n">
        <v>0.0383</v>
      </c>
      <c r="N165" s="44" t="n">
        <v>0.0098</v>
      </c>
      <c r="O165" s="45" t="n"/>
      <c r="P165" s="46" t="n">
        <v>-0.004155285809150366</v>
      </c>
      <c r="Q165" s="20" t="n">
        <v>34.72</v>
      </c>
      <c r="R165" s="20" t="n">
        <v>5</v>
      </c>
      <c r="S165" s="20" t="n">
        <v>22.83</v>
      </c>
      <c r="T165" s="44" t="n">
        <v>0.5385</v>
      </c>
      <c r="U165" s="44" t="n">
        <v>0.5946</v>
      </c>
      <c r="V165" s="46" t="n">
        <v>0.6249875</v>
      </c>
      <c r="W165" s="20" t="n">
        <v>53.84999999999999</v>
      </c>
      <c r="X165" s="20" t="n">
        <v>62.49875</v>
      </c>
      <c r="Y165" s="20" t="n">
        <v>57.31</v>
      </c>
      <c r="Z165" s="46" t="n">
        <v>0.02763746572376967</v>
      </c>
      <c r="AA165" s="44" t="n">
        <v>0.0983</v>
      </c>
      <c r="AB165" s="46" t="n">
        <v>0.0983</v>
      </c>
      <c r="AC165" s="20" t="n">
        <v>27.87</v>
      </c>
      <c r="AD165" s="91" t="n">
        <v>1.3858</v>
      </c>
      <c r="AE165" s="46" t="n">
        <v>0.0983</v>
      </c>
      <c r="AF165" s="20" t="n">
        <v>-0.04227147313479519</v>
      </c>
      <c r="AG165" s="20" t="n">
        <v>39.16</v>
      </c>
      <c r="AH165" s="20" t="n">
        <v>6.62</v>
      </c>
      <c r="AI165" s="20" t="n">
        <v>26.14</v>
      </c>
      <c r="AJ165" s="46" t="n">
        <v>0.0098</v>
      </c>
      <c r="AK165" s="20" t="n">
        <v>100</v>
      </c>
      <c r="AL165" s="20" t="n">
        <v>94.29000000000001</v>
      </c>
      <c r="AM165" s="20" t="n">
        <v>33.18</v>
      </c>
      <c r="AN165" s="20" t="n">
        <v>27.87</v>
      </c>
      <c r="AO165" s="20" t="n">
        <v>26.14</v>
      </c>
      <c r="AP165" s="20" t="n">
        <v>100</v>
      </c>
      <c r="AQ165" s="92" t="n">
        <v>0.955</v>
      </c>
      <c r="AR165" s="20" t="n">
        <v>41.34575</v>
      </c>
      <c r="AS165" s="20" t="n">
        <v>43.29</v>
      </c>
      <c r="AT165" s="49" t="n">
        <v>250</v>
      </c>
      <c r="AU165" s="50">
        <f>IF(I165="","管理人规模；","")&amp;IF(J165="","产品规模标识；","")&amp;IF(AND(F165&lt;3,O165=""),"R_incep；","")&amp;IF(N165="","近三年收益；","")&amp;IF(U165="","近三年胜率；","")&amp;IF(AND(V165&lt;&gt;"",OR(V165&lt;0,V165&gt;1)),"胜率窗口口径不一致；","")&amp;IF(AA165="","近三年回撤；","")&amp;IF(AD165="","短期卡玛；","")&amp;IF(AND(P165&lt;&gt;"",AE165=""),"DD_long不可识别；","")</f>
        <v/>
      </c>
      <c r="AV165" s="51" t="n"/>
      <c r="AW165" s="22" t="inlineStr">
        <is>
          <t>50-100亿元</t>
        </is>
      </c>
      <c r="AX165" s="22" t="inlineStr">
        <is>
          <t>2023-10-20</t>
        </is>
      </c>
      <c r="AY165" s="22" t="inlineStr">
        <is>
          <t>深圳前海博普资产管理有限公司 深圳前海博普资产管理有限公司</t>
        </is>
      </c>
      <c r="AZ165" s="22" t="inlineStr">
        <is>
          <t>2023-10-20</t>
        </is>
      </c>
      <c r="BA165" s="22" t="inlineStr">
        <is>
          <t>https://gs.amac.org.cn/amac-infodisc/res/pof/manager/1709041706102598.html</t>
        </is>
      </c>
      <c r="BB165" s="22" t="n"/>
      <c r="BC165" s="22" t="n"/>
      <c r="BD165" s="22" t="inlineStr">
        <is>
          <t>产品未匹配，管理人已按名称补录</t>
        </is>
      </c>
      <c r="BF165" t="inlineStr">
        <is>
          <t>未核验</t>
        </is>
      </c>
    </row>
    <row r="166" hidden="1" ht="28" customHeight="1" s="73">
      <c r="A166" s="2" t="n">
        <v>150</v>
      </c>
      <c r="B166" s="18" t="inlineStr">
        <is>
          <t>兆祥祥瑞套利1号</t>
        </is>
      </c>
      <c r="C166" s="18">
        <f>'sheet4-原始数据'!B151</f>
        <v/>
      </c>
      <c r="D166" s="18" t="inlineStr">
        <is>
          <t>青岛兆祥资管</t>
        </is>
      </c>
      <c r="E166" s="90" t="inlineStr">
        <is>
          <t>2022-09-16</t>
        </is>
      </c>
      <c r="F166" s="20" t="n">
        <v>3.9973</v>
      </c>
      <c r="G166" s="2">
        <f>IF(F166="","",IF(F166&lt;1,"不入池","入池"))</f>
        <v/>
      </c>
      <c r="H166" s="42" t="inlineStr">
        <is>
          <t>5-10亿元</t>
        </is>
      </c>
      <c r="I166" s="20" t="n">
        <v>70</v>
      </c>
      <c r="J166" s="43" t="inlineStr">
        <is>
          <t>无低于1000万元标识</t>
        </is>
      </c>
      <c r="K166" s="20" t="n">
        <v>100</v>
      </c>
      <c r="L166" s="20" t="n">
        <v>100</v>
      </c>
      <c r="M166" s="44" t="n"/>
      <c r="N166" s="44" t="n"/>
      <c r="O166" s="45" t="n"/>
      <c r="P166" s="46" t="n"/>
      <c r="Q166" s="20" t="n"/>
      <c r="R166" s="20" t="n"/>
      <c r="S166" s="20" t="n"/>
      <c r="T166" s="44" t="n"/>
      <c r="U166" s="44" t="n"/>
      <c r="V166" s="46" t="n"/>
      <c r="W166" s="20" t="n"/>
      <c r="X166" s="20" t="n"/>
      <c r="Y166" s="20" t="n"/>
      <c r="Z166" s="46" t="n"/>
      <c r="AA166" s="44" t="n"/>
      <c r="AB166" s="46" t="n"/>
      <c r="AC166" s="20" t="n"/>
      <c r="AD166" s="91" t="n"/>
      <c r="AE166" s="46" t="n"/>
      <c r="AF166" s="20" t="n"/>
      <c r="AG166" s="20" t="n"/>
      <c r="AH166" s="20" t="n"/>
      <c r="AI166" s="20" t="n"/>
      <c r="AJ166" s="46" t="n"/>
      <c r="AK166" s="20" t="n"/>
      <c r="AL166" s="20" t="n">
        <v>88</v>
      </c>
      <c r="AM166" s="20" t="n"/>
      <c r="AN166" s="20" t="n"/>
      <c r="AO166" s="20" t="n"/>
      <c r="AP166" s="20" t="n"/>
      <c r="AQ166" s="92" t="n">
        <v>0.15</v>
      </c>
      <c r="AR166" s="20" t="n">
        <v>13.2</v>
      </c>
      <c r="AS166" s="20" t="n">
        <v>88</v>
      </c>
      <c r="AT166" s="49" t="n">
        <v>17</v>
      </c>
      <c r="AU166" s="50">
        <f>IF(I166="","管理人规模；","")&amp;IF(J166="","产品规模标识；","")&amp;IF(AND(F166&lt;3,O166=""),"R_incep；","")&amp;IF(N166="","近三年收益；","")&amp;IF(U166="","近三年胜率；","")&amp;IF(AND(V166&lt;&gt;"",OR(V166&lt;0,V166&gt;1)),"胜率窗口口径不一致；","")&amp;IF(AA166="","近三年回撤；","")&amp;IF(AD166="","短期卡玛；","")&amp;IF(AND(P166&lt;&gt;"",AE166=""),"DD_long不可识别；","")</f>
        <v/>
      </c>
      <c r="AV166" s="51" t="n"/>
      <c r="AW166" s="22" t="inlineStr">
        <is>
          <t>5-10亿元</t>
        </is>
      </c>
      <c r="AX166" s="22" t="inlineStr">
        <is>
          <t>2025-06-06</t>
        </is>
      </c>
      <c r="AY166" s="22" t="inlineStr">
        <is>
          <t>青岛兆祥资产管理有限公司</t>
        </is>
      </c>
      <c r="AZ166" s="22" t="inlineStr">
        <is>
          <t>2025-06-06</t>
        </is>
      </c>
      <c r="BA166" s="22" t="inlineStr">
        <is>
          <t>https://gs.amac.org.cn/amac-infodisc/res/pof/manager/101000018153.html</t>
        </is>
      </c>
      <c r="BB166" s="22" t="inlineStr">
        <is>
          <t>兆祥祥瑞套利1号私募证券投资基金</t>
        </is>
      </c>
      <c r="BC166" s="22" t="inlineStr">
        <is>
          <t>2025-12-26</t>
        </is>
      </c>
      <c r="BD166" s="22" t="inlineStr">
        <is>
          <t>已匹配</t>
        </is>
      </c>
      <c r="BE166" t="inlineStr">
        <is>
          <t>https://gs.amac.org.cn/amac-infodisc/res/pof/fund/2209231805113020.html</t>
        </is>
      </c>
      <c r="BF166" t="inlineStr">
        <is>
          <t>已核验</t>
        </is>
      </c>
    </row>
    <row r="167" hidden="1" ht="28" customHeight="1" s="73">
      <c r="A167" s="2" t="n">
        <v>151</v>
      </c>
      <c r="B167" s="18" t="inlineStr">
        <is>
          <t>中益仁东染千顷</t>
        </is>
      </c>
      <c r="C167" s="18">
        <f>'sheet4-原始数据'!B152</f>
        <v/>
      </c>
      <c r="D167" s="18" t="inlineStr">
        <is>
          <t>日照中益仁</t>
        </is>
      </c>
      <c r="E167" s="90" t="inlineStr">
        <is>
          <t>2022-09-23</t>
        </is>
      </c>
      <c r="F167" s="20" t="n">
        <v>3.9781</v>
      </c>
      <c r="G167" s="2">
        <f>IF(F167="","",IF(F167&lt;1,"不入池","入池"))</f>
        <v/>
      </c>
      <c r="H167" s="42" t="inlineStr">
        <is>
          <t>10-20亿元</t>
        </is>
      </c>
      <c r="I167" s="20" t="n">
        <v>80</v>
      </c>
      <c r="J167" s="43" t="inlineStr">
        <is>
          <t>无低于1000万元标识</t>
        </is>
      </c>
      <c r="K167" s="20" t="n">
        <v>100</v>
      </c>
      <c r="L167" s="20" t="n">
        <v>100</v>
      </c>
      <c r="M167" s="44" t="n">
        <v>0.0946</v>
      </c>
      <c r="N167" s="44" t="n">
        <v>0.0839</v>
      </c>
      <c r="O167" s="45" t="n"/>
      <c r="P167" s="46" t="n">
        <v>0.0785892873705174</v>
      </c>
      <c r="Q167" s="20" t="n">
        <v>75.17</v>
      </c>
      <c r="R167" s="20" t="n">
        <v>63.5</v>
      </c>
      <c r="S167" s="20" t="n">
        <v>70.5</v>
      </c>
      <c r="T167" s="44" t="n">
        <v>0.7692</v>
      </c>
      <c r="U167" s="44" t="n">
        <v>0.8919</v>
      </c>
      <c r="V167" s="46" t="n">
        <v>0.9583625000000001</v>
      </c>
      <c r="W167" s="20" t="n">
        <v>76.92</v>
      </c>
      <c r="X167" s="20" t="n">
        <v>95.83625000000001</v>
      </c>
      <c r="Y167" s="20" t="n">
        <v>84.48999999999999</v>
      </c>
      <c r="Z167" s="46" t="n">
        <v>0.02766567234017664</v>
      </c>
      <c r="AA167" s="44" t="n">
        <v>0.0277</v>
      </c>
      <c r="AB167" s="46" t="n">
        <v>0.0277</v>
      </c>
      <c r="AC167" s="20" t="n">
        <v>62.02</v>
      </c>
      <c r="AD167" s="91" t="n">
        <v>3.4194</v>
      </c>
      <c r="AE167" s="46" t="n"/>
      <c r="AF167" s="20" t="n"/>
      <c r="AG167" s="20" t="n">
        <v>58.74</v>
      </c>
      <c r="AH167" s="20" t="n"/>
      <c r="AI167" s="20" t="n">
        <v>58.74</v>
      </c>
      <c r="AJ167" s="46" t="n">
        <v>0.0839</v>
      </c>
      <c r="AK167" s="20" t="n">
        <v>100</v>
      </c>
      <c r="AL167" s="20" t="n">
        <v>92</v>
      </c>
      <c r="AM167" s="20" t="n">
        <v>74.7</v>
      </c>
      <c r="AN167" s="20" t="n">
        <v>62.02</v>
      </c>
      <c r="AO167" s="20" t="n">
        <v>58.74</v>
      </c>
      <c r="AP167" s="20" t="n">
        <v>100</v>
      </c>
      <c r="AQ167" s="92" t="n">
        <v>0.88</v>
      </c>
      <c r="AR167" s="20" t="n">
        <v>64.81767000000001</v>
      </c>
      <c r="AS167" s="20" t="n">
        <v>73.66</v>
      </c>
      <c r="AT167" s="49" t="n">
        <v>95</v>
      </c>
      <c r="AU167" s="50">
        <f>IF(I167="","管理人规模；","")&amp;IF(J167="","产品规模标识；","")&amp;IF(AND(F167&lt;3,O167=""),"R_incep；","")&amp;IF(N167="","近三年收益；","")&amp;IF(U167="","近三年胜率；","")&amp;IF(AND(V167&lt;&gt;"",OR(V167&lt;0,V167&gt;1)),"胜率窗口口径不一致；","")&amp;IF(AA167="","近三年回撤；","")&amp;IF(AD167="","短期卡玛；","")&amp;IF(AND(P167&lt;&gt;"",AE167=""),"DD_long不可识别；","")</f>
        <v/>
      </c>
      <c r="AV167" s="51" t="n"/>
      <c r="AW167" s="22" t="inlineStr">
        <is>
          <t>10-20亿元</t>
        </is>
      </c>
      <c r="AX167" s="22" t="inlineStr">
        <is>
          <t>2026-01-08</t>
        </is>
      </c>
      <c r="AY167" s="22" t="inlineStr">
        <is>
          <t>日照中益仁私募基金管理有限公司</t>
        </is>
      </c>
      <c r="AZ167" s="22" t="inlineStr">
        <is>
          <t>2026-01-08</t>
        </is>
      </c>
      <c r="BA167" s="22" t="inlineStr">
        <is>
          <t>https://gs.amac.org.cn/amac-infodisc/res/pof/manager/1708291806108811.html</t>
        </is>
      </c>
      <c r="BB167" s="22" t="inlineStr">
        <is>
          <t>中益仁东染千顷私募证券投资基金</t>
        </is>
      </c>
      <c r="BC167" s="22" t="inlineStr">
        <is>
          <t>2023-04-19</t>
        </is>
      </c>
      <c r="BD167" s="22" t="inlineStr">
        <is>
          <t>已匹配</t>
        </is>
      </c>
      <c r="BE167" t="inlineStr">
        <is>
          <t>https://gs.amac.org.cn/amac-infodisc/res/pof/fund/2209291849101854.html</t>
        </is>
      </c>
      <c r="BF167" t="inlineStr">
        <is>
          <t>已核验</t>
        </is>
      </c>
    </row>
    <row r="168" hidden="1" ht="28" customHeight="1" s="73">
      <c r="A168" s="2" t="n">
        <v>152</v>
      </c>
      <c r="B168" s="18" t="inlineStr">
        <is>
          <t>华实行远1号</t>
        </is>
      </c>
      <c r="C168" s="18">
        <f>'sheet4-原始数据'!B153</f>
        <v/>
      </c>
      <c r="D168" s="18" t="inlineStr">
        <is>
          <t>青岛华实</t>
        </is>
      </c>
      <c r="E168" s="90" t="inlineStr">
        <is>
          <t>2022-10-13</t>
        </is>
      </c>
      <c r="F168" s="20" t="n">
        <v>3.9233</v>
      </c>
      <c r="G168" s="2">
        <f>IF(F168="","",IF(F168&lt;1,"不入池","入池"))</f>
        <v/>
      </c>
      <c r="H168" s="42" t="inlineStr">
        <is>
          <t>0-5亿元</t>
        </is>
      </c>
      <c r="I168" s="20" t="n">
        <v>60</v>
      </c>
      <c r="J168" s="43" t="inlineStr">
        <is>
          <t>无低于1000万元标识</t>
        </is>
      </c>
      <c r="K168" s="20" t="n">
        <v>100</v>
      </c>
      <c r="L168" s="20" t="n">
        <v>100</v>
      </c>
      <c r="M168" s="44" t="n"/>
      <c r="N168" s="44" t="n"/>
      <c r="O168" s="45" t="n"/>
      <c r="P168" s="46" t="n"/>
      <c r="Q168" s="20" t="n"/>
      <c r="R168" s="20" t="n"/>
      <c r="S168" s="20" t="n"/>
      <c r="T168" s="44" t="n"/>
      <c r="U168" s="44" t="n"/>
      <c r="V168" s="46" t="n"/>
      <c r="W168" s="20" t="n"/>
      <c r="X168" s="20" t="n"/>
      <c r="Y168" s="20" t="n"/>
      <c r="Z168" s="46" t="n"/>
      <c r="AA168" s="44" t="n"/>
      <c r="AB168" s="46" t="n"/>
      <c r="AC168" s="20" t="n"/>
      <c r="AD168" s="91" t="n"/>
      <c r="AE168" s="46" t="n"/>
      <c r="AF168" s="20" t="n"/>
      <c r="AG168" s="20" t="n"/>
      <c r="AH168" s="20" t="n"/>
      <c r="AI168" s="20" t="n"/>
      <c r="AJ168" s="46" t="n"/>
      <c r="AK168" s="20" t="n"/>
      <c r="AL168" s="20" t="n">
        <v>84</v>
      </c>
      <c r="AM168" s="20" t="n"/>
      <c r="AN168" s="20" t="n"/>
      <c r="AO168" s="20" t="n"/>
      <c r="AP168" s="20" t="n"/>
      <c r="AQ168" s="92" t="n">
        <v>0.15</v>
      </c>
      <c r="AR168" s="20" t="n">
        <v>12.6</v>
      </c>
      <c r="AS168" s="20" t="n">
        <v>84</v>
      </c>
      <c r="AT168" s="49" t="n">
        <v>39</v>
      </c>
      <c r="AU168" s="50">
        <f>IF(I168="","管理人规模；","")&amp;IF(J168="","产品规模标识；","")&amp;IF(AND(F168&lt;3,O168=""),"R_incep；","")&amp;IF(N168="","近三年收益；","")&amp;IF(U168="","近三年胜率；","")&amp;IF(AND(V168&lt;&gt;"",OR(V168&lt;0,V168&gt;1)),"胜率窗口口径不一致；","")&amp;IF(AA168="","近三年回撤；","")&amp;IF(AD168="","短期卡玛；","")&amp;IF(AND(P168&lt;&gt;"",AE168=""),"DD_long不可识别；","")</f>
        <v/>
      </c>
      <c r="AV168" s="51" t="n"/>
      <c r="AW168" s="22" t="inlineStr">
        <is>
          <t>0-5亿元</t>
        </is>
      </c>
      <c r="AX168" s="22" t="inlineStr">
        <is>
          <t>2026-07-07</t>
        </is>
      </c>
      <c r="AY168" s="22" t="inlineStr">
        <is>
          <t>青岛华实私募基金管理有限公司</t>
        </is>
      </c>
      <c r="AZ168" s="22" t="inlineStr">
        <is>
          <t>2026-07-07</t>
        </is>
      </c>
      <c r="BA168" s="22" t="inlineStr">
        <is>
          <t>https://gs.amac.org.cn/amac-infodisc/res/pof/manager/1706261652108175.html</t>
        </is>
      </c>
      <c r="BB168" s="22" t="inlineStr">
        <is>
          <t>华实行远1号私募证券投资基金</t>
        </is>
      </c>
      <c r="BC168" s="22" t="inlineStr">
        <is>
          <t>2025-03-03</t>
        </is>
      </c>
      <c r="BD168" s="22" t="inlineStr">
        <is>
          <t>已匹配</t>
        </is>
      </c>
      <c r="BE168" t="inlineStr">
        <is>
          <t>https://gs.amac.org.cn/amac-infodisc/res/pof/fund/2210191004108436.html</t>
        </is>
      </c>
      <c r="BF168" t="inlineStr">
        <is>
          <t>已核验</t>
        </is>
      </c>
    </row>
    <row r="169" hidden="1" ht="28" customHeight="1" s="73">
      <c r="A169" s="2" t="n">
        <v>153</v>
      </c>
      <c r="B169" s="18" t="inlineStr">
        <is>
          <t>系数CTA套利五号</t>
        </is>
      </c>
      <c r="C169" s="18">
        <f>'sheet4-原始数据'!B154</f>
        <v/>
      </c>
      <c r="D169" s="18" t="inlineStr">
        <is>
          <t>上海系数投资</t>
        </is>
      </c>
      <c r="E169" s="90" t="inlineStr">
        <is>
          <t>2022-11-16</t>
        </is>
      </c>
      <c r="F169" s="20" t="n">
        <v>3.8303</v>
      </c>
      <c r="G169" s="2">
        <f>IF(F169="","",IF(F169&lt;1,"不入池","入池"))</f>
        <v/>
      </c>
      <c r="H169" s="42" t="inlineStr">
        <is>
          <t>0-5亿元</t>
        </is>
      </c>
      <c r="I169" s="20" t="n">
        <v>60</v>
      </c>
      <c r="J169" s="43" t="inlineStr">
        <is>
          <t>无低于1000万元标识</t>
        </is>
      </c>
      <c r="K169" s="20" t="n">
        <v>100</v>
      </c>
      <c r="L169" s="20" t="n">
        <v>100</v>
      </c>
      <c r="M169" s="44" t="n">
        <v>0.006522015825151994</v>
      </c>
      <c r="N169" s="44" t="n">
        <v>0.09263842468154948</v>
      </c>
      <c r="O169" s="45" t="n"/>
      <c r="P169" s="46" t="n">
        <v>0.1384214353254454</v>
      </c>
      <c r="Q169" s="20" t="n">
        <v>18.06</v>
      </c>
      <c r="R169" s="20" t="n">
        <v>87</v>
      </c>
      <c r="S169" s="20" t="n">
        <v>45.64</v>
      </c>
      <c r="T169" s="44" t="n">
        <v>0.4615384615384616</v>
      </c>
      <c r="U169" s="44" t="n">
        <v>0.6486486486486487</v>
      </c>
      <c r="V169" s="46" t="n">
        <v>0.75</v>
      </c>
      <c r="W169" s="20" t="n">
        <v>46.15384615384615</v>
      </c>
      <c r="X169" s="20" t="n">
        <v>75</v>
      </c>
      <c r="Y169" s="20" t="n">
        <v>57.69</v>
      </c>
      <c r="Z169" s="46" t="n">
        <v>0.0431149238278361</v>
      </c>
      <c r="AA169" s="44" t="n">
        <v>0.0431149238278361</v>
      </c>
      <c r="AB169" s="46" t="n">
        <v>0.0431149238278361</v>
      </c>
      <c r="AC169" s="20" t="n">
        <v>48.78</v>
      </c>
      <c r="AD169" s="91" t="n">
        <v>0.1512704939754808</v>
      </c>
      <c r="AE169" s="46" t="n"/>
      <c r="AF169" s="20" t="n"/>
      <c r="AG169" s="20" t="n">
        <v>19.58</v>
      </c>
      <c r="AH169" s="20" t="n"/>
      <c r="AI169" s="20" t="n">
        <v>19.58</v>
      </c>
      <c r="AJ169" s="46" t="n">
        <v>0.09263842468154948</v>
      </c>
      <c r="AK169" s="20" t="n">
        <v>80</v>
      </c>
      <c r="AL169" s="20" t="n">
        <v>84</v>
      </c>
      <c r="AM169" s="20" t="n">
        <v>49.25</v>
      </c>
      <c r="AN169" s="20" t="n">
        <v>48.78</v>
      </c>
      <c r="AO169" s="20" t="n">
        <v>19.58</v>
      </c>
      <c r="AP169" s="20" t="n">
        <v>80</v>
      </c>
      <c r="AQ169" s="92" t="n">
        <v>0.88</v>
      </c>
      <c r="AR169" s="20" t="n">
        <v>46.16997846153846</v>
      </c>
      <c r="AS169" s="20" t="n">
        <v>52.47</v>
      </c>
      <c r="AT169" s="49" t="n">
        <v>207</v>
      </c>
      <c r="AU169" s="50">
        <f>IF(I169="","管理人规模；","")&amp;IF(J169="","产品规模标识；","")&amp;IF(AND(F169&lt;3,O169=""),"R_incep；","")&amp;IF(N169="","近三年收益；","")&amp;IF(U169="","近三年胜率；","")&amp;IF(AND(V169&lt;&gt;"",OR(V169&lt;0,V169&gt;1)),"胜率窗口口径不一致；","")&amp;IF(AA169="","近三年回撤；","")&amp;IF(AD169="","短期卡玛；","")&amp;IF(AND(P169&lt;&gt;"",AE169=""),"DD_long不可识别；","")</f>
        <v/>
      </c>
      <c r="AV169" s="51" t="n"/>
      <c r="AW169" s="22" t="inlineStr">
        <is>
          <t>0-5亿元</t>
        </is>
      </c>
      <c r="AX169" s="22" t="inlineStr">
        <is>
          <t>2026-08-03</t>
        </is>
      </c>
      <c r="AY169" s="22" t="inlineStr">
        <is>
          <t>上海系数投资管理合伙企业（有限合伙）</t>
        </is>
      </c>
      <c r="AZ169" s="22" t="inlineStr">
        <is>
          <t>2026-08-03</t>
        </is>
      </c>
      <c r="BA169" s="22" t="inlineStr">
        <is>
          <t>https://gs.amac.org.cn/amac-infodisc/res/pof/manager/101000000497.html</t>
        </is>
      </c>
      <c r="BB169" s="22" t="inlineStr">
        <is>
          <t>系数CTA套利五号私募证券投资基金</t>
        </is>
      </c>
      <c r="BC169" s="22" t="inlineStr">
        <is>
          <t>2026-06-16</t>
        </is>
      </c>
      <c r="BD169" s="22" t="inlineStr">
        <is>
          <t>已匹配</t>
        </is>
      </c>
      <c r="BE169" t="inlineStr">
        <is>
          <t>https://gs.amac.org.cn/amac-infodisc/res/pof/fund/2211221840100768.html</t>
        </is>
      </c>
      <c r="BF169" t="inlineStr">
        <is>
          <t>已核验</t>
        </is>
      </c>
    </row>
    <row r="170" hidden="1" ht="28" customHeight="1" s="73">
      <c r="A170" s="2" t="n">
        <v>154</v>
      </c>
      <c r="B170" s="18" t="inlineStr">
        <is>
          <t>世宽若水尘心1号</t>
        </is>
      </c>
      <c r="C170" s="18">
        <f>'sheet4-原始数据'!B155</f>
        <v/>
      </c>
      <c r="D170" s="18" t="inlineStr">
        <is>
          <t>厦门世宽</t>
        </is>
      </c>
      <c r="E170" s="90" t="inlineStr">
        <is>
          <t>2022-11-18</t>
        </is>
      </c>
      <c r="F170" s="20" t="n">
        <v>3.8248</v>
      </c>
      <c r="G170" s="2">
        <f>IF(F170="","",IF(F170&lt;1,"不入池","入池"))</f>
        <v/>
      </c>
      <c r="H170" s="42" t="inlineStr">
        <is>
          <t>0-5亿元</t>
        </is>
      </c>
      <c r="I170" s="20" t="n">
        <v>60</v>
      </c>
      <c r="J170" s="43" t="inlineStr">
        <is>
          <t>无低于1000万元标识</t>
        </is>
      </c>
      <c r="K170" s="20" t="n">
        <v>100</v>
      </c>
      <c r="L170" s="20" t="n">
        <v>100</v>
      </c>
      <c r="M170" s="44" t="n"/>
      <c r="N170" s="44" t="n"/>
      <c r="O170" s="45" t="n"/>
      <c r="P170" s="46" t="n"/>
      <c r="Q170" s="20" t="n"/>
      <c r="R170" s="20" t="n"/>
      <c r="S170" s="20" t="n"/>
      <c r="T170" s="44" t="n"/>
      <c r="U170" s="44" t="n"/>
      <c r="V170" s="46" t="n"/>
      <c r="W170" s="20" t="n"/>
      <c r="X170" s="20" t="n"/>
      <c r="Y170" s="20" t="n"/>
      <c r="Z170" s="46" t="n"/>
      <c r="AA170" s="44" t="n"/>
      <c r="AB170" s="46" t="n"/>
      <c r="AC170" s="20" t="n"/>
      <c r="AD170" s="91" t="n"/>
      <c r="AE170" s="46" t="n"/>
      <c r="AF170" s="20" t="n"/>
      <c r="AG170" s="20" t="n"/>
      <c r="AH170" s="20" t="n"/>
      <c r="AI170" s="20" t="n"/>
      <c r="AJ170" s="46" t="n"/>
      <c r="AK170" s="20" t="n"/>
      <c r="AL170" s="20" t="n">
        <v>84</v>
      </c>
      <c r="AM170" s="20" t="n"/>
      <c r="AN170" s="20" t="n"/>
      <c r="AO170" s="20" t="n"/>
      <c r="AP170" s="20" t="n"/>
      <c r="AQ170" s="92" t="n">
        <v>0.15</v>
      </c>
      <c r="AR170" s="20" t="n">
        <v>12.6</v>
      </c>
      <c r="AS170" s="20" t="n">
        <v>84</v>
      </c>
      <c r="AT170" s="49" t="n">
        <v>40</v>
      </c>
      <c r="AU170" s="50">
        <f>IF(I170="","管理人规模；","")&amp;IF(J170="","产品规模标识；","")&amp;IF(AND(F170&lt;3,O170=""),"R_incep；","")&amp;IF(N170="","近三年收益；","")&amp;IF(U170="","近三年胜率；","")&amp;IF(AND(V170&lt;&gt;"",OR(V170&lt;0,V170&gt;1)),"胜率窗口口径不一致；","")&amp;IF(AA170="","近三年回撤；","")&amp;IF(AD170="","短期卡玛；","")&amp;IF(AND(P170&lt;&gt;"",AE170=""),"DD_long不可识别；","")</f>
        <v/>
      </c>
      <c r="AV170" s="51" t="n"/>
      <c r="AW170" s="22" t="inlineStr">
        <is>
          <t>0-5亿元</t>
        </is>
      </c>
      <c r="AX170" s="22" t="inlineStr">
        <is>
          <t>2026-02-26</t>
        </is>
      </c>
      <c r="AY170" s="22" t="inlineStr">
        <is>
          <t>厦门世宽私募基金管理有限公司</t>
        </is>
      </c>
      <c r="AZ170" s="22" t="inlineStr">
        <is>
          <t>2026-02-26</t>
        </is>
      </c>
      <c r="BA170" s="22" t="inlineStr">
        <is>
          <t>https://gs.amac.org.cn/amac-infodisc/res/pof/manager/101000026000.html</t>
        </is>
      </c>
      <c r="BB170" s="22" t="inlineStr">
        <is>
          <t>世宽若水尘心1号私募证券投资基金</t>
        </is>
      </c>
      <c r="BC170" s="22" t="inlineStr">
        <is>
          <t>2025-12-30</t>
        </is>
      </c>
      <c r="BD170" s="22" t="inlineStr">
        <is>
          <t>已匹配</t>
        </is>
      </c>
      <c r="BE170" t="inlineStr">
        <is>
          <t>https://gs.amac.org.cn/amac-infodisc/res/pof/fund/2211231146106175.html</t>
        </is>
      </c>
      <c r="BF170" t="inlineStr">
        <is>
          <t>已核验</t>
        </is>
      </c>
    </row>
    <row r="171" hidden="1" ht="28" customHeight="1" s="73">
      <c r="A171" s="2" t="n">
        <v>155</v>
      </c>
      <c r="B171" s="18" t="inlineStr">
        <is>
          <t>世宽若水尘心3号</t>
        </is>
      </c>
      <c r="C171" s="18">
        <f>'sheet4-原始数据'!B156</f>
        <v/>
      </c>
      <c r="D171" s="18" t="inlineStr">
        <is>
          <t>厦门世宽</t>
        </is>
      </c>
      <c r="E171" s="90" t="inlineStr">
        <is>
          <t>2022-11-18</t>
        </is>
      </c>
      <c r="F171" s="20" t="n">
        <v>3.8248</v>
      </c>
      <c r="G171" s="2">
        <f>IF(F171="","",IF(F171&lt;1,"不入池","入池"))</f>
        <v/>
      </c>
      <c r="H171" s="42" t="inlineStr">
        <is>
          <t>0-5亿元</t>
        </is>
      </c>
      <c r="I171" s="20" t="n">
        <v>60</v>
      </c>
      <c r="J171" s="43" t="inlineStr">
        <is>
          <t>无低于1000万元标识</t>
        </is>
      </c>
      <c r="K171" s="20" t="n">
        <v>100</v>
      </c>
      <c r="L171" s="20" t="n">
        <v>100</v>
      </c>
      <c r="M171" s="44" t="n">
        <v>0.2048847162372274</v>
      </c>
      <c r="N171" s="44" t="n">
        <v>0.1532236838677676</v>
      </c>
      <c r="O171" s="45" t="n">
        <v>0.1196976396126528</v>
      </c>
      <c r="P171" s="46" t="n">
        <v>0.1282298392718826</v>
      </c>
      <c r="Q171" s="20" t="n">
        <v>92.01000000000001</v>
      </c>
      <c r="R171" s="20" t="n">
        <v>83</v>
      </c>
      <c r="S171" s="20" t="n">
        <v>88.41</v>
      </c>
      <c r="T171" s="44" t="n"/>
      <c r="U171" s="44" t="n"/>
      <c r="V171" s="46" t="n"/>
      <c r="W171" s="20" t="n"/>
      <c r="X171" s="20" t="n"/>
      <c r="Y171" s="20" t="n"/>
      <c r="Z171" s="46" t="n">
        <v>0.009266355465756382</v>
      </c>
      <c r="AA171" s="44" t="n">
        <v>0.01080762428767945</v>
      </c>
      <c r="AB171" s="46" t="n">
        <v>0.01080762428767945</v>
      </c>
      <c r="AC171" s="20" t="n">
        <v>84.67</v>
      </c>
      <c r="AD171" s="91" t="n">
        <v>22.11060400114958</v>
      </c>
      <c r="AE171" s="46" t="n">
        <v>0.01080762428767945</v>
      </c>
      <c r="AF171" s="20" t="n">
        <v>11.86475731008367</v>
      </c>
      <c r="AG171" s="20" t="n">
        <v>91.95999999999999</v>
      </c>
      <c r="AH171" s="20" t="n">
        <v>91.91</v>
      </c>
      <c r="AI171" s="20" t="n">
        <v>91.94</v>
      </c>
      <c r="AJ171" s="46" t="n">
        <v>0.1532236838677676</v>
      </c>
      <c r="AK171" s="20" t="n">
        <v>100</v>
      </c>
      <c r="AL171" s="20" t="n">
        <v>84</v>
      </c>
      <c r="AM171" s="20" t="n">
        <v>88.41</v>
      </c>
      <c r="AN171" s="20" t="n">
        <v>84.67</v>
      </c>
      <c r="AO171" s="20" t="n">
        <v>91.94</v>
      </c>
      <c r="AP171" s="20" t="n">
        <v>100</v>
      </c>
      <c r="AQ171" s="92" t="n">
        <v>0.9399999999999999</v>
      </c>
      <c r="AR171" s="20" t="n">
        <v>83.72633999999999</v>
      </c>
      <c r="AS171" s="20" t="n">
        <v>89.06999999999999</v>
      </c>
      <c r="AT171" s="49" t="n">
        <v>13</v>
      </c>
      <c r="AU171" s="50">
        <f>IF(I171="","管理人规模；","")&amp;IF(J171="","产品规模标识；","")&amp;IF(AND(F171&lt;3,O171=""),"R_incep；","")&amp;IF(N171="","近三年收益；","")&amp;IF(U171="","近三年胜率；","")&amp;IF(AND(V171&lt;&gt;"",OR(V171&lt;0,V171&gt;1)),"胜率窗口口径不一致；","")&amp;IF(AA171="","近三年回撤；","")&amp;IF(AD171="","短期卡玛；","")&amp;IF(AND(P171&lt;&gt;"",AE171=""),"DD_long不可识别；","")</f>
        <v/>
      </c>
      <c r="AV171" s="51" t="n"/>
      <c r="AW171" s="22" t="inlineStr">
        <is>
          <t>0-5亿元</t>
        </is>
      </c>
      <c r="AX171" s="22" t="inlineStr">
        <is>
          <t>2026-02-26</t>
        </is>
      </c>
      <c r="AY171" s="22" t="inlineStr">
        <is>
          <t>厦门世宽私募基金管理有限公司</t>
        </is>
      </c>
      <c r="AZ171" s="22" t="inlineStr">
        <is>
          <t>2026-02-26</t>
        </is>
      </c>
      <c r="BA171" s="22" t="inlineStr">
        <is>
          <t>https://gs.amac.org.cn/amac-infodisc/res/pof/manager/101000026000.html</t>
        </is>
      </c>
      <c r="BB171" s="22" t="inlineStr">
        <is>
          <t>世宽若水尘心3号私募证券投资基金</t>
        </is>
      </c>
      <c r="BC171" s="22" t="inlineStr">
        <is>
          <t>2025-12-30</t>
        </is>
      </c>
      <c r="BD171" s="22" t="inlineStr">
        <is>
          <t>已匹配</t>
        </is>
      </c>
      <c r="BE171" t="inlineStr">
        <is>
          <t>https://gs.amac.org.cn/amac-infodisc/res/pof/fund/2211252020100971.html</t>
        </is>
      </c>
      <c r="BF171" t="inlineStr">
        <is>
          <t>已核验</t>
        </is>
      </c>
    </row>
    <row r="172" hidden="1" ht="28" customHeight="1" s="73">
      <c r="A172" s="2" t="n">
        <v>156</v>
      </c>
      <c r="B172" s="18" t="inlineStr">
        <is>
          <t>泓倍商品相对价值1号A类</t>
        </is>
      </c>
      <c r="C172" s="18">
        <f>'sheet4-原始数据'!B157</f>
        <v/>
      </c>
      <c r="D172" s="18" t="inlineStr">
        <is>
          <t>上海泓倍投资</t>
        </is>
      </c>
      <c r="E172" s="90" t="inlineStr">
        <is>
          <t>2018-11-09</t>
        </is>
      </c>
      <c r="F172" s="20" t="n">
        <v>7.8494</v>
      </c>
      <c r="G172" s="2">
        <f>IF(F172="","",IF(F172&lt;1,"不入池","入池"))</f>
        <v/>
      </c>
      <c r="H172" s="42" t="inlineStr">
        <is>
          <t>0-5亿元</t>
        </is>
      </c>
      <c r="I172" s="20" t="n">
        <v>60</v>
      </c>
      <c r="J172" s="43" t="inlineStr">
        <is>
          <t>无低于1000万元标识</t>
        </is>
      </c>
      <c r="K172" s="20" t="n"/>
      <c r="L172" s="20" t="n">
        <v>100</v>
      </c>
      <c r="M172" s="44" t="n">
        <v>0.0603</v>
      </c>
      <c r="N172" s="44" t="n">
        <v>0.0395</v>
      </c>
      <c r="O172" s="45" t="n"/>
      <c r="P172" s="46" t="n">
        <v>0.02925351729415904</v>
      </c>
      <c r="Q172" s="20" t="n">
        <v>51.04</v>
      </c>
      <c r="R172" s="20" t="n">
        <v>15.5</v>
      </c>
      <c r="S172" s="20" t="n">
        <v>36.82</v>
      </c>
      <c r="T172" s="44" t="n">
        <v>0.4615</v>
      </c>
      <c r="U172" s="44" t="n">
        <v>0.6215999999999999</v>
      </c>
      <c r="V172" s="46" t="n">
        <v>0.7083208333333332</v>
      </c>
      <c r="W172" s="20" t="n">
        <v>46.15</v>
      </c>
      <c r="X172" s="20" t="n">
        <v>70.83208333333332</v>
      </c>
      <c r="Y172" s="20" t="n">
        <v>56.02</v>
      </c>
      <c r="Z172" s="46" t="n">
        <v>0.06510472900021594</v>
      </c>
      <c r="AA172" s="44" t="n">
        <v>0.0883</v>
      </c>
      <c r="AB172" s="46" t="n">
        <v>0.0883</v>
      </c>
      <c r="AC172" s="20" t="n">
        <v>29.62</v>
      </c>
      <c r="AD172" s="91" t="n">
        <v>0.9262</v>
      </c>
      <c r="AE172" s="46" t="n">
        <v>0.0883</v>
      </c>
      <c r="AF172" s="20" t="n">
        <v>0.3312969115986301</v>
      </c>
      <c r="AG172" s="20" t="n">
        <v>33.57</v>
      </c>
      <c r="AH172" s="20" t="n">
        <v>13.97</v>
      </c>
      <c r="AI172" s="20" t="n">
        <v>25.73</v>
      </c>
      <c r="AJ172" s="46" t="n">
        <v>0.0395</v>
      </c>
      <c r="AK172" s="20" t="n">
        <v>100</v>
      </c>
      <c r="AL172" s="20" t="n">
        <v>77.14</v>
      </c>
      <c r="AM172" s="20" t="n">
        <v>42.58</v>
      </c>
      <c r="AN172" s="20" t="n">
        <v>29.62</v>
      </c>
      <c r="AO172" s="20" t="n">
        <v>25.73</v>
      </c>
      <c r="AP172" s="20" t="n">
        <v>100</v>
      </c>
      <c r="AQ172" s="92" t="n">
        <v>0.955</v>
      </c>
      <c r="AR172" s="20" t="n">
        <v>41.74073</v>
      </c>
      <c r="AS172" s="20" t="n">
        <v>43.71</v>
      </c>
      <c r="AT172" s="49" t="n">
        <v>247</v>
      </c>
      <c r="AU172" s="50">
        <f>IF(I172="","管理人规模；","")&amp;IF(J172="","产品规模标识；","")&amp;IF(AND(F172&lt;3,O172=""),"R_incep；","")&amp;IF(N172="","近三年收益；","")&amp;IF(U172="","近三年胜率；","")&amp;IF(AND(V172&lt;&gt;"",OR(V172&lt;0,V172&gt;1)),"胜率窗口口径不一致；","")&amp;IF(AA172="","近三年回撤；","")&amp;IF(AD172="","短期卡玛；","")&amp;IF(AND(P172&lt;&gt;"",AE172=""),"DD_long不可识别；","")</f>
        <v/>
      </c>
      <c r="AV172" s="51" t="n"/>
      <c r="AW172" s="22" t="inlineStr">
        <is>
          <t>0-5亿元</t>
        </is>
      </c>
      <c r="AX172" s="22" t="inlineStr">
        <is>
          <t>2026-04-30</t>
        </is>
      </c>
      <c r="AY172" s="22" t="inlineStr">
        <is>
          <t>上海泓倍资产管理中心（有限合伙） 上海泓倍资产管理中心（有限合伙）</t>
        </is>
      </c>
      <c r="AZ172" s="22" t="inlineStr">
        <is>
          <t>2026-04-30</t>
        </is>
      </c>
      <c r="BA172" s="22" t="inlineStr">
        <is>
          <t>https://gs.amac.org.cn/amac-infodisc/res/pof/manager/101000004914.html</t>
        </is>
      </c>
      <c r="BB172" s="22" t="n"/>
      <c r="BC172" s="22" t="n"/>
      <c r="BD172" s="22" t="inlineStr">
        <is>
          <t>产品未匹配，管理人已按名称补录</t>
        </is>
      </c>
      <c r="BF172" t="inlineStr">
        <is>
          <t>未核验</t>
        </is>
      </c>
    </row>
    <row r="173" hidden="1" ht="28" customHeight="1" s="73">
      <c r="A173" s="2" t="n">
        <v>157</v>
      </c>
      <c r="B173" s="18" t="inlineStr">
        <is>
          <t>珞瑜阳明1号</t>
        </is>
      </c>
      <c r="C173" s="18">
        <f>'sheet4-原始数据'!B158</f>
        <v/>
      </c>
      <c r="D173" s="18" t="inlineStr">
        <is>
          <t>深圳珞瑜</t>
        </is>
      </c>
      <c r="E173" s="90" t="inlineStr">
        <is>
          <t>2023-06-30</t>
        </is>
      </c>
      <c r="F173" s="20" t="n">
        <v>3.2115</v>
      </c>
      <c r="G173" s="2">
        <f>IF(F173="","",IF(F173&lt;1,"不入池","入池"))</f>
        <v/>
      </c>
      <c r="H173" s="42" t="inlineStr">
        <is>
          <t>0-5亿元</t>
        </is>
      </c>
      <c r="I173" s="20" t="n">
        <v>60</v>
      </c>
      <c r="J173" s="43" t="inlineStr">
        <is>
          <t>无低于1000万元标识</t>
        </is>
      </c>
      <c r="K173" s="20" t="n">
        <v>100</v>
      </c>
      <c r="L173" s="20" t="n">
        <v>100</v>
      </c>
      <c r="M173" s="44" t="n"/>
      <c r="N173" s="44" t="n"/>
      <c r="O173" s="45" t="n"/>
      <c r="P173" s="46" t="n"/>
      <c r="Q173" s="20" t="n"/>
      <c r="R173" s="20" t="n"/>
      <c r="S173" s="20" t="n"/>
      <c r="T173" s="44" t="n"/>
      <c r="U173" s="44" t="n"/>
      <c r="V173" s="46" t="n"/>
      <c r="W173" s="20" t="n"/>
      <c r="X173" s="20" t="n"/>
      <c r="Y173" s="20" t="n"/>
      <c r="Z173" s="46" t="n"/>
      <c r="AA173" s="44" t="n"/>
      <c r="AB173" s="46" t="n"/>
      <c r="AC173" s="20" t="n"/>
      <c r="AD173" s="91" t="n"/>
      <c r="AE173" s="46" t="n"/>
      <c r="AF173" s="20" t="n"/>
      <c r="AG173" s="20" t="n"/>
      <c r="AH173" s="20" t="n"/>
      <c r="AI173" s="20" t="n"/>
      <c r="AJ173" s="46" t="n"/>
      <c r="AK173" s="20" t="n"/>
      <c r="AL173" s="20" t="n">
        <v>84</v>
      </c>
      <c r="AM173" s="20" t="n"/>
      <c r="AN173" s="20" t="n"/>
      <c r="AO173" s="20" t="n"/>
      <c r="AP173" s="20" t="n"/>
      <c r="AQ173" s="92" t="n">
        <v>0.15</v>
      </c>
      <c r="AR173" s="20" t="n">
        <v>12.6</v>
      </c>
      <c r="AS173" s="20" t="n">
        <v>84</v>
      </c>
      <c r="AT173" s="49" t="n">
        <v>41</v>
      </c>
      <c r="AU173" s="50">
        <f>IF(I173="","管理人规模；","")&amp;IF(J173="","产品规模标识；","")&amp;IF(AND(F173&lt;3,O173=""),"R_incep；","")&amp;IF(N173="","近三年收益；","")&amp;IF(U173="","近三年胜率；","")&amp;IF(AND(V173&lt;&gt;"",OR(V173&lt;0,V173&gt;1)),"胜率窗口口径不一致；","")&amp;IF(AA173="","近三年回撤；","")&amp;IF(AD173="","短期卡玛；","")&amp;IF(AND(P173&lt;&gt;"",AE173=""),"DD_long不可识别；","")</f>
        <v/>
      </c>
      <c r="AV173" s="51" t="n"/>
      <c r="AW173" s="22" t="inlineStr">
        <is>
          <t>0-5亿元</t>
        </is>
      </c>
      <c r="AX173" s="22" t="inlineStr">
        <is>
          <t>2026-07-01</t>
        </is>
      </c>
      <c r="AY173" s="22" t="inlineStr">
        <is>
          <t>深圳市珞瑜私募证券基金管理有限公司</t>
        </is>
      </c>
      <c r="AZ173" s="22" t="inlineStr">
        <is>
          <t>2026-07-01</t>
        </is>
      </c>
      <c r="BA173" s="22" t="inlineStr">
        <is>
          <t>https://gs.amac.org.cn/amac-infodisc/res/pof/manager/101000029973.html</t>
        </is>
      </c>
      <c r="BB173" s="22" t="inlineStr">
        <is>
          <t>珞瑜阳明1号私募证券投资基金</t>
        </is>
      </c>
      <c r="BC173" s="22" t="inlineStr">
        <is>
          <t>2026-07-15</t>
        </is>
      </c>
      <c r="BD173" s="22" t="inlineStr">
        <is>
          <t>已匹配</t>
        </is>
      </c>
      <c r="BE173" t="inlineStr">
        <is>
          <t>https://gs.amac.org.cn/amac-infodisc/res/pof/fund/2307071815100231.html</t>
        </is>
      </c>
      <c r="BF173" t="inlineStr">
        <is>
          <t>已核验</t>
        </is>
      </c>
    </row>
    <row r="174" hidden="1" ht="28" customHeight="1" s="73">
      <c r="A174" s="2" t="n">
        <v>158</v>
      </c>
      <c r="B174" s="18" t="inlineStr">
        <is>
          <t>乾元光辉岁月稳进32号</t>
        </is>
      </c>
      <c r="C174" s="18">
        <f>'sheet4-原始数据'!B159</f>
        <v/>
      </c>
      <c r="D174" s="18" t="inlineStr">
        <is>
          <t>深圳乾元资始</t>
        </is>
      </c>
      <c r="E174" s="90" t="inlineStr">
        <is>
          <t>2023-08-02</t>
        </is>
      </c>
      <c r="F174" s="20" t="n">
        <v>3.1211</v>
      </c>
      <c r="G174" s="2">
        <f>IF(F174="","",IF(F174&lt;1,"不入池","入池"))</f>
        <v/>
      </c>
      <c r="H174" s="42" t="inlineStr">
        <is>
          <t>5-10亿元</t>
        </is>
      </c>
      <c r="I174" s="20" t="n">
        <v>70</v>
      </c>
      <c r="J174" s="43" t="inlineStr">
        <is>
          <t>无低于1000万元标识</t>
        </is>
      </c>
      <c r="K174" s="20" t="n">
        <v>100</v>
      </c>
      <c r="L174" s="20" t="n">
        <v>100</v>
      </c>
      <c r="M174" s="44" t="n"/>
      <c r="N174" s="44" t="n"/>
      <c r="O174" s="45" t="n"/>
      <c r="P174" s="46" t="n"/>
      <c r="Q174" s="20" t="n"/>
      <c r="R174" s="20" t="n"/>
      <c r="S174" s="20" t="n"/>
      <c r="T174" s="44" t="n"/>
      <c r="U174" s="44" t="n"/>
      <c r="V174" s="46" t="n"/>
      <c r="W174" s="20" t="n"/>
      <c r="X174" s="20" t="n"/>
      <c r="Y174" s="20" t="n"/>
      <c r="Z174" s="46" t="n"/>
      <c r="AA174" s="44" t="n"/>
      <c r="AB174" s="46" t="n"/>
      <c r="AC174" s="20" t="n"/>
      <c r="AD174" s="91" t="n"/>
      <c r="AE174" s="46" t="n"/>
      <c r="AF174" s="20" t="n"/>
      <c r="AG174" s="20" t="n"/>
      <c r="AH174" s="20" t="n"/>
      <c r="AI174" s="20" t="n"/>
      <c r="AJ174" s="46" t="n"/>
      <c r="AK174" s="20" t="n"/>
      <c r="AL174" s="20" t="n">
        <v>88</v>
      </c>
      <c r="AM174" s="20" t="n"/>
      <c r="AN174" s="20" t="n"/>
      <c r="AO174" s="20" t="n"/>
      <c r="AP174" s="20" t="n"/>
      <c r="AQ174" s="92" t="n">
        <v>0.15</v>
      </c>
      <c r="AR174" s="20" t="n">
        <v>13.2</v>
      </c>
      <c r="AS174" s="20" t="n">
        <v>88</v>
      </c>
      <c r="AT174" s="49" t="n">
        <v>18</v>
      </c>
      <c r="AU174" s="50">
        <f>IF(I174="","管理人规模；","")&amp;IF(J174="","产品规模标识；","")&amp;IF(AND(F174&lt;3,O174=""),"R_incep；","")&amp;IF(N174="","近三年收益；","")&amp;IF(U174="","近三年胜率；","")&amp;IF(AND(V174&lt;&gt;"",OR(V174&lt;0,V174&gt;1)),"胜率窗口口径不一致；","")&amp;IF(AA174="","近三年回撤；","")&amp;IF(AD174="","短期卡玛；","")&amp;IF(AND(P174&lt;&gt;"",AE174=""),"DD_long不可识别；","")</f>
        <v/>
      </c>
      <c r="AV174" s="51" t="n"/>
      <c r="AW174" s="22" t="inlineStr">
        <is>
          <t>5-10亿元</t>
        </is>
      </c>
      <c r="AX174" s="22" t="inlineStr">
        <is>
          <t>2025-08-13</t>
        </is>
      </c>
      <c r="AY174" s="22" t="inlineStr">
        <is>
          <t>深圳乾元资始私募证券基金管理有限公司</t>
        </is>
      </c>
      <c r="AZ174" s="22" t="inlineStr">
        <is>
          <t>2025-08-13</t>
        </is>
      </c>
      <c r="BA174" s="22" t="inlineStr">
        <is>
          <t>https://gs.amac.org.cn/amac-infodisc/res/pof/manager/101000031013.html</t>
        </is>
      </c>
      <c r="BB174" s="22" t="inlineStr">
        <is>
          <t>乾元光辉岁月稳进32号私募证券投资基金</t>
        </is>
      </c>
      <c r="BC174" s="22" t="inlineStr">
        <is>
          <t>2025-01-20</t>
        </is>
      </c>
      <c r="BD174" s="22" t="inlineStr">
        <is>
          <t>已匹配</t>
        </is>
      </c>
      <c r="BE174" t="inlineStr">
        <is>
          <t>https://gs.amac.org.cn/amac-infodisc/res/pof/fund/2308021605101279.html</t>
        </is>
      </c>
      <c r="BF174" t="inlineStr">
        <is>
          <t>已核验</t>
        </is>
      </c>
    </row>
    <row r="175" hidden="1" ht="28" customHeight="1" s="73">
      <c r="A175" s="2" t="n">
        <v>159</v>
      </c>
      <c r="B175" s="18" t="inlineStr">
        <is>
          <t>博普安兴私享一号</t>
        </is>
      </c>
      <c r="C175" s="18">
        <f>'sheet4-原始数据'!B160</f>
        <v/>
      </c>
      <c r="D175" s="18" t="inlineStr">
        <is>
          <t>深圳前海博普资管</t>
        </is>
      </c>
      <c r="E175" s="90" t="inlineStr">
        <is>
          <t>2024-03-22</t>
        </is>
      </c>
      <c r="F175" s="20" t="n">
        <v>2.4832</v>
      </c>
      <c r="G175" s="2">
        <f>IF(F175="","",IF(F175&lt;1,"不入池","入池"))</f>
        <v/>
      </c>
      <c r="H175" s="42" t="inlineStr">
        <is>
          <t>50-100亿元</t>
        </is>
      </c>
      <c r="I175" s="20" t="n">
        <v>90</v>
      </c>
      <c r="J175" s="43" t="inlineStr">
        <is>
          <t>无低于1000万元标识</t>
        </is>
      </c>
      <c r="K175" s="20" t="n">
        <v>100</v>
      </c>
      <c r="L175" s="20" t="n">
        <v>70</v>
      </c>
      <c r="M175" s="44" t="n"/>
      <c r="N175" s="44" t="n"/>
      <c r="O175" s="45" t="n"/>
      <c r="P175" s="46" t="n"/>
      <c r="Q175" s="20" t="n"/>
      <c r="R175" s="20" t="n"/>
      <c r="S175" s="20" t="n"/>
      <c r="T175" s="44" t="n"/>
      <c r="U175" s="44" t="n"/>
      <c r="V175" s="46" t="n"/>
      <c r="W175" s="20" t="n"/>
      <c r="X175" s="20" t="n"/>
      <c r="Y175" s="20" t="n"/>
      <c r="Z175" s="46" t="n"/>
      <c r="AA175" s="44" t="n"/>
      <c r="AB175" s="46" t="n"/>
      <c r="AC175" s="20" t="n"/>
      <c r="AD175" s="91" t="n"/>
      <c r="AE175" s="46" t="n"/>
      <c r="AF175" s="20" t="n"/>
      <c r="AG175" s="20" t="n"/>
      <c r="AH175" s="20" t="n"/>
      <c r="AI175" s="20" t="n"/>
      <c r="AJ175" s="46" t="n"/>
      <c r="AK175" s="20" t="n"/>
      <c r="AL175" s="20" t="n">
        <v>87</v>
      </c>
      <c r="AM175" s="20" t="n"/>
      <c r="AN175" s="20" t="n"/>
      <c r="AO175" s="20" t="n"/>
      <c r="AP175" s="20" t="n"/>
      <c r="AQ175" s="92" t="n">
        <v>0.15</v>
      </c>
      <c r="AR175" s="20" t="n">
        <v>13.05</v>
      </c>
      <c r="AS175" s="20" t="n">
        <v>87</v>
      </c>
      <c r="AT175" s="49" t="n">
        <v>22</v>
      </c>
      <c r="AU175" s="50">
        <f>IF(I175="","管理人规模；","")&amp;IF(J175="","产品规模标识；","")&amp;IF(AND(F175&lt;3,O175=""),"R_incep；","")&amp;IF(N175="","近三年收益；","")&amp;IF(U175="","近三年胜率；","")&amp;IF(AND(V175&lt;&gt;"",OR(V175&lt;0,V175&gt;1)),"胜率窗口口径不一致；","")&amp;IF(AA175="","近三年回撤；","")&amp;IF(AD175="","短期卡玛；","")&amp;IF(AND(P175&lt;&gt;"",AE175=""),"DD_long不可识别；","")</f>
        <v/>
      </c>
      <c r="AV175" s="51" t="n"/>
      <c r="AW175" s="22" t="inlineStr">
        <is>
          <t>50-100亿元</t>
        </is>
      </c>
      <c r="AX175" s="22" t="inlineStr">
        <is>
          <t>2023-10-20</t>
        </is>
      </c>
      <c r="AY175" s="22" t="inlineStr">
        <is>
          <t>深圳前海博普资产管理有限公司</t>
        </is>
      </c>
      <c r="AZ175" s="22" t="inlineStr">
        <is>
          <t>2023-10-20</t>
        </is>
      </c>
      <c r="BA175" s="22" t="inlineStr">
        <is>
          <t>https://gs.amac.org.cn/amac-infodisc/res/pof/manager/1709041706102598.html</t>
        </is>
      </c>
      <c r="BB175" s="22" t="inlineStr">
        <is>
          <t>博普安兴私享一号私募证券投资基金</t>
        </is>
      </c>
      <c r="BC175" s="22" t="inlineStr">
        <is>
          <t>2024-07-04</t>
        </is>
      </c>
      <c r="BD175" s="22" t="inlineStr">
        <is>
          <t>已匹配</t>
        </is>
      </c>
      <c r="BE175" t="inlineStr">
        <is>
          <t>https://gs.amac.org.cn/amac-infodisc/res/pof/fund/2403271438103539.html</t>
        </is>
      </c>
      <c r="BF175" t="inlineStr">
        <is>
          <t>已核验</t>
        </is>
      </c>
    </row>
    <row r="176" hidden="1" ht="28" customHeight="1" s="73">
      <c r="A176" s="2" t="n">
        <v>160</v>
      </c>
      <c r="B176" s="18" t="inlineStr">
        <is>
          <t>博普日添月益A类</t>
        </is>
      </c>
      <c r="C176" s="18">
        <f>'sheet4-原始数据'!B161</f>
        <v/>
      </c>
      <c r="D176" s="18" t="inlineStr">
        <is>
          <t>深圳前海博普资管</t>
        </is>
      </c>
      <c r="E176" s="90" t="inlineStr">
        <is>
          <t>2020-03-27</t>
        </is>
      </c>
      <c r="F176" s="20" t="n">
        <v>6.4695</v>
      </c>
      <c r="G176" s="2">
        <f>IF(F176="","",IF(F176&lt;1,"不入池","入池"))</f>
        <v/>
      </c>
      <c r="H176" s="42" t="inlineStr">
        <is>
          <t>50-100亿元</t>
        </is>
      </c>
      <c r="I176" s="20" t="n">
        <v>90</v>
      </c>
      <c r="J176" s="43" t="inlineStr">
        <is>
          <t>无低于1000万元标识</t>
        </is>
      </c>
      <c r="K176" s="20" t="n"/>
      <c r="L176" s="20" t="n">
        <v>100</v>
      </c>
      <c r="M176" s="44" t="n">
        <v>0.0711</v>
      </c>
      <c r="N176" s="44" t="n">
        <v>0.0603</v>
      </c>
      <c r="O176" s="45" t="n"/>
      <c r="P176" s="46" t="n">
        <v>0.05494090541040819</v>
      </c>
      <c r="Q176" s="20" t="n">
        <v>59.38</v>
      </c>
      <c r="R176" s="20" t="n">
        <v>42.5</v>
      </c>
      <c r="S176" s="20" t="n">
        <v>52.63</v>
      </c>
      <c r="T176" s="44" t="n">
        <v>0.9231</v>
      </c>
      <c r="U176" s="44" t="n">
        <v>0.8649</v>
      </c>
      <c r="V176" s="46" t="n">
        <v>0.8333749999999999</v>
      </c>
      <c r="W176" s="20" t="n">
        <v>92.31</v>
      </c>
      <c r="X176" s="20" t="n">
        <v>83.33749999999999</v>
      </c>
      <c r="Y176" s="20" t="n">
        <v>88.72</v>
      </c>
      <c r="Z176" s="46" t="n">
        <v>0.007576161198546569</v>
      </c>
      <c r="AA176" s="44" t="n">
        <v>0.0282</v>
      </c>
      <c r="AB176" s="46" t="n">
        <v>0.0282</v>
      </c>
      <c r="AC176" s="20" t="n">
        <v>61.15</v>
      </c>
      <c r="AD176" s="91" t="n">
        <v>9.3847</v>
      </c>
      <c r="AE176" s="46" t="n">
        <v>0.0282</v>
      </c>
      <c r="AF176" s="20" t="n">
        <v>1.948259057106674</v>
      </c>
      <c r="AG176" s="20" t="n">
        <v>77.27</v>
      </c>
      <c r="AH176" s="20" t="n">
        <v>65.44</v>
      </c>
      <c r="AI176" s="20" t="n">
        <v>72.54000000000001</v>
      </c>
      <c r="AJ176" s="46" t="n">
        <v>0.0603</v>
      </c>
      <c r="AK176" s="20" t="n">
        <v>100</v>
      </c>
      <c r="AL176" s="20" t="n">
        <v>94.29000000000001</v>
      </c>
      <c r="AM176" s="20" t="n">
        <v>63.46</v>
      </c>
      <c r="AN176" s="20" t="n">
        <v>61.15</v>
      </c>
      <c r="AO176" s="20" t="n">
        <v>72.54000000000001</v>
      </c>
      <c r="AP176" s="20" t="n">
        <v>100</v>
      </c>
      <c r="AQ176" s="92" t="n">
        <v>0.955</v>
      </c>
      <c r="AR176" s="20" t="n">
        <v>69.64008</v>
      </c>
      <c r="AS176" s="20" t="n">
        <v>72.92</v>
      </c>
      <c r="AT176" s="49" t="n">
        <v>100</v>
      </c>
      <c r="AU176" s="50">
        <f>IF(I176="","管理人规模；","")&amp;IF(J176="","产品规模标识；","")&amp;IF(AND(F176&lt;3,O176=""),"R_incep；","")&amp;IF(N176="","近三年收益；","")&amp;IF(U176="","近三年胜率；","")&amp;IF(AND(V176&lt;&gt;"",OR(V176&lt;0,V176&gt;1)),"胜率窗口口径不一致；","")&amp;IF(AA176="","近三年回撤；","")&amp;IF(AD176="","短期卡玛；","")&amp;IF(AND(P176&lt;&gt;"",AE176=""),"DD_long不可识别；","")</f>
        <v/>
      </c>
      <c r="AV176" s="51" t="n"/>
      <c r="AW176" s="22" t="inlineStr">
        <is>
          <t>50-100亿元</t>
        </is>
      </c>
      <c r="AX176" s="22" t="inlineStr">
        <is>
          <t>2023-10-20</t>
        </is>
      </c>
      <c r="AY176" s="22" t="inlineStr">
        <is>
          <t>深圳前海博普资产管理有限公司 深圳前海博普资产管理有限公司</t>
        </is>
      </c>
      <c r="AZ176" s="22" t="inlineStr">
        <is>
          <t>2023-10-20</t>
        </is>
      </c>
      <c r="BA176" s="22" t="inlineStr">
        <is>
          <t>https://gs.amac.org.cn/amac-infodisc/res/pof/manager/1709041706102598.html</t>
        </is>
      </c>
      <c r="BB176" s="22" t="n"/>
      <c r="BC176" s="22" t="n"/>
      <c r="BD176" s="22" t="inlineStr">
        <is>
          <t>产品未匹配，管理人已按名称补录</t>
        </is>
      </c>
      <c r="BF176" t="inlineStr">
        <is>
          <t>未核验</t>
        </is>
      </c>
    </row>
    <row r="177" hidden="1" ht="28" customHeight="1" s="73">
      <c r="A177" s="2" t="n">
        <v>161</v>
      </c>
      <c r="B177" s="18" t="inlineStr">
        <is>
          <t>毅远稳健套利16号</t>
        </is>
      </c>
      <c r="C177" s="18">
        <f>'sheet4-原始数据'!B162</f>
        <v/>
      </c>
      <c r="D177" s="18" t="inlineStr">
        <is>
          <t>上海毅远</t>
        </is>
      </c>
      <c r="E177" s="90" t="inlineStr">
        <is>
          <t>2024-11-04</t>
        </is>
      </c>
      <c r="F177" s="20" t="n">
        <v>1.8617</v>
      </c>
      <c r="G177" s="2">
        <f>IF(F177="","",IF(F177&lt;1,"不入池","入池"))</f>
        <v/>
      </c>
      <c r="H177" s="42" t="inlineStr">
        <is>
          <t>10-20亿元</t>
        </is>
      </c>
      <c r="I177" s="20" t="n">
        <v>80</v>
      </c>
      <c r="J177" s="43" t="inlineStr">
        <is>
          <t>无低于1000万元标识</t>
        </is>
      </c>
      <c r="K177" s="20" t="n">
        <v>100</v>
      </c>
      <c r="L177" s="20" t="n">
        <v>70</v>
      </c>
      <c r="M177" s="44" t="n">
        <v>0.1178</v>
      </c>
      <c r="N177" s="44" t="n"/>
      <c r="O177" s="45" t="n"/>
      <c r="P177" s="46" t="n"/>
      <c r="Q177" s="20" t="n">
        <v>82.29000000000001</v>
      </c>
      <c r="R177" s="20" t="n"/>
      <c r="S177" s="20" t="n">
        <v>82.29000000000001</v>
      </c>
      <c r="T177" s="44" t="n">
        <v>0.5385</v>
      </c>
      <c r="U177" s="44" t="n"/>
      <c r="V177" s="46" t="n"/>
      <c r="W177" s="20" t="n">
        <v>53.84999999999999</v>
      </c>
      <c r="X177" s="20" t="n"/>
      <c r="Y177" s="20" t="n">
        <v>53.84999999999999</v>
      </c>
      <c r="Z177" s="46" t="n">
        <v>0.278684646321268</v>
      </c>
      <c r="AA177" s="44" t="n"/>
      <c r="AB177" s="46" t="n">
        <v>0.278684646321268</v>
      </c>
      <c r="AC177" s="20" t="n">
        <v>5.57</v>
      </c>
      <c r="AD177" s="91" t="n">
        <v>0.4227</v>
      </c>
      <c r="AE177" s="46" t="n"/>
      <c r="AF177" s="20" t="n"/>
      <c r="AG177" s="20" t="n">
        <v>23.78</v>
      </c>
      <c r="AH177" s="20" t="n"/>
      <c r="AI177" s="20" t="n">
        <v>23.78</v>
      </c>
      <c r="AJ177" s="46" t="n"/>
      <c r="AK177" s="20" t="n"/>
      <c r="AL177" s="20" t="n">
        <v>83</v>
      </c>
      <c r="AM177" s="20" t="n">
        <v>73.76000000000001</v>
      </c>
      <c r="AN177" s="20" t="n">
        <v>5.57</v>
      </c>
      <c r="AO177" s="20" t="n">
        <v>23.78</v>
      </c>
      <c r="AP177" s="20" t="n"/>
      <c r="AQ177" s="92" t="n">
        <v>0.7</v>
      </c>
      <c r="AR177" s="20" t="n">
        <v>26.97386</v>
      </c>
      <c r="AS177" s="20" t="n">
        <v>38.53</v>
      </c>
      <c r="AT177" s="49" t="n">
        <v>276</v>
      </c>
      <c r="AU177" s="50">
        <f>IF(I177="","管理人规模；","")&amp;IF(J177="","产品规模标识；","")&amp;IF(AND(F177&lt;3,O177=""),"R_incep；","")&amp;IF(N177="","近三年收益；","")&amp;IF(U177="","近三年胜率；","")&amp;IF(AND(V177&lt;&gt;"",OR(V177&lt;0,V177&gt;1)),"胜率窗口口径不一致；","")&amp;IF(AA177="","近三年回撤；","")&amp;IF(AD177="","短期卡玛；","")&amp;IF(AND(P177&lt;&gt;"",AE177=""),"DD_long不可识别；","")</f>
        <v/>
      </c>
      <c r="AV177" s="51" t="n"/>
      <c r="AW177" s="22" t="inlineStr">
        <is>
          <t>10-20亿元</t>
        </is>
      </c>
      <c r="AX177" s="22" t="inlineStr">
        <is>
          <t>2025-12-01</t>
        </is>
      </c>
      <c r="AY177" s="22" t="inlineStr">
        <is>
          <t>上海毅远私募基金管理有限公司</t>
        </is>
      </c>
      <c r="AZ177" s="22" t="inlineStr">
        <is>
          <t>2025-12-01</t>
        </is>
      </c>
      <c r="BA177" s="22" t="inlineStr">
        <is>
          <t>https://gs.amac.org.cn/amac-infodisc/res/pof/manager/2112091706105909.html</t>
        </is>
      </c>
      <c r="BB177" s="22" t="inlineStr">
        <is>
          <t>毅远稳健套利16号私募证券投资基金</t>
        </is>
      </c>
      <c r="BC177" s="22" t="inlineStr">
        <is>
          <t>2025-01-02</t>
        </is>
      </c>
      <c r="BD177" s="22" t="inlineStr">
        <is>
          <t>已匹配</t>
        </is>
      </c>
      <c r="BE177" t="inlineStr">
        <is>
          <t>https://gs.amac.org.cn/amac-infodisc/res/pof/fund/2411251941105797.html</t>
        </is>
      </c>
      <c r="BF177" t="inlineStr">
        <is>
          <t>已核验</t>
        </is>
      </c>
    </row>
    <row r="178" hidden="1" ht="28" customHeight="1" s="73">
      <c r="A178" s="2" t="n">
        <v>162</v>
      </c>
      <c r="B178" s="18" t="inlineStr">
        <is>
          <t>滨风屹禾7号</t>
        </is>
      </c>
      <c r="C178" s="18">
        <f>'sheet4-原始数据'!B163</f>
        <v/>
      </c>
      <c r="D178" s="18" t="inlineStr">
        <is>
          <t>鹰潭滨风投资</t>
        </is>
      </c>
      <c r="E178" s="90" t="inlineStr">
        <is>
          <t>2024-12-10</t>
        </is>
      </c>
      <c r="F178" s="20" t="n">
        <v>1.7632</v>
      </c>
      <c r="G178" s="2">
        <f>IF(F178="","",IF(F178&lt;1,"不入池","入池"))</f>
        <v/>
      </c>
      <c r="H178" s="42" t="inlineStr">
        <is>
          <t>5-10亿元</t>
        </is>
      </c>
      <c r="I178" s="20" t="n">
        <v>70</v>
      </c>
      <c r="J178" s="43" t="inlineStr">
        <is>
          <t>无低于1000万元标识</t>
        </is>
      </c>
      <c r="K178" s="20" t="n">
        <v>100</v>
      </c>
      <c r="L178" s="20" t="n">
        <v>70</v>
      </c>
      <c r="M178" s="44" t="n"/>
      <c r="N178" s="44" t="n"/>
      <c r="O178" s="45" t="n"/>
      <c r="P178" s="46" t="n"/>
      <c r="Q178" s="20" t="n"/>
      <c r="R178" s="20" t="n"/>
      <c r="S178" s="20" t="n"/>
      <c r="T178" s="44" t="n"/>
      <c r="U178" s="44" t="n"/>
      <c r="V178" s="46" t="n"/>
      <c r="W178" s="20" t="n"/>
      <c r="X178" s="20" t="n"/>
      <c r="Y178" s="20" t="n"/>
      <c r="Z178" s="46" t="n"/>
      <c r="AA178" s="44" t="n"/>
      <c r="AB178" s="46" t="n"/>
      <c r="AC178" s="20" t="n"/>
      <c r="AD178" s="91" t="n"/>
      <c r="AE178" s="46" t="n"/>
      <c r="AF178" s="20" t="n"/>
      <c r="AG178" s="20" t="n"/>
      <c r="AH178" s="20" t="n"/>
      <c r="AI178" s="20" t="n"/>
      <c r="AJ178" s="46" t="n"/>
      <c r="AK178" s="20" t="n"/>
      <c r="AL178" s="20" t="n">
        <v>79</v>
      </c>
      <c r="AM178" s="20" t="n"/>
      <c r="AN178" s="20" t="n"/>
      <c r="AO178" s="20" t="n"/>
      <c r="AP178" s="20" t="n"/>
      <c r="AQ178" s="92" t="n">
        <v>0.15</v>
      </c>
      <c r="AR178" s="20" t="n">
        <v>11.85</v>
      </c>
      <c r="AS178" s="20" t="n">
        <v>79</v>
      </c>
      <c r="AT178" s="49" t="n">
        <v>70</v>
      </c>
      <c r="AU178" s="50">
        <f>IF(I178="","管理人规模；","")&amp;IF(J178="","产品规模标识；","")&amp;IF(AND(F178&lt;3,O178=""),"R_incep；","")&amp;IF(N178="","近三年收益；","")&amp;IF(U178="","近三年胜率；","")&amp;IF(AND(V178&lt;&gt;"",OR(V178&lt;0,V178&gt;1)),"胜率窗口口径不一致；","")&amp;IF(AA178="","近三年回撤；","")&amp;IF(AD178="","短期卡玛；","")&amp;IF(AND(P178&lt;&gt;"",AE178=""),"DD_long不可识别；","")</f>
        <v/>
      </c>
      <c r="AV178" s="51" t="n"/>
      <c r="AW178" s="22" t="inlineStr">
        <is>
          <t>5-10亿元</t>
        </is>
      </c>
      <c r="AX178" s="22" t="inlineStr">
        <is>
          <t>2025-08-06</t>
        </is>
      </c>
      <c r="AY178" s="22" t="inlineStr">
        <is>
          <t>鹰潭滨风投资管理有限公司</t>
        </is>
      </c>
      <c r="AZ178" s="22" t="inlineStr">
        <is>
          <t>2025-08-06</t>
        </is>
      </c>
      <c r="BA178" s="22" t="inlineStr">
        <is>
          <t>https://gs.amac.org.cn/amac-infodisc/res/pof/manager/1801301704109241.html</t>
        </is>
      </c>
      <c r="BB178" s="22" t="inlineStr">
        <is>
          <t>滨风屹禾7号私募证券投资基金</t>
        </is>
      </c>
      <c r="BC178" s="22" t="inlineStr">
        <is>
          <t>2025-04-07</t>
        </is>
      </c>
      <c r="BD178" s="22" t="inlineStr">
        <is>
          <t>已匹配</t>
        </is>
      </c>
      <c r="BE178" t="inlineStr">
        <is>
          <t>https://gs.amac.org.cn/amac-infodisc/res/pof/fund/2412191843105843.html</t>
        </is>
      </c>
      <c r="BF178" t="inlineStr">
        <is>
          <t>已核验</t>
        </is>
      </c>
    </row>
    <row r="179" hidden="1" ht="28" customHeight="1" s="73">
      <c r="A179" s="2" t="n">
        <v>163</v>
      </c>
      <c r="B179" s="18" t="inlineStr">
        <is>
          <t>阶石稳健1号</t>
        </is>
      </c>
      <c r="C179" s="18">
        <f>'sheet4-原始数据'!B164</f>
        <v/>
      </c>
      <c r="D179" s="18" t="inlineStr">
        <is>
          <t>深圳阶石</t>
        </is>
      </c>
      <c r="E179" s="90" t="inlineStr">
        <is>
          <t>2025-02-06</t>
        </is>
      </c>
      <c r="F179" s="20" t="n">
        <v>1.6044</v>
      </c>
      <c r="G179" s="2">
        <f>IF(F179="","",IF(F179&lt;1,"不入池","入池"))</f>
        <v/>
      </c>
      <c r="H179" s="42" t="inlineStr">
        <is>
          <t>10-20亿元</t>
        </is>
      </c>
      <c r="I179" s="20" t="n">
        <v>80</v>
      </c>
      <c r="J179" s="43" t="inlineStr">
        <is>
          <t>无低于1000万元标识</t>
        </is>
      </c>
      <c r="K179" s="20" t="n">
        <v>100</v>
      </c>
      <c r="L179" s="20" t="n">
        <v>70</v>
      </c>
      <c r="M179" s="44" t="n">
        <v>0.2992</v>
      </c>
      <c r="N179" s="44" t="n"/>
      <c r="O179" s="45" t="n">
        <v>0.2299776356179095</v>
      </c>
      <c r="P179" s="46" t="n">
        <v>0.1234516861265247</v>
      </c>
      <c r="Q179" s="20" t="n">
        <v>96.53</v>
      </c>
      <c r="R179" s="20" t="n">
        <v>81.5</v>
      </c>
      <c r="S179" s="20" t="n">
        <v>90.52</v>
      </c>
      <c r="T179" s="44" t="n">
        <v>0.9231</v>
      </c>
      <c r="U179" s="44" t="n"/>
      <c r="V179" s="46" t="n"/>
      <c r="W179" s="20" t="n">
        <v>92.31</v>
      </c>
      <c r="X179" s="20" t="n"/>
      <c r="Y179" s="20" t="n">
        <v>92.31</v>
      </c>
      <c r="Z179" s="46" t="n">
        <v>0.004334008349339615</v>
      </c>
      <c r="AA179" s="44" t="n"/>
      <c r="AB179" s="46" t="n">
        <v>0.004334008349339615</v>
      </c>
      <c r="AC179" s="20" t="n">
        <v>95.47</v>
      </c>
      <c r="AD179" s="91" t="n">
        <v>69.0354</v>
      </c>
      <c r="AE179" s="46" t="n"/>
      <c r="AF179" s="20" t="n"/>
      <c r="AG179" s="20" t="n">
        <v>99.3</v>
      </c>
      <c r="AH179" s="20" t="n"/>
      <c r="AI179" s="20" t="n">
        <v>99.3</v>
      </c>
      <c r="AJ179" s="46" t="n">
        <v>0.2299776356179095</v>
      </c>
      <c r="AK179" s="20" t="n">
        <v>100</v>
      </c>
      <c r="AL179" s="20" t="n">
        <v>83</v>
      </c>
      <c r="AM179" s="20" t="n">
        <v>90.88</v>
      </c>
      <c r="AN179" s="20" t="n">
        <v>95.47</v>
      </c>
      <c r="AO179" s="20" t="n">
        <v>99.3</v>
      </c>
      <c r="AP179" s="20" t="n">
        <v>100</v>
      </c>
      <c r="AQ179" s="92" t="n">
        <v>0.856</v>
      </c>
      <c r="AR179" s="20" t="n">
        <v>80.18718</v>
      </c>
      <c r="AS179" s="20" t="n">
        <v>93.68000000000001</v>
      </c>
      <c r="AT179" s="49" t="n">
        <v>1</v>
      </c>
      <c r="AU179" s="50">
        <f>IF(I179="","管理人规模；","")&amp;IF(J179="","产品规模标识；","")&amp;IF(AND(F179&lt;3,O179=""),"R_incep；","")&amp;IF(N179="","近三年收益；","")&amp;IF(U179="","近三年胜率；","")&amp;IF(AND(V179&lt;&gt;"",OR(V179&lt;0,V179&gt;1)),"胜率窗口口径不一致；","")&amp;IF(AA179="","近三年回撤；","")&amp;IF(AD179="","短期卡玛；","")&amp;IF(AND(P179&lt;&gt;"",AE179=""),"DD_long不可识别；","")</f>
        <v/>
      </c>
      <c r="AV179" s="51" t="n"/>
      <c r="AW179" s="22" t="inlineStr">
        <is>
          <t>10-20亿元</t>
        </is>
      </c>
      <c r="AX179" s="22" t="inlineStr">
        <is>
          <t>2026-03-13</t>
        </is>
      </c>
      <c r="AY179" s="22" t="inlineStr">
        <is>
          <t>深圳阶石私募证券基金管理有限公司</t>
        </is>
      </c>
      <c r="AZ179" s="22" t="inlineStr">
        <is>
          <t>2026-03-13</t>
        </is>
      </c>
      <c r="BA179" s="22" t="inlineStr">
        <is>
          <t>https://gs.amac.org.cn/amac-infodisc/res/pof/manager/1903261812109866.html</t>
        </is>
      </c>
      <c r="BB179" s="22" t="inlineStr">
        <is>
          <t>阶石稳健1号私募证券投资基金</t>
        </is>
      </c>
      <c r="BC179" s="22" t="inlineStr">
        <is>
          <t>2025-02-13</t>
        </is>
      </c>
      <c r="BD179" s="22" t="inlineStr">
        <is>
          <t>已匹配</t>
        </is>
      </c>
      <c r="BE179" t="inlineStr">
        <is>
          <t>https://gs.amac.org.cn/amac-infodisc/res/pof/fund/2502121708108102.html</t>
        </is>
      </c>
      <c r="BF179" t="inlineStr">
        <is>
          <t>已核验</t>
        </is>
      </c>
    </row>
    <row r="180" hidden="1" ht="28" customHeight="1" s="73">
      <c r="A180" s="2" t="n">
        <v>164</v>
      </c>
      <c r="B180" s="18" t="inlineStr">
        <is>
          <t>木莲安澜1号</t>
        </is>
      </c>
      <c r="C180" s="18">
        <f>'sheet4-原始数据'!B165</f>
        <v/>
      </c>
      <c r="D180" s="18" t="inlineStr">
        <is>
          <t>深圳木莲</t>
        </is>
      </c>
      <c r="E180" s="90" t="inlineStr">
        <is>
          <t>2025-02-28</t>
        </is>
      </c>
      <c r="F180" s="20" t="n">
        <v>1.5441</v>
      </c>
      <c r="G180" s="2">
        <f>IF(F180="","",IF(F180&lt;1,"不入池","入池"))</f>
        <v/>
      </c>
      <c r="H180" s="42" t="inlineStr">
        <is>
          <t>5-10亿元</t>
        </is>
      </c>
      <c r="I180" s="20" t="n">
        <v>70</v>
      </c>
      <c r="J180" s="43" t="inlineStr">
        <is>
          <t>无低于1000万元标识</t>
        </is>
      </c>
      <c r="K180" s="20" t="n">
        <v>100</v>
      </c>
      <c r="L180" s="20" t="n">
        <v>70</v>
      </c>
      <c r="M180" s="44" t="n">
        <v>-0.0116</v>
      </c>
      <c r="N180" s="44" t="n"/>
      <c r="O180" s="45" t="n"/>
      <c r="P180" s="46" t="n"/>
      <c r="Q180" s="20" t="n">
        <v>14.58</v>
      </c>
      <c r="R180" s="20" t="n"/>
      <c r="S180" s="20" t="n">
        <v>14.58</v>
      </c>
      <c r="T180" s="44" t="n">
        <v>0.6153999999999999</v>
      </c>
      <c r="U180" s="44" t="n"/>
      <c r="V180" s="46" t="n"/>
      <c r="W180" s="20" t="n">
        <v>61.53999999999999</v>
      </c>
      <c r="X180" s="20" t="n"/>
      <c r="Y180" s="20" t="n">
        <v>61.53999999999999</v>
      </c>
      <c r="Z180" s="46" t="n">
        <v>0.0614081524616199</v>
      </c>
      <c r="AA180" s="44" t="n"/>
      <c r="AB180" s="46" t="n">
        <v>0.0614081524616199</v>
      </c>
      <c r="AC180" s="20" t="n">
        <v>38.68</v>
      </c>
      <c r="AD180" s="91" t="n">
        <v>-0.1889</v>
      </c>
      <c r="AE180" s="46" t="n"/>
      <c r="AF180" s="20" t="n"/>
      <c r="AG180" s="20" t="n">
        <v>12.24</v>
      </c>
      <c r="AH180" s="20" t="n"/>
      <c r="AI180" s="20" t="n">
        <v>12.24</v>
      </c>
      <c r="AJ180" s="46" t="n"/>
      <c r="AK180" s="20" t="n"/>
      <c r="AL180" s="20" t="n">
        <v>79</v>
      </c>
      <c r="AM180" s="20" t="n">
        <v>28.67</v>
      </c>
      <c r="AN180" s="20" t="n">
        <v>38.68</v>
      </c>
      <c r="AO180" s="20" t="n">
        <v>12.24</v>
      </c>
      <c r="AP180" s="20" t="n"/>
      <c r="AQ180" s="92" t="n">
        <v>0.7</v>
      </c>
      <c r="AR180" s="20" t="n">
        <v>27.16336</v>
      </c>
      <c r="AS180" s="20" t="n">
        <v>38.8</v>
      </c>
      <c r="AT180" s="49" t="n">
        <v>274</v>
      </c>
      <c r="AU180" s="50">
        <f>IF(I180="","管理人规模；","")&amp;IF(J180="","产品规模标识；","")&amp;IF(AND(F180&lt;3,O180=""),"R_incep；","")&amp;IF(N180="","近三年收益；","")&amp;IF(U180="","近三年胜率；","")&amp;IF(AND(V180&lt;&gt;"",OR(V180&lt;0,V180&gt;1)),"胜率窗口口径不一致；","")&amp;IF(AA180="","近三年回撤；","")&amp;IF(AD180="","短期卡玛；","")&amp;IF(AND(P180&lt;&gt;"",AE180=""),"DD_long不可识别；","")</f>
        <v/>
      </c>
      <c r="AV180" s="51" t="n"/>
      <c r="AW180" s="22" t="inlineStr">
        <is>
          <t>5-10亿元</t>
        </is>
      </c>
      <c r="AX180" s="22" t="inlineStr">
        <is>
          <t>2026-01-15</t>
        </is>
      </c>
      <c r="AY180" s="22" t="inlineStr">
        <is>
          <t>深圳木莲私募证券投资基金有限公司</t>
        </is>
      </c>
      <c r="AZ180" s="22" t="inlineStr">
        <is>
          <t>2026-01-15</t>
        </is>
      </c>
      <c r="BA180" s="22" t="inlineStr">
        <is>
          <t>https://gs.amac.org.cn/amac-infodisc/res/pof/manager/101000023487.html</t>
        </is>
      </c>
      <c r="BB180" s="22" t="inlineStr">
        <is>
          <t>木莲安澜1号私募证券投资基金</t>
        </is>
      </c>
      <c r="BC180" s="22" t="inlineStr">
        <is>
          <t>2025-03-05</t>
        </is>
      </c>
      <c r="BD180" s="22" t="inlineStr">
        <is>
          <t>已匹配</t>
        </is>
      </c>
      <c r="BE180" t="inlineStr">
        <is>
          <t>https://gs.amac.org.cn/amac-infodisc/res/pof/fund/2503041725109415.html</t>
        </is>
      </c>
      <c r="BF180" t="inlineStr">
        <is>
          <t>已核验</t>
        </is>
      </c>
    </row>
    <row r="181" hidden="1" ht="28" customHeight="1" s="73">
      <c r="A181" s="2" t="n">
        <v>165</v>
      </c>
      <c r="B181" s="18" t="inlineStr">
        <is>
          <t>巨熊金龙二号</t>
        </is>
      </c>
      <c r="C181" s="18">
        <f>'sheet4-原始数据'!B166</f>
        <v/>
      </c>
      <c r="D181" s="18" t="inlineStr">
        <is>
          <t>深圳巨熊</t>
        </is>
      </c>
      <c r="E181" s="90" t="inlineStr">
        <is>
          <t>2025-03-21</t>
        </is>
      </c>
      <c r="F181" s="20" t="n">
        <v>1.4867</v>
      </c>
      <c r="G181" s="2">
        <f>IF(F181="","",IF(F181&lt;1,"不入池","入池"))</f>
        <v/>
      </c>
      <c r="H181" s="42" t="inlineStr">
        <is>
          <t>0-5亿元</t>
        </is>
      </c>
      <c r="I181" s="20" t="n">
        <v>60</v>
      </c>
      <c r="J181" s="43" t="inlineStr">
        <is>
          <t>无低于1000万元标识</t>
        </is>
      </c>
      <c r="K181" s="20" t="n">
        <v>100</v>
      </c>
      <c r="L181" s="20" t="n">
        <v>70</v>
      </c>
      <c r="M181" s="44" t="n"/>
      <c r="N181" s="44" t="n"/>
      <c r="O181" s="45" t="n"/>
      <c r="P181" s="46" t="n"/>
      <c r="Q181" s="20" t="n"/>
      <c r="R181" s="20" t="n"/>
      <c r="S181" s="20" t="n"/>
      <c r="T181" s="44" t="n"/>
      <c r="U181" s="44" t="n"/>
      <c r="V181" s="46" t="n"/>
      <c r="W181" s="20" t="n"/>
      <c r="X181" s="20" t="n">
        <v>100</v>
      </c>
      <c r="Y181" s="20" t="n"/>
      <c r="Z181" s="46" t="n"/>
      <c r="AA181" s="44" t="n"/>
      <c r="AB181" s="46" t="n"/>
      <c r="AC181" s="20" t="n"/>
      <c r="AD181" s="91" t="n"/>
      <c r="AE181" s="46" t="n"/>
      <c r="AF181" s="20" t="n"/>
      <c r="AG181" s="20" t="n"/>
      <c r="AH181" s="20" t="n"/>
      <c r="AI181" s="20" t="n"/>
      <c r="AJ181" s="46" t="n"/>
      <c r="AK181" s="20" t="n"/>
      <c r="AL181" s="20" t="n">
        <v>75</v>
      </c>
      <c r="AM181" s="20" t="n">
        <v>100</v>
      </c>
      <c r="AN181" s="20" t="n"/>
      <c r="AO181" s="20" t="n"/>
      <c r="AP181" s="20" t="n"/>
      <c r="AQ181" s="92" t="n">
        <v>0.174</v>
      </c>
      <c r="AR181" s="20" t="n">
        <v>13.65</v>
      </c>
      <c r="AS181" s="20" t="n">
        <v>78.45</v>
      </c>
      <c r="AT181" s="49" t="n">
        <v>73</v>
      </c>
      <c r="AU181" s="50">
        <f>IF(I181="","管理人规模；","")&amp;IF(J181="","产品规模标识；","")&amp;IF(AND(F181&lt;3,O181=""),"R_incep；","")&amp;IF(N181="","近三年收益；","")&amp;IF(U181="","近三年胜率；","")&amp;IF(AND(V181&lt;&gt;"",OR(V181&lt;0,V181&gt;1)),"胜率窗口口径不一致；","")&amp;IF(AA181="","近三年回撤；","")&amp;IF(AD181="","短期卡玛；","")&amp;IF(AND(P181&lt;&gt;"",AE181=""),"DD_long不可识别；","")</f>
        <v/>
      </c>
      <c r="AV181" s="51" t="n"/>
      <c r="AW181" s="22" t="inlineStr">
        <is>
          <t>0-5亿元</t>
        </is>
      </c>
      <c r="AX181" s="22" t="inlineStr">
        <is>
          <t>2026-09-02</t>
        </is>
      </c>
      <c r="AY181" s="22" t="inlineStr">
        <is>
          <t>深圳巨熊私募证券基金管理有限公司</t>
        </is>
      </c>
      <c r="AZ181" s="22" t="inlineStr">
        <is>
          <t>2026-09-02</t>
        </is>
      </c>
      <c r="BA181" s="22" t="inlineStr">
        <is>
          <t>https://gs.amac.org.cn/amac-infodisc/res/pof/manager/1704191039103562.html</t>
        </is>
      </c>
      <c r="BB181" s="22" t="inlineStr">
        <is>
          <t>巨熊金龙二号私募证券投资基金</t>
        </is>
      </c>
      <c r="BC181" s="22" t="inlineStr">
        <is>
          <t>2026-02-03</t>
        </is>
      </c>
      <c r="BD181" s="22" t="inlineStr">
        <is>
          <t>已匹配</t>
        </is>
      </c>
      <c r="BE181" t="inlineStr">
        <is>
          <t>https://gs.amac.org.cn/amac-infodisc/res/pof/fund/2504071548117289.html</t>
        </is>
      </c>
      <c r="BF181" t="inlineStr">
        <is>
          <t>已核验</t>
        </is>
      </c>
    </row>
    <row r="182" hidden="1" ht="28" customHeight="1" s="73">
      <c r="A182" s="2" t="n">
        <v>166</v>
      </c>
      <c r="B182" s="18" t="inlineStr">
        <is>
          <t>阶石稳健9号</t>
        </is>
      </c>
      <c r="C182" s="18">
        <f>'sheet4-原始数据'!B167</f>
        <v/>
      </c>
      <c r="D182" s="18" t="inlineStr">
        <is>
          <t>深圳阶石</t>
        </is>
      </c>
      <c r="E182" s="90" t="inlineStr">
        <is>
          <t>2025-06-10</t>
        </is>
      </c>
      <c r="F182" s="20" t="n">
        <v>1.2649</v>
      </c>
      <c r="G182" s="2">
        <f>IF(F182="","",IF(F182&lt;1,"不入池","入池"))</f>
        <v/>
      </c>
      <c r="H182" s="42" t="inlineStr">
        <is>
          <t>10-20亿元</t>
        </is>
      </c>
      <c r="I182" s="20" t="n">
        <v>80</v>
      </c>
      <c r="J182" s="43" t="inlineStr">
        <is>
          <t>无低于1000万元标识</t>
        </is>
      </c>
      <c r="K182" s="20" t="n">
        <v>100</v>
      </c>
      <c r="L182" s="20" t="n">
        <v>70</v>
      </c>
      <c r="M182" s="44" t="n">
        <v>0.0796</v>
      </c>
      <c r="N182" s="44" t="n"/>
      <c r="O182" s="45" t="n"/>
      <c r="P182" s="46" t="n"/>
      <c r="Q182" s="20" t="n">
        <v>66.31999999999999</v>
      </c>
      <c r="R182" s="20" t="n"/>
      <c r="S182" s="20" t="n">
        <v>66.31999999999999</v>
      </c>
      <c r="T182" s="44" t="n">
        <v>0.7692</v>
      </c>
      <c r="U182" s="44" t="n"/>
      <c r="V182" s="46" t="n"/>
      <c r="W182" s="20" t="n">
        <v>76.92</v>
      </c>
      <c r="X182" s="20" t="n">
        <v>100</v>
      </c>
      <c r="Y182" s="20" t="n">
        <v>86.15000000000001</v>
      </c>
      <c r="Z182" s="46" t="n">
        <v>0.004176833267742358</v>
      </c>
      <c r="AA182" s="44" t="n"/>
      <c r="AB182" s="46" t="n">
        <v>0.004176833267742358</v>
      </c>
      <c r="AC182" s="20" t="n">
        <v>96.17</v>
      </c>
      <c r="AD182" s="91" t="n">
        <v>19.0575</v>
      </c>
      <c r="AE182" s="46" t="n"/>
      <c r="AF182" s="20" t="n"/>
      <c r="AG182" s="20" t="n">
        <v>90.91</v>
      </c>
      <c r="AH182" s="20" t="n"/>
      <c r="AI182" s="20" t="n">
        <v>90.91</v>
      </c>
      <c r="AJ182" s="46" t="n"/>
      <c r="AK182" s="20" t="n"/>
      <c r="AL182" s="20" t="n">
        <v>83</v>
      </c>
      <c r="AM182" s="20" t="n">
        <v>74.58</v>
      </c>
      <c r="AN182" s="20" t="n">
        <v>96.17</v>
      </c>
      <c r="AO182" s="20" t="n">
        <v>90.91</v>
      </c>
      <c r="AP182" s="20" t="n"/>
      <c r="AQ182" s="92" t="n">
        <v>0.724</v>
      </c>
      <c r="AR182" s="20" t="n">
        <v>63.5963</v>
      </c>
      <c r="AS182" s="20" t="n">
        <v>87.84</v>
      </c>
      <c r="AT182" s="49" t="n">
        <v>19</v>
      </c>
      <c r="AU182" s="50">
        <f>IF(I182="","管理人规模；","")&amp;IF(J182="","产品规模标识；","")&amp;IF(AND(F182&lt;3,O182=""),"R_incep；","")&amp;IF(N182="","近三年收益；","")&amp;IF(U182="","近三年胜率；","")&amp;IF(AND(V182&lt;&gt;"",OR(V182&lt;0,V182&gt;1)),"胜率窗口口径不一致；","")&amp;IF(AA182="","近三年回撤；","")&amp;IF(AD182="","短期卡玛；","")&amp;IF(AND(P182&lt;&gt;"",AE182=""),"DD_long不可识别；","")</f>
        <v/>
      </c>
      <c r="AV182" s="51" t="n"/>
      <c r="AW182" s="22" t="inlineStr">
        <is>
          <t>10-20亿元</t>
        </is>
      </c>
      <c r="AX182" s="22" t="inlineStr">
        <is>
          <t>2026-03-13</t>
        </is>
      </c>
      <c r="AY182" s="22" t="inlineStr">
        <is>
          <t>深圳阶石私募证券基金管理有限公司</t>
        </is>
      </c>
      <c r="AZ182" s="22" t="inlineStr">
        <is>
          <t>2026-03-13</t>
        </is>
      </c>
      <c r="BA182" s="22" t="inlineStr">
        <is>
          <t>https://gs.amac.org.cn/amac-infodisc/res/pof/manager/1903261812109866.html</t>
        </is>
      </c>
      <c r="BB182" s="22" t="inlineStr">
        <is>
          <t>阶石稳健9号私募证券投资基金</t>
        </is>
      </c>
      <c r="BC182" s="22" t="inlineStr">
        <is>
          <t>2025-06-16</t>
        </is>
      </c>
      <c r="BD182" s="22" t="inlineStr">
        <is>
          <t>已匹配</t>
        </is>
      </c>
      <c r="BE182" t="inlineStr">
        <is>
          <t>https://gs.amac.org.cn/amac-infodisc/res/pof/fund/2506161812101029.html</t>
        </is>
      </c>
      <c r="BF182" t="inlineStr">
        <is>
          <t>已核验</t>
        </is>
      </c>
    </row>
    <row r="183" hidden="1" ht="28" customHeight="1" s="73">
      <c r="A183" s="2" t="n">
        <v>167</v>
      </c>
      <c r="B183" s="18" t="inlineStr">
        <is>
          <t>木莲安澜1号A类</t>
        </is>
      </c>
      <c r="C183" s="18">
        <f>'sheet4-原始数据'!B168</f>
        <v/>
      </c>
      <c r="D183" s="18" t="inlineStr">
        <is>
          <t>深圳木莲</t>
        </is>
      </c>
      <c r="E183" s="90" t="inlineStr">
        <is>
          <t>2025-02-28</t>
        </is>
      </c>
      <c r="F183" s="20" t="n">
        <v>1.5441</v>
      </c>
      <c r="G183" s="2">
        <f>IF(F183="","",IF(F183&lt;1,"不入池","入池"))</f>
        <v/>
      </c>
      <c r="H183" s="42" t="inlineStr">
        <is>
          <t>5-10亿元</t>
        </is>
      </c>
      <c r="I183" s="20" t="n">
        <v>70</v>
      </c>
      <c r="J183" s="43" t="inlineStr">
        <is>
          <t>无低于1000万元标识</t>
        </is>
      </c>
      <c r="K183" s="20" t="n"/>
      <c r="L183" s="20" t="n">
        <v>70</v>
      </c>
      <c r="M183" s="44" t="n"/>
      <c r="N183" s="44" t="n"/>
      <c r="O183" s="45" t="n"/>
      <c r="P183" s="46" t="n"/>
      <c r="Q183" s="20" t="n"/>
      <c r="R183" s="20" t="n"/>
      <c r="S183" s="20" t="n"/>
      <c r="T183" s="44" t="n"/>
      <c r="U183" s="44" t="n"/>
      <c r="V183" s="46" t="n"/>
      <c r="W183" s="20" t="n"/>
      <c r="X183" s="20" t="n"/>
      <c r="Y183" s="20" t="n"/>
      <c r="Z183" s="46" t="n"/>
      <c r="AA183" s="44" t="n"/>
      <c r="AB183" s="46" t="n"/>
      <c r="AC183" s="20" t="n"/>
      <c r="AD183" s="91" t="n"/>
      <c r="AE183" s="46" t="n"/>
      <c r="AF183" s="20" t="n"/>
      <c r="AG183" s="20" t="n"/>
      <c r="AH183" s="20" t="n"/>
      <c r="AI183" s="20" t="n"/>
      <c r="AJ183" s="46" t="n"/>
      <c r="AK183" s="20" t="n"/>
      <c r="AL183" s="20" t="n">
        <v>70</v>
      </c>
      <c r="AM183" s="20" t="n"/>
      <c r="AN183" s="20" t="n"/>
      <c r="AO183" s="20" t="n"/>
      <c r="AP183" s="20" t="n"/>
      <c r="AQ183" s="92" t="n">
        <v>0.105</v>
      </c>
      <c r="AR183" s="20" t="n">
        <v>7.35</v>
      </c>
      <c r="AS183" s="20" t="n">
        <v>70</v>
      </c>
      <c r="AT183" s="49" t="n">
        <v>121</v>
      </c>
      <c r="AU183" s="50">
        <f>IF(I183="","管理人规模；","")&amp;IF(J183="","产品规模标识；","")&amp;IF(AND(F183&lt;3,O183=""),"R_incep；","")&amp;IF(N183="","近三年收益；","")&amp;IF(U183="","近三年胜率；","")&amp;IF(AND(V183&lt;&gt;"",OR(V183&lt;0,V183&gt;1)),"胜率窗口口径不一致；","")&amp;IF(AA183="","近三年回撤；","")&amp;IF(AD183="","短期卡玛；","")&amp;IF(AND(P183&lt;&gt;"",AE183=""),"DD_long不可识别；","")</f>
        <v/>
      </c>
      <c r="AV183" s="51" t="n"/>
      <c r="AW183" s="22" t="inlineStr">
        <is>
          <t>5-10亿元</t>
        </is>
      </c>
      <c r="AX183" s="22" t="inlineStr">
        <is>
          <t>2026-01-15</t>
        </is>
      </c>
      <c r="AY183" s="22" t="inlineStr">
        <is>
          <t>深圳木莲私募证券投资基金有限公司 深圳木莲私募证券投资基金有限公司</t>
        </is>
      </c>
      <c r="AZ183" s="22" t="inlineStr">
        <is>
          <t>2026-01-15</t>
        </is>
      </c>
      <c r="BA183" s="22" t="inlineStr">
        <is>
          <t>https://gs.amac.org.cn/amac-infodisc/res/pof/manager/101000023487.html</t>
        </is>
      </c>
      <c r="BB183" s="22" t="n"/>
      <c r="BC183" s="22" t="n"/>
      <c r="BD183" s="22" t="inlineStr">
        <is>
          <t>产品未匹配，管理人已按名称补录</t>
        </is>
      </c>
      <c r="BF183" t="inlineStr">
        <is>
          <t>未核验</t>
        </is>
      </c>
    </row>
    <row r="184" hidden="1" ht="28" customHeight="1" s="73">
      <c r="A184" s="2" t="n">
        <v>168</v>
      </c>
      <c r="B184" s="18" t="inlineStr">
        <is>
          <t>兆祥祥瑞套利1号B类</t>
        </is>
      </c>
      <c r="C184" s="18">
        <f>'sheet4-原始数据'!B169</f>
        <v/>
      </c>
      <c r="D184" s="18" t="inlineStr">
        <is>
          <t>青岛兆祥资管</t>
        </is>
      </c>
      <c r="E184" s="90" t="inlineStr">
        <is>
          <t>2022-09-16</t>
        </is>
      </c>
      <c r="F184" s="20" t="n">
        <v>3.9973</v>
      </c>
      <c r="G184" s="2">
        <f>IF(F184="","",IF(F184&lt;1,"不入池","入池"))</f>
        <v/>
      </c>
      <c r="H184" s="42" t="inlineStr">
        <is>
          <t>5-10亿元</t>
        </is>
      </c>
      <c r="I184" s="20" t="n">
        <v>70</v>
      </c>
      <c r="J184" s="43" t="inlineStr">
        <is>
          <t>无低于1000万元标识</t>
        </is>
      </c>
      <c r="K184" s="20" t="n"/>
      <c r="L184" s="20" t="n">
        <v>100</v>
      </c>
      <c r="M184" s="44" t="n"/>
      <c r="N184" s="44" t="n"/>
      <c r="O184" s="45" t="n"/>
      <c r="P184" s="46" t="n"/>
      <c r="Q184" s="20" t="n"/>
      <c r="R184" s="20" t="n"/>
      <c r="S184" s="20" t="n"/>
      <c r="T184" s="44" t="n"/>
      <c r="U184" s="44" t="n"/>
      <c r="V184" s="46" t="n"/>
      <c r="W184" s="20" t="n"/>
      <c r="X184" s="20" t="n"/>
      <c r="Y184" s="20" t="n"/>
      <c r="Z184" s="46" t="n"/>
      <c r="AA184" s="44" t="n"/>
      <c r="AB184" s="46" t="n"/>
      <c r="AC184" s="20" t="n"/>
      <c r="AD184" s="91" t="n"/>
      <c r="AE184" s="46" t="n"/>
      <c r="AF184" s="20" t="n"/>
      <c r="AG184" s="20" t="n"/>
      <c r="AH184" s="20" t="n"/>
      <c r="AI184" s="20" t="n"/>
      <c r="AJ184" s="46" t="n"/>
      <c r="AK184" s="20" t="n"/>
      <c r="AL184" s="20" t="n">
        <v>82.86</v>
      </c>
      <c r="AM184" s="20" t="n"/>
      <c r="AN184" s="20" t="n"/>
      <c r="AO184" s="20" t="n"/>
      <c r="AP184" s="20" t="n"/>
      <c r="AQ184" s="92" t="n">
        <v>0.105</v>
      </c>
      <c r="AR184" s="20" t="n">
        <v>8.699999999999999</v>
      </c>
      <c r="AS184" s="20" t="n">
        <v>82.86</v>
      </c>
      <c r="AT184" s="49" t="n">
        <v>46</v>
      </c>
      <c r="AU184" s="50">
        <f>IF(I184="","管理人规模；","")&amp;IF(J184="","产品规模标识；","")&amp;IF(AND(F184&lt;3,O184=""),"R_incep；","")&amp;IF(N184="","近三年收益；","")&amp;IF(U184="","近三年胜率；","")&amp;IF(AND(V184&lt;&gt;"",OR(V184&lt;0,V184&gt;1)),"胜率窗口口径不一致；","")&amp;IF(AA184="","近三年回撤；","")&amp;IF(AD184="","短期卡玛；","")&amp;IF(AND(P184&lt;&gt;"",AE184=""),"DD_long不可识别；","")</f>
        <v/>
      </c>
      <c r="AV184" s="51" t="n"/>
      <c r="AW184" s="22" t="inlineStr">
        <is>
          <t>5-10亿元</t>
        </is>
      </c>
      <c r="AX184" s="22" t="inlineStr">
        <is>
          <t>2025-06-06</t>
        </is>
      </c>
      <c r="AY184" s="22" t="inlineStr">
        <is>
          <t>青岛兆祥资产管理有限公司 青岛兆祥资产管理有限公司</t>
        </is>
      </c>
      <c r="AZ184" s="22" t="inlineStr">
        <is>
          <t>2025-06-06</t>
        </is>
      </c>
      <c r="BA184" s="22" t="inlineStr">
        <is>
          <t>https://gs.amac.org.cn/amac-infodisc/res/pof/manager/101000018153.html</t>
        </is>
      </c>
      <c r="BB184" s="22" t="n"/>
      <c r="BC184" s="22" t="n"/>
      <c r="BD184" s="22" t="inlineStr">
        <is>
          <t>产品未匹配，管理人已按名称补录</t>
        </is>
      </c>
      <c r="BF184" t="inlineStr">
        <is>
          <t>未核验</t>
        </is>
      </c>
    </row>
    <row r="185" hidden="1" ht="28" customHeight="1" s="73">
      <c r="A185" s="2" t="n">
        <v>169</v>
      </c>
      <c r="B185" s="18" t="inlineStr">
        <is>
          <t>鋆晟衡泰进取1号B类</t>
        </is>
      </c>
      <c r="C185" s="18">
        <f>'sheet4-原始数据'!B170</f>
        <v/>
      </c>
      <c r="D185" s="18" t="inlineStr">
        <is>
          <t>上海鋆晟投资</t>
        </is>
      </c>
      <c r="E185" s="90" t="inlineStr">
        <is>
          <t>2023-09-22</t>
        </is>
      </c>
      <c r="F185" s="20" t="n">
        <v>2.9815</v>
      </c>
      <c r="G185" s="2">
        <f>IF(F185="","",IF(F185&lt;1,"不入池","入池"))</f>
        <v/>
      </c>
      <c r="H185" s="42" t="inlineStr">
        <is>
          <t>5-10亿元</t>
        </is>
      </c>
      <c r="I185" s="20" t="n">
        <v>70</v>
      </c>
      <c r="J185" s="43" t="inlineStr">
        <is>
          <t>无低于1000万元标识</t>
        </is>
      </c>
      <c r="K185" s="20" t="n"/>
      <c r="L185" s="20" t="n">
        <v>70</v>
      </c>
      <c r="M185" s="44" t="n"/>
      <c r="N185" s="44" t="n"/>
      <c r="O185" s="45" t="n"/>
      <c r="P185" s="46" t="n"/>
      <c r="Q185" s="20" t="n"/>
      <c r="R185" s="20" t="n"/>
      <c r="S185" s="20" t="n"/>
      <c r="T185" s="44" t="n"/>
      <c r="U185" s="44" t="n"/>
      <c r="V185" s="46" t="n"/>
      <c r="W185" s="20" t="n"/>
      <c r="X185" s="20" t="n"/>
      <c r="Y185" s="20" t="n"/>
      <c r="Z185" s="46" t="n"/>
      <c r="AA185" s="44" t="n"/>
      <c r="AB185" s="46" t="n"/>
      <c r="AC185" s="20" t="n"/>
      <c r="AD185" s="91" t="n"/>
      <c r="AE185" s="46" t="n"/>
      <c r="AF185" s="20" t="n"/>
      <c r="AG185" s="20" t="n"/>
      <c r="AH185" s="20" t="n"/>
      <c r="AI185" s="20" t="n"/>
      <c r="AJ185" s="46" t="n"/>
      <c r="AK185" s="20" t="n"/>
      <c r="AL185" s="20" t="n">
        <v>70</v>
      </c>
      <c r="AM185" s="20" t="n"/>
      <c r="AN185" s="20" t="n"/>
      <c r="AO185" s="20" t="n"/>
      <c r="AP185" s="20" t="n"/>
      <c r="AQ185" s="92" t="n">
        <v>0.105</v>
      </c>
      <c r="AR185" s="20" t="n">
        <v>7.35</v>
      </c>
      <c r="AS185" s="20" t="n">
        <v>70</v>
      </c>
      <c r="AT185" s="49" t="n">
        <v>122</v>
      </c>
      <c r="AU185" s="50">
        <f>IF(I185="","管理人规模；","")&amp;IF(J185="","产品规模标识；","")&amp;IF(AND(F185&lt;3,O185=""),"R_incep；","")&amp;IF(N185="","近三年收益；","")&amp;IF(U185="","近三年胜率；","")&amp;IF(AND(V185&lt;&gt;"",OR(V185&lt;0,V185&gt;1)),"胜率窗口口径不一致；","")&amp;IF(AA185="","近三年回撤；","")&amp;IF(AD185="","短期卡玛；","")&amp;IF(AND(P185&lt;&gt;"",AE185=""),"DD_long不可识别；","")</f>
        <v/>
      </c>
      <c r="AV185" s="51" t="n"/>
      <c r="AW185" s="22" t="inlineStr">
        <is>
          <t>5-10亿元</t>
        </is>
      </c>
      <c r="AX185" s="22" t="inlineStr">
        <is>
          <t>2026-08-24</t>
        </is>
      </c>
      <c r="AY185" s="22" t="inlineStr">
        <is>
          <t>上海鋆晟投资管理有限公司 上海鋆晟投资管理有限公司</t>
        </is>
      </c>
      <c r="AZ185" s="22" t="inlineStr">
        <is>
          <t>2026-08-24</t>
        </is>
      </c>
      <c r="BA185" s="22" t="inlineStr">
        <is>
          <t>https://gs.amac.org.cn/amac-infodisc/res/pof/manager/101000039679.html</t>
        </is>
      </c>
      <c r="BB185" s="22" t="n"/>
      <c r="BC185" s="22" t="n"/>
      <c r="BD185" s="22" t="inlineStr">
        <is>
          <t>产品未匹配，管理人已按名称补录</t>
        </is>
      </c>
      <c r="BF185" t="inlineStr">
        <is>
          <t>未核验</t>
        </is>
      </c>
    </row>
    <row r="186" hidden="1" ht="28" customHeight="1" s="73">
      <c r="A186" s="2" t="n">
        <v>170</v>
      </c>
      <c r="B186" s="18" t="inlineStr">
        <is>
          <t>博普跨市场1号</t>
        </is>
      </c>
      <c r="C186" s="18">
        <f>'sheet4-原始数据'!B171</f>
        <v/>
      </c>
      <c r="D186" s="18" t="inlineStr">
        <is>
          <t>深圳博普科技</t>
        </is>
      </c>
      <c r="E186" s="90" t="inlineStr">
        <is>
          <t>2016-11-21</t>
        </is>
      </c>
      <c r="F186" s="20" t="n">
        <v>9.815200000000001</v>
      </c>
      <c r="G186" s="2">
        <f>IF(F186="","",IF(F186&lt;1,"不入池","入池"))</f>
        <v/>
      </c>
      <c r="H186" s="42" t="inlineStr">
        <is>
          <t>100亿元以上</t>
        </is>
      </c>
      <c r="I186" s="20" t="n">
        <v>100</v>
      </c>
      <c r="J186" s="43" t="inlineStr">
        <is>
          <t>无低于1000万元标识</t>
        </is>
      </c>
      <c r="K186" s="20" t="n">
        <v>100</v>
      </c>
      <c r="L186" s="20" t="n">
        <v>100</v>
      </c>
      <c r="M186" s="44" t="n">
        <v>0.04940000000000001</v>
      </c>
      <c r="N186" s="44" t="n">
        <v>0.0469</v>
      </c>
      <c r="O186" s="45" t="n"/>
      <c r="P186" s="46" t="n">
        <v>0.04565223430667364</v>
      </c>
      <c r="Q186" s="20" t="n">
        <v>45.49</v>
      </c>
      <c r="R186" s="20" t="n">
        <v>32.5</v>
      </c>
      <c r="S186" s="20" t="n">
        <v>40.29</v>
      </c>
      <c r="T186" s="44" t="n">
        <v>0.9231</v>
      </c>
      <c r="U186" s="44" t="n">
        <v>0.8378</v>
      </c>
      <c r="V186" s="46" t="n">
        <v>0.7915958333333334</v>
      </c>
      <c r="W186" s="20" t="n">
        <v>92.31</v>
      </c>
      <c r="X186" s="20" t="n">
        <v>79.15958333333334</v>
      </c>
      <c r="Y186" s="20" t="n">
        <v>87.05</v>
      </c>
      <c r="Z186" s="46" t="n">
        <v>0.006385398893542217</v>
      </c>
      <c r="AA186" s="44" t="n">
        <v>0.0357</v>
      </c>
      <c r="AB186" s="46" t="n">
        <v>0.0357</v>
      </c>
      <c r="AC186" s="20" t="n">
        <v>54.01</v>
      </c>
      <c r="AD186" s="91" t="n">
        <v>7.7364</v>
      </c>
      <c r="AE186" s="46" t="n">
        <v>0.0357</v>
      </c>
      <c r="AF186" s="20" t="n">
        <v>1.278774070214948</v>
      </c>
      <c r="AG186" s="20" t="n">
        <v>74.83</v>
      </c>
      <c r="AH186" s="20" t="n">
        <v>50</v>
      </c>
      <c r="AI186" s="20" t="n">
        <v>64.90000000000001</v>
      </c>
      <c r="AJ186" s="46" t="n">
        <v>0.0469</v>
      </c>
      <c r="AK186" s="20" t="n">
        <v>100</v>
      </c>
      <c r="AL186" s="20" t="n">
        <v>100</v>
      </c>
      <c r="AM186" s="20" t="n">
        <v>54.32</v>
      </c>
      <c r="AN186" s="20" t="n">
        <v>54.01</v>
      </c>
      <c r="AO186" s="20" t="n">
        <v>64.90000000000001</v>
      </c>
      <c r="AP186" s="20" t="n">
        <v>100</v>
      </c>
      <c r="AQ186" s="92" t="n">
        <v>1</v>
      </c>
      <c r="AR186" s="20" t="n">
        <v>68.83605</v>
      </c>
      <c r="AS186" s="20" t="n">
        <v>68.84</v>
      </c>
      <c r="AT186" s="49" t="n">
        <v>130</v>
      </c>
      <c r="AU186" s="50">
        <f>IF(I186="","管理人规模；","")&amp;IF(J186="","产品规模标识；","")&amp;IF(AND(F186&lt;3,O186=""),"R_incep；","")&amp;IF(N186="","近三年收益；","")&amp;IF(U186="","近三年胜率；","")&amp;IF(AND(V186&lt;&gt;"",OR(V186&lt;0,V186&gt;1)),"胜率窗口口径不一致；","")&amp;IF(AA186="","近三年回撤；","")&amp;IF(AD186="","短期卡玛；","")&amp;IF(AND(P186&lt;&gt;"",AE186=""),"DD_long不可识别；","")</f>
        <v/>
      </c>
      <c r="AV186" s="51" t="n">
        <v>68.83605</v>
      </c>
      <c r="AW186" s="22" t="inlineStr">
        <is>
          <t>100亿元以上</t>
        </is>
      </c>
      <c r="AX186" s="22" t="inlineStr">
        <is>
          <t>2023-09-25</t>
        </is>
      </c>
      <c r="AY186" s="22" t="inlineStr">
        <is>
          <t>深圳博普科技有限公司</t>
        </is>
      </c>
      <c r="AZ186" s="22" t="inlineStr">
        <is>
          <t>2023-09-25</t>
        </is>
      </c>
      <c r="BA186" s="22" t="inlineStr">
        <is>
          <t>https://gs.amac.org.cn/amac-infodisc/res/pof/manager/101000001136.html</t>
        </is>
      </c>
      <c r="BB186" s="22" t="inlineStr">
        <is>
          <t>博普跨市场1号私募基金</t>
        </is>
      </c>
      <c r="BC186" s="22" t="inlineStr">
        <is>
          <t>2024-09-25</t>
        </is>
      </c>
      <c r="BD186" s="22" t="inlineStr">
        <is>
          <t>已匹配</t>
        </is>
      </c>
      <c r="BE186" t="inlineStr">
        <is>
          <t>https://gs.amac.org.cn/amac-infodisc/res/pof/fund/351000603064.html</t>
        </is>
      </c>
      <c r="BF186" t="inlineStr">
        <is>
          <t>已核验</t>
        </is>
      </c>
    </row>
    <row r="187" hidden="1" ht="28" customHeight="1" s="73">
      <c r="A187" s="2" t="n">
        <v>171</v>
      </c>
      <c r="B187" s="18" t="inlineStr">
        <is>
          <t>博益安盈精英1号</t>
        </is>
      </c>
      <c r="C187" s="18">
        <f>'sheet4-原始数据'!B172</f>
        <v/>
      </c>
      <c r="D187" s="18" t="inlineStr">
        <is>
          <t>深圳博益安盈</t>
        </is>
      </c>
      <c r="E187" s="90" t="inlineStr">
        <is>
          <t>2016-08-29</t>
        </is>
      </c>
      <c r="F187" s="20" t="n">
        <v>10.0452</v>
      </c>
      <c r="G187" s="2">
        <f>IF(F187="","",IF(F187&lt;1,"不入池","入池"))</f>
        <v/>
      </c>
      <c r="H187" s="42" t="inlineStr">
        <is>
          <t>5-10亿元</t>
        </is>
      </c>
      <c r="I187" s="20" t="n">
        <v>70</v>
      </c>
      <c r="J187" s="43" t="inlineStr">
        <is>
          <t>无低于1000万元标识</t>
        </is>
      </c>
      <c r="K187" s="20" t="n">
        <v>100</v>
      </c>
      <c r="L187" s="20" t="n">
        <v>100</v>
      </c>
      <c r="M187" s="44" t="n">
        <v>0.1729</v>
      </c>
      <c r="N187" s="44" t="n">
        <v>0.08890000000000001</v>
      </c>
      <c r="O187" s="45" t="n"/>
      <c r="P187" s="46" t="n">
        <v>0.04918362449912861</v>
      </c>
      <c r="Q187" s="20" t="n">
        <v>88.54000000000001</v>
      </c>
      <c r="R187" s="20" t="n">
        <v>35.5</v>
      </c>
      <c r="S187" s="20" t="n">
        <v>67.31999999999999</v>
      </c>
      <c r="T187" s="44" t="n">
        <v>0.6923</v>
      </c>
      <c r="U187" s="44" t="n">
        <v>0.5676</v>
      </c>
      <c r="V187" s="46" t="n">
        <v>0.5000541666666667</v>
      </c>
      <c r="W187" s="20" t="n">
        <v>69.23</v>
      </c>
      <c r="X187" s="20" t="n">
        <v>50.00541666666667</v>
      </c>
      <c r="Y187" s="20" t="n">
        <v>61.54</v>
      </c>
      <c r="Z187" s="46" t="n">
        <v>0.03091087869848932</v>
      </c>
      <c r="AA187" s="44" t="n">
        <v>0.0309</v>
      </c>
      <c r="AB187" s="46" t="n">
        <v>0.03091087869848932</v>
      </c>
      <c r="AC187" s="20" t="n">
        <v>58.19</v>
      </c>
      <c r="AD187" s="91" t="n">
        <v>5.5935</v>
      </c>
      <c r="AE187" s="46" t="n"/>
      <c r="AF187" s="20" t="n"/>
      <c r="AG187" s="20" t="n">
        <v>69.23</v>
      </c>
      <c r="AH187" s="20" t="n"/>
      <c r="AI187" s="20" t="n">
        <v>69.23</v>
      </c>
      <c r="AJ187" s="46" t="n">
        <v>0.08890000000000001</v>
      </c>
      <c r="AK187" s="20" t="n">
        <v>100</v>
      </c>
      <c r="AL187" s="20" t="n">
        <v>88</v>
      </c>
      <c r="AM187" s="20" t="n">
        <v>65.59</v>
      </c>
      <c r="AN187" s="20" t="n">
        <v>58.19</v>
      </c>
      <c r="AO187" s="20" t="n">
        <v>69.23</v>
      </c>
      <c r="AP187" s="20" t="n">
        <v>100</v>
      </c>
      <c r="AQ187" s="92" t="n">
        <v>0.88</v>
      </c>
      <c r="AR187" s="20" t="n">
        <v>63.32667</v>
      </c>
      <c r="AS187" s="20" t="n">
        <v>71.95999999999999</v>
      </c>
      <c r="AT187" s="49" t="n">
        <v>107</v>
      </c>
      <c r="AU187" s="50">
        <f>IF(I187="","管理人规模；","")&amp;IF(J187="","产品规模标识；","")&amp;IF(AND(F187&lt;3,O187=""),"R_incep；","")&amp;IF(N187="","近三年收益；","")&amp;IF(U187="","近三年胜率；","")&amp;IF(AND(V187&lt;&gt;"",OR(V187&lt;0,V187&gt;1)),"胜率窗口口径不一致；","")&amp;IF(AA187="","近三年回撤；","")&amp;IF(AD187="","短期卡玛；","")&amp;IF(AND(P187&lt;&gt;"",AE187=""),"DD_long不可识别；","")</f>
        <v/>
      </c>
      <c r="AV187" s="51" t="n"/>
      <c r="AW187" s="22" t="inlineStr">
        <is>
          <t>5-10亿元</t>
        </is>
      </c>
      <c r="AX187" s="22" t="inlineStr">
        <is>
          <t>2026-01-05</t>
        </is>
      </c>
      <c r="AY187" s="22" t="inlineStr">
        <is>
          <t>深圳市博益安盈私募证券投资基金管理有限公司</t>
        </is>
      </c>
      <c r="AZ187" s="22" t="inlineStr">
        <is>
          <t>2026-01-05</t>
        </is>
      </c>
      <c r="BA187" s="22" t="inlineStr">
        <is>
          <t>https://gs.amac.org.cn/amac-infodisc/res/pof/manager/101000052138.html</t>
        </is>
      </c>
      <c r="BB187" s="22" t="inlineStr">
        <is>
          <t>博益安盈精英1号私募投资基金</t>
        </is>
      </c>
      <c r="BC187" s="22" t="inlineStr">
        <is>
          <t>2025-09-05</t>
        </is>
      </c>
      <c r="BD187" s="22" t="inlineStr">
        <is>
          <t>已匹配</t>
        </is>
      </c>
      <c r="BE187" t="inlineStr">
        <is>
          <t>https://gs.amac.org.cn/amac-infodisc/res/pof/fund/351000502422.html</t>
        </is>
      </c>
      <c r="BF187" t="inlineStr">
        <is>
          <t>已核验</t>
        </is>
      </c>
    </row>
    <row r="188" hidden="1" ht="28" customHeight="1" s="73">
      <c r="A188" s="2" t="n">
        <v>172</v>
      </c>
      <c r="B188" s="18" t="inlineStr">
        <is>
          <t>珺墀价值投资甄选系列</t>
        </is>
      </c>
      <c r="C188" s="18">
        <f>'sheet4-原始数据'!B173</f>
        <v/>
      </c>
      <c r="D188" s="18" t="inlineStr">
        <is>
          <t>上海珺墀资管</t>
        </is>
      </c>
      <c r="E188" s="90" t="inlineStr">
        <is>
          <t>2015-12-09</t>
        </is>
      </c>
      <c r="F188" s="20" t="n">
        <v>10.768</v>
      </c>
      <c r="G188" s="2">
        <f>IF(F188="","",IF(F188&lt;1,"不入池","入池"))</f>
        <v/>
      </c>
      <c r="H188" s="42" t="inlineStr">
        <is>
          <t>0-5亿元</t>
        </is>
      </c>
      <c r="I188" s="20" t="n">
        <v>60</v>
      </c>
      <c r="J188" s="43" t="inlineStr">
        <is>
          <t>无低于1000万元标识</t>
        </is>
      </c>
      <c r="K188" s="20" t="n">
        <v>100</v>
      </c>
      <c r="L188" s="20" t="n">
        <v>100</v>
      </c>
      <c r="M188" s="44" t="n">
        <v>0.1425</v>
      </c>
      <c r="N188" s="44" t="n">
        <v>0.2036</v>
      </c>
      <c r="O188" s="45" t="n"/>
      <c r="P188" s="46" t="n">
        <v>0.2353646340777196</v>
      </c>
      <c r="Q188" s="20" t="n">
        <v>86.45999999999999</v>
      </c>
      <c r="R188" s="20" t="n">
        <v>95</v>
      </c>
      <c r="S188" s="20" t="n">
        <v>89.88</v>
      </c>
      <c r="T188" s="44" t="n">
        <v>0.5385</v>
      </c>
      <c r="U188" s="44" t="n">
        <v>0.5405</v>
      </c>
      <c r="V188" s="46" t="n">
        <v>0.5415833333333334</v>
      </c>
      <c r="W188" s="20" t="n">
        <v>53.84999999999999</v>
      </c>
      <c r="X188" s="20" t="n">
        <v>54.15833333333334</v>
      </c>
      <c r="Y188" s="20" t="n">
        <v>53.97</v>
      </c>
      <c r="Z188" s="46" t="n">
        <v>0.18532969176746</v>
      </c>
      <c r="AA188" s="44" t="n">
        <v>0.3506</v>
      </c>
      <c r="AB188" s="46" t="n">
        <v>0.3506</v>
      </c>
      <c r="AC188" s="20" t="n">
        <v>1.74</v>
      </c>
      <c r="AD188" s="91" t="n">
        <v>0.7689</v>
      </c>
      <c r="AE188" s="46" t="n">
        <v>0.3506</v>
      </c>
      <c r="AF188" s="20" t="n">
        <v>0.6713195495656576</v>
      </c>
      <c r="AG188" s="20" t="n">
        <v>30.07</v>
      </c>
      <c r="AH188" s="20" t="n">
        <v>25</v>
      </c>
      <c r="AI188" s="20" t="n">
        <v>28.04</v>
      </c>
      <c r="AJ188" s="46" t="n">
        <v>0.2036</v>
      </c>
      <c r="AK188" s="20" t="n">
        <v>80</v>
      </c>
      <c r="AL188" s="20" t="n">
        <v>84</v>
      </c>
      <c r="AM188" s="20" t="n">
        <v>79.11</v>
      </c>
      <c r="AN188" s="20" t="n">
        <v>1.74</v>
      </c>
      <c r="AO188" s="20" t="n">
        <v>28.04</v>
      </c>
      <c r="AP188" s="20" t="n">
        <v>80</v>
      </c>
      <c r="AQ188" s="92" t="n">
        <v>1</v>
      </c>
      <c r="AR188" s="20" t="n">
        <v>45.26864</v>
      </c>
      <c r="AS188" s="20" t="n">
        <v>45.27</v>
      </c>
      <c r="AT188" s="49" t="n">
        <v>240</v>
      </c>
      <c r="AU188" s="50">
        <f>IF(I188="","管理人规模；","")&amp;IF(J188="","产品规模标识；","")&amp;IF(AND(F188&lt;3,O188=""),"R_incep；","")&amp;IF(N188="","近三年收益；","")&amp;IF(U188="","近三年胜率；","")&amp;IF(AND(V188&lt;&gt;"",OR(V188&lt;0,V188&gt;1)),"胜率窗口口径不一致；","")&amp;IF(AA188="","近三年回撤；","")&amp;IF(AD188="","短期卡玛；","")&amp;IF(AND(P188&lt;&gt;"",AE188=""),"DD_long不可识别；","")</f>
        <v/>
      </c>
      <c r="AV188" s="51" t="n">
        <v>45.26864</v>
      </c>
      <c r="AW188" s="22" t="inlineStr">
        <is>
          <t>0-5亿元</t>
        </is>
      </c>
      <c r="AX188" s="22" t="inlineStr">
        <is>
          <t>2026-01-07</t>
        </is>
      </c>
      <c r="AY188" s="22" t="inlineStr">
        <is>
          <t>上海珺墀资产管理有限公司</t>
        </is>
      </c>
      <c r="AZ188" s="22" t="inlineStr">
        <is>
          <t>2026-01-07</t>
        </is>
      </c>
      <c r="BA188" s="22" t="inlineStr">
        <is>
          <t>https://gs.amac.org.cn/amac-infodisc/res/pof/manager/101000026339.html</t>
        </is>
      </c>
      <c r="BB188" s="22" t="inlineStr">
        <is>
          <t>珺墀价值投资甄选系列私募证券投资基金</t>
        </is>
      </c>
      <c r="BC188" s="22" t="inlineStr">
        <is>
          <t>2026-01-13</t>
        </is>
      </c>
      <c r="BD188" s="22" t="inlineStr">
        <is>
          <t>已匹配</t>
        </is>
      </c>
      <c r="BE188" t="inlineStr">
        <is>
          <t>https://gs.amac.org.cn/amac-infodisc/res/pof/fund/351000269550.html</t>
        </is>
      </c>
      <c r="BF188" t="inlineStr">
        <is>
          <t>已核验</t>
        </is>
      </c>
    </row>
    <row r="189" hidden="1" ht="28" customHeight="1" s="73">
      <c r="A189" s="2" t="n">
        <v>173</v>
      </c>
      <c r="B189" s="18" t="inlineStr">
        <is>
          <t>盛泉恒元多策略量化对冲2号基金</t>
        </is>
      </c>
      <c r="C189" s="18">
        <f>'sheet4-原始数据'!B174</f>
        <v/>
      </c>
      <c r="D189" s="18" t="inlineStr">
        <is>
          <t>南京盛泉恒元投资</t>
        </is>
      </c>
      <c r="E189" s="90" t="inlineStr">
        <is>
          <t>2015-09-11</t>
        </is>
      </c>
      <c r="F189" s="20" t="n">
        <v>11.0116</v>
      </c>
      <c r="G189" s="2">
        <f>IF(F189="","",IF(F189&lt;1,"不入池","入池"))</f>
        <v/>
      </c>
      <c r="H189" s="42" t="inlineStr">
        <is>
          <t>100亿元以上</t>
        </is>
      </c>
      <c r="I189" s="20" t="n">
        <v>100</v>
      </c>
      <c r="J189" s="43" t="inlineStr">
        <is>
          <t>无低于1000万元标识</t>
        </is>
      </c>
      <c r="K189" s="20" t="n">
        <v>100</v>
      </c>
      <c r="L189" s="20" t="n">
        <v>100</v>
      </c>
      <c r="M189" s="44" t="n">
        <v>0.1066</v>
      </c>
      <c r="N189" s="44" t="n">
        <v>0.08160000000000001</v>
      </c>
      <c r="O189" s="45" t="n"/>
      <c r="P189" s="46" t="n">
        <v>0.06931260170892228</v>
      </c>
      <c r="Q189" s="20" t="n">
        <v>78.3</v>
      </c>
      <c r="R189" s="20" t="n">
        <v>56</v>
      </c>
      <c r="S189" s="20" t="n">
        <v>69.38</v>
      </c>
      <c r="T189" s="44" t="n">
        <v>0.8462000000000001</v>
      </c>
      <c r="U189" s="44" t="n">
        <v>0.7568</v>
      </c>
      <c r="V189" s="46" t="n">
        <v>0.7083749999999999</v>
      </c>
      <c r="W189" s="20" t="n">
        <v>84.62</v>
      </c>
      <c r="X189" s="20" t="n">
        <v>70.83749999999999</v>
      </c>
      <c r="Y189" s="20" t="n">
        <v>79.11</v>
      </c>
      <c r="Z189" s="46" t="n">
        <v>0.05088791292724842</v>
      </c>
      <c r="AA189" s="44" t="n">
        <v>0.0512</v>
      </c>
      <c r="AB189" s="46" t="n">
        <v>0.0512</v>
      </c>
      <c r="AC189" s="20" t="n">
        <v>44.25</v>
      </c>
      <c r="AD189" s="91" t="n">
        <v>2.0948</v>
      </c>
      <c r="AE189" s="46" t="n">
        <v>0.0512</v>
      </c>
      <c r="AF189" s="20" t="n">
        <v>1.353761752127388</v>
      </c>
      <c r="AG189" s="20" t="n">
        <v>47.9</v>
      </c>
      <c r="AH189" s="20" t="n">
        <v>51.47</v>
      </c>
      <c r="AI189" s="20" t="n">
        <v>49.33</v>
      </c>
      <c r="AJ189" s="46" t="n">
        <v>0.08160000000000001</v>
      </c>
      <c r="AK189" s="20" t="n">
        <v>100</v>
      </c>
      <c r="AL189" s="20" t="n">
        <v>100</v>
      </c>
      <c r="AM189" s="20" t="n">
        <v>72.3</v>
      </c>
      <c r="AN189" s="20" t="n">
        <v>44.25</v>
      </c>
      <c r="AO189" s="20" t="n">
        <v>49.33</v>
      </c>
      <c r="AP189" s="20" t="n">
        <v>100</v>
      </c>
      <c r="AQ189" s="92" t="n">
        <v>1</v>
      </c>
      <c r="AR189" s="20" t="n">
        <v>65.32052</v>
      </c>
      <c r="AS189" s="20" t="n">
        <v>65.31999999999999</v>
      </c>
      <c r="AT189" s="49" t="n">
        <v>146</v>
      </c>
      <c r="AU189" s="50">
        <f>IF(I189="","管理人规模；","")&amp;IF(J189="","产品规模标识；","")&amp;IF(AND(F189&lt;3,O189=""),"R_incep；","")&amp;IF(N189="","近三年收益；","")&amp;IF(U189="","近三年胜率；","")&amp;IF(AND(V189&lt;&gt;"",OR(V189&lt;0,V189&gt;1)),"胜率窗口口径不一致；","")&amp;IF(AA189="","近三年回撤；","")&amp;IF(AD189="","短期卡玛；","")&amp;IF(AND(P189&lt;&gt;"",AE189=""),"DD_long不可识别；","")</f>
        <v/>
      </c>
      <c r="AV189" s="51" t="n">
        <v>65.32052</v>
      </c>
      <c r="AW189" s="22" t="inlineStr">
        <is>
          <t>100亿元以上</t>
        </is>
      </c>
      <c r="AX189" s="22" t="inlineStr">
        <is>
          <t>2026-02-24</t>
        </is>
      </c>
      <c r="AY189" s="22" t="inlineStr">
        <is>
          <t>南京盛泉恒元投资有限公司</t>
        </is>
      </c>
      <c r="AZ189" s="22" t="inlineStr">
        <is>
          <t>2026-02-24</t>
        </is>
      </c>
      <c r="BA189" s="22" t="inlineStr">
        <is>
          <t>https://gs.amac.org.cn/amac-infodisc/res/pof/manager/101000008304.html</t>
        </is>
      </c>
      <c r="BB189" s="22" t="inlineStr">
        <is>
          <t>盛泉恒元多策略量化对冲2号基金</t>
        </is>
      </c>
      <c r="BC189" s="22" t="inlineStr">
        <is>
          <t>2026-03-17</t>
        </is>
      </c>
      <c r="BD189" s="22" t="inlineStr">
        <is>
          <t>已匹配</t>
        </is>
      </c>
      <c r="BE189" t="inlineStr">
        <is>
          <t>https://gs.amac.org.cn/amac-infodisc/res/pof/fund/351000223244.html</t>
        </is>
      </c>
      <c r="BF189" t="inlineStr">
        <is>
          <t>已核验</t>
        </is>
      </c>
    </row>
    <row r="190" hidden="1" ht="28" customHeight="1" s="73">
      <c r="A190" s="2" t="n">
        <v>174</v>
      </c>
      <c r="B190" s="18" t="inlineStr">
        <is>
          <t>申毅多策略量化7号</t>
        </is>
      </c>
      <c r="C190" s="18">
        <f>'sheet4-原始数据'!B175</f>
        <v/>
      </c>
      <c r="D190" s="18" t="inlineStr">
        <is>
          <t>上海申毅投资</t>
        </is>
      </c>
      <c r="E190" s="90" t="inlineStr">
        <is>
          <t>2015-07-06</t>
        </is>
      </c>
      <c r="F190" s="20" t="n">
        <v>11.1951</v>
      </c>
      <c r="G190" s="2">
        <f>IF(F190="","",IF(F190&lt;1,"不入池","入池"))</f>
        <v/>
      </c>
      <c r="H190" s="42" t="inlineStr">
        <is>
          <t>100亿元以上</t>
        </is>
      </c>
      <c r="I190" s="20" t="n">
        <v>100</v>
      </c>
      <c r="J190" s="43" t="inlineStr">
        <is>
          <t>无低于1000万元标识</t>
        </is>
      </c>
      <c r="K190" s="20" t="n">
        <v>100</v>
      </c>
      <c r="L190" s="20" t="n">
        <v>100</v>
      </c>
      <c r="M190" s="44" t="n">
        <v>0.0227</v>
      </c>
      <c r="N190" s="44" t="n">
        <v>0.09390000000000001</v>
      </c>
      <c r="O190" s="45" t="n"/>
      <c r="P190" s="46" t="n">
        <v>0.1313378198216981</v>
      </c>
      <c r="Q190" s="20" t="n">
        <v>25</v>
      </c>
      <c r="R190" s="20" t="n">
        <v>84.5</v>
      </c>
      <c r="S190" s="20" t="n">
        <v>48.8</v>
      </c>
      <c r="T190" s="44" t="n">
        <v>0.6923</v>
      </c>
      <c r="U190" s="44" t="n">
        <v>0.7837999999999999</v>
      </c>
      <c r="V190" s="46" t="n">
        <v>0.8333624999999999</v>
      </c>
      <c r="W190" s="20" t="n">
        <v>69.23</v>
      </c>
      <c r="X190" s="20" t="n">
        <v>83.33624999999999</v>
      </c>
      <c r="Y190" s="20" t="n">
        <v>74.87</v>
      </c>
      <c r="Z190" s="46" t="n">
        <v>0.03579876991010882</v>
      </c>
      <c r="AA190" s="44" t="n">
        <v>0.0999</v>
      </c>
      <c r="AB190" s="46" t="n">
        <v>0.0999</v>
      </c>
      <c r="AC190" s="20" t="n">
        <v>26.83</v>
      </c>
      <c r="AD190" s="91" t="n">
        <v>0.6341</v>
      </c>
      <c r="AE190" s="46" t="n">
        <v>0.0999</v>
      </c>
      <c r="AF190" s="20" t="n">
        <v>1.314692891108089</v>
      </c>
      <c r="AG190" s="20" t="n">
        <v>28.32</v>
      </c>
      <c r="AH190" s="20" t="n">
        <v>50.74</v>
      </c>
      <c r="AI190" s="20" t="n">
        <v>37.29</v>
      </c>
      <c r="AJ190" s="46" t="n">
        <v>0.09390000000000001</v>
      </c>
      <c r="AK190" s="20" t="n">
        <v>80</v>
      </c>
      <c r="AL190" s="20" t="n">
        <v>100</v>
      </c>
      <c r="AM190" s="20" t="n">
        <v>56.62</v>
      </c>
      <c r="AN190" s="20" t="n">
        <v>26.83</v>
      </c>
      <c r="AO190" s="20" t="n">
        <v>37.29</v>
      </c>
      <c r="AP190" s="20" t="n">
        <v>80</v>
      </c>
      <c r="AQ190" s="92" t="n">
        <v>1</v>
      </c>
      <c r="AR190" s="20" t="n">
        <v>52.21825</v>
      </c>
      <c r="AS190" s="20" t="n">
        <v>52.22</v>
      </c>
      <c r="AT190" s="49" t="n">
        <v>210</v>
      </c>
      <c r="AU190" s="50">
        <f>IF(I190="","管理人规模；","")&amp;IF(J190="","产品规模标识；","")&amp;IF(AND(F190&lt;3,O190=""),"R_incep；","")&amp;IF(N190="","近三年收益；","")&amp;IF(U190="","近三年胜率；","")&amp;IF(AND(V190&lt;&gt;"",OR(V190&lt;0,V190&gt;1)),"胜率窗口口径不一致；","")&amp;IF(AA190="","近三年回撤；","")&amp;IF(AD190="","短期卡玛；","")&amp;IF(AND(P190&lt;&gt;"",AE190=""),"DD_long不可识别；","")</f>
        <v/>
      </c>
      <c r="AV190" s="51" t="n">
        <v>52.21825</v>
      </c>
      <c r="AW190" s="22" t="inlineStr">
        <is>
          <t>100亿元以上</t>
        </is>
      </c>
      <c r="AX190" s="22" t="inlineStr">
        <is>
          <t>2026-04-28</t>
        </is>
      </c>
      <c r="AY190" s="22" t="inlineStr">
        <is>
          <t>上海申毅投资股份有限公司</t>
        </is>
      </c>
      <c r="AZ190" s="22" t="inlineStr">
        <is>
          <t>2026-04-28</t>
        </is>
      </c>
      <c r="BA190" s="22" t="inlineStr">
        <is>
          <t>https://gs.amac.org.cn/amac-infodisc/res/pof/manager/101000000870.html</t>
        </is>
      </c>
      <c r="BB190" s="22" t="inlineStr">
        <is>
          <t>申毅多策略量化7号</t>
        </is>
      </c>
      <c r="BC190" s="22" t="inlineStr">
        <is>
          <t>2024-08-08</t>
        </is>
      </c>
      <c r="BD190" s="22" t="inlineStr">
        <is>
          <t>已匹配</t>
        </is>
      </c>
      <c r="BE190" t="inlineStr">
        <is>
          <t>https://gs.amac.org.cn/amac-infodisc/res/pof/fund/351000188777.html</t>
        </is>
      </c>
      <c r="BF190" t="inlineStr">
        <is>
          <t>已核验</t>
        </is>
      </c>
    </row>
    <row r="191" hidden="1" ht="28" customHeight="1" s="73">
      <c r="A191" s="2" t="n">
        <v>175</v>
      </c>
      <c r="B191" s="18" t="inlineStr">
        <is>
          <t>汇艾稳健3号</t>
        </is>
      </c>
      <c r="C191" s="18">
        <f>'sheet4-原始数据'!B176</f>
        <v/>
      </c>
      <c r="D191" s="18" t="inlineStr">
        <is>
          <t>上海汇艾资管</t>
        </is>
      </c>
      <c r="E191" s="90" t="inlineStr">
        <is>
          <t>2017-02-06</t>
        </is>
      </c>
      <c r="F191" s="20" t="n">
        <v>9.6044</v>
      </c>
      <c r="G191" s="2">
        <f>IF(F191="","",IF(F191&lt;1,"不入池","入池"))</f>
        <v/>
      </c>
      <c r="H191" s="42" t="inlineStr">
        <is>
          <t>0-5亿元</t>
        </is>
      </c>
      <c r="I191" s="20" t="n">
        <v>60</v>
      </c>
      <c r="J191" s="43" t="inlineStr">
        <is>
          <t>无低于1000万元标识</t>
        </is>
      </c>
      <c r="K191" s="20" t="n">
        <v>100</v>
      </c>
      <c r="L191" s="20" t="n">
        <v>100</v>
      </c>
      <c r="M191" s="44" t="n">
        <v>0.08070000000000001</v>
      </c>
      <c r="N191" s="44" t="n">
        <v>0.0444</v>
      </c>
      <c r="O191" s="45" t="n"/>
      <c r="P191" s="46" t="n">
        <v>0.02670982739148653</v>
      </c>
      <c r="Q191" s="20" t="n">
        <v>67.01000000000001</v>
      </c>
      <c r="R191" s="20" t="n">
        <v>13.5</v>
      </c>
      <c r="S191" s="20" t="n">
        <v>45.61</v>
      </c>
      <c r="T191" s="44" t="n">
        <v>1</v>
      </c>
      <c r="U191" s="44" t="n">
        <v>0.8108</v>
      </c>
      <c r="V191" s="46" t="n">
        <v>0.7083166666666666</v>
      </c>
      <c r="W191" s="20" t="n">
        <v>100</v>
      </c>
      <c r="X191" s="20" t="n">
        <v>70.83166666666666</v>
      </c>
      <c r="Y191" s="20" t="n">
        <v>88.33</v>
      </c>
      <c r="Z191" s="46" t="n">
        <v>0.007819767441860465</v>
      </c>
      <c r="AA191" s="44" t="n">
        <v>0.0106</v>
      </c>
      <c r="AB191" s="46" t="n">
        <v>0.0106</v>
      </c>
      <c r="AC191" s="20" t="n">
        <v>85.37</v>
      </c>
      <c r="AD191" s="91" t="n">
        <v>10.32</v>
      </c>
      <c r="AE191" s="46" t="n">
        <v>0.0106</v>
      </c>
      <c r="AF191" s="20" t="n">
        <v>2.519795036932691</v>
      </c>
      <c r="AG191" s="20" t="n">
        <v>81.81999999999999</v>
      </c>
      <c r="AH191" s="20" t="n">
        <v>71.31999999999999</v>
      </c>
      <c r="AI191" s="20" t="n">
        <v>77.62</v>
      </c>
      <c r="AJ191" s="46" t="n">
        <v>0.0444</v>
      </c>
      <c r="AK191" s="20" t="n">
        <v>100</v>
      </c>
      <c r="AL191" s="20" t="n">
        <v>84</v>
      </c>
      <c r="AM191" s="20" t="n">
        <v>58.42</v>
      </c>
      <c r="AN191" s="20" t="n">
        <v>85.37</v>
      </c>
      <c r="AO191" s="20" t="n">
        <v>77.62</v>
      </c>
      <c r="AP191" s="20" t="n">
        <v>100</v>
      </c>
      <c r="AQ191" s="92" t="n">
        <v>1</v>
      </c>
      <c r="AR191" s="20" t="n">
        <v>78.91329999999999</v>
      </c>
      <c r="AS191" s="20" t="n">
        <v>78.91</v>
      </c>
      <c r="AT191" s="49" t="n">
        <v>71</v>
      </c>
      <c r="AU191" s="50">
        <f>IF(I191="","管理人规模；","")&amp;IF(J191="","产品规模标识；","")&amp;IF(AND(F191&lt;3,O191=""),"R_incep；","")&amp;IF(N191="","近三年收益；","")&amp;IF(U191="","近三年胜率；","")&amp;IF(AND(V191&lt;&gt;"",OR(V191&lt;0,V191&gt;1)),"胜率窗口口径不一致；","")&amp;IF(AA191="","近三年回撤；","")&amp;IF(AD191="","短期卡玛；","")&amp;IF(AND(P191&lt;&gt;"",AE191=""),"DD_long不可识别；","")</f>
        <v/>
      </c>
      <c r="AV191" s="51" t="n">
        <v>78.91329999999999</v>
      </c>
      <c r="AW191" s="22" t="inlineStr">
        <is>
          <t>0-5亿元</t>
        </is>
      </c>
      <c r="AX191" s="22" t="inlineStr">
        <is>
          <t>2026-07-28</t>
        </is>
      </c>
      <c r="AY191" s="22" t="inlineStr">
        <is>
          <t>上海汇艾资产管理有限公司</t>
        </is>
      </c>
      <c r="AZ191" s="22" t="inlineStr">
        <is>
          <t>2026-07-28</t>
        </is>
      </c>
      <c r="BA191" s="22" t="inlineStr">
        <is>
          <t>https://gs.amac.org.cn/amac-infodisc/res/pof/manager/101000016385.html</t>
        </is>
      </c>
      <c r="BB191" s="22" t="inlineStr">
        <is>
          <t>汇艾稳健3号私募投资基金</t>
        </is>
      </c>
      <c r="BC191" s="22" t="inlineStr">
        <is>
          <t>2020-09-24</t>
        </is>
      </c>
      <c r="BD191" s="22" t="inlineStr">
        <is>
          <t>已匹配</t>
        </is>
      </c>
      <c r="BE191" t="inlineStr">
        <is>
          <t>https://gs.amac.org.cn/amac-infodisc/res/pof/fund/351000760422.html</t>
        </is>
      </c>
      <c r="BF191" t="inlineStr">
        <is>
          <t>已核验</t>
        </is>
      </c>
    </row>
    <row r="192" hidden="1" ht="28" customHeight="1" s="73">
      <c r="A192" s="2" t="n">
        <v>176</v>
      </c>
      <c r="B192" s="18" t="inlineStr">
        <is>
          <t>博普稳增3号</t>
        </is>
      </c>
      <c r="C192" s="18">
        <f>'sheet4-原始数据'!B177</f>
        <v/>
      </c>
      <c r="D192" s="18" t="inlineStr">
        <is>
          <t>深圳博普科技</t>
        </is>
      </c>
      <c r="E192" s="90" t="inlineStr">
        <is>
          <t>2017-10-23</t>
        </is>
      </c>
      <c r="F192" s="20" t="n">
        <v>8.895300000000001</v>
      </c>
      <c r="G192" s="2">
        <f>IF(F192="","",IF(F192&lt;1,"不入池","入池"))</f>
        <v/>
      </c>
      <c r="H192" s="42" t="inlineStr">
        <is>
          <t>100亿元以上</t>
        </is>
      </c>
      <c r="I192" s="20" t="n">
        <v>100</v>
      </c>
      <c r="J192" s="43" t="inlineStr">
        <is>
          <t>无低于1000万元标识</t>
        </is>
      </c>
      <c r="K192" s="20" t="n">
        <v>100</v>
      </c>
      <c r="L192" s="20" t="n">
        <v>100</v>
      </c>
      <c r="M192" s="44" t="n">
        <v>0.0563</v>
      </c>
      <c r="N192" s="44" t="n">
        <v>0.0417</v>
      </c>
      <c r="O192" s="45" t="n"/>
      <c r="P192" s="46" t="n">
        <v>0.0344758497608928</v>
      </c>
      <c r="Q192" s="20" t="n">
        <v>48.09</v>
      </c>
      <c r="R192" s="20" t="n">
        <v>20.5</v>
      </c>
      <c r="S192" s="20" t="n">
        <v>37.05</v>
      </c>
      <c r="T192" s="44" t="n">
        <v>0.8462000000000001</v>
      </c>
      <c r="U192" s="44" t="n">
        <v>0.7837999999999999</v>
      </c>
      <c r="V192" s="46" t="n">
        <v>0.75</v>
      </c>
      <c r="W192" s="20" t="n">
        <v>84.62</v>
      </c>
      <c r="X192" s="20" t="n">
        <v>75</v>
      </c>
      <c r="Y192" s="20" t="n">
        <v>80.77</v>
      </c>
      <c r="Z192" s="46" t="n">
        <v>0.005879220141811384</v>
      </c>
      <c r="AA192" s="44" t="n">
        <v>0.0211</v>
      </c>
      <c r="AB192" s="46" t="n">
        <v>0.0211</v>
      </c>
      <c r="AC192" s="20" t="n">
        <v>72.65000000000001</v>
      </c>
      <c r="AD192" s="91" t="n">
        <v>9.5761</v>
      </c>
      <c r="AE192" s="46" t="n">
        <v>0.0211</v>
      </c>
      <c r="AF192" s="20" t="n">
        <v>1.633926528952266</v>
      </c>
      <c r="AG192" s="20" t="n">
        <v>79.02</v>
      </c>
      <c r="AH192" s="20" t="n">
        <v>58.09</v>
      </c>
      <c r="AI192" s="20" t="n">
        <v>70.65000000000001</v>
      </c>
      <c r="AJ192" s="46" t="n">
        <v>0.0417</v>
      </c>
      <c r="AK192" s="20" t="n">
        <v>100</v>
      </c>
      <c r="AL192" s="20" t="n">
        <v>100</v>
      </c>
      <c r="AM192" s="20" t="n">
        <v>50.17</v>
      </c>
      <c r="AN192" s="20" t="n">
        <v>72.65000000000001</v>
      </c>
      <c r="AO192" s="20" t="n">
        <v>70.65000000000001</v>
      </c>
      <c r="AP192" s="20" t="n">
        <v>100</v>
      </c>
      <c r="AQ192" s="92" t="n">
        <v>1</v>
      </c>
      <c r="AR192" s="20" t="n">
        <v>74.39078000000001</v>
      </c>
      <c r="AS192" s="20" t="n">
        <v>74.39</v>
      </c>
      <c r="AT192" s="49" t="n">
        <v>92</v>
      </c>
      <c r="AU192" s="50">
        <f>IF(I192="","管理人规模；","")&amp;IF(J192="","产品规模标识；","")&amp;IF(AND(F192&lt;3,O192=""),"R_incep；","")&amp;IF(N192="","近三年收益；","")&amp;IF(U192="","近三年胜率；","")&amp;IF(AND(V192&lt;&gt;"",OR(V192&lt;0,V192&gt;1)),"胜率窗口口径不一致；","")&amp;IF(AA192="","近三年回撤；","")&amp;IF(AD192="","短期卡玛；","")&amp;IF(AND(P192&lt;&gt;"",AE192=""),"DD_long不可识别；","")</f>
        <v/>
      </c>
      <c r="AV192" s="51" t="n">
        <v>74.39078000000001</v>
      </c>
      <c r="AW192" s="22" t="inlineStr">
        <is>
          <t>100亿元以上</t>
        </is>
      </c>
      <c r="AX192" s="22" t="inlineStr">
        <is>
          <t>2023-09-25</t>
        </is>
      </c>
      <c r="AY192" s="22" t="inlineStr">
        <is>
          <t>深圳博普科技有限公司</t>
        </is>
      </c>
      <c r="AZ192" s="22" t="inlineStr">
        <is>
          <t>2023-09-25</t>
        </is>
      </c>
      <c r="BA192" s="22" t="inlineStr">
        <is>
          <t>https://gs.amac.org.cn/amac-infodisc/res/pof/manager/101000001136.html</t>
        </is>
      </c>
      <c r="BB192" s="22" t="inlineStr">
        <is>
          <t>博普稳增3号私募证券投资基金</t>
        </is>
      </c>
      <c r="BC192" s="22" t="inlineStr">
        <is>
          <t>2026-08-31</t>
        </is>
      </c>
      <c r="BD192" s="22" t="inlineStr">
        <is>
          <t>已匹配</t>
        </is>
      </c>
      <c r="BE192" t="inlineStr">
        <is>
          <t>https://gs.amac.org.cn/amac-infodisc/res/pof/fund/1711061720100628.html</t>
        </is>
      </c>
      <c r="BF192" t="inlineStr">
        <is>
          <t>已核验</t>
        </is>
      </c>
    </row>
    <row r="193" hidden="1" ht="28" customHeight="1" s="73">
      <c r="A193" s="2" t="n">
        <v>177</v>
      </c>
      <c r="B193" s="18" t="inlineStr">
        <is>
          <t>盛冠达试金石3号</t>
        </is>
      </c>
      <c r="C193" s="18">
        <f>'sheet4-原始数据'!B178</f>
        <v/>
      </c>
      <c r="D193" s="18" t="inlineStr">
        <is>
          <t>海南盛冠达</t>
        </is>
      </c>
      <c r="E193" s="90" t="inlineStr">
        <is>
          <t>2017-11-02</t>
        </is>
      </c>
      <c r="F193" s="20" t="n">
        <v>8.867900000000001</v>
      </c>
      <c r="G193" s="2">
        <f>IF(F193="","",IF(F193&lt;1,"不入池","入池"))</f>
        <v/>
      </c>
      <c r="H193" s="42" t="inlineStr">
        <is>
          <t>20-50亿元</t>
        </is>
      </c>
      <c r="I193" s="20" t="n">
        <v>90</v>
      </c>
      <c r="J193" s="43" t="inlineStr">
        <is>
          <t>无低于1000万元标识</t>
        </is>
      </c>
      <c r="K193" s="20" t="n">
        <v>100</v>
      </c>
      <c r="L193" s="20" t="n">
        <v>100</v>
      </c>
      <c r="M193" s="44" t="n">
        <v>0.0271</v>
      </c>
      <c r="N193" s="44" t="n">
        <v>0.0475</v>
      </c>
      <c r="O193" s="45" t="n"/>
      <c r="P193" s="46" t="n">
        <v>0.05785144309798662</v>
      </c>
      <c r="Q193" s="20" t="n">
        <v>28.13</v>
      </c>
      <c r="R193" s="20" t="n">
        <v>46</v>
      </c>
      <c r="S193" s="20" t="n">
        <v>35.28</v>
      </c>
      <c r="T193" s="44" t="n">
        <v>0.6923</v>
      </c>
      <c r="U193" s="44" t="n">
        <v>0.6757</v>
      </c>
      <c r="V193" s="46" t="n">
        <v>0.6667083333333332</v>
      </c>
      <c r="W193" s="20" t="n">
        <v>69.23</v>
      </c>
      <c r="X193" s="20" t="n">
        <v>66.67083333333332</v>
      </c>
      <c r="Y193" s="20" t="n">
        <v>68.20999999999999</v>
      </c>
      <c r="Z193" s="46" t="n">
        <v>0.02074561739263569</v>
      </c>
      <c r="AA193" s="44" t="n">
        <v>0.0393</v>
      </c>
      <c r="AB193" s="46" t="n">
        <v>0.0393</v>
      </c>
      <c r="AC193" s="20" t="n">
        <v>52.26</v>
      </c>
      <c r="AD193" s="91" t="n">
        <v>1.3063</v>
      </c>
      <c r="AE193" s="46" t="n">
        <v>0.0393</v>
      </c>
      <c r="AF193" s="20" t="n">
        <v>1.472046898167598</v>
      </c>
      <c r="AG193" s="20" t="n">
        <v>38.46</v>
      </c>
      <c r="AH193" s="20" t="n">
        <v>55.15</v>
      </c>
      <c r="AI193" s="20" t="n">
        <v>45.14</v>
      </c>
      <c r="AJ193" s="46" t="n">
        <v>0.0475</v>
      </c>
      <c r="AK193" s="20" t="n">
        <v>80</v>
      </c>
      <c r="AL193" s="20" t="n">
        <v>96</v>
      </c>
      <c r="AM193" s="20" t="n">
        <v>45.16</v>
      </c>
      <c r="AN193" s="20" t="n">
        <v>52.26</v>
      </c>
      <c r="AO193" s="20" t="n">
        <v>45.14</v>
      </c>
      <c r="AP193" s="20" t="n">
        <v>80</v>
      </c>
      <c r="AQ193" s="92" t="n">
        <v>1</v>
      </c>
      <c r="AR193" s="20" t="n">
        <v>58.0371</v>
      </c>
      <c r="AS193" s="20" t="n">
        <v>58.04</v>
      </c>
      <c r="AT193" s="49" t="n">
        <v>182</v>
      </c>
      <c r="AU193" s="50">
        <f>IF(I193="","管理人规模；","")&amp;IF(J193="","产品规模标识；","")&amp;IF(AND(F193&lt;3,O193=""),"R_incep；","")&amp;IF(N193="","近三年收益；","")&amp;IF(U193="","近三年胜率；","")&amp;IF(AND(V193&lt;&gt;"",OR(V193&lt;0,V193&gt;1)),"胜率窗口口径不一致；","")&amp;IF(AA193="","近三年回撤；","")&amp;IF(AD193="","短期卡玛；","")&amp;IF(AND(P193&lt;&gt;"",AE193=""),"DD_long不可识别；","")</f>
        <v/>
      </c>
      <c r="AV193" s="51" t="n">
        <v>58.0371</v>
      </c>
      <c r="AW193" s="22" t="inlineStr">
        <is>
          <t>20-50亿元</t>
        </is>
      </c>
      <c r="AX193" s="22" t="inlineStr">
        <is>
          <t>2026-01-05</t>
        </is>
      </c>
      <c r="AY193" s="22" t="inlineStr">
        <is>
          <t>海南盛冠达私募基金管理有限公司</t>
        </is>
      </c>
      <c r="AZ193" s="22" t="inlineStr">
        <is>
          <t>2026-01-05</t>
        </is>
      </c>
      <c r="BA193" s="22" t="inlineStr">
        <is>
          <t>https://gs.amac.org.cn/amac-infodisc/res/pof/manager/101000001663.html</t>
        </is>
      </c>
      <c r="BB193" s="22" t="inlineStr">
        <is>
          <t>盛冠达试金石3号私募投资基金</t>
        </is>
      </c>
      <c r="BC193" s="22" t="inlineStr">
        <is>
          <t>2020-04-07</t>
        </is>
      </c>
      <c r="BD193" s="22" t="inlineStr">
        <is>
          <t>已匹配</t>
        </is>
      </c>
      <c r="BE193" t="inlineStr">
        <is>
          <t>https://gs.amac.org.cn/amac-infodisc/res/pof/fund/1711131228105655.html</t>
        </is>
      </c>
      <c r="BF193" t="inlineStr">
        <is>
          <t>已核验</t>
        </is>
      </c>
    </row>
    <row r="194" hidden="1" ht="28" customHeight="1" s="73">
      <c r="A194" s="2" t="n">
        <v>178</v>
      </c>
      <c r="B194" s="18" t="inlineStr">
        <is>
          <t>盛泉恒元量化套利12号专项</t>
        </is>
      </c>
      <c r="C194" s="18">
        <f>'sheet4-原始数据'!B179</f>
        <v/>
      </c>
      <c r="D194" s="18" t="inlineStr">
        <is>
          <t>南京盛泉恒元投资</t>
        </is>
      </c>
      <c r="E194" s="90" t="inlineStr">
        <is>
          <t>2018-08-28</t>
        </is>
      </c>
      <c r="F194" s="20" t="n">
        <v>8.049300000000001</v>
      </c>
      <c r="G194" s="2">
        <f>IF(F194="","",IF(F194&lt;1,"不入池","入池"))</f>
        <v/>
      </c>
      <c r="H194" s="42" t="inlineStr">
        <is>
          <t>100亿元以上</t>
        </is>
      </c>
      <c r="I194" s="20" t="n">
        <v>100</v>
      </c>
      <c r="J194" s="43" t="inlineStr">
        <is>
          <t>无低于1000万元标识</t>
        </is>
      </c>
      <c r="K194" s="20" t="n">
        <v>100</v>
      </c>
      <c r="L194" s="20" t="n">
        <v>100</v>
      </c>
      <c r="M194" s="44" t="n">
        <v>0.0978</v>
      </c>
      <c r="N194" s="44" t="n">
        <v>0.0682</v>
      </c>
      <c r="O194" s="45" t="n"/>
      <c r="P194" s="46" t="n">
        <v>0.05370064823130649</v>
      </c>
      <c r="Q194" s="20" t="n">
        <v>75.69</v>
      </c>
      <c r="R194" s="20" t="n">
        <v>40.5</v>
      </c>
      <c r="S194" s="20" t="n">
        <v>61.61</v>
      </c>
      <c r="T194" s="44" t="n">
        <v>0.7692</v>
      </c>
      <c r="U194" s="44" t="n">
        <v>0.7297</v>
      </c>
      <c r="V194" s="46" t="n">
        <v>0.7083041666666666</v>
      </c>
      <c r="W194" s="20" t="n">
        <v>76.92</v>
      </c>
      <c r="X194" s="20" t="n">
        <v>70.83041666666666</v>
      </c>
      <c r="Y194" s="20" t="n">
        <v>74.48</v>
      </c>
      <c r="Z194" s="46" t="n">
        <v>0.05117203850983675</v>
      </c>
      <c r="AA194" s="44" t="n">
        <v>0.0641</v>
      </c>
      <c r="AB194" s="46" t="n">
        <v>0.0641</v>
      </c>
      <c r="AC194" s="20" t="n">
        <v>37.63</v>
      </c>
      <c r="AD194" s="91" t="n">
        <v>1.9112</v>
      </c>
      <c r="AE194" s="46" t="n">
        <v>0.0641</v>
      </c>
      <c r="AF194" s="20" t="n">
        <v>0.8377636229532993</v>
      </c>
      <c r="AG194" s="20" t="n">
        <v>46.15</v>
      </c>
      <c r="AH194" s="20" t="n">
        <v>33.82</v>
      </c>
      <c r="AI194" s="20" t="n">
        <v>41.22</v>
      </c>
      <c r="AJ194" s="46" t="n">
        <v>0.0682</v>
      </c>
      <c r="AK194" s="20" t="n">
        <v>100</v>
      </c>
      <c r="AL194" s="20" t="n">
        <v>100</v>
      </c>
      <c r="AM194" s="20" t="n">
        <v>65.48</v>
      </c>
      <c r="AN194" s="20" t="n">
        <v>37.63</v>
      </c>
      <c r="AO194" s="20" t="n">
        <v>41.22</v>
      </c>
      <c r="AP194" s="20" t="n">
        <v>100</v>
      </c>
      <c r="AQ194" s="92" t="n">
        <v>1</v>
      </c>
      <c r="AR194" s="20" t="n">
        <v>59.86791</v>
      </c>
      <c r="AS194" s="20" t="n">
        <v>59.87</v>
      </c>
      <c r="AT194" s="49" t="n">
        <v>171</v>
      </c>
      <c r="AU194" s="50">
        <f>IF(I194="","管理人规模；","")&amp;IF(J194="","产品规模标识；","")&amp;IF(AND(F194&lt;3,O194=""),"R_incep；","")&amp;IF(N194="","近三年收益；","")&amp;IF(U194="","近三年胜率；","")&amp;IF(AND(V194&lt;&gt;"",OR(V194&lt;0,V194&gt;1)),"胜率窗口口径不一致；","")&amp;IF(AA194="","近三年回撤；","")&amp;IF(AD194="","短期卡玛；","")&amp;IF(AND(P194&lt;&gt;"",AE194=""),"DD_long不可识别；","")</f>
        <v/>
      </c>
      <c r="AV194" s="51" t="n">
        <v>59.86791</v>
      </c>
      <c r="AW194" s="22" t="inlineStr">
        <is>
          <t>100亿元以上</t>
        </is>
      </c>
      <c r="AX194" s="22" t="inlineStr">
        <is>
          <t>2026-02-24</t>
        </is>
      </c>
      <c r="AY194" s="22" t="inlineStr">
        <is>
          <t>南京盛泉恒元投资有限公司</t>
        </is>
      </c>
      <c r="AZ194" s="22" t="inlineStr">
        <is>
          <t>2026-02-24</t>
        </is>
      </c>
      <c r="BA194" s="22" t="inlineStr">
        <is>
          <t>https://gs.amac.org.cn/amac-infodisc/res/pof/manager/101000008304.html</t>
        </is>
      </c>
      <c r="BB194" s="22" t="inlineStr">
        <is>
          <t>盛泉恒元量化套利12号专项私募证券投资基金</t>
        </is>
      </c>
      <c r="BC194" s="22" t="inlineStr">
        <is>
          <t>2025-04-16</t>
        </is>
      </c>
      <c r="BD194" s="22" t="inlineStr">
        <is>
          <t>已匹配</t>
        </is>
      </c>
      <c r="BE194" t="inlineStr">
        <is>
          <t>https://gs.amac.org.cn/amac-infodisc/res/pof/fund/1808311648103483.html</t>
        </is>
      </c>
      <c r="BF194" t="inlineStr">
        <is>
          <t>已核验</t>
        </is>
      </c>
    </row>
    <row r="195" hidden="1" ht="28" customHeight="1" s="73">
      <c r="A195" s="2" t="n">
        <v>179</v>
      </c>
      <c r="B195" s="18" t="inlineStr">
        <is>
          <t>东方富银命运1号</t>
        </is>
      </c>
      <c r="C195" s="18">
        <f>'sheet4-原始数据'!B180</f>
        <v/>
      </c>
      <c r="D195" s="18" t="inlineStr">
        <is>
          <t>深圳东方富银投资</t>
        </is>
      </c>
      <c r="E195" s="90" t="inlineStr">
        <is>
          <t>2018-08-22</t>
        </is>
      </c>
      <c r="F195" s="20" t="n">
        <v>8.0657</v>
      </c>
      <c r="G195" s="2">
        <f>IF(F195="","",IF(F195&lt;1,"不入池","入池"))</f>
        <v/>
      </c>
      <c r="H195" s="42" t="inlineStr">
        <is>
          <t>0-5亿元</t>
        </is>
      </c>
      <c r="I195" s="20" t="n">
        <v>60</v>
      </c>
      <c r="J195" s="43" t="inlineStr">
        <is>
          <t>无低于1000万元标识</t>
        </is>
      </c>
      <c r="K195" s="20" t="n">
        <v>100</v>
      </c>
      <c r="L195" s="20" t="n">
        <v>100</v>
      </c>
      <c r="M195" s="44" t="n"/>
      <c r="N195" s="44" t="n"/>
      <c r="O195" s="45" t="n"/>
      <c r="P195" s="46" t="n"/>
      <c r="Q195" s="20" t="n"/>
      <c r="R195" s="20" t="n"/>
      <c r="S195" s="20" t="n"/>
      <c r="T195" s="44" t="n"/>
      <c r="U195" s="44" t="n"/>
      <c r="V195" s="46" t="n"/>
      <c r="W195" s="20" t="n"/>
      <c r="X195" s="20" t="n"/>
      <c r="Y195" s="20" t="n"/>
      <c r="Z195" s="46" t="n"/>
      <c r="AA195" s="44" t="n"/>
      <c r="AB195" s="46" t="n"/>
      <c r="AC195" s="20" t="n"/>
      <c r="AD195" s="91" t="n"/>
      <c r="AE195" s="46" t="n"/>
      <c r="AF195" s="20" t="n"/>
      <c r="AG195" s="20" t="n"/>
      <c r="AH195" s="20" t="n"/>
      <c r="AI195" s="20" t="n"/>
      <c r="AJ195" s="46" t="n"/>
      <c r="AK195" s="20" t="n"/>
      <c r="AL195" s="20" t="n">
        <v>84</v>
      </c>
      <c r="AM195" s="20" t="n"/>
      <c r="AN195" s="20" t="n"/>
      <c r="AO195" s="20" t="n"/>
      <c r="AP195" s="20" t="n"/>
      <c r="AQ195" s="92" t="n">
        <v>0.15</v>
      </c>
      <c r="AR195" s="20" t="n">
        <v>12.6</v>
      </c>
      <c r="AS195" s="20" t="n">
        <v>84</v>
      </c>
      <c r="AT195" s="49" t="n">
        <v>42</v>
      </c>
      <c r="AU195" s="50">
        <f>IF(I195="","管理人规模；","")&amp;IF(J195="","产品规模标识；","")&amp;IF(AND(F195&lt;3,O195=""),"R_incep；","")&amp;IF(N195="","近三年收益；","")&amp;IF(U195="","近三年胜率；","")&amp;IF(AND(V195&lt;&gt;"",OR(V195&lt;0,V195&gt;1)),"胜率窗口口径不一致；","")&amp;IF(AA195="","近三年回撤；","")&amp;IF(AD195="","短期卡玛；","")&amp;IF(AND(P195&lt;&gt;"",AE195=""),"DD_long不可识别；","")</f>
        <v/>
      </c>
      <c r="AV195" s="51" t="n"/>
      <c r="AW195" s="22" t="inlineStr">
        <is>
          <t>0-5亿元</t>
        </is>
      </c>
      <c r="AX195" s="22" t="inlineStr">
        <is>
          <t>2026-02-03</t>
        </is>
      </c>
      <c r="AY195" s="22" t="inlineStr">
        <is>
          <t>深圳市东方富银投资管理有限公司</t>
        </is>
      </c>
      <c r="AZ195" s="22" t="inlineStr">
        <is>
          <t>2026-02-03</t>
        </is>
      </c>
      <c r="BA195" s="22" t="inlineStr">
        <is>
          <t>https://gs.amac.org.cn/amac-infodisc/res/pof/manager/1803121751101388.html</t>
        </is>
      </c>
      <c r="BB195" s="22" t="inlineStr">
        <is>
          <t>东方富银命运1号私募证券投资基金</t>
        </is>
      </c>
      <c r="BC195" s="22" t="inlineStr">
        <is>
          <t>2026-08-11</t>
        </is>
      </c>
      <c r="BD195" s="22" t="inlineStr">
        <is>
          <t>已匹配</t>
        </is>
      </c>
      <c r="BE195" t="inlineStr">
        <is>
          <t>https://gs.amac.org.cn/amac-infodisc/res/pof/fund/1809041832107174.html</t>
        </is>
      </c>
      <c r="BF195" t="inlineStr">
        <is>
          <t>已核验</t>
        </is>
      </c>
    </row>
    <row r="196" hidden="1" ht="28" customHeight="1" s="73">
      <c r="A196" s="2" t="n">
        <v>180</v>
      </c>
      <c r="B196" s="18" t="inlineStr">
        <is>
          <t>致同稳健成长1期</t>
        </is>
      </c>
      <c r="C196" s="18">
        <f>'sheet4-原始数据'!B181</f>
        <v/>
      </c>
      <c r="D196" s="18" t="inlineStr">
        <is>
          <t>上海致同投资</t>
        </is>
      </c>
      <c r="E196" s="90" t="inlineStr">
        <is>
          <t>2018-10-16</t>
        </is>
      </c>
      <c r="F196" s="20" t="n">
        <v>7.9151</v>
      </c>
      <c r="G196" s="2">
        <f>IF(F196="","",IF(F196&lt;1,"不入池","入池"))</f>
        <v/>
      </c>
      <c r="H196" s="42" t="inlineStr">
        <is>
          <t>20-50亿元</t>
        </is>
      </c>
      <c r="I196" s="20" t="n">
        <v>90</v>
      </c>
      <c r="J196" s="43" t="inlineStr">
        <is>
          <t>无低于1000万元标识</t>
        </is>
      </c>
      <c r="K196" s="20" t="n">
        <v>100</v>
      </c>
      <c r="L196" s="20" t="n">
        <v>100</v>
      </c>
      <c r="M196" s="44" t="n">
        <v>0.0486</v>
      </c>
      <c r="N196" s="44" t="n">
        <v>0.0614</v>
      </c>
      <c r="O196" s="45" t="n"/>
      <c r="P196" s="46" t="n">
        <v>0.06785847374744569</v>
      </c>
      <c r="Q196" s="20" t="n">
        <v>44.79</v>
      </c>
      <c r="R196" s="20" t="n">
        <v>55</v>
      </c>
      <c r="S196" s="20" t="n">
        <v>48.87</v>
      </c>
      <c r="T196" s="44" t="n">
        <v>0.9231</v>
      </c>
      <c r="U196" s="44" t="n">
        <v>0.8919</v>
      </c>
      <c r="V196" s="46" t="n">
        <v>0.875</v>
      </c>
      <c r="W196" s="20" t="n">
        <v>92.31</v>
      </c>
      <c r="X196" s="20" t="n">
        <v>87.5</v>
      </c>
      <c r="Y196" s="20" t="n">
        <v>90.39</v>
      </c>
      <c r="Z196" s="46" t="n">
        <v>0.007135830384541971</v>
      </c>
      <c r="AA196" s="44" t="n">
        <v>0.0071</v>
      </c>
      <c r="AB196" s="46" t="n">
        <v>0.007135830384541971</v>
      </c>
      <c r="AC196" s="20" t="n">
        <v>89.2</v>
      </c>
      <c r="AD196" s="91" t="n">
        <v>6.8107</v>
      </c>
      <c r="AE196" s="46" t="n"/>
      <c r="AF196" s="20" t="n"/>
      <c r="AG196" s="20" t="n">
        <v>73.78</v>
      </c>
      <c r="AH196" s="20" t="n"/>
      <c r="AI196" s="20" t="n">
        <v>73.78</v>
      </c>
      <c r="AJ196" s="46" t="n">
        <v>0.0614</v>
      </c>
      <c r="AK196" s="20" t="n">
        <v>80</v>
      </c>
      <c r="AL196" s="20" t="n">
        <v>96</v>
      </c>
      <c r="AM196" s="20" t="n">
        <v>61.33</v>
      </c>
      <c r="AN196" s="20" t="n">
        <v>89.2</v>
      </c>
      <c r="AO196" s="20" t="n">
        <v>73.78</v>
      </c>
      <c r="AP196" s="20" t="n">
        <v>80</v>
      </c>
      <c r="AQ196" s="92" t="n">
        <v>0.88</v>
      </c>
      <c r="AR196" s="20" t="n">
        <v>70.24592</v>
      </c>
      <c r="AS196" s="20" t="n">
        <v>79.81999999999999</v>
      </c>
      <c r="AT196" s="49" t="n">
        <v>63</v>
      </c>
      <c r="AU196" s="50">
        <f>IF(I196="","管理人规模；","")&amp;IF(J196="","产品规模标识；","")&amp;IF(AND(F196&lt;3,O196=""),"R_incep；","")&amp;IF(N196="","近三年收益；","")&amp;IF(U196="","近三年胜率；","")&amp;IF(AND(V196&lt;&gt;"",OR(V196&lt;0,V196&gt;1)),"胜率窗口口径不一致；","")&amp;IF(AA196="","近三年回撤；","")&amp;IF(AD196="","短期卡玛；","")&amp;IF(AND(P196&lt;&gt;"",AE196=""),"DD_long不可识别；","")</f>
        <v/>
      </c>
      <c r="AV196" s="51" t="n"/>
      <c r="AW196" s="22" t="inlineStr">
        <is>
          <t>20-50亿元</t>
        </is>
      </c>
      <c r="AX196" s="22" t="inlineStr">
        <is>
          <t>2026-03-16</t>
        </is>
      </c>
      <c r="AY196" s="22" t="inlineStr">
        <is>
          <t>上海致同投资管理有限公司</t>
        </is>
      </c>
      <c r="AZ196" s="22" t="inlineStr">
        <is>
          <t>2026-03-16</t>
        </is>
      </c>
      <c r="BA196" s="22" t="inlineStr">
        <is>
          <t>https://gs.amac.org.cn/amac-infodisc/res/pof/manager/101000004339.html</t>
        </is>
      </c>
      <c r="BB196" s="22" t="inlineStr">
        <is>
          <t>致同稳健成长1期私募证券投资基金</t>
        </is>
      </c>
      <c r="BC196" s="22" t="inlineStr">
        <is>
          <t>2026-01-26</t>
        </is>
      </c>
      <c r="BD196" s="22" t="inlineStr">
        <is>
          <t>已匹配</t>
        </is>
      </c>
      <c r="BE196" t="inlineStr">
        <is>
          <t>https://gs.amac.org.cn/amac-infodisc/res/pof/fund/1810191705108886.html</t>
        </is>
      </c>
      <c r="BF196" t="inlineStr">
        <is>
          <t>已核验</t>
        </is>
      </c>
    </row>
    <row r="197" hidden="1" ht="28" customHeight="1" s="73">
      <c r="A197" s="2" t="n">
        <v>181</v>
      </c>
      <c r="B197" s="18" t="inlineStr">
        <is>
          <t>博普量化对冲6号</t>
        </is>
      </c>
      <c r="C197" s="18">
        <f>'sheet4-原始数据'!B182</f>
        <v/>
      </c>
      <c r="D197" s="18" t="inlineStr">
        <is>
          <t>深圳前海博普资管</t>
        </is>
      </c>
      <c r="E197" s="90" t="inlineStr">
        <is>
          <t>2018-11-26</t>
        </is>
      </c>
      <c r="F197" s="20" t="n">
        <v>7.8029</v>
      </c>
      <c r="G197" s="2">
        <f>IF(F197="","",IF(F197&lt;1,"不入池","入池"))</f>
        <v/>
      </c>
      <c r="H197" s="42" t="inlineStr">
        <is>
          <t>50-100亿元</t>
        </is>
      </c>
      <c r="I197" s="20" t="n">
        <v>90</v>
      </c>
      <c r="J197" s="43" t="inlineStr">
        <is>
          <t>无低于1000万元标识</t>
        </is>
      </c>
      <c r="K197" s="20" t="n">
        <v>100</v>
      </c>
      <c r="L197" s="20" t="n">
        <v>100</v>
      </c>
      <c r="M197" s="44" t="n">
        <v>0.0394</v>
      </c>
      <c r="N197" s="44" t="n"/>
      <c r="O197" s="45" t="n"/>
      <c r="P197" s="46" t="n"/>
      <c r="Q197" s="20" t="n">
        <v>37.67</v>
      </c>
      <c r="R197" s="20" t="n"/>
      <c r="S197" s="20" t="n">
        <v>37.67</v>
      </c>
      <c r="T197" s="44" t="n">
        <v>0.6153999999999999</v>
      </c>
      <c r="U197" s="44" t="n"/>
      <c r="V197" s="46" t="n"/>
      <c r="W197" s="20" t="n">
        <v>61.53999999999999</v>
      </c>
      <c r="X197" s="20" t="n"/>
      <c r="Y197" s="20" t="n">
        <v>61.53999999999999</v>
      </c>
      <c r="Z197" s="46" t="n">
        <v>0.02709207178711407</v>
      </c>
      <c r="AA197" s="44" t="n"/>
      <c r="AB197" s="46" t="n">
        <v>0.02709207178711407</v>
      </c>
      <c r="AC197" s="20" t="n">
        <v>62.37</v>
      </c>
      <c r="AD197" s="91" t="n">
        <v>1.4543</v>
      </c>
      <c r="AE197" s="46" t="n"/>
      <c r="AF197" s="20" t="n"/>
      <c r="AG197" s="20" t="n">
        <v>39.86</v>
      </c>
      <c r="AH197" s="20" t="n"/>
      <c r="AI197" s="20" t="n">
        <v>39.86</v>
      </c>
      <c r="AJ197" s="46" t="n"/>
      <c r="AK197" s="20" t="n"/>
      <c r="AL197" s="20" t="n">
        <v>96</v>
      </c>
      <c r="AM197" s="20" t="n">
        <v>44.83</v>
      </c>
      <c r="AN197" s="20" t="n">
        <v>62.37</v>
      </c>
      <c r="AO197" s="20" t="n">
        <v>39.86</v>
      </c>
      <c r="AP197" s="20" t="n"/>
      <c r="AQ197" s="92" t="n">
        <v>0.7</v>
      </c>
      <c r="AR197" s="20" t="n">
        <v>42.54702</v>
      </c>
      <c r="AS197" s="20" t="n">
        <v>60.78</v>
      </c>
      <c r="AT197" s="49" t="n">
        <v>161</v>
      </c>
      <c r="AU197" s="50">
        <f>IF(I197="","管理人规模；","")&amp;IF(J197="","产品规模标识；","")&amp;IF(AND(F197&lt;3,O197=""),"R_incep；","")&amp;IF(N197="","近三年收益；","")&amp;IF(U197="","近三年胜率；","")&amp;IF(AND(V197&lt;&gt;"",OR(V197&lt;0,V197&gt;1)),"胜率窗口口径不一致；","")&amp;IF(AA197="","近三年回撤；","")&amp;IF(AD197="","短期卡玛；","")&amp;IF(AND(P197&lt;&gt;"",AE197=""),"DD_long不可识别；","")</f>
        <v/>
      </c>
      <c r="AV197" s="51" t="n"/>
      <c r="AW197" s="22" t="inlineStr">
        <is>
          <t>50-100亿元</t>
        </is>
      </c>
      <c r="AX197" s="22" t="inlineStr">
        <is>
          <t>2023-10-20</t>
        </is>
      </c>
      <c r="AY197" s="22" t="inlineStr">
        <is>
          <t>深圳前海博普资产管理有限公司</t>
        </is>
      </c>
      <c r="AZ197" s="22" t="inlineStr">
        <is>
          <t>2023-10-20</t>
        </is>
      </c>
      <c r="BA197" s="22" t="inlineStr">
        <is>
          <t>https://gs.amac.org.cn/amac-infodisc/res/pof/manager/1709041706102598.html</t>
        </is>
      </c>
      <c r="BB197" s="22" t="inlineStr">
        <is>
          <t>博普量化对冲6号私募证券投资基金</t>
        </is>
      </c>
      <c r="BC197" s="22" t="inlineStr">
        <is>
          <t>2026-08-17</t>
        </is>
      </c>
      <c r="BD197" s="22" t="inlineStr">
        <is>
          <t>已匹配</t>
        </is>
      </c>
      <c r="BE197" t="inlineStr">
        <is>
          <t>https://gs.amac.org.cn/amac-infodisc/res/pof/fund/1812171730101213.html</t>
        </is>
      </c>
      <c r="BF197" t="inlineStr">
        <is>
          <t>已核验</t>
        </is>
      </c>
    </row>
    <row r="198" hidden="1" ht="28" customHeight="1" s="73">
      <c r="A198" s="2" t="n">
        <v>182</v>
      </c>
      <c r="B198" s="18" t="inlineStr">
        <is>
          <t>冲和稳健增长一号</t>
        </is>
      </c>
      <c r="C198" s="18">
        <f>'sheet4-原始数据'!B183</f>
        <v/>
      </c>
      <c r="D198" s="18" t="inlineStr">
        <is>
          <t>北京冲和资管</t>
        </is>
      </c>
      <c r="E198" s="90" t="inlineStr">
        <is>
          <t>2018-12-27</t>
        </is>
      </c>
      <c r="F198" s="20" t="n">
        <v>7.718</v>
      </c>
      <c r="G198" s="2">
        <f>IF(F198="","",IF(F198&lt;1,"不入池","入池"))</f>
        <v/>
      </c>
      <c r="H198" s="42" t="inlineStr">
        <is>
          <t>0-5亿元</t>
        </is>
      </c>
      <c r="I198" s="20" t="n">
        <v>60</v>
      </c>
      <c r="J198" s="43" t="inlineStr">
        <is>
          <t>无低于1000万元标识</t>
        </is>
      </c>
      <c r="K198" s="20" t="n">
        <v>100</v>
      </c>
      <c r="L198" s="20" t="n">
        <v>100</v>
      </c>
      <c r="M198" s="44" t="n">
        <v>0.046</v>
      </c>
      <c r="N198" s="44" t="n">
        <v>0.0299</v>
      </c>
      <c r="O198" s="45" t="n"/>
      <c r="P198" s="46" t="n">
        <v>0.02194316879541303</v>
      </c>
      <c r="Q198" s="20" t="n">
        <v>42.71</v>
      </c>
      <c r="R198" s="20" t="n">
        <v>10.5</v>
      </c>
      <c r="S198" s="20" t="n">
        <v>29.83</v>
      </c>
      <c r="T198" s="44" t="n">
        <v>0.6923</v>
      </c>
      <c r="U198" s="44" t="n">
        <v>0.7568</v>
      </c>
      <c r="V198" s="46" t="n">
        <v>0.7917375</v>
      </c>
      <c r="W198" s="20" t="n">
        <v>69.23</v>
      </c>
      <c r="X198" s="20" t="n">
        <v>79.17375</v>
      </c>
      <c r="Y198" s="20" t="n">
        <v>73.20999999999999</v>
      </c>
      <c r="Z198" s="46" t="n">
        <v>0.03334541500543675</v>
      </c>
      <c r="AA198" s="44" t="n">
        <v>0.2323</v>
      </c>
      <c r="AB198" s="46" t="n">
        <v>0.2323</v>
      </c>
      <c r="AC198" s="20" t="n">
        <v>8.359999999999999</v>
      </c>
      <c r="AD198" s="91" t="n">
        <v>1.3795</v>
      </c>
      <c r="AE198" s="46" t="n">
        <v>0.2323</v>
      </c>
      <c r="AF198" s="20" t="n">
        <v>0.09446047694969016</v>
      </c>
      <c r="AG198" s="20" t="n">
        <v>38.81</v>
      </c>
      <c r="AH198" s="20" t="n">
        <v>8.09</v>
      </c>
      <c r="AI198" s="20" t="n">
        <v>26.52</v>
      </c>
      <c r="AJ198" s="46" t="n">
        <v>0.0299</v>
      </c>
      <c r="AK198" s="20" t="n">
        <v>100</v>
      </c>
      <c r="AL198" s="20" t="n">
        <v>84</v>
      </c>
      <c r="AM198" s="20" t="n">
        <v>42.84</v>
      </c>
      <c r="AN198" s="20" t="n">
        <v>8.359999999999999</v>
      </c>
      <c r="AO198" s="20" t="n">
        <v>26.52</v>
      </c>
      <c r="AP198" s="20" t="n">
        <v>100</v>
      </c>
      <c r="AQ198" s="92" t="n">
        <v>1</v>
      </c>
      <c r="AR198" s="20" t="n">
        <v>41.21469</v>
      </c>
      <c r="AS198" s="20" t="n">
        <v>41.21</v>
      </c>
      <c r="AT198" s="49" t="n">
        <v>261</v>
      </c>
      <c r="AU198" s="50">
        <f>IF(I198="","管理人规模；","")&amp;IF(J198="","产品规模标识；","")&amp;IF(AND(F198&lt;3,O198=""),"R_incep；","")&amp;IF(N198="","近三年收益；","")&amp;IF(U198="","近三年胜率；","")&amp;IF(AND(V198&lt;&gt;"",OR(V198&lt;0,V198&gt;1)),"胜率窗口口径不一致；","")&amp;IF(AA198="","近三年回撤；","")&amp;IF(AD198="","短期卡玛；","")&amp;IF(AND(P198&lt;&gt;"",AE198=""),"DD_long不可识别；","")</f>
        <v/>
      </c>
      <c r="AV198" s="51" t="n">
        <v>41.21469</v>
      </c>
      <c r="AW198" s="22" t="inlineStr">
        <is>
          <t>0-5亿元</t>
        </is>
      </c>
      <c r="AX198" s="22" t="inlineStr">
        <is>
          <t>2026-05-14</t>
        </is>
      </c>
      <c r="AY198" s="22" t="inlineStr">
        <is>
          <t>北京冲和资产管理有限公司</t>
        </is>
      </c>
      <c r="AZ198" s="22" t="inlineStr">
        <is>
          <t>2026-05-14</t>
        </is>
      </c>
      <c r="BA198" s="22" t="inlineStr">
        <is>
          <t>https://gs.amac.org.cn/amac-infodisc/res/pof/manager/101000038139.html</t>
        </is>
      </c>
      <c r="BB198" s="22" t="inlineStr">
        <is>
          <t>冲和稳健增长一号私募证券投资基金</t>
        </is>
      </c>
      <c r="BC198" s="22" t="inlineStr">
        <is>
          <t>2019-01-08</t>
        </is>
      </c>
      <c r="BD198" s="22" t="inlineStr">
        <is>
          <t>已匹配</t>
        </is>
      </c>
      <c r="BE198" t="inlineStr">
        <is>
          <t>https://gs.amac.org.cn/amac-infodisc/res/pof/fund/1901080925106759.html</t>
        </is>
      </c>
      <c r="BF198" t="inlineStr">
        <is>
          <t>已核验</t>
        </is>
      </c>
    </row>
    <row r="199" hidden="1" ht="28" customHeight="1" s="73">
      <c r="A199" s="2" t="n">
        <v>183</v>
      </c>
      <c r="B199" s="18" t="inlineStr">
        <is>
          <t>晨乐佳享3号</t>
        </is>
      </c>
      <c r="C199" s="18">
        <f>'sheet4-原始数据'!B184</f>
        <v/>
      </c>
      <c r="D199" s="18" t="inlineStr">
        <is>
          <t>北京晨乐资管</t>
        </is>
      </c>
      <c r="E199" s="90" t="inlineStr">
        <is>
          <t>2019-01-03</t>
        </is>
      </c>
      <c r="F199" s="20" t="n">
        <v>7.6988</v>
      </c>
      <c r="G199" s="2">
        <f>IF(F199="","",IF(F199&lt;1,"不入池","入池"))</f>
        <v/>
      </c>
      <c r="H199" s="42" t="inlineStr">
        <is>
          <t>5-10亿元</t>
        </is>
      </c>
      <c r="I199" s="20" t="n">
        <v>70</v>
      </c>
      <c r="J199" s="43" t="inlineStr">
        <is>
          <t>无低于1000万元标识</t>
        </is>
      </c>
      <c r="K199" s="20" t="n">
        <v>100</v>
      </c>
      <c r="L199" s="20" t="n">
        <v>100</v>
      </c>
      <c r="M199" s="44" t="n">
        <v>-0.3324</v>
      </c>
      <c r="N199" s="44" t="n">
        <v>-0.0786</v>
      </c>
      <c r="O199" s="45" t="n"/>
      <c r="P199" s="46" t="n">
        <v>0.08246571017137727</v>
      </c>
      <c r="Q199" s="20" t="n">
        <v>0.6899999999999999</v>
      </c>
      <c r="R199" s="20" t="n">
        <v>67</v>
      </c>
      <c r="S199" s="20" t="n">
        <v>27.21</v>
      </c>
      <c r="T199" s="44" t="n">
        <v>0.3846</v>
      </c>
      <c r="U199" s="44" t="n">
        <v>0.5135000000000001</v>
      </c>
      <c r="V199" s="46" t="n">
        <v>0.5833208333333334</v>
      </c>
      <c r="W199" s="20" t="n">
        <v>38.46</v>
      </c>
      <c r="X199" s="20" t="n">
        <v>58.33208333333334</v>
      </c>
      <c r="Y199" s="20" t="n">
        <v>46.41</v>
      </c>
      <c r="Z199" s="46" t="n">
        <v>0.4013038754074611</v>
      </c>
      <c r="AA199" s="44" t="n">
        <v>0.5534</v>
      </c>
      <c r="AB199" s="46" t="n">
        <v>0.5534</v>
      </c>
      <c r="AC199" s="20" t="n">
        <v>0</v>
      </c>
      <c r="AD199" s="91" t="n">
        <v>-0.8283</v>
      </c>
      <c r="AE199" s="46" t="n">
        <v>0.5534</v>
      </c>
      <c r="AF199" s="20" t="n">
        <v>0.1490164621817442</v>
      </c>
      <c r="AG199" s="20" t="n">
        <v>2.45</v>
      </c>
      <c r="AH199" s="20" t="n">
        <v>9.56</v>
      </c>
      <c r="AI199" s="20" t="n">
        <v>5.29</v>
      </c>
      <c r="AJ199" s="46" t="n">
        <v>-0.0786</v>
      </c>
      <c r="AK199" s="20" t="n">
        <v>60</v>
      </c>
      <c r="AL199" s="20" t="n">
        <v>88</v>
      </c>
      <c r="AM199" s="20" t="n">
        <v>32.97</v>
      </c>
      <c r="AN199" s="20" t="n">
        <v>0</v>
      </c>
      <c r="AO199" s="20" t="n">
        <v>5.29</v>
      </c>
      <c r="AP199" s="20" t="n">
        <v>60</v>
      </c>
      <c r="AQ199" s="92" t="n">
        <v>1</v>
      </c>
      <c r="AR199" s="20" t="n">
        <v>27.38269</v>
      </c>
      <c r="AS199" s="20" t="n">
        <v>27.38</v>
      </c>
      <c r="AT199" s="49" t="n">
        <v>305</v>
      </c>
      <c r="AU199" s="50">
        <f>IF(I199="","管理人规模；","")&amp;IF(J199="","产品规模标识；","")&amp;IF(AND(F199&lt;3,O199=""),"R_incep；","")&amp;IF(N199="","近三年收益；","")&amp;IF(U199="","近三年胜率；","")&amp;IF(AND(V199&lt;&gt;"",OR(V199&lt;0,V199&gt;1)),"胜率窗口口径不一致；","")&amp;IF(AA199="","近三年回撤；","")&amp;IF(AD199="","短期卡玛；","")&amp;IF(AND(P199&lt;&gt;"",AE199=""),"DD_long不可识别；","")</f>
        <v/>
      </c>
      <c r="AV199" s="51" t="n">
        <v>27.38269</v>
      </c>
      <c r="AW199" s="22" t="inlineStr">
        <is>
          <t>5-10亿元</t>
        </is>
      </c>
      <c r="AX199" s="22" t="inlineStr">
        <is>
          <t>2025-01-03</t>
        </is>
      </c>
      <c r="AY199" s="22" t="inlineStr">
        <is>
          <t>北京晨乐资产管理有限公司</t>
        </is>
      </c>
      <c r="AZ199" s="22" t="inlineStr">
        <is>
          <t>2025-01-03</t>
        </is>
      </c>
      <c r="BA199" s="22" t="inlineStr">
        <is>
          <t>https://gs.amac.org.cn/amac-infodisc/res/pof/manager/1701061825106751.html</t>
        </is>
      </c>
      <c r="BB199" s="22" t="inlineStr">
        <is>
          <t>晨乐佳享3号私募证券投资基金</t>
        </is>
      </c>
      <c r="BC199" s="22" t="inlineStr">
        <is>
          <t>2024-09-23</t>
        </is>
      </c>
      <c r="BD199" s="22" t="inlineStr">
        <is>
          <t>已匹配</t>
        </is>
      </c>
      <c r="BE199" t="inlineStr">
        <is>
          <t>https://gs.amac.org.cn/amac-infodisc/res/pof/fund/1901251805101844.html</t>
        </is>
      </c>
      <c r="BF199" t="inlineStr">
        <is>
          <t>已核验</t>
        </is>
      </c>
    </row>
    <row r="200" hidden="1" ht="28" customHeight="1" s="73">
      <c r="A200" s="2" t="n">
        <v>184</v>
      </c>
      <c r="B200" s="18" t="inlineStr">
        <is>
          <t>盛泉恒元量化套利11号</t>
        </is>
      </c>
      <c r="C200" s="18">
        <f>'sheet4-原始数据'!B185</f>
        <v/>
      </c>
      <c r="D200" s="18" t="inlineStr">
        <is>
          <t>南京盛泉恒元投资</t>
        </is>
      </c>
      <c r="E200" s="90" t="inlineStr">
        <is>
          <t>2019-01-22</t>
        </is>
      </c>
      <c r="F200" s="20" t="n">
        <v>7.6468</v>
      </c>
      <c r="G200" s="2">
        <f>IF(F200="","",IF(F200&lt;1,"不入池","入池"))</f>
        <v/>
      </c>
      <c r="H200" s="42" t="inlineStr">
        <is>
          <t>100亿元以上</t>
        </is>
      </c>
      <c r="I200" s="20" t="n">
        <v>100</v>
      </c>
      <c r="J200" s="43" t="inlineStr">
        <is>
          <t>无低于1000万元标识</t>
        </is>
      </c>
      <c r="K200" s="20" t="n">
        <v>100</v>
      </c>
      <c r="L200" s="20" t="n">
        <v>100</v>
      </c>
      <c r="M200" s="44" t="n">
        <v>0.09789999999999999</v>
      </c>
      <c r="N200" s="44" t="n">
        <v>0.0692</v>
      </c>
      <c r="O200" s="45" t="n"/>
      <c r="P200" s="46" t="n">
        <v>0.0551325784339538</v>
      </c>
      <c r="Q200" s="20" t="n">
        <v>76.04000000000001</v>
      </c>
      <c r="R200" s="20" t="n">
        <v>43</v>
      </c>
      <c r="S200" s="20" t="n">
        <v>62.82</v>
      </c>
      <c r="T200" s="44" t="n">
        <v>0.7692</v>
      </c>
      <c r="U200" s="44" t="n">
        <v>0.7027</v>
      </c>
      <c r="V200" s="46" t="n">
        <v>0.6666791666666668</v>
      </c>
      <c r="W200" s="20" t="n">
        <v>76.92</v>
      </c>
      <c r="X200" s="20" t="n">
        <v>66.66791666666668</v>
      </c>
      <c r="Y200" s="20" t="n">
        <v>72.81999999999999</v>
      </c>
      <c r="Z200" s="46" t="n">
        <v>0.05117081329709387</v>
      </c>
      <c r="AA200" s="44" t="n">
        <v>0.0622</v>
      </c>
      <c r="AB200" s="46" t="n">
        <v>0.0622</v>
      </c>
      <c r="AC200" s="20" t="n">
        <v>37.98</v>
      </c>
      <c r="AD200" s="91" t="n">
        <v>1.9132</v>
      </c>
      <c r="AE200" s="46" t="n">
        <v>0.0622</v>
      </c>
      <c r="AF200" s="20" t="n">
        <v>0.8863758590667814</v>
      </c>
      <c r="AG200" s="20" t="n">
        <v>46.5</v>
      </c>
      <c r="AH200" s="20" t="n">
        <v>38.24</v>
      </c>
      <c r="AI200" s="20" t="n">
        <v>43.2</v>
      </c>
      <c r="AJ200" s="46" t="n">
        <v>0.0692</v>
      </c>
      <c r="AK200" s="20" t="n">
        <v>100</v>
      </c>
      <c r="AL200" s="20" t="n">
        <v>100</v>
      </c>
      <c r="AM200" s="20" t="n">
        <v>65.81999999999999</v>
      </c>
      <c r="AN200" s="20" t="n">
        <v>37.98</v>
      </c>
      <c r="AO200" s="20" t="n">
        <v>43.2</v>
      </c>
      <c r="AP200" s="20" t="n">
        <v>100</v>
      </c>
      <c r="AQ200" s="92" t="n">
        <v>1</v>
      </c>
      <c r="AR200" s="20" t="n">
        <v>60.61831</v>
      </c>
      <c r="AS200" s="20" t="n">
        <v>60.62</v>
      </c>
      <c r="AT200" s="49" t="n">
        <v>163</v>
      </c>
      <c r="AU200" s="50">
        <f>IF(I200="","管理人规模；","")&amp;IF(J200="","产品规模标识；","")&amp;IF(AND(F200&lt;3,O200=""),"R_incep；","")&amp;IF(N200="","近三年收益；","")&amp;IF(U200="","近三年胜率；","")&amp;IF(AND(V200&lt;&gt;"",OR(V200&lt;0,V200&gt;1)),"胜率窗口口径不一致；","")&amp;IF(AA200="","近三年回撤；","")&amp;IF(AD200="","短期卡玛；","")&amp;IF(AND(P200&lt;&gt;"",AE200=""),"DD_long不可识别；","")</f>
        <v/>
      </c>
      <c r="AV200" s="51" t="n">
        <v>60.61831</v>
      </c>
      <c r="AW200" s="22" t="inlineStr">
        <is>
          <t>100亿元以上</t>
        </is>
      </c>
      <c r="AX200" s="22" t="inlineStr">
        <is>
          <t>2026-02-24</t>
        </is>
      </c>
      <c r="AY200" s="22" t="inlineStr">
        <is>
          <t>南京盛泉恒元投资有限公司</t>
        </is>
      </c>
      <c r="AZ200" s="22" t="inlineStr">
        <is>
          <t>2026-02-24</t>
        </is>
      </c>
      <c r="BA200" s="22" t="inlineStr">
        <is>
          <t>https://gs.amac.org.cn/amac-infodisc/res/pof/manager/101000008304.html</t>
        </is>
      </c>
      <c r="BB200" s="22" t="inlineStr">
        <is>
          <t>盛泉恒元量化套利11号私募证券投资基金</t>
        </is>
      </c>
      <c r="BC200" s="22" t="inlineStr">
        <is>
          <t>2026-05-28</t>
        </is>
      </c>
      <c r="BD200" s="22" t="inlineStr">
        <is>
          <t>已匹配</t>
        </is>
      </c>
      <c r="BE200" t="inlineStr">
        <is>
          <t>https://gs.amac.org.cn/amac-infodisc/res/pof/fund/1901281739102503.html</t>
        </is>
      </c>
      <c r="BF200" t="inlineStr">
        <is>
          <t>已核验</t>
        </is>
      </c>
    </row>
    <row r="201" hidden="1" ht="28" customHeight="1" s="73">
      <c r="A201" s="2" t="n">
        <v>185</v>
      </c>
      <c r="B201" s="18" t="inlineStr">
        <is>
          <t>殊馥兴义2号</t>
        </is>
      </c>
      <c r="C201" s="18">
        <f>'sheet4-原始数据'!B186</f>
        <v/>
      </c>
      <c r="D201" s="18" t="inlineStr">
        <is>
          <t>上海殊馥投资</t>
        </is>
      </c>
      <c r="E201" s="90" t="inlineStr">
        <is>
          <t>2019-03-25</t>
        </is>
      </c>
      <c r="F201" s="20" t="n">
        <v>7.4771</v>
      </c>
      <c r="G201" s="2">
        <f>IF(F201="","",IF(F201&lt;1,"不入池","入池"))</f>
        <v/>
      </c>
      <c r="H201" s="42" t="inlineStr">
        <is>
          <t>10-20亿元</t>
        </is>
      </c>
      <c r="I201" s="20" t="n">
        <v>80</v>
      </c>
      <c r="J201" s="43" t="inlineStr">
        <is>
          <t>无低于1000万元标识</t>
        </is>
      </c>
      <c r="K201" s="20" t="n">
        <v>100</v>
      </c>
      <c r="L201" s="20" t="n">
        <v>100</v>
      </c>
      <c r="M201" s="44" t="n">
        <v>0.08310000000000001</v>
      </c>
      <c r="N201" s="44" t="n">
        <v>0.0707</v>
      </c>
      <c r="O201" s="45" t="n"/>
      <c r="P201" s="46" t="n">
        <v>0.06455333810017927</v>
      </c>
      <c r="Q201" s="20" t="n">
        <v>67.36</v>
      </c>
      <c r="R201" s="20" t="n">
        <v>51.5</v>
      </c>
      <c r="S201" s="20" t="n">
        <v>61.02</v>
      </c>
      <c r="T201" s="44" t="n">
        <v>0.6923</v>
      </c>
      <c r="U201" s="44" t="n">
        <v>0.8108</v>
      </c>
      <c r="V201" s="46" t="n">
        <v>0.8749874999999999</v>
      </c>
      <c r="W201" s="20" t="n">
        <v>69.23</v>
      </c>
      <c r="X201" s="20" t="n">
        <v>87.49874999999999</v>
      </c>
      <c r="Y201" s="20" t="n">
        <v>76.54000000000001</v>
      </c>
      <c r="Z201" s="46" t="n">
        <v>0.02158890158994077</v>
      </c>
      <c r="AA201" s="44" t="n">
        <v>0.0216</v>
      </c>
      <c r="AB201" s="46" t="n">
        <v>0.0216</v>
      </c>
      <c r="AC201" s="20" t="n">
        <v>72.13</v>
      </c>
      <c r="AD201" s="91" t="n">
        <v>3.8492</v>
      </c>
      <c r="AE201" s="46" t="n"/>
      <c r="AF201" s="20" t="n"/>
      <c r="AG201" s="20" t="n">
        <v>61.89</v>
      </c>
      <c r="AH201" s="20" t="n"/>
      <c r="AI201" s="20" t="n">
        <v>61.89</v>
      </c>
      <c r="AJ201" s="46" t="n">
        <v>0.0707</v>
      </c>
      <c r="AK201" s="20" t="n">
        <v>100</v>
      </c>
      <c r="AL201" s="20" t="n">
        <v>92</v>
      </c>
      <c r="AM201" s="20" t="n">
        <v>65.67</v>
      </c>
      <c r="AN201" s="20" t="n">
        <v>72.13</v>
      </c>
      <c r="AO201" s="20" t="n">
        <v>61.89</v>
      </c>
      <c r="AP201" s="20" t="n">
        <v>100</v>
      </c>
      <c r="AQ201" s="92" t="n">
        <v>0.88</v>
      </c>
      <c r="AR201" s="20" t="n">
        <v>66.10719</v>
      </c>
      <c r="AS201" s="20" t="n">
        <v>75.12</v>
      </c>
      <c r="AT201" s="49" t="n">
        <v>88</v>
      </c>
      <c r="AU201" s="50">
        <f>IF(I201="","管理人规模；","")&amp;IF(J201="","产品规模标识；","")&amp;IF(AND(F201&lt;3,O201=""),"R_incep；","")&amp;IF(N201="","近三年收益；","")&amp;IF(U201="","近三年胜率；","")&amp;IF(AND(V201&lt;&gt;"",OR(V201&lt;0,V201&gt;1)),"胜率窗口口径不一致；","")&amp;IF(AA201="","近三年回撤；","")&amp;IF(AD201="","短期卡玛；","")&amp;IF(AND(P201&lt;&gt;"",AE201=""),"DD_long不可识别；","")</f>
        <v/>
      </c>
      <c r="AV201" s="51" t="n"/>
      <c r="AW201" s="22" t="inlineStr">
        <is>
          <t>10-20亿元</t>
        </is>
      </c>
      <c r="AX201" s="22" t="inlineStr">
        <is>
          <t>2026-06-29</t>
        </is>
      </c>
      <c r="AY201" s="22" t="inlineStr">
        <is>
          <t>上海殊馥投资管理有限公司</t>
        </is>
      </c>
      <c r="AZ201" s="22" t="inlineStr">
        <is>
          <t>2026-06-29</t>
        </is>
      </c>
      <c r="BA201" s="22" t="inlineStr">
        <is>
          <t>https://gs.amac.org.cn/amac-infodisc/res/pof/manager/101000042776.html</t>
        </is>
      </c>
      <c r="BB201" s="22" t="inlineStr">
        <is>
          <t>殊馥兴义2号私募证券投资基金</t>
        </is>
      </c>
      <c r="BC201" s="22" t="inlineStr">
        <is>
          <t>2025-07-14</t>
        </is>
      </c>
      <c r="BD201" s="22" t="inlineStr">
        <is>
          <t>已匹配</t>
        </is>
      </c>
      <c r="BE201" t="inlineStr">
        <is>
          <t>https://gs.amac.org.cn/amac-infodisc/res/pof/fund/1904241451105050.html</t>
        </is>
      </c>
      <c r="BF201" t="inlineStr">
        <is>
          <t>已核验</t>
        </is>
      </c>
    </row>
    <row r="202" hidden="1" ht="28" customHeight="1" s="73">
      <c r="A202" s="2" t="n">
        <v>186</v>
      </c>
      <c r="B202" s="18" t="inlineStr">
        <is>
          <t>永泉奇点1号混合投资</t>
        </is>
      </c>
      <c r="C202" s="18">
        <f>'sheet4-原始数据'!B187</f>
        <v/>
      </c>
      <c r="D202" s="18" t="inlineStr">
        <is>
          <t>宁波永泉</t>
        </is>
      </c>
      <c r="E202" s="90" t="inlineStr">
        <is>
          <t>2019-04-30</t>
        </is>
      </c>
      <c r="F202" s="20" t="n">
        <v>7.3785</v>
      </c>
      <c r="G202" s="2">
        <f>IF(F202="","",IF(F202&lt;1,"不入池","入池"))</f>
        <v/>
      </c>
      <c r="H202" s="42" t="inlineStr">
        <is>
          <t>0-5亿元</t>
        </is>
      </c>
      <c r="I202" s="20" t="n">
        <v>60</v>
      </c>
      <c r="J202" s="43" t="inlineStr">
        <is>
          <t>无低于1000万元标识</t>
        </is>
      </c>
      <c r="K202" s="20" t="n">
        <v>100</v>
      </c>
      <c r="L202" s="20" t="n">
        <v>100</v>
      </c>
      <c r="M202" s="44" t="n">
        <v>0.059</v>
      </c>
      <c r="N202" s="44" t="n">
        <v>0.09140000000000001</v>
      </c>
      <c r="O202" s="45" t="n"/>
      <c r="P202" s="46" t="n">
        <v>0.1079698539685616</v>
      </c>
      <c r="Q202" s="20" t="n">
        <v>50</v>
      </c>
      <c r="R202" s="20" t="n">
        <v>75</v>
      </c>
      <c r="S202" s="20" t="n">
        <v>60</v>
      </c>
      <c r="T202" s="44" t="n">
        <v>0.9231</v>
      </c>
      <c r="U202" s="44" t="n">
        <v>0.8649</v>
      </c>
      <c r="V202" s="46" t="n">
        <v>0.8333749999999999</v>
      </c>
      <c r="W202" s="20" t="n">
        <v>92.31</v>
      </c>
      <c r="X202" s="20" t="n">
        <v>83.33749999999999</v>
      </c>
      <c r="Y202" s="20" t="n">
        <v>88.72</v>
      </c>
      <c r="Z202" s="46" t="n">
        <v>0.002356117118987908</v>
      </c>
      <c r="AA202" s="44" t="n">
        <v>0.0144</v>
      </c>
      <c r="AB202" s="46" t="n">
        <v>0.0144</v>
      </c>
      <c r="AC202" s="20" t="n">
        <v>79.44</v>
      </c>
      <c r="AD202" s="91" t="n">
        <v>25.0412</v>
      </c>
      <c r="AE202" s="46" t="n">
        <v>0.0144</v>
      </c>
      <c r="AF202" s="20" t="n">
        <v>7.497906525594558</v>
      </c>
      <c r="AG202" s="20" t="n">
        <v>93.01000000000001</v>
      </c>
      <c r="AH202" s="20" t="n">
        <v>88.97</v>
      </c>
      <c r="AI202" s="20" t="n">
        <v>91.39</v>
      </c>
      <c r="AJ202" s="46" t="n">
        <v>0.09140000000000001</v>
      </c>
      <c r="AK202" s="20" t="n">
        <v>80</v>
      </c>
      <c r="AL202" s="20" t="n">
        <v>84</v>
      </c>
      <c r="AM202" s="20" t="n">
        <v>68.62</v>
      </c>
      <c r="AN202" s="20" t="n">
        <v>79.44</v>
      </c>
      <c r="AO202" s="20" t="n">
        <v>91.39</v>
      </c>
      <c r="AP202" s="20" t="n">
        <v>80</v>
      </c>
      <c r="AQ202" s="92" t="n">
        <v>1</v>
      </c>
      <c r="AR202" s="20" t="n">
        <v>81.60146</v>
      </c>
      <c r="AS202" s="20" t="n">
        <v>81.59999999999999</v>
      </c>
      <c r="AT202" s="49" t="n">
        <v>53</v>
      </c>
      <c r="AU202" s="50">
        <f>IF(I202="","管理人规模；","")&amp;IF(J202="","产品规模标识；","")&amp;IF(AND(F202&lt;3,O202=""),"R_incep；","")&amp;IF(N202="","近三年收益；","")&amp;IF(U202="","近三年胜率；","")&amp;IF(AND(V202&lt;&gt;"",OR(V202&lt;0,V202&gt;1)),"胜率窗口口径不一致；","")&amp;IF(AA202="","近三年回撤；","")&amp;IF(AD202="","短期卡玛；","")&amp;IF(AND(P202&lt;&gt;"",AE202=""),"DD_long不可识别；","")</f>
        <v/>
      </c>
      <c r="AV202" s="51" t="n">
        <v>81.60146</v>
      </c>
      <c r="AW202" s="22" t="inlineStr">
        <is>
          <t>0-5亿元</t>
        </is>
      </c>
      <c r="AX202" s="22" t="inlineStr">
        <is>
          <t>2026-05-11</t>
        </is>
      </c>
      <c r="AY202" s="22" t="inlineStr">
        <is>
          <t>宁波永泉私募基金管理有限公司</t>
        </is>
      </c>
      <c r="AZ202" s="22" t="inlineStr">
        <is>
          <t>2026-09-09</t>
        </is>
      </c>
      <c r="BA202" s="22" t="inlineStr">
        <is>
          <t>https://gs.amac.org.cn/amac-infodisc/res/pof/manager/101000016974.html</t>
        </is>
      </c>
      <c r="BB202" s="22" t="inlineStr">
        <is>
          <t>永泉奇点1号混合投资私募基金</t>
        </is>
      </c>
      <c r="BC202" s="22" t="inlineStr">
        <is>
          <t>2024-09-20</t>
        </is>
      </c>
      <c r="BD202" s="22" t="inlineStr">
        <is>
          <t>已匹配</t>
        </is>
      </c>
      <c r="BE202" t="inlineStr">
        <is>
          <t>https://gs.amac.org.cn/amac-infodisc/res/pof/fund/1905101802102119.html</t>
        </is>
      </c>
      <c r="BF202" t="inlineStr">
        <is>
          <t>已核验</t>
        </is>
      </c>
    </row>
    <row r="203" hidden="1" ht="28" customHeight="1" s="73">
      <c r="A203" s="2" t="n">
        <v>187</v>
      </c>
      <c r="B203" s="18" t="inlineStr">
        <is>
          <t>宏量鼎诚</t>
        </is>
      </c>
      <c r="C203" s="18">
        <f>'sheet4-原始数据'!B188</f>
        <v/>
      </c>
      <c r="D203" s="18" t="inlineStr">
        <is>
          <t>北京宏量资管</t>
        </is>
      </c>
      <c r="E203" s="90" t="inlineStr">
        <is>
          <t>2019-05-28</t>
        </is>
      </c>
      <c r="F203" s="20" t="n">
        <v>7.3018</v>
      </c>
      <c r="G203" s="2">
        <f>IF(F203="","",IF(F203&lt;1,"不入池","入池"))</f>
        <v/>
      </c>
      <c r="H203" s="42" t="inlineStr">
        <is>
          <t>0-5亿元</t>
        </is>
      </c>
      <c r="I203" s="20" t="n">
        <v>60</v>
      </c>
      <c r="J203" s="43" t="inlineStr">
        <is>
          <t>无低于1000万元标识</t>
        </is>
      </c>
      <c r="K203" s="20" t="n">
        <v>100</v>
      </c>
      <c r="L203" s="20" t="n">
        <v>100</v>
      </c>
      <c r="M203" s="44" t="n">
        <v>-0.0268</v>
      </c>
      <c r="N203" s="44" t="n">
        <v>0.1453</v>
      </c>
      <c r="O203" s="45" t="n"/>
      <c r="P203" s="46" t="n">
        <v>0.2424469118178767</v>
      </c>
      <c r="Q203" s="20" t="n">
        <v>10.42</v>
      </c>
      <c r="R203" s="20" t="n">
        <v>96</v>
      </c>
      <c r="S203" s="20" t="n">
        <v>44.65</v>
      </c>
      <c r="T203" s="44" t="n">
        <v>0.3077</v>
      </c>
      <c r="U203" s="44" t="n">
        <v>0.5676</v>
      </c>
      <c r="V203" s="46" t="n">
        <v>0.7083791666666667</v>
      </c>
      <c r="W203" s="20" t="n">
        <v>30.77</v>
      </c>
      <c r="X203" s="20" t="n">
        <v>70.83791666666667</v>
      </c>
      <c r="Y203" s="20" t="n">
        <v>46.8</v>
      </c>
      <c r="Z203" s="46" t="n">
        <v>0.02810108000419419</v>
      </c>
      <c r="AA203" s="44" t="n">
        <v>0.0281</v>
      </c>
      <c r="AB203" s="46" t="n">
        <v>0.02810108000419419</v>
      </c>
      <c r="AC203" s="20" t="n">
        <v>61.67</v>
      </c>
      <c r="AD203" s="91" t="n">
        <v>-0.9537</v>
      </c>
      <c r="AE203" s="46" t="n"/>
      <c r="AF203" s="20" t="n"/>
      <c r="AG203" s="20" t="n">
        <v>0.35</v>
      </c>
      <c r="AH203" s="20" t="n"/>
      <c r="AI203" s="20" t="n">
        <v>0.35</v>
      </c>
      <c r="AJ203" s="46" t="n">
        <v>0.1453</v>
      </c>
      <c r="AK203" s="20" t="n">
        <v>80</v>
      </c>
      <c r="AL203" s="20" t="n">
        <v>84</v>
      </c>
      <c r="AM203" s="20" t="n">
        <v>45.3</v>
      </c>
      <c r="AN203" s="20" t="n">
        <v>61.67</v>
      </c>
      <c r="AO203" s="20" t="n">
        <v>0.35</v>
      </c>
      <c r="AP203" s="20" t="n">
        <v>80</v>
      </c>
      <c r="AQ203" s="92" t="n">
        <v>0.88</v>
      </c>
      <c r="AR203" s="20" t="n">
        <v>45.13961</v>
      </c>
      <c r="AS203" s="20" t="n">
        <v>51.3</v>
      </c>
      <c r="AT203" s="49" t="n">
        <v>214</v>
      </c>
      <c r="AU203" s="50">
        <f>IF(I203="","管理人规模；","")&amp;IF(J203="","产品规模标识；","")&amp;IF(AND(F203&lt;3,O203=""),"R_incep；","")&amp;IF(N203="","近三年收益；","")&amp;IF(U203="","近三年胜率；","")&amp;IF(AND(V203&lt;&gt;"",OR(V203&lt;0,V203&gt;1)),"胜率窗口口径不一致；","")&amp;IF(AA203="","近三年回撤；","")&amp;IF(AD203="","短期卡玛；","")&amp;IF(AND(P203&lt;&gt;"",AE203=""),"DD_long不可识别；","")</f>
        <v/>
      </c>
      <c r="AV203" s="51" t="n"/>
      <c r="AW203" s="22" t="inlineStr">
        <is>
          <t>0-5亿元</t>
        </is>
      </c>
      <c r="AX203" s="22" t="inlineStr">
        <is>
          <t>2025-12-04</t>
        </is>
      </c>
      <c r="AY203" s="22" t="inlineStr">
        <is>
          <t>北京宏量资本管理有限公司</t>
        </is>
      </c>
      <c r="AZ203" s="22" t="inlineStr">
        <is>
          <t>2025-12-04</t>
        </is>
      </c>
      <c r="BA203" s="22" t="inlineStr">
        <is>
          <t>https://gs.amac.org.cn/amac-infodisc/res/pof/manager/1706211851108652.html</t>
        </is>
      </c>
      <c r="BB203" s="22" t="inlineStr">
        <is>
          <t>宏量鼎诚私募证券投资基金</t>
        </is>
      </c>
      <c r="BC203" s="22" t="inlineStr">
        <is>
          <t>2025-12-10</t>
        </is>
      </c>
      <c r="BD203" s="22" t="inlineStr">
        <is>
          <t>已匹配</t>
        </is>
      </c>
      <c r="BE203" t="inlineStr">
        <is>
          <t>https://gs.amac.org.cn/amac-infodisc/res/pof/fund/1906111459103914.html</t>
        </is>
      </c>
      <c r="BF203" t="inlineStr">
        <is>
          <t>已核验</t>
        </is>
      </c>
    </row>
    <row r="204" hidden="1" ht="28" customHeight="1" s="73">
      <c r="A204" s="2" t="n">
        <v>188</v>
      </c>
      <c r="B204" s="18" t="inlineStr">
        <is>
          <t>永泉奇点2号混合投资</t>
        </is>
      </c>
      <c r="C204" s="18">
        <f>'sheet4-原始数据'!B189</f>
        <v/>
      </c>
      <c r="D204" s="18" t="inlineStr">
        <is>
          <t>宁波永泉</t>
        </is>
      </c>
      <c r="E204" s="90" t="inlineStr">
        <is>
          <t>2019-09-20</t>
        </is>
      </c>
      <c r="F204" s="20" t="n">
        <v>6.987</v>
      </c>
      <c r="G204" s="2">
        <f>IF(F204="","",IF(F204&lt;1,"不入池","入池"))</f>
        <v/>
      </c>
      <c r="H204" s="42" t="inlineStr">
        <is>
          <t>0-5亿元</t>
        </is>
      </c>
      <c r="I204" s="20" t="n">
        <v>60</v>
      </c>
      <c r="J204" s="43" t="inlineStr">
        <is>
          <t>无低于1000万元标识</t>
        </is>
      </c>
      <c r="K204" s="20" t="n">
        <v>100</v>
      </c>
      <c r="L204" s="20" t="n">
        <v>100</v>
      </c>
      <c r="M204" s="44" t="n">
        <v>0.05429999999999999</v>
      </c>
      <c r="N204" s="44" t="n">
        <v>0.1206</v>
      </c>
      <c r="O204" s="45" t="n"/>
      <c r="P204" s="46" t="n">
        <v>0.1552974744203213</v>
      </c>
      <c r="Q204" s="20" t="n">
        <v>46.88</v>
      </c>
      <c r="R204" s="20" t="n">
        <v>90</v>
      </c>
      <c r="S204" s="20" t="n">
        <v>64.13</v>
      </c>
      <c r="T204" s="44" t="n">
        <v>1</v>
      </c>
      <c r="U204" s="44" t="n">
        <v>0.8649</v>
      </c>
      <c r="V204" s="46" t="n">
        <v>0.7917208333333333</v>
      </c>
      <c r="W204" s="20" t="n">
        <v>100</v>
      </c>
      <c r="X204" s="20" t="n">
        <v>79.17208333333333</v>
      </c>
      <c r="Y204" s="20" t="n">
        <v>91.67</v>
      </c>
      <c r="Z204" s="46" t="n">
        <v>0.003188079050269489</v>
      </c>
      <c r="AA204" s="44" t="n">
        <v>0.0227</v>
      </c>
      <c r="AB204" s="46" t="n">
        <v>0.0227</v>
      </c>
      <c r="AC204" s="20" t="n">
        <v>70.73</v>
      </c>
      <c r="AD204" s="91" t="n">
        <v>17.0322</v>
      </c>
      <c r="AE204" s="46" t="n">
        <v>0.0227</v>
      </c>
      <c r="AF204" s="20" t="n">
        <v>6.841298432613272</v>
      </c>
      <c r="AG204" s="20" t="n">
        <v>89.86</v>
      </c>
      <c r="AH204" s="20" t="n">
        <v>88.23999999999999</v>
      </c>
      <c r="AI204" s="20" t="n">
        <v>89.20999999999999</v>
      </c>
      <c r="AJ204" s="46" t="n">
        <v>0.1206</v>
      </c>
      <c r="AK204" s="20" t="n">
        <v>80</v>
      </c>
      <c r="AL204" s="20" t="n">
        <v>84</v>
      </c>
      <c r="AM204" s="20" t="n">
        <v>72.39</v>
      </c>
      <c r="AN204" s="20" t="n">
        <v>70.73</v>
      </c>
      <c r="AO204" s="20" t="n">
        <v>89.20999999999999</v>
      </c>
      <c r="AP204" s="20" t="n">
        <v>80</v>
      </c>
      <c r="AQ204" s="92" t="n">
        <v>1</v>
      </c>
      <c r="AR204" s="20" t="n">
        <v>79.52414999999999</v>
      </c>
      <c r="AS204" s="20" t="n">
        <v>79.52</v>
      </c>
      <c r="AT204" s="49" t="n">
        <v>65</v>
      </c>
      <c r="AU204" s="50">
        <f>IF(I204="","管理人规模；","")&amp;IF(J204="","产品规模标识；","")&amp;IF(AND(F204&lt;3,O204=""),"R_incep；","")&amp;IF(N204="","近三年收益；","")&amp;IF(U204="","近三年胜率；","")&amp;IF(AND(V204&lt;&gt;"",OR(V204&lt;0,V204&gt;1)),"胜率窗口口径不一致；","")&amp;IF(AA204="","近三年回撤；","")&amp;IF(AD204="","短期卡玛；","")&amp;IF(AND(P204&lt;&gt;"",AE204=""),"DD_long不可识别；","")</f>
        <v/>
      </c>
      <c r="AV204" s="51" t="n">
        <v>79.52414999999999</v>
      </c>
      <c r="AW204" s="22" t="inlineStr">
        <is>
          <t>0-5亿元</t>
        </is>
      </c>
      <c r="AX204" s="22" t="inlineStr">
        <is>
          <t>2026-05-11</t>
        </is>
      </c>
      <c r="AY204" s="22" t="inlineStr">
        <is>
          <t>宁波永泉私募基金管理有限公司</t>
        </is>
      </c>
      <c r="AZ204" s="22" t="inlineStr">
        <is>
          <t>2026-09-09</t>
        </is>
      </c>
      <c r="BA204" s="22" t="inlineStr">
        <is>
          <t>https://gs.amac.org.cn/amac-infodisc/res/pof/manager/101000016974.html</t>
        </is>
      </c>
      <c r="BB204" s="22" t="inlineStr">
        <is>
          <t>永泉奇点2号混合投资私募基金</t>
        </is>
      </c>
      <c r="BC204" s="22" t="inlineStr">
        <is>
          <t>2024-09-20</t>
        </is>
      </c>
      <c r="BD204" s="22" t="inlineStr">
        <is>
          <t>已匹配</t>
        </is>
      </c>
      <c r="BE204" t="inlineStr">
        <is>
          <t>https://gs.amac.org.cn/amac-infodisc/res/pof/fund/1909261835100611.html</t>
        </is>
      </c>
      <c r="BF204" t="inlineStr">
        <is>
          <t>已核验</t>
        </is>
      </c>
    </row>
    <row r="205" hidden="1" ht="28" customHeight="1" s="73">
      <c r="A205" s="2" t="n">
        <v>189</v>
      </c>
      <c r="B205" s="18" t="inlineStr">
        <is>
          <t>厦门言起博士一号</t>
        </is>
      </c>
      <c r="C205" s="18">
        <f>'sheet4-原始数据'!B190</f>
        <v/>
      </c>
      <c r="D205" s="18" t="inlineStr">
        <is>
          <t>厦门言起投资</t>
        </is>
      </c>
      <c r="E205" s="90" t="inlineStr">
        <is>
          <t>2020-02-20</t>
        </is>
      </c>
      <c r="F205" s="20" t="n">
        <v>6.5681</v>
      </c>
      <c r="G205" s="2">
        <f>IF(F205="","",IF(F205&lt;1,"不入池","入池"))</f>
        <v/>
      </c>
      <c r="H205" s="42" t="inlineStr">
        <is>
          <t>0-5亿元</t>
        </is>
      </c>
      <c r="I205" s="20" t="n">
        <v>60</v>
      </c>
      <c r="J205" s="43" t="inlineStr">
        <is>
          <t>低于1000万元</t>
        </is>
      </c>
      <c r="K205" s="20" t="n">
        <v>0</v>
      </c>
      <c r="L205" s="20" t="n">
        <v>100</v>
      </c>
      <c r="M205" s="44" t="n">
        <v>-0.0984</v>
      </c>
      <c r="N205" s="44" t="n">
        <v>-0.0072</v>
      </c>
      <c r="O205" s="45" t="n"/>
      <c r="P205" s="46" t="n">
        <v>0.04180323392070107</v>
      </c>
      <c r="Q205" s="20" t="n">
        <v>3.82</v>
      </c>
      <c r="R205" s="20" t="n">
        <v>30</v>
      </c>
      <c r="S205" s="20" t="n">
        <v>14.29</v>
      </c>
      <c r="T205" s="44" t="n">
        <v>0.5385</v>
      </c>
      <c r="U205" s="44" t="n">
        <v>0.6215999999999999</v>
      </c>
      <c r="V205" s="46" t="n">
        <v>0.6666124999999999</v>
      </c>
      <c r="W205" s="20" t="n">
        <v>53.84999999999999</v>
      </c>
      <c r="X205" s="20" t="n">
        <v>66.66125</v>
      </c>
      <c r="Y205" s="20" t="n">
        <v>58.97</v>
      </c>
      <c r="Z205" s="46" t="n">
        <v>0.1312</v>
      </c>
      <c r="AA205" s="44" t="n">
        <v>0.1312</v>
      </c>
      <c r="AB205" s="46" t="n">
        <v>0.1312</v>
      </c>
      <c r="AC205" s="20" t="n">
        <v>18.82</v>
      </c>
      <c r="AD205" s="91" t="n">
        <v>-0.75</v>
      </c>
      <c r="AE205" s="46" t="n"/>
      <c r="AF205" s="20" t="n"/>
      <c r="AG205" s="20" t="n">
        <v>3.85</v>
      </c>
      <c r="AH205" s="20" t="n"/>
      <c r="AI205" s="20" t="n">
        <v>3.85</v>
      </c>
      <c r="AJ205" s="46" t="n">
        <v>-0.0072</v>
      </c>
      <c r="AK205" s="20" t="n">
        <v>80</v>
      </c>
      <c r="AL205" s="20" t="n">
        <v>54</v>
      </c>
      <c r="AM205" s="20" t="n">
        <v>27.7</v>
      </c>
      <c r="AN205" s="20" t="n">
        <v>18.82</v>
      </c>
      <c r="AO205" s="20" t="n">
        <v>3.85</v>
      </c>
      <c r="AP205" s="20" t="n">
        <v>80</v>
      </c>
      <c r="AQ205" s="92" t="n">
        <v>0.88</v>
      </c>
      <c r="AR205" s="20" t="n">
        <v>27.03735</v>
      </c>
      <c r="AS205" s="20" t="n">
        <v>30.72</v>
      </c>
      <c r="AT205" s="49" t="n">
        <v>292</v>
      </c>
      <c r="AU205" s="50">
        <f>IF(I205="","管理人规模；","")&amp;IF(J205="","产品规模标识；","")&amp;IF(AND(F205&lt;3,O205=""),"R_incep；","")&amp;IF(N205="","近三年收益；","")&amp;IF(U205="","近三年胜率；","")&amp;IF(AND(V205&lt;&gt;"",OR(V205&lt;0,V205&gt;1)),"胜率窗口口径不一致；","")&amp;IF(AA205="","近三年回撤；","")&amp;IF(AD205="","短期卡玛；","")&amp;IF(AND(P205&lt;&gt;"",AE205=""),"DD_long不可识别；","")</f>
        <v/>
      </c>
      <c r="AV205" s="51" t="n"/>
      <c r="AW205" s="22" t="inlineStr">
        <is>
          <t>0-5亿元</t>
        </is>
      </c>
      <c r="AX205" s="22" t="inlineStr">
        <is>
          <t>2026-03-02</t>
        </is>
      </c>
      <c r="AY205" s="22" t="inlineStr">
        <is>
          <t>厦门言起投资管理有限公司</t>
        </is>
      </c>
      <c r="AZ205" s="22" t="inlineStr">
        <is>
          <t>2026-03-02</t>
        </is>
      </c>
      <c r="BA205" s="22" t="inlineStr">
        <is>
          <t>https://gs.amac.org.cn/amac-infodisc/res/pof/manager/101000049573.html</t>
        </is>
      </c>
      <c r="BB205" s="22" t="inlineStr">
        <is>
          <t>厦门言起博士一号私募证券投资基金</t>
        </is>
      </c>
      <c r="BC205" s="22" t="inlineStr">
        <is>
          <t>2026-06-02</t>
        </is>
      </c>
      <c r="BD205" s="22" t="inlineStr">
        <is>
          <t>已匹配</t>
        </is>
      </c>
      <c r="BE205" t="inlineStr">
        <is>
          <t>https://gs.amac.org.cn/amac-infodisc/res/pof/fund/2002211800116572.html</t>
        </is>
      </c>
      <c r="BF205" t="inlineStr">
        <is>
          <t>已核验</t>
        </is>
      </c>
    </row>
    <row r="206" hidden="1" ht="28" customHeight="1" s="73">
      <c r="A206" s="2" t="n">
        <v>190</v>
      </c>
      <c r="B206" s="18" t="inlineStr">
        <is>
          <t>平凡浩睿</t>
        </is>
      </c>
      <c r="C206" s="18">
        <f>'sheet4-原始数据'!B191</f>
        <v/>
      </c>
      <c r="D206" s="18" t="inlineStr">
        <is>
          <t>北京平凡</t>
        </is>
      </c>
      <c r="E206" s="90" t="inlineStr">
        <is>
          <t>2020-03-04</t>
        </is>
      </c>
      <c r="F206" s="20" t="n">
        <v>6.5325</v>
      </c>
      <c r="G206" s="2">
        <f>IF(F206="","",IF(F206&lt;1,"不入池","入池"))</f>
        <v/>
      </c>
      <c r="H206" s="42" t="inlineStr">
        <is>
          <t>50-100亿元</t>
        </is>
      </c>
      <c r="I206" s="20" t="n">
        <v>90</v>
      </c>
      <c r="J206" s="43" t="inlineStr">
        <is>
          <t>无低于1000万元标识</t>
        </is>
      </c>
      <c r="K206" s="20" t="n">
        <v>100</v>
      </c>
      <c r="L206" s="20" t="n">
        <v>100</v>
      </c>
      <c r="M206" s="44" t="n">
        <v>0.1923</v>
      </c>
      <c r="N206" s="44" t="n">
        <v>0.1378</v>
      </c>
      <c r="O206" s="45" t="n"/>
      <c r="P206" s="46" t="n">
        <v>0.1114914394428368</v>
      </c>
      <c r="Q206" s="20" t="n">
        <v>90.28</v>
      </c>
      <c r="R206" s="20" t="n">
        <v>77</v>
      </c>
      <c r="S206" s="20" t="n">
        <v>84.97</v>
      </c>
      <c r="T206" s="44" t="n">
        <v>0.9231</v>
      </c>
      <c r="U206" s="44" t="n">
        <v>0.8649</v>
      </c>
      <c r="V206" s="46" t="n">
        <v>0.8333749999999999</v>
      </c>
      <c r="W206" s="20" t="n">
        <v>92.31</v>
      </c>
      <c r="X206" s="20" t="n">
        <v>83.33749999999999</v>
      </c>
      <c r="Y206" s="20" t="n">
        <v>88.72</v>
      </c>
      <c r="Z206" s="46" t="n">
        <v>0.003999018441651347</v>
      </c>
      <c r="AA206" s="44" t="n">
        <v>0.0257</v>
      </c>
      <c r="AB206" s="46" t="n">
        <v>0.0257</v>
      </c>
      <c r="AC206" s="20" t="n">
        <v>64.11</v>
      </c>
      <c r="AD206" s="91" t="n">
        <v>48.0868</v>
      </c>
      <c r="AE206" s="46" t="n">
        <v>0.0257</v>
      </c>
      <c r="AF206" s="20" t="n">
        <v>4.338188305168747</v>
      </c>
      <c r="AG206" s="20" t="n">
        <v>97.2</v>
      </c>
      <c r="AH206" s="20" t="n">
        <v>82.34999999999999</v>
      </c>
      <c r="AI206" s="20" t="n">
        <v>91.26000000000001</v>
      </c>
      <c r="AJ206" s="46" t="n">
        <v>0.1378</v>
      </c>
      <c r="AK206" s="20" t="n">
        <v>100</v>
      </c>
      <c r="AL206" s="20" t="n">
        <v>96</v>
      </c>
      <c r="AM206" s="20" t="n">
        <v>86.09</v>
      </c>
      <c r="AN206" s="20" t="n">
        <v>64.11</v>
      </c>
      <c r="AO206" s="20" t="n">
        <v>91.26000000000001</v>
      </c>
      <c r="AP206" s="20" t="n">
        <v>100</v>
      </c>
      <c r="AQ206" s="92" t="n">
        <v>1</v>
      </c>
      <c r="AR206" s="20" t="n">
        <v>85.02428</v>
      </c>
      <c r="AS206" s="20" t="n">
        <v>85.02</v>
      </c>
      <c r="AT206" s="49" t="n">
        <v>31</v>
      </c>
      <c r="AU206" s="50">
        <f>IF(I206="","管理人规模；","")&amp;IF(J206="","产品规模标识；","")&amp;IF(AND(F206&lt;3,O206=""),"R_incep；","")&amp;IF(N206="","近三年收益；","")&amp;IF(U206="","近三年胜率；","")&amp;IF(AND(V206&lt;&gt;"",OR(V206&lt;0,V206&gt;1)),"胜率窗口口径不一致；","")&amp;IF(AA206="","近三年回撤；","")&amp;IF(AD206="","短期卡玛；","")&amp;IF(AND(P206&lt;&gt;"",AE206=""),"DD_long不可识别；","")</f>
        <v/>
      </c>
      <c r="AV206" s="51" t="n">
        <v>85.02428</v>
      </c>
      <c r="AW206" s="22" t="inlineStr">
        <is>
          <t>50-100亿元</t>
        </is>
      </c>
      <c r="AX206" s="22" t="inlineStr">
        <is>
          <t>2026-08-05</t>
        </is>
      </c>
      <c r="AY206" s="22" t="inlineStr">
        <is>
          <t>北京平凡私募基金管理有限公司</t>
        </is>
      </c>
      <c r="AZ206" s="22" t="inlineStr">
        <is>
          <t>2026-08-05</t>
        </is>
      </c>
      <c r="BA206" s="22" t="inlineStr">
        <is>
          <t>https://gs.amac.org.cn/amac-infodisc/res/pof/manager/101000030286.html</t>
        </is>
      </c>
      <c r="BB206" s="22" t="inlineStr">
        <is>
          <t>平凡浩睿私募证券投资基金</t>
        </is>
      </c>
      <c r="BC206" s="22" t="inlineStr">
        <is>
          <t>2024-11-01</t>
        </is>
      </c>
      <c r="BD206" s="22" t="inlineStr">
        <is>
          <t>已匹配</t>
        </is>
      </c>
      <c r="BE206" t="inlineStr">
        <is>
          <t>https://gs.amac.org.cn/amac-infodisc/res/pof/fund/2003111724111317.html</t>
        </is>
      </c>
      <c r="BF206" t="inlineStr">
        <is>
          <t>已核验</t>
        </is>
      </c>
    </row>
    <row r="207" hidden="1" ht="28" customHeight="1" s="73">
      <c r="A207" s="2" t="n">
        <v>191</v>
      </c>
      <c r="B207" s="18" t="inlineStr">
        <is>
          <t>博普日添月益</t>
        </is>
      </c>
      <c r="C207" s="18">
        <f>'sheet4-原始数据'!B192</f>
        <v/>
      </c>
      <c r="D207" s="18" t="inlineStr">
        <is>
          <t>深圳前海博普资管</t>
        </is>
      </c>
      <c r="E207" s="90" t="inlineStr">
        <is>
          <t>2020-03-27</t>
        </is>
      </c>
      <c r="F207" s="20" t="n">
        <v>6.4695</v>
      </c>
      <c r="G207" s="2">
        <f>IF(F207="","",IF(F207&lt;1,"不入池","入池"))</f>
        <v/>
      </c>
      <c r="H207" s="42" t="inlineStr">
        <is>
          <t>50-100亿元</t>
        </is>
      </c>
      <c r="I207" s="20" t="n">
        <v>90</v>
      </c>
      <c r="J207" s="43" t="inlineStr">
        <is>
          <t>无低于1000万元标识</t>
        </is>
      </c>
      <c r="K207" s="20" t="n">
        <v>100</v>
      </c>
      <c r="L207" s="20" t="n">
        <v>100</v>
      </c>
      <c r="M207" s="44" t="n">
        <v>0.0704</v>
      </c>
      <c r="N207" s="44" t="n">
        <v>0.06</v>
      </c>
      <c r="O207" s="45" t="n"/>
      <c r="P207" s="46" t="n">
        <v>0.054837953961691</v>
      </c>
      <c r="Q207" s="20" t="n">
        <v>58.68</v>
      </c>
      <c r="R207" s="20" t="n">
        <v>42</v>
      </c>
      <c r="S207" s="20" t="n">
        <v>52.01</v>
      </c>
      <c r="T207" s="44" t="n">
        <v>1</v>
      </c>
      <c r="U207" s="44" t="n">
        <v>0.8919</v>
      </c>
      <c r="V207" s="46" t="n">
        <v>0.8333458333333335</v>
      </c>
      <c r="W207" s="20" t="n">
        <v>100</v>
      </c>
      <c r="X207" s="20" t="n">
        <v>83.33458333333334</v>
      </c>
      <c r="Y207" s="20" t="n">
        <v>93.33</v>
      </c>
      <c r="Z207" s="46" t="n">
        <v>0.007669179484944878</v>
      </c>
      <c r="AA207" s="44" t="n">
        <v>0.0282</v>
      </c>
      <c r="AB207" s="46" t="n">
        <v>0.0282</v>
      </c>
      <c r="AC207" s="20" t="n">
        <v>61.15</v>
      </c>
      <c r="AD207" s="91" t="n">
        <v>9.179600000000001</v>
      </c>
      <c r="AE207" s="46" t="n">
        <v>0.0282</v>
      </c>
      <c r="AF207" s="20" t="n">
        <v>1.944608296513865</v>
      </c>
      <c r="AG207" s="20" t="n">
        <v>76.22</v>
      </c>
      <c r="AH207" s="20" t="n">
        <v>64.70999999999999</v>
      </c>
      <c r="AI207" s="20" t="n">
        <v>71.62</v>
      </c>
      <c r="AJ207" s="46" t="n">
        <v>0.06</v>
      </c>
      <c r="AK207" s="20" t="n">
        <v>100</v>
      </c>
      <c r="AL207" s="20" t="n">
        <v>96</v>
      </c>
      <c r="AM207" s="20" t="n">
        <v>64.41</v>
      </c>
      <c r="AN207" s="20" t="n">
        <v>61.15</v>
      </c>
      <c r="AO207" s="20" t="n">
        <v>71.62</v>
      </c>
      <c r="AP207" s="20" t="n">
        <v>100</v>
      </c>
      <c r="AQ207" s="92" t="n">
        <v>1</v>
      </c>
      <c r="AR207" s="20" t="n">
        <v>74.05345</v>
      </c>
      <c r="AS207" s="20" t="n">
        <v>74.05</v>
      </c>
      <c r="AT207" s="49" t="n">
        <v>94</v>
      </c>
      <c r="AU207" s="50">
        <f>IF(I207="","管理人规模；","")&amp;IF(J207="","产品规模标识；","")&amp;IF(AND(F207&lt;3,O207=""),"R_incep；","")&amp;IF(N207="","近三年收益；","")&amp;IF(U207="","近三年胜率；","")&amp;IF(AND(V207&lt;&gt;"",OR(V207&lt;0,V207&gt;1)),"胜率窗口口径不一致；","")&amp;IF(AA207="","近三年回撤；","")&amp;IF(AD207="","短期卡玛；","")&amp;IF(AND(P207&lt;&gt;"",AE207=""),"DD_long不可识别；","")</f>
        <v/>
      </c>
      <c r="AV207" s="51" t="n">
        <v>74.05345</v>
      </c>
      <c r="AW207" s="22" t="inlineStr">
        <is>
          <t>50-100亿元</t>
        </is>
      </c>
      <c r="AX207" s="22" t="inlineStr">
        <is>
          <t>2023-10-20</t>
        </is>
      </c>
      <c r="AY207" s="22" t="inlineStr">
        <is>
          <t>深圳前海博普资产管理有限公司</t>
        </is>
      </c>
      <c r="AZ207" s="22" t="inlineStr">
        <is>
          <t>2023-10-20</t>
        </is>
      </c>
      <c r="BA207" s="22" t="inlineStr">
        <is>
          <t>https://gs.amac.org.cn/amac-infodisc/res/pof/manager/1709041706102598.html</t>
        </is>
      </c>
      <c r="BB207" s="22" t="inlineStr">
        <is>
          <t>博普日添月益证券投资私募基金</t>
        </is>
      </c>
      <c r="BC207" s="22" t="inlineStr">
        <is>
          <t>2022-04-19</t>
        </is>
      </c>
      <c r="BD207" s="22" t="inlineStr">
        <is>
          <t>已匹配</t>
        </is>
      </c>
      <c r="BE207" t="inlineStr">
        <is>
          <t>https://gs.amac.org.cn/amac-infodisc/res/pof/fund/2003311737105713.html</t>
        </is>
      </c>
      <c r="BF207" t="inlineStr">
        <is>
          <t>已核验</t>
        </is>
      </c>
    </row>
    <row r="208" hidden="1" ht="28" customHeight="1" s="73">
      <c r="A208" s="2" t="n">
        <v>192</v>
      </c>
      <c r="B208" s="18" t="inlineStr">
        <is>
          <t>鸣熙资产-招享套利1号</t>
        </is>
      </c>
      <c r="C208" s="18">
        <f>'sheet4-原始数据'!B193</f>
        <v/>
      </c>
      <c r="D208" s="18" t="inlineStr">
        <is>
          <t>鸣熙资本</t>
        </is>
      </c>
      <c r="E208" s="90" t="inlineStr">
        <is>
          <t>2020-04-16</t>
        </is>
      </c>
      <c r="F208" s="20" t="n">
        <v>6.4148</v>
      </c>
      <c r="G208" s="2">
        <f>IF(F208="","",IF(F208&lt;1,"不入池","入池"))</f>
        <v/>
      </c>
      <c r="H208" s="42" t="inlineStr">
        <is>
          <t>100亿元以上</t>
        </is>
      </c>
      <c r="I208" s="20" t="n">
        <v>100</v>
      </c>
      <c r="J208" s="43" t="inlineStr">
        <is>
          <t>无低于1000万元标识</t>
        </is>
      </c>
      <c r="K208" s="20" t="n">
        <v>100</v>
      </c>
      <c r="L208" s="20" t="n">
        <v>100</v>
      </c>
      <c r="M208" s="44" t="n">
        <v>0.0424</v>
      </c>
      <c r="N208" s="44" t="n">
        <v>0.0737</v>
      </c>
      <c r="O208" s="45" t="n"/>
      <c r="P208" s="46" t="n">
        <v>0.08970069607004549</v>
      </c>
      <c r="Q208" s="20" t="n">
        <v>41.67</v>
      </c>
      <c r="R208" s="20" t="n">
        <v>70</v>
      </c>
      <c r="S208" s="20" t="n">
        <v>53</v>
      </c>
      <c r="T208" s="44" t="n">
        <v>0.6923</v>
      </c>
      <c r="U208" s="44" t="n">
        <v>0.8919</v>
      </c>
      <c r="V208" s="46" t="n">
        <v>1.000016666666667</v>
      </c>
      <c r="W208" s="20" t="n">
        <v>69.23</v>
      </c>
      <c r="X208" s="20" t="n"/>
      <c r="Y208" s="20" t="n">
        <v>69.23</v>
      </c>
      <c r="Z208" s="46" t="n">
        <v>0.004687724574069365</v>
      </c>
      <c r="AA208" s="44" t="n">
        <v>0.004699999999999999</v>
      </c>
      <c r="AB208" s="46" t="n">
        <v>0.004699999999999999</v>
      </c>
      <c r="AC208" s="20" t="n">
        <v>94.59999999999999</v>
      </c>
      <c r="AD208" s="91" t="n">
        <v>9.0449</v>
      </c>
      <c r="AE208" s="46" t="n"/>
      <c r="AF208" s="20" t="n"/>
      <c r="AG208" s="20" t="n">
        <v>75.87</v>
      </c>
      <c r="AH208" s="20" t="n"/>
      <c r="AI208" s="20" t="n">
        <v>75.87</v>
      </c>
      <c r="AJ208" s="46" t="n">
        <v>0.0737</v>
      </c>
      <c r="AK208" s="20" t="n">
        <v>80</v>
      </c>
      <c r="AL208" s="20" t="n">
        <v>100</v>
      </c>
      <c r="AM208" s="20" t="n">
        <v>56.32</v>
      </c>
      <c r="AN208" s="20" t="n">
        <v>94.59999999999999</v>
      </c>
      <c r="AO208" s="20" t="n">
        <v>75.87</v>
      </c>
      <c r="AP208" s="20" t="n">
        <v>80</v>
      </c>
      <c r="AQ208" s="92" t="n">
        <v>0.856</v>
      </c>
      <c r="AR208" s="20" t="n">
        <v>70.21916</v>
      </c>
      <c r="AS208" s="20" t="n">
        <v>82.03</v>
      </c>
      <c r="AT208" s="49" t="n">
        <v>50</v>
      </c>
      <c r="AU208" s="50">
        <f>IF(I208="","管理人规模；","")&amp;IF(J208="","产品规模标识；","")&amp;IF(AND(F208&lt;3,O208=""),"R_incep；","")&amp;IF(N208="","近三年收益；","")&amp;IF(U208="","近三年胜率；","")&amp;IF(AND(V208&lt;&gt;"",OR(V208&lt;0,V208&gt;1)),"胜率窗口口径不一致；","")&amp;IF(AA208="","近三年回撤；","")&amp;IF(AD208="","短期卡玛；","")&amp;IF(AND(P208&lt;&gt;"",AE208=""),"DD_long不可识别；","")</f>
        <v/>
      </c>
      <c r="AV208" s="51" t="n"/>
      <c r="AW208" s="22" t="inlineStr">
        <is>
          <t>100亿元以上</t>
        </is>
      </c>
      <c r="AX208" s="22" t="inlineStr">
        <is>
          <t>2026-07-20</t>
        </is>
      </c>
      <c r="AY208" s="22" t="inlineStr">
        <is>
          <t>上海鸣熙资产管理有限公司</t>
        </is>
      </c>
      <c r="AZ208" s="22" t="inlineStr">
        <is>
          <t>2026-07-20</t>
        </is>
      </c>
      <c r="BA208" s="22" t="inlineStr">
        <is>
          <t>https://gs.amac.org.cn/amac-infodisc/res/pof/manager/101000039347.html</t>
        </is>
      </c>
      <c r="BB208" s="22" t="inlineStr">
        <is>
          <t>鸣熙资产-招享套利1号私募证券投资基金</t>
        </is>
      </c>
      <c r="BC208" s="22" t="inlineStr">
        <is>
          <t>2025-07-31</t>
        </is>
      </c>
      <c r="BD208" s="22" t="inlineStr">
        <is>
          <t>已匹配</t>
        </is>
      </c>
      <c r="BE208" t="inlineStr">
        <is>
          <t>https://gs.amac.org.cn/amac-infodisc/res/pof/fund/2004141732109376.html</t>
        </is>
      </c>
      <c r="BF208" t="inlineStr">
        <is>
          <t>已核验</t>
        </is>
      </c>
    </row>
    <row r="209" hidden="1" ht="28" customHeight="1" s="73">
      <c r="A209" s="2" t="n">
        <v>193</v>
      </c>
      <c r="B209" s="18" t="inlineStr">
        <is>
          <t>盛冠达量化套利6号</t>
        </is>
      </c>
      <c r="C209" s="18">
        <f>'sheet4-原始数据'!B194</f>
        <v/>
      </c>
      <c r="D209" s="18" t="inlineStr">
        <is>
          <t>海南盛冠达</t>
        </is>
      </c>
      <c r="E209" s="90" t="inlineStr">
        <is>
          <t>2020-06-01</t>
        </is>
      </c>
      <c r="F209" s="20" t="n">
        <v>6.2888</v>
      </c>
      <c r="G209" s="2">
        <f>IF(F209="","",IF(F209&lt;1,"不入池","入池"))</f>
        <v/>
      </c>
      <c r="H209" s="42" t="inlineStr">
        <is>
          <t>20-50亿元</t>
        </is>
      </c>
      <c r="I209" s="20" t="n">
        <v>90</v>
      </c>
      <c r="J209" s="43" t="inlineStr">
        <is>
          <t>无低于1000万元标识</t>
        </is>
      </c>
      <c r="K209" s="20" t="n">
        <v>100</v>
      </c>
      <c r="L209" s="20" t="n">
        <v>100</v>
      </c>
      <c r="M209" s="44" t="n">
        <v>0.0386</v>
      </c>
      <c r="N209" s="44" t="n">
        <v>0.0373</v>
      </c>
      <c r="O209" s="45" t="n"/>
      <c r="P209" s="46" t="n">
        <v>0.03665061032377381</v>
      </c>
      <c r="Q209" s="20" t="n">
        <v>35.94</v>
      </c>
      <c r="R209" s="20" t="n">
        <v>21.5</v>
      </c>
      <c r="S209" s="20" t="n">
        <v>30.16</v>
      </c>
      <c r="T209" s="44" t="n">
        <v>0.6153999999999999</v>
      </c>
      <c r="U209" s="44" t="n">
        <v>0.6486</v>
      </c>
      <c r="V209" s="46" t="n">
        <v>0.6665833333333332</v>
      </c>
      <c r="W209" s="20" t="n">
        <v>61.53999999999999</v>
      </c>
      <c r="X209" s="20" t="n">
        <v>66.65833333333332</v>
      </c>
      <c r="Y209" s="20" t="n">
        <v>63.59</v>
      </c>
      <c r="Z209" s="46" t="n">
        <v>0.02102511030012527</v>
      </c>
      <c r="AA209" s="44" t="n">
        <v>0.04219999999999999</v>
      </c>
      <c r="AB209" s="46" t="n">
        <v>0.04219999999999999</v>
      </c>
      <c r="AC209" s="20" t="n">
        <v>49.83</v>
      </c>
      <c r="AD209" s="91" t="n">
        <v>1.8359</v>
      </c>
      <c r="AE209" s="46" t="n">
        <v>0.04219999999999999</v>
      </c>
      <c r="AF209" s="20" t="n">
        <v>0.8684978749709436</v>
      </c>
      <c r="AG209" s="20" t="n">
        <v>45.1</v>
      </c>
      <c r="AH209" s="20" t="n">
        <v>36.03</v>
      </c>
      <c r="AI209" s="20" t="n">
        <v>41.47</v>
      </c>
      <c r="AJ209" s="46" t="n">
        <v>0.0373</v>
      </c>
      <c r="AK209" s="20" t="n">
        <v>100</v>
      </c>
      <c r="AL209" s="20" t="n">
        <v>96</v>
      </c>
      <c r="AM209" s="20" t="n">
        <v>40.19</v>
      </c>
      <c r="AN209" s="20" t="n">
        <v>49.83</v>
      </c>
      <c r="AO209" s="20" t="n">
        <v>41.47</v>
      </c>
      <c r="AP209" s="20" t="n">
        <v>100</v>
      </c>
      <c r="AQ209" s="92" t="n">
        <v>1</v>
      </c>
      <c r="AR209" s="20" t="n">
        <v>57.3373</v>
      </c>
      <c r="AS209" s="20" t="n">
        <v>57.34</v>
      </c>
      <c r="AT209" s="49" t="n">
        <v>186</v>
      </c>
      <c r="AU209" s="50">
        <f>IF(I209="","管理人规模；","")&amp;IF(J209="","产品规模标识；","")&amp;IF(AND(F209&lt;3,O209=""),"R_incep；","")&amp;IF(N209="","近三年收益；","")&amp;IF(U209="","近三年胜率；","")&amp;IF(AND(V209&lt;&gt;"",OR(V209&lt;0,V209&gt;1)),"胜率窗口口径不一致；","")&amp;IF(AA209="","近三年回撤；","")&amp;IF(AD209="","短期卡玛；","")&amp;IF(AND(P209&lt;&gt;"",AE209=""),"DD_long不可识别；","")</f>
        <v/>
      </c>
      <c r="AV209" s="51" t="n">
        <v>57.3373</v>
      </c>
      <c r="AW209" s="22" t="inlineStr">
        <is>
          <t>20-50亿元</t>
        </is>
      </c>
      <c r="AX209" s="22" t="inlineStr">
        <is>
          <t>2026-01-05</t>
        </is>
      </c>
      <c r="AY209" s="22" t="inlineStr">
        <is>
          <t>海南盛冠达私募基金管理有限公司</t>
        </is>
      </c>
      <c r="AZ209" s="22" t="inlineStr">
        <is>
          <t>2026-01-05</t>
        </is>
      </c>
      <c r="BA209" s="22" t="inlineStr">
        <is>
          <t>https://gs.amac.org.cn/amac-infodisc/res/pof/manager/101000001663.html</t>
        </is>
      </c>
      <c r="BB209" s="22" t="inlineStr">
        <is>
          <t>盛冠达量化套利6号私募证券投资基金</t>
        </is>
      </c>
      <c r="BC209" s="22" t="inlineStr">
        <is>
          <t>2024-08-07</t>
        </is>
      </c>
      <c r="BD209" s="22" t="inlineStr">
        <is>
          <t>已匹配</t>
        </is>
      </c>
      <c r="BE209" t="inlineStr">
        <is>
          <t>https://gs.amac.org.cn/amac-infodisc/res/pof/fund/2006011729107407.html</t>
        </is>
      </c>
      <c r="BF209" t="inlineStr">
        <is>
          <t>已核验</t>
        </is>
      </c>
    </row>
    <row r="210" hidden="1" ht="28" customHeight="1" s="73">
      <c r="A210" s="2" t="n">
        <v>194</v>
      </c>
      <c r="B210" s="18" t="inlineStr">
        <is>
          <t>盛泉恒元量化套利27号</t>
        </is>
      </c>
      <c r="C210" s="18">
        <f>'sheet4-原始数据'!B195</f>
        <v/>
      </c>
      <c r="D210" s="18" t="inlineStr">
        <is>
          <t>南京盛泉恒元投资</t>
        </is>
      </c>
      <c r="E210" s="90" t="inlineStr">
        <is>
          <t>2020-06-16</t>
        </is>
      </c>
      <c r="F210" s="20" t="n">
        <v>6.2478</v>
      </c>
      <c r="G210" s="2">
        <f>IF(F210="","",IF(F210&lt;1,"不入池","入池"))</f>
        <v/>
      </c>
      <c r="H210" s="42" t="inlineStr">
        <is>
          <t>100亿元以上</t>
        </is>
      </c>
      <c r="I210" s="20" t="n">
        <v>100</v>
      </c>
      <c r="J210" s="43" t="inlineStr">
        <is>
          <t>无低于1000万元标识</t>
        </is>
      </c>
      <c r="K210" s="20" t="n">
        <v>100</v>
      </c>
      <c r="L210" s="20" t="n">
        <v>100</v>
      </c>
      <c r="M210" s="44" t="n">
        <v>0.0902</v>
      </c>
      <c r="N210" s="44" t="n">
        <v>0.0664</v>
      </c>
      <c r="O210" s="45" t="n"/>
      <c r="P210" s="46" t="n">
        <v>0.05469555518619562</v>
      </c>
      <c r="Q210" s="20" t="n">
        <v>72.40000000000001</v>
      </c>
      <c r="R210" s="20" t="n">
        <v>41.5</v>
      </c>
      <c r="S210" s="20" t="n">
        <v>60.04</v>
      </c>
      <c r="T210" s="44" t="n">
        <v>0.7692</v>
      </c>
      <c r="U210" s="44" t="n">
        <v>0.7027</v>
      </c>
      <c r="V210" s="46" t="n">
        <v>0.6666791666666668</v>
      </c>
      <c r="W210" s="20" t="n">
        <v>76.92</v>
      </c>
      <c r="X210" s="20" t="n">
        <v>66.66791666666668</v>
      </c>
      <c r="Y210" s="20" t="n">
        <v>72.81999999999999</v>
      </c>
      <c r="Z210" s="46" t="n">
        <v>0.05583065115127507</v>
      </c>
      <c r="AA210" s="44" t="n">
        <v>0.0605</v>
      </c>
      <c r="AB210" s="46" t="n">
        <v>0.0605</v>
      </c>
      <c r="AC210" s="20" t="n">
        <v>39.02</v>
      </c>
      <c r="AD210" s="91" t="n">
        <v>1.6156</v>
      </c>
      <c r="AE210" s="46" t="n">
        <v>0.0605</v>
      </c>
      <c r="AF210" s="20" t="n">
        <v>0.9040587634081921</v>
      </c>
      <c r="AG210" s="20" t="n">
        <v>41.61</v>
      </c>
      <c r="AH210" s="20" t="n">
        <v>38.97</v>
      </c>
      <c r="AI210" s="20" t="n">
        <v>40.55</v>
      </c>
      <c r="AJ210" s="46" t="n">
        <v>0.0664</v>
      </c>
      <c r="AK210" s="20" t="n">
        <v>100</v>
      </c>
      <c r="AL210" s="20" t="n">
        <v>100</v>
      </c>
      <c r="AM210" s="20" t="n">
        <v>63.87</v>
      </c>
      <c r="AN210" s="20" t="n">
        <v>39.02</v>
      </c>
      <c r="AO210" s="20" t="n">
        <v>40.55</v>
      </c>
      <c r="AP210" s="20" t="n">
        <v>100</v>
      </c>
      <c r="AQ210" s="92" t="n">
        <v>1</v>
      </c>
      <c r="AR210" s="20" t="n">
        <v>59.69595</v>
      </c>
      <c r="AS210" s="20" t="n">
        <v>59.7</v>
      </c>
      <c r="AT210" s="49" t="n">
        <v>173</v>
      </c>
      <c r="AU210" s="50">
        <f>IF(I210="","管理人规模；","")&amp;IF(J210="","产品规模标识；","")&amp;IF(AND(F210&lt;3,O210=""),"R_incep；","")&amp;IF(N210="","近三年收益；","")&amp;IF(U210="","近三年胜率；","")&amp;IF(AND(V210&lt;&gt;"",OR(V210&lt;0,V210&gt;1)),"胜率窗口口径不一致；","")&amp;IF(AA210="","近三年回撤；","")&amp;IF(AD210="","短期卡玛；","")&amp;IF(AND(P210&lt;&gt;"",AE210=""),"DD_long不可识别；","")</f>
        <v/>
      </c>
      <c r="AV210" s="51" t="n">
        <v>59.69595</v>
      </c>
      <c r="AW210" s="22" t="inlineStr">
        <is>
          <t>100亿元以上</t>
        </is>
      </c>
      <c r="AX210" s="22" t="inlineStr">
        <is>
          <t>2026-02-24</t>
        </is>
      </c>
      <c r="AY210" s="22" t="inlineStr">
        <is>
          <t>南京盛泉恒元投资有限公司</t>
        </is>
      </c>
      <c r="AZ210" s="22" t="inlineStr">
        <is>
          <t>2026-02-24</t>
        </is>
      </c>
      <c r="BA210" s="22" t="inlineStr">
        <is>
          <t>https://gs.amac.org.cn/amac-infodisc/res/pof/manager/101000008304.html</t>
        </is>
      </c>
      <c r="BB210" s="22" t="inlineStr">
        <is>
          <t>盛泉恒元量化套利27号私募证券投资基金</t>
        </is>
      </c>
      <c r="BC210" s="22" t="inlineStr">
        <is>
          <t>2025-07-08</t>
        </is>
      </c>
      <c r="BD210" s="22" t="inlineStr">
        <is>
          <t>已匹配</t>
        </is>
      </c>
      <c r="BE210" t="inlineStr">
        <is>
          <t>https://gs.amac.org.cn/amac-infodisc/res/pof/fund/2006151927109230.html</t>
        </is>
      </c>
      <c r="BF210" t="inlineStr">
        <is>
          <t>已核验</t>
        </is>
      </c>
    </row>
    <row r="211" hidden="1" ht="28" customHeight="1" s="73">
      <c r="A211" s="2" t="n">
        <v>195</v>
      </c>
      <c r="B211" s="18" t="inlineStr">
        <is>
          <t>杉阳云杉转债1号</t>
        </is>
      </c>
      <c r="C211" s="18">
        <f>'sheet4-原始数据'!B196</f>
        <v/>
      </c>
      <c r="D211" s="18" t="inlineStr">
        <is>
          <t>上海杉阳</t>
        </is>
      </c>
      <c r="E211" s="90" t="inlineStr">
        <is>
          <t>2020-06-16</t>
        </is>
      </c>
      <c r="F211" s="20" t="n">
        <v>6.2478</v>
      </c>
      <c r="G211" s="2">
        <f>IF(F211="","",IF(F211&lt;1,"不入池","入池"))</f>
        <v/>
      </c>
      <c r="H211" s="42" t="inlineStr">
        <is>
          <t>0-5亿元</t>
        </is>
      </c>
      <c r="I211" s="20" t="n">
        <v>60</v>
      </c>
      <c r="J211" s="43" t="inlineStr">
        <is>
          <t>无低于1000万元标识</t>
        </is>
      </c>
      <c r="K211" s="20" t="n">
        <v>100</v>
      </c>
      <c r="L211" s="20" t="n">
        <v>100</v>
      </c>
      <c r="M211" s="44" t="n">
        <v>0.0104</v>
      </c>
      <c r="N211" s="44" t="n">
        <v>0.05400000000000001</v>
      </c>
      <c r="O211" s="45" t="n"/>
      <c r="P211" s="46" t="n">
        <v>0.07650052891623238</v>
      </c>
      <c r="Q211" s="20" t="n">
        <v>20.49</v>
      </c>
      <c r="R211" s="20" t="n">
        <v>62.5</v>
      </c>
      <c r="S211" s="20" t="n">
        <v>37.29</v>
      </c>
      <c r="T211" s="44" t="n">
        <v>0.5385</v>
      </c>
      <c r="U211" s="44" t="n">
        <v>0.6757</v>
      </c>
      <c r="V211" s="46" t="n">
        <v>0.7500166666666667</v>
      </c>
      <c r="W211" s="20" t="n">
        <v>53.84999999999999</v>
      </c>
      <c r="X211" s="20" t="n">
        <v>75.00166666666667</v>
      </c>
      <c r="Y211" s="20" t="n">
        <v>62.31</v>
      </c>
      <c r="Z211" s="46" t="n">
        <v>0.03048959249486954</v>
      </c>
      <c r="AA211" s="44" t="n">
        <v>0.0526</v>
      </c>
      <c r="AB211" s="46" t="n">
        <v>0.0526</v>
      </c>
      <c r="AC211" s="20" t="n">
        <v>43.21</v>
      </c>
      <c r="AD211" s="91" t="n">
        <v>0.3411</v>
      </c>
      <c r="AE211" s="46" t="n">
        <v>0.0526</v>
      </c>
      <c r="AF211" s="20" t="n">
        <v>1.454382679015825</v>
      </c>
      <c r="AG211" s="20" t="n">
        <v>22.38</v>
      </c>
      <c r="AH211" s="20" t="n">
        <v>54.41</v>
      </c>
      <c r="AI211" s="20" t="n">
        <v>35.19</v>
      </c>
      <c r="AJ211" s="46" t="n">
        <v>0.05400000000000001</v>
      </c>
      <c r="AK211" s="20" t="n">
        <v>80</v>
      </c>
      <c r="AL211" s="20" t="n">
        <v>84</v>
      </c>
      <c r="AM211" s="20" t="n">
        <v>44.8</v>
      </c>
      <c r="AN211" s="20" t="n">
        <v>43.21</v>
      </c>
      <c r="AO211" s="20" t="n">
        <v>35.19</v>
      </c>
      <c r="AP211" s="20" t="n">
        <v>80</v>
      </c>
      <c r="AQ211" s="92" t="n">
        <v>1</v>
      </c>
      <c r="AR211" s="20" t="n">
        <v>50.9199</v>
      </c>
      <c r="AS211" s="20" t="n">
        <v>50.92</v>
      </c>
      <c r="AT211" s="49" t="n">
        <v>218</v>
      </c>
      <c r="AU211" s="50">
        <f>IF(I211="","管理人规模；","")&amp;IF(J211="","产品规模标识；","")&amp;IF(AND(F211&lt;3,O211=""),"R_incep；","")&amp;IF(N211="","近三年收益；","")&amp;IF(U211="","近三年胜率；","")&amp;IF(AND(V211&lt;&gt;"",OR(V211&lt;0,V211&gt;1)),"胜率窗口口径不一致；","")&amp;IF(AA211="","近三年回撤；","")&amp;IF(AD211="","短期卡玛；","")&amp;IF(AND(P211&lt;&gt;"",AE211=""),"DD_long不可识别；","")</f>
        <v/>
      </c>
      <c r="AV211" s="51" t="n">
        <v>50.9199</v>
      </c>
      <c r="AW211" s="22" t="inlineStr">
        <is>
          <t>0-5亿元</t>
        </is>
      </c>
      <c r="AX211" s="22" t="inlineStr">
        <is>
          <t>2026-05-06</t>
        </is>
      </c>
      <c r="AY211" s="22" t="inlineStr">
        <is>
          <t>上海杉阳私募基金管理有限公司</t>
        </is>
      </c>
      <c r="AZ211" s="22" t="inlineStr">
        <is>
          <t>2026-05-06</t>
        </is>
      </c>
      <c r="BA211" s="22" t="inlineStr">
        <is>
          <t>https://gs.amac.org.cn/amac-infodisc/res/pof/manager/2001061547104837.html</t>
        </is>
      </c>
      <c r="BB211" s="22" t="inlineStr">
        <is>
          <t>杉阳云杉转债1号私募证券投资基金</t>
        </is>
      </c>
      <c r="BC211" s="22" t="inlineStr">
        <is>
          <t>2026-04-16</t>
        </is>
      </c>
      <c r="BD211" s="22" t="inlineStr">
        <is>
          <t>已匹配</t>
        </is>
      </c>
      <c r="BE211" t="inlineStr">
        <is>
          <t>https://gs.amac.org.cn/amac-infodisc/res/pof/fund/2006171757102620.html</t>
        </is>
      </c>
      <c r="BF211" t="inlineStr">
        <is>
          <t>已核验</t>
        </is>
      </c>
    </row>
    <row r="212" hidden="1" ht="28" customHeight="1" s="73">
      <c r="A212" s="2" t="n">
        <v>196</v>
      </c>
      <c r="B212" s="18" t="inlineStr">
        <is>
          <t>聚亿具臻</t>
        </is>
      </c>
      <c r="C212" s="18">
        <f>'sheet4-原始数据'!B197</f>
        <v/>
      </c>
      <c r="D212" s="18" t="inlineStr">
        <is>
          <t>珠海聚亿基金</t>
        </is>
      </c>
      <c r="E212" s="90" t="inlineStr">
        <is>
          <t>2020-08-18</t>
        </is>
      </c>
      <c r="F212" s="20" t="n">
        <v>6.0753</v>
      </c>
      <c r="G212" s="2">
        <f>IF(F212="","",IF(F212&lt;1,"不入池","入池"))</f>
        <v/>
      </c>
      <c r="H212" s="42" t="inlineStr">
        <is>
          <t>0-5亿元</t>
        </is>
      </c>
      <c r="I212" s="20" t="n">
        <v>60</v>
      </c>
      <c r="J212" s="43" t="inlineStr">
        <is>
          <t>无低于1000万元标识</t>
        </is>
      </c>
      <c r="K212" s="20" t="n">
        <v>100</v>
      </c>
      <c r="L212" s="20" t="n">
        <v>100</v>
      </c>
      <c r="M212" s="44" t="n">
        <v>0.3188</v>
      </c>
      <c r="N212" s="44" t="n">
        <v>0.2515</v>
      </c>
      <c r="O212" s="45" t="n"/>
      <c r="P212" s="46" t="n">
        <v>0.219149069930588</v>
      </c>
      <c r="Q212" s="20" t="n">
        <v>96.88</v>
      </c>
      <c r="R212" s="20" t="n">
        <v>94</v>
      </c>
      <c r="S212" s="20" t="n">
        <v>95.73</v>
      </c>
      <c r="T212" s="44" t="n">
        <v>0.7692</v>
      </c>
      <c r="U212" s="44" t="n">
        <v>0.6486</v>
      </c>
      <c r="V212" s="46" t="n">
        <v>0.5832749999999999</v>
      </c>
      <c r="W212" s="20" t="n">
        <v>76.92</v>
      </c>
      <c r="X212" s="20" t="n">
        <v>58.32749999999999</v>
      </c>
      <c r="Y212" s="20" t="n">
        <v>69.48</v>
      </c>
      <c r="Z212" s="46" t="n">
        <v>0.02933760329817974</v>
      </c>
      <c r="AA212" s="44" t="n">
        <v>0.078</v>
      </c>
      <c r="AB212" s="46" t="n">
        <v>0.078</v>
      </c>
      <c r="AC212" s="20" t="n">
        <v>34.49</v>
      </c>
      <c r="AD212" s="91" t="n">
        <v>10.8666</v>
      </c>
      <c r="AE212" s="46" t="n">
        <v>0.078</v>
      </c>
      <c r="AF212" s="20" t="n">
        <v>2.809603460648564</v>
      </c>
      <c r="AG212" s="20" t="n">
        <v>83.56999999999999</v>
      </c>
      <c r="AH212" s="20" t="n">
        <v>75.73999999999999</v>
      </c>
      <c r="AI212" s="20" t="n">
        <v>80.44</v>
      </c>
      <c r="AJ212" s="46" t="n">
        <v>0.2515</v>
      </c>
      <c r="AK212" s="20" t="n">
        <v>100</v>
      </c>
      <c r="AL212" s="20" t="n">
        <v>84</v>
      </c>
      <c r="AM212" s="20" t="n">
        <v>87.84999999999999</v>
      </c>
      <c r="AN212" s="20" t="n">
        <v>34.49</v>
      </c>
      <c r="AO212" s="20" t="n">
        <v>80.44</v>
      </c>
      <c r="AP212" s="20" t="n">
        <v>100</v>
      </c>
      <c r="AQ212" s="92" t="n">
        <v>1</v>
      </c>
      <c r="AR212" s="20" t="n">
        <v>72.92479999999999</v>
      </c>
      <c r="AS212" s="20" t="n">
        <v>72.92</v>
      </c>
      <c r="AT212" s="49" t="n">
        <v>99</v>
      </c>
      <c r="AU212" s="50">
        <f>IF(I212="","管理人规模；","")&amp;IF(J212="","产品规模标识；","")&amp;IF(AND(F212&lt;3,O212=""),"R_incep；","")&amp;IF(N212="","近三年收益；","")&amp;IF(U212="","近三年胜率；","")&amp;IF(AND(V212&lt;&gt;"",OR(V212&lt;0,V212&gt;1)),"胜率窗口口径不一致；","")&amp;IF(AA212="","近三年回撤；","")&amp;IF(AD212="","短期卡玛；","")&amp;IF(AND(P212&lt;&gt;"",AE212=""),"DD_long不可识别；","")</f>
        <v/>
      </c>
      <c r="AV212" s="51" t="n">
        <v>72.92479999999999</v>
      </c>
      <c r="AW212" s="22" t="inlineStr">
        <is>
          <t>0-5亿元</t>
        </is>
      </c>
      <c r="AX212" s="22" t="inlineStr">
        <is>
          <t>2026-06-25</t>
        </is>
      </c>
      <c r="AY212" s="22" t="inlineStr">
        <is>
          <t>珠海聚亿基金管理有限公司</t>
        </is>
      </c>
      <c r="AZ212" s="22" t="inlineStr">
        <is>
          <t>2026-06-25</t>
        </is>
      </c>
      <c r="BA212" s="22" t="inlineStr">
        <is>
          <t>https://gs.amac.org.cn/amac-infodisc/res/pof/manager/1706231108101144.html</t>
        </is>
      </c>
      <c r="BB212" s="22" t="inlineStr">
        <is>
          <t>聚亿具臻私募证券投资基金</t>
        </is>
      </c>
      <c r="BC212" s="22" t="inlineStr">
        <is>
          <t>2026-07-28</t>
        </is>
      </c>
      <c r="BD212" s="22" t="inlineStr">
        <is>
          <t>已匹配</t>
        </is>
      </c>
      <c r="BE212" t="inlineStr">
        <is>
          <t>https://gs.amac.org.cn/amac-infodisc/res/pof/fund/2008201725129997.html</t>
        </is>
      </c>
      <c r="BF212" t="inlineStr">
        <is>
          <t>已核验</t>
        </is>
      </c>
    </row>
    <row r="213" hidden="1" ht="28" customHeight="1" s="73">
      <c r="A213" s="2" t="n">
        <v>197</v>
      </c>
      <c r="B213" s="18" t="inlineStr">
        <is>
          <t>盛泉恒元量化套利31号</t>
        </is>
      </c>
      <c r="C213" s="18">
        <f>'sheet4-原始数据'!B198</f>
        <v/>
      </c>
      <c r="D213" s="18" t="inlineStr">
        <is>
          <t>南京盛泉恒元投资</t>
        </is>
      </c>
      <c r="E213" s="90" t="inlineStr">
        <is>
          <t>2020-08-26</t>
        </is>
      </c>
      <c r="F213" s="20" t="n">
        <v>6.0534</v>
      </c>
      <c r="G213" s="2">
        <f>IF(F213="","",IF(F213&lt;1,"不入池","入池"))</f>
        <v/>
      </c>
      <c r="H213" s="42" t="inlineStr">
        <is>
          <t>100亿元以上</t>
        </is>
      </c>
      <c r="I213" s="20" t="n">
        <v>100</v>
      </c>
      <c r="J213" s="43" t="inlineStr">
        <is>
          <t>无低于1000万元标识</t>
        </is>
      </c>
      <c r="K213" s="20" t="n">
        <v>100</v>
      </c>
      <c r="L213" s="20" t="n">
        <v>100</v>
      </c>
      <c r="M213" s="44" t="n">
        <v>0.09130000000000001</v>
      </c>
      <c r="N213" s="44" t="n">
        <v>0.0626</v>
      </c>
      <c r="O213" s="45" t="n"/>
      <c r="P213" s="46" t="n">
        <v>0.04853429502863027</v>
      </c>
      <c r="Q213" s="20" t="n">
        <v>73.61</v>
      </c>
      <c r="R213" s="20" t="n">
        <v>35</v>
      </c>
      <c r="S213" s="20" t="n">
        <v>58.17</v>
      </c>
      <c r="T213" s="44" t="n">
        <v>0.7692</v>
      </c>
      <c r="U213" s="44" t="n">
        <v>0.7297</v>
      </c>
      <c r="V213" s="46" t="n">
        <v>0.7083041666666666</v>
      </c>
      <c r="W213" s="20" t="n">
        <v>76.92</v>
      </c>
      <c r="X213" s="20" t="n">
        <v>70.83041666666666</v>
      </c>
      <c r="Y213" s="20" t="n">
        <v>74.48</v>
      </c>
      <c r="Z213" s="46" t="n">
        <v>0.05491068743609791</v>
      </c>
      <c r="AA213" s="44" t="n">
        <v>0.06619999999999999</v>
      </c>
      <c r="AB213" s="46" t="n">
        <v>0.06619999999999999</v>
      </c>
      <c r="AC213" s="20" t="n">
        <v>36.59</v>
      </c>
      <c r="AD213" s="91" t="n">
        <v>1.6627</v>
      </c>
      <c r="AE213" s="46" t="n">
        <v>0.06619999999999999</v>
      </c>
      <c r="AF213" s="20" t="n">
        <v>0.7331464505835389</v>
      </c>
      <c r="AG213" s="20" t="n">
        <v>42.66</v>
      </c>
      <c r="AH213" s="20" t="n">
        <v>27.94</v>
      </c>
      <c r="AI213" s="20" t="n">
        <v>36.77</v>
      </c>
      <c r="AJ213" s="46" t="n">
        <v>0.0626</v>
      </c>
      <c r="AK213" s="20" t="n">
        <v>100</v>
      </c>
      <c r="AL213" s="20" t="n">
        <v>100</v>
      </c>
      <c r="AM213" s="20" t="n">
        <v>63.06</v>
      </c>
      <c r="AN213" s="20" t="n">
        <v>36.59</v>
      </c>
      <c r="AO213" s="20" t="n">
        <v>36.77</v>
      </c>
      <c r="AP213" s="20" t="n">
        <v>100</v>
      </c>
      <c r="AQ213" s="92" t="n">
        <v>1</v>
      </c>
      <c r="AR213" s="20" t="n">
        <v>57.79139</v>
      </c>
      <c r="AS213" s="20" t="n">
        <v>57.79</v>
      </c>
      <c r="AT213" s="49" t="n">
        <v>183</v>
      </c>
      <c r="AU213" s="50">
        <f>IF(I213="","管理人规模；","")&amp;IF(J213="","产品规模标识；","")&amp;IF(AND(F213&lt;3,O213=""),"R_incep；","")&amp;IF(N213="","近三年收益；","")&amp;IF(U213="","近三年胜率；","")&amp;IF(AND(V213&lt;&gt;"",OR(V213&lt;0,V213&gt;1)),"胜率窗口口径不一致；","")&amp;IF(AA213="","近三年回撤；","")&amp;IF(AD213="","短期卡玛；","")&amp;IF(AND(P213&lt;&gt;"",AE213=""),"DD_long不可识别；","")</f>
        <v/>
      </c>
      <c r="AV213" s="51" t="n">
        <v>57.79139</v>
      </c>
      <c r="AW213" s="22" t="inlineStr">
        <is>
          <t>100亿元以上</t>
        </is>
      </c>
      <c r="AX213" s="22" t="inlineStr">
        <is>
          <t>2026-02-24</t>
        </is>
      </c>
      <c r="AY213" s="22" t="inlineStr">
        <is>
          <t>南京盛泉恒元投资有限公司</t>
        </is>
      </c>
      <c r="AZ213" s="22" t="inlineStr">
        <is>
          <t>2026-02-24</t>
        </is>
      </c>
      <c r="BA213" s="22" t="inlineStr">
        <is>
          <t>https://gs.amac.org.cn/amac-infodisc/res/pof/manager/101000008304.html</t>
        </is>
      </c>
      <c r="BB213" s="22" t="inlineStr">
        <is>
          <t>盛泉恒元量化套利31号私募证券投资基金</t>
        </is>
      </c>
      <c r="BC213" s="22" t="inlineStr">
        <is>
          <t>2025-06-30</t>
        </is>
      </c>
      <c r="BD213" s="22" t="inlineStr">
        <is>
          <t>已匹配</t>
        </is>
      </c>
      <c r="BE213" t="inlineStr">
        <is>
          <t>https://gs.amac.org.cn/amac-infodisc/res/pof/fund/2008261728106155.html</t>
        </is>
      </c>
      <c r="BF213" t="inlineStr">
        <is>
          <t>已核验</t>
        </is>
      </c>
    </row>
    <row r="214" hidden="1" ht="28" customHeight="1" s="73">
      <c r="A214" s="2" t="n">
        <v>198</v>
      </c>
      <c r="B214" s="18" t="inlineStr">
        <is>
          <t>俊丹湾谷二号</t>
        </is>
      </c>
      <c r="C214" s="18">
        <f>'sheet4-原始数据'!B199</f>
        <v/>
      </c>
      <c r="D214" s="18" t="inlineStr">
        <is>
          <t>上海俊丹</t>
        </is>
      </c>
      <c r="E214" s="90" t="inlineStr">
        <is>
          <t>2020-08-26</t>
        </is>
      </c>
      <c r="F214" s="20" t="n">
        <v>6.0534</v>
      </c>
      <c r="G214" s="2">
        <f>IF(F214="","",IF(F214&lt;1,"不入池","入池"))</f>
        <v/>
      </c>
      <c r="H214" s="42" t="inlineStr">
        <is>
          <t>10-20亿元</t>
        </is>
      </c>
      <c r="I214" s="20" t="n">
        <v>80</v>
      </c>
      <c r="J214" s="43" t="inlineStr">
        <is>
          <t>无低于1000万元标识</t>
        </is>
      </c>
      <c r="K214" s="20" t="n">
        <v>100</v>
      </c>
      <c r="L214" s="20" t="n">
        <v>100</v>
      </c>
      <c r="M214" s="44" t="n">
        <v>0.0416</v>
      </c>
      <c r="N214" s="44" t="n">
        <v>0.0527</v>
      </c>
      <c r="O214" s="45" t="n"/>
      <c r="P214" s="46" t="n">
        <v>0.0582942799664905</v>
      </c>
      <c r="Q214" s="20" t="n">
        <v>41.15</v>
      </c>
      <c r="R214" s="20" t="n">
        <v>47.5</v>
      </c>
      <c r="S214" s="20" t="n">
        <v>43.69</v>
      </c>
      <c r="T214" s="44" t="n">
        <v>0.7692</v>
      </c>
      <c r="U214" s="44" t="n">
        <v>0.7837999999999999</v>
      </c>
      <c r="V214" s="46" t="n">
        <v>0.7917083333333332</v>
      </c>
      <c r="W214" s="20" t="n">
        <v>76.92</v>
      </c>
      <c r="X214" s="20" t="n">
        <v>79.17083333333332</v>
      </c>
      <c r="Y214" s="20" t="n">
        <v>77.81999999999999</v>
      </c>
      <c r="Z214" s="46" t="n">
        <v>0.0126232741617357</v>
      </c>
      <c r="AA214" s="44" t="n">
        <v>0.0126</v>
      </c>
      <c r="AB214" s="46" t="n">
        <v>0.0126232741617357</v>
      </c>
      <c r="AC214" s="20" t="n">
        <v>82.58</v>
      </c>
      <c r="AD214" s="91" t="n">
        <v>3.2955</v>
      </c>
      <c r="AE214" s="46" t="n"/>
      <c r="AF214" s="20" t="n"/>
      <c r="AG214" s="20" t="n">
        <v>56.29</v>
      </c>
      <c r="AH214" s="20" t="n"/>
      <c r="AI214" s="20" t="n">
        <v>56.29</v>
      </c>
      <c r="AJ214" s="46" t="n">
        <v>0.0527</v>
      </c>
      <c r="AK214" s="20" t="n">
        <v>80</v>
      </c>
      <c r="AL214" s="20" t="n">
        <v>92</v>
      </c>
      <c r="AM214" s="20" t="n">
        <v>53.93</v>
      </c>
      <c r="AN214" s="20" t="n">
        <v>82.58</v>
      </c>
      <c r="AO214" s="20" t="n">
        <v>56.29</v>
      </c>
      <c r="AP214" s="20" t="n">
        <v>80</v>
      </c>
      <c r="AQ214" s="92" t="n">
        <v>0.88</v>
      </c>
      <c r="AR214" s="20" t="n">
        <v>63.36302</v>
      </c>
      <c r="AS214" s="20" t="n">
        <v>72</v>
      </c>
      <c r="AT214" s="49" t="n">
        <v>106</v>
      </c>
      <c r="AU214" s="50">
        <f>IF(I214="","管理人规模；","")&amp;IF(J214="","产品规模标识；","")&amp;IF(AND(F214&lt;3,O214=""),"R_incep；","")&amp;IF(N214="","近三年收益；","")&amp;IF(U214="","近三年胜率；","")&amp;IF(AND(V214&lt;&gt;"",OR(V214&lt;0,V214&gt;1)),"胜率窗口口径不一致；","")&amp;IF(AA214="","近三年回撤；","")&amp;IF(AD214="","短期卡玛；","")&amp;IF(AND(P214&lt;&gt;"",AE214=""),"DD_long不可识别；","")</f>
        <v/>
      </c>
      <c r="AV214" s="51" t="n"/>
      <c r="AW214" s="22" t="inlineStr">
        <is>
          <t>10-20亿元</t>
        </is>
      </c>
      <c r="AX214" s="22" t="inlineStr">
        <is>
          <t>2025-12-03</t>
        </is>
      </c>
      <c r="AY214" s="22" t="inlineStr">
        <is>
          <t>上海俊丹私募基金管理有限公司</t>
        </is>
      </c>
      <c r="AZ214" s="22" t="inlineStr">
        <is>
          <t>2025-12-03</t>
        </is>
      </c>
      <c r="BA214" s="22" t="inlineStr">
        <is>
          <t>https://gs.amac.org.cn/amac-infodisc/res/pof/manager/1907181104109037.html</t>
        </is>
      </c>
      <c r="BB214" s="22" t="inlineStr">
        <is>
          <t>俊丹湾谷二号私募证券投资基金</t>
        </is>
      </c>
      <c r="BC214" s="22" t="inlineStr">
        <is>
          <t>2023-05-18</t>
        </is>
      </c>
      <c r="BD214" s="22" t="inlineStr">
        <is>
          <t>已匹配</t>
        </is>
      </c>
      <c r="BE214" t="inlineStr">
        <is>
          <t>https://gs.amac.org.cn/amac-infodisc/res/pof/fund/2008311647105017.html</t>
        </is>
      </c>
      <c r="BF214" t="inlineStr">
        <is>
          <t>已核验</t>
        </is>
      </c>
    </row>
    <row r="215" hidden="1" ht="28" customHeight="1" s="73">
      <c r="A215" s="2" t="n">
        <v>199</v>
      </c>
      <c r="B215" s="18" t="inlineStr">
        <is>
          <t>永泉奇点17号混合投资</t>
        </is>
      </c>
      <c r="C215" s="18">
        <f>'sheet4-原始数据'!B200</f>
        <v/>
      </c>
      <c r="D215" s="18" t="inlineStr">
        <is>
          <t>宁波永泉</t>
        </is>
      </c>
      <c r="E215" s="90" t="inlineStr">
        <is>
          <t>2020-11-20</t>
        </is>
      </c>
      <c r="F215" s="20" t="n">
        <v>5.8179</v>
      </c>
      <c r="G215" s="2">
        <f>IF(F215="","",IF(F215&lt;1,"不入池","入池"))</f>
        <v/>
      </c>
      <c r="H215" s="42" t="inlineStr">
        <is>
          <t>0-5亿元</t>
        </is>
      </c>
      <c r="I215" s="20" t="n">
        <v>60</v>
      </c>
      <c r="J215" s="43" t="inlineStr">
        <is>
          <t>无低于1000万元标识</t>
        </is>
      </c>
      <c r="K215" s="20" t="n">
        <v>100</v>
      </c>
      <c r="L215" s="20" t="n">
        <v>100</v>
      </c>
      <c r="M215" s="44" t="n">
        <v>0.052</v>
      </c>
      <c r="N215" s="44" t="n">
        <v>0.1173</v>
      </c>
      <c r="O215" s="45" t="n"/>
      <c r="P215" s="46" t="n">
        <v>0.1514546242176149</v>
      </c>
      <c r="Q215" s="20" t="n">
        <v>46.53</v>
      </c>
      <c r="R215" s="20" t="n">
        <v>89.5</v>
      </c>
      <c r="S215" s="20" t="n">
        <v>63.72</v>
      </c>
      <c r="T215" s="44" t="n">
        <v>0.8462000000000001</v>
      </c>
      <c r="U215" s="44" t="n">
        <v>0.8108</v>
      </c>
      <c r="V215" s="46" t="n">
        <v>0.7916249999999998</v>
      </c>
      <c r="W215" s="20" t="n">
        <v>84.62</v>
      </c>
      <c r="X215" s="20" t="n">
        <v>79.16249999999998</v>
      </c>
      <c r="Y215" s="20" t="n">
        <v>82.44</v>
      </c>
      <c r="Z215" s="46" t="n">
        <v>0.003659575067033563</v>
      </c>
      <c r="AA215" s="44" t="n">
        <v>0.0108</v>
      </c>
      <c r="AB215" s="46" t="n">
        <v>0.0108</v>
      </c>
      <c r="AC215" s="20" t="n">
        <v>85.02</v>
      </c>
      <c r="AD215" s="91" t="n">
        <v>14.2093</v>
      </c>
      <c r="AE215" s="46" t="n">
        <v>0.0108</v>
      </c>
      <c r="AF215" s="20" t="n">
        <v>14.02357631644582</v>
      </c>
      <c r="AG215" s="20" t="n">
        <v>86.36</v>
      </c>
      <c r="AH215" s="20" t="n">
        <v>94.12</v>
      </c>
      <c r="AI215" s="20" t="n">
        <v>89.45999999999999</v>
      </c>
      <c r="AJ215" s="46" t="n">
        <v>0.1173</v>
      </c>
      <c r="AK215" s="20" t="n">
        <v>80</v>
      </c>
      <c r="AL215" s="20" t="n">
        <v>84</v>
      </c>
      <c r="AM215" s="20" t="n">
        <v>69.33</v>
      </c>
      <c r="AN215" s="20" t="n">
        <v>85.02</v>
      </c>
      <c r="AO215" s="20" t="n">
        <v>89.45999999999999</v>
      </c>
      <c r="AP215" s="20" t="n">
        <v>80</v>
      </c>
      <c r="AQ215" s="92" t="n">
        <v>1</v>
      </c>
      <c r="AR215" s="20" t="n">
        <v>82.56094</v>
      </c>
      <c r="AS215" s="20" t="n">
        <v>82.56</v>
      </c>
      <c r="AT215" s="49" t="n">
        <v>48</v>
      </c>
      <c r="AU215" s="50">
        <f>IF(I215="","管理人规模；","")&amp;IF(J215="","产品规模标识；","")&amp;IF(AND(F215&lt;3,O215=""),"R_incep；","")&amp;IF(N215="","近三年收益；","")&amp;IF(U215="","近三年胜率；","")&amp;IF(AND(V215&lt;&gt;"",OR(V215&lt;0,V215&gt;1)),"胜率窗口口径不一致；","")&amp;IF(AA215="","近三年回撤；","")&amp;IF(AD215="","短期卡玛；","")&amp;IF(AND(P215&lt;&gt;"",AE215=""),"DD_long不可识别；","")</f>
        <v/>
      </c>
      <c r="AV215" s="51" t="n">
        <v>82.56094</v>
      </c>
      <c r="AW215" s="22" t="inlineStr">
        <is>
          <t>0-5亿元</t>
        </is>
      </c>
      <c r="AX215" s="22" t="inlineStr">
        <is>
          <t>2026-05-11</t>
        </is>
      </c>
      <c r="AY215" s="22" t="inlineStr">
        <is>
          <t>宁波永泉私募基金管理有限公司</t>
        </is>
      </c>
      <c r="AZ215" s="22" t="inlineStr">
        <is>
          <t>2026-09-09</t>
        </is>
      </c>
      <c r="BA215" s="22" t="inlineStr">
        <is>
          <t>https://gs.amac.org.cn/amac-infodisc/res/pof/manager/101000016974.html</t>
        </is>
      </c>
      <c r="BB215" s="22" t="inlineStr">
        <is>
          <t>永泉奇点17号混合投资私募基金</t>
        </is>
      </c>
      <c r="BC215" s="22" t="inlineStr">
        <is>
          <t>2026-07-08</t>
        </is>
      </c>
      <c r="BD215" s="22" t="inlineStr">
        <is>
          <t>已匹配</t>
        </is>
      </c>
      <c r="BE215" t="inlineStr">
        <is>
          <t>https://gs.amac.org.cn/amac-infodisc/res/pof/fund/2011301715100423.html</t>
        </is>
      </c>
      <c r="BF215" t="inlineStr">
        <is>
          <t>已核验</t>
        </is>
      </c>
    </row>
    <row r="216" hidden="1" ht="28" customHeight="1" s="73">
      <c r="A216" s="2" t="n">
        <v>200</v>
      </c>
      <c r="B216" s="18" t="inlineStr">
        <is>
          <t>多打粮磬晟</t>
        </is>
      </c>
      <c r="C216" s="18">
        <f>'sheet4-原始数据'!B201</f>
        <v/>
      </c>
      <c r="D216" s="18" t="inlineStr">
        <is>
          <t>上海磬晟</t>
        </is>
      </c>
      <c r="E216" s="90" t="inlineStr">
        <is>
          <t>2020-12-10</t>
        </is>
      </c>
      <c r="F216" s="20" t="n">
        <v>5.7632</v>
      </c>
      <c r="G216" s="2">
        <f>IF(F216="","",IF(F216&lt;1,"不入池","入池"))</f>
        <v/>
      </c>
      <c r="H216" s="42" t="inlineStr">
        <is>
          <t>5-10亿元</t>
        </is>
      </c>
      <c r="I216" s="20" t="n">
        <v>70</v>
      </c>
      <c r="J216" s="43" t="inlineStr">
        <is>
          <t>无低于1000万元标识</t>
        </is>
      </c>
      <c r="K216" s="20" t="n">
        <v>100</v>
      </c>
      <c r="L216" s="20" t="n">
        <v>100</v>
      </c>
      <c r="M216" s="44" t="n">
        <v>0</v>
      </c>
      <c r="N216" s="44" t="n">
        <v>-0.01</v>
      </c>
      <c r="O216" s="45" t="n"/>
      <c r="P216" s="46" t="n">
        <v>-0.01496243726444624</v>
      </c>
      <c r="Q216" s="20" t="n">
        <v>17.01</v>
      </c>
      <c r="R216" s="20" t="n">
        <v>3.5</v>
      </c>
      <c r="S216" s="20" t="n">
        <v>11.61</v>
      </c>
      <c r="T216" s="44" t="n">
        <v>0.6153999999999999</v>
      </c>
      <c r="U216" s="44" t="n">
        <v>0.5405</v>
      </c>
      <c r="V216" s="46" t="n">
        <v>0.4999291666666667</v>
      </c>
      <c r="W216" s="20" t="n">
        <v>61.53999999999999</v>
      </c>
      <c r="X216" s="20" t="n">
        <v>49.99291666666667</v>
      </c>
      <c r="Y216" s="20" t="n">
        <v>56.92</v>
      </c>
      <c r="Z216" s="46" t="n">
        <v>0</v>
      </c>
      <c r="AA216" s="44" t="n">
        <v>0.1151</v>
      </c>
      <c r="AB216" s="46" t="n">
        <v>0.1151</v>
      </c>
      <c r="AC216" s="20" t="n">
        <v>23.69</v>
      </c>
      <c r="AD216" s="91" t="n">
        <v>0.0001</v>
      </c>
      <c r="AE216" s="46" t="n">
        <v>0.1151</v>
      </c>
      <c r="AF216" s="20" t="n">
        <v>-0.129995110898751</v>
      </c>
      <c r="AG216" s="20" t="n">
        <v>17.13</v>
      </c>
      <c r="AH216" s="20" t="n">
        <v>1.47</v>
      </c>
      <c r="AI216" s="20" t="n">
        <v>10.87</v>
      </c>
      <c r="AJ216" s="46" t="n">
        <v>-0.01</v>
      </c>
      <c r="AK216" s="20" t="n">
        <v>100</v>
      </c>
      <c r="AL216" s="20" t="n">
        <v>88</v>
      </c>
      <c r="AM216" s="20" t="n">
        <v>25.2</v>
      </c>
      <c r="AN216" s="20" t="n">
        <v>23.69</v>
      </c>
      <c r="AO216" s="20" t="n">
        <v>10.87</v>
      </c>
      <c r="AP216" s="20" t="n">
        <v>100</v>
      </c>
      <c r="AQ216" s="92" t="n">
        <v>1</v>
      </c>
      <c r="AR216" s="20" t="n">
        <v>37.42241</v>
      </c>
      <c r="AS216" s="20" t="n">
        <v>37.42</v>
      </c>
      <c r="AT216" s="49" t="n">
        <v>279</v>
      </c>
      <c r="AU216" s="50">
        <f>IF(I216="","管理人规模；","")&amp;IF(J216="","产品规模标识；","")&amp;IF(AND(F216&lt;3,O216=""),"R_incep；","")&amp;IF(N216="","近三年收益；","")&amp;IF(U216="","近三年胜率；","")&amp;IF(AND(V216&lt;&gt;"",OR(V216&lt;0,V216&gt;1)),"胜率窗口口径不一致；","")&amp;IF(AA216="","近三年回撤；","")&amp;IF(AD216="","短期卡玛；","")&amp;IF(AND(P216&lt;&gt;"",AE216=""),"DD_long不可识别；","")</f>
        <v/>
      </c>
      <c r="AV216" s="51" t="n">
        <v>37.42241</v>
      </c>
      <c r="AW216" s="22" t="inlineStr">
        <is>
          <t>5-10亿元</t>
        </is>
      </c>
      <c r="AX216" s="22" t="inlineStr">
        <is>
          <t>2025-02-05</t>
        </is>
      </c>
      <c r="AY216" s="22" t="inlineStr">
        <is>
          <t>上海磬晟私募基金管理有限公司</t>
        </is>
      </c>
      <c r="AZ216" s="22" t="inlineStr">
        <is>
          <t>2025-02-05</t>
        </is>
      </c>
      <c r="BA216" s="22" t="inlineStr">
        <is>
          <t>https://gs.amac.org.cn/amac-infodisc/res/pof/manager/1612231709103386.html</t>
        </is>
      </c>
      <c r="BB216" s="22" t="inlineStr">
        <is>
          <t>多打粮磬晟私募证券投资基金</t>
        </is>
      </c>
      <c r="BC216" s="22" t="inlineStr">
        <is>
          <t>2025-11-28</t>
        </is>
      </c>
      <c r="BD216" s="22" t="inlineStr">
        <is>
          <t>已匹配</t>
        </is>
      </c>
      <c r="BE216" t="inlineStr">
        <is>
          <t>https://gs.amac.org.cn/amac-infodisc/res/pof/fund/2012141440107801.html</t>
        </is>
      </c>
      <c r="BF216" t="inlineStr">
        <is>
          <t>已核验</t>
        </is>
      </c>
    </row>
    <row r="217" hidden="1" ht="28" customHeight="1" s="73">
      <c r="A217" s="2" t="n">
        <v>201</v>
      </c>
      <c r="B217" s="18" t="inlineStr">
        <is>
          <t>元康投资-稳健添利1号</t>
        </is>
      </c>
      <c r="C217" s="18">
        <f>'sheet4-原始数据'!B202</f>
        <v/>
      </c>
      <c r="D217" s="18" t="inlineStr">
        <is>
          <t>上海元康投资</t>
        </is>
      </c>
      <c r="E217" s="90" t="inlineStr">
        <is>
          <t>2020-12-30</t>
        </is>
      </c>
      <c r="F217" s="20" t="n">
        <v>5.7084</v>
      </c>
      <c r="G217" s="2">
        <f>IF(F217="","",IF(F217&lt;1,"不入池","入池"))</f>
        <v/>
      </c>
      <c r="H217" s="42" t="inlineStr">
        <is>
          <t>5-10亿元</t>
        </is>
      </c>
      <c r="I217" s="20" t="n">
        <v>70</v>
      </c>
      <c r="J217" s="43" t="inlineStr">
        <is>
          <t>无低于1000万元标识</t>
        </is>
      </c>
      <c r="K217" s="20" t="n">
        <v>100</v>
      </c>
      <c r="L217" s="20" t="n">
        <v>100</v>
      </c>
      <c r="M217" s="44" t="n">
        <v>0.009599999999999999</v>
      </c>
      <c r="N217" s="44" t="n">
        <v>0.0417</v>
      </c>
      <c r="O217" s="45" t="n"/>
      <c r="P217" s="46" t="n">
        <v>0.0581307252174319</v>
      </c>
      <c r="Q217" s="20" t="n">
        <v>19.44</v>
      </c>
      <c r="R217" s="20" t="n">
        <v>47</v>
      </c>
      <c r="S217" s="20" t="n">
        <v>30.46</v>
      </c>
      <c r="T217" s="44" t="n">
        <v>0.3846</v>
      </c>
      <c r="U217" s="44" t="n">
        <v>0.5135000000000001</v>
      </c>
      <c r="V217" s="46" t="n">
        <v>0.5833208333333334</v>
      </c>
      <c r="W217" s="20" t="n">
        <v>38.46</v>
      </c>
      <c r="X217" s="20" t="n">
        <v>58.33208333333334</v>
      </c>
      <c r="Y217" s="20" t="n">
        <v>46.41</v>
      </c>
      <c r="Z217" s="46" t="n">
        <v>0.00889300602130616</v>
      </c>
      <c r="AA217" s="44" t="n">
        <v>0.0122</v>
      </c>
      <c r="AB217" s="46" t="n">
        <v>0.0122</v>
      </c>
      <c r="AC217" s="20" t="n">
        <v>83.28</v>
      </c>
      <c r="AD217" s="91" t="n">
        <v>1.0795</v>
      </c>
      <c r="AE217" s="46" t="n">
        <v>0.0122</v>
      </c>
      <c r="AF217" s="20" t="n">
        <v>4.764813542412451</v>
      </c>
      <c r="AG217" s="20" t="n">
        <v>35.31</v>
      </c>
      <c r="AH217" s="20" t="n">
        <v>84.56</v>
      </c>
      <c r="AI217" s="20" t="n">
        <v>55.01</v>
      </c>
      <c r="AJ217" s="46" t="n">
        <v>0.0417</v>
      </c>
      <c r="AK217" s="20" t="n">
        <v>80</v>
      </c>
      <c r="AL217" s="20" t="n">
        <v>88</v>
      </c>
      <c r="AM217" s="20" t="n">
        <v>35.25</v>
      </c>
      <c r="AN217" s="20" t="n">
        <v>83.28</v>
      </c>
      <c r="AO217" s="20" t="n">
        <v>55.01</v>
      </c>
      <c r="AP217" s="20" t="n">
        <v>80</v>
      </c>
      <c r="AQ217" s="92" t="n">
        <v>1</v>
      </c>
      <c r="AR217" s="20" t="n">
        <v>65.57249</v>
      </c>
      <c r="AS217" s="20" t="n">
        <v>65.56999999999999</v>
      </c>
      <c r="AT217" s="49" t="n">
        <v>143</v>
      </c>
      <c r="AU217" s="50">
        <f>IF(I217="","管理人规模；","")&amp;IF(J217="","产品规模标识；","")&amp;IF(AND(F217&lt;3,O217=""),"R_incep；","")&amp;IF(N217="","近三年收益；","")&amp;IF(U217="","近三年胜率；","")&amp;IF(AND(V217&lt;&gt;"",OR(V217&lt;0,V217&gt;1)),"胜率窗口口径不一致；","")&amp;IF(AA217="","近三年回撤；","")&amp;IF(AD217="","短期卡玛；","")&amp;IF(AND(P217&lt;&gt;"",AE217=""),"DD_long不可识别；","")</f>
        <v/>
      </c>
      <c r="AV217" s="51" t="n">
        <v>65.57249</v>
      </c>
      <c r="AW217" s="22" t="inlineStr">
        <is>
          <t>5-10亿元</t>
        </is>
      </c>
      <c r="AX217" s="22" t="inlineStr">
        <is>
          <t>2026-06-17</t>
        </is>
      </c>
      <c r="AY217" s="22" t="inlineStr">
        <is>
          <t>上海元康投资管理有限公司</t>
        </is>
      </c>
      <c r="AZ217" s="22" t="inlineStr">
        <is>
          <t>2026-06-17</t>
        </is>
      </c>
      <c r="BA217" s="22" t="inlineStr">
        <is>
          <t>https://gs.amac.org.cn/amac-infodisc/res/pof/manager/101000012102.html</t>
        </is>
      </c>
      <c r="BB217" s="22" t="inlineStr">
        <is>
          <t>元康投资-稳健添利1号私募证券投资基金</t>
        </is>
      </c>
      <c r="BC217" s="22" t="inlineStr">
        <is>
          <t>2025-10-17</t>
        </is>
      </c>
      <c r="BD217" s="22" t="inlineStr">
        <is>
          <t>已匹配</t>
        </is>
      </c>
      <c r="BE217" t="inlineStr">
        <is>
          <t>https://gs.amac.org.cn/amac-infodisc/res/pof/fund/2012301646100082.html</t>
        </is>
      </c>
      <c r="BF217" t="inlineStr">
        <is>
          <t>已核验</t>
        </is>
      </c>
    </row>
    <row r="218" hidden="1" ht="28" customHeight="1" s="73">
      <c r="A218" s="2" t="n">
        <v>202</v>
      </c>
      <c r="B218" s="18" t="inlineStr">
        <is>
          <t>鹿秀驯鹿20号</t>
        </is>
      </c>
      <c r="C218" s="18">
        <f>'sheet4-原始数据'!B203</f>
        <v/>
      </c>
      <c r="D218" s="18" t="inlineStr">
        <is>
          <t>青岛鹿秀投资</t>
        </is>
      </c>
      <c r="E218" s="90" t="inlineStr">
        <is>
          <t>2021-01-27</t>
        </is>
      </c>
      <c r="F218" s="20" t="n">
        <v>5.6318</v>
      </c>
      <c r="G218" s="2">
        <f>IF(F218="","",IF(F218&lt;1,"不入池","入池"))</f>
        <v/>
      </c>
      <c r="H218" s="42" t="inlineStr">
        <is>
          <t>50-100亿元</t>
        </is>
      </c>
      <c r="I218" s="20" t="n">
        <v>90</v>
      </c>
      <c r="J218" s="43" t="inlineStr">
        <is>
          <t>无低于1000万元标识</t>
        </is>
      </c>
      <c r="K218" s="20" t="n">
        <v>100</v>
      </c>
      <c r="L218" s="20" t="n">
        <v>100</v>
      </c>
      <c r="M218" s="44" t="n">
        <v>0.2549</v>
      </c>
      <c r="N218" s="44" t="n">
        <v>0.2298</v>
      </c>
      <c r="O218" s="45" t="n"/>
      <c r="P218" s="46" t="n">
        <v>0.2174388973562165</v>
      </c>
      <c r="Q218" s="20" t="n">
        <v>94.09999999999999</v>
      </c>
      <c r="R218" s="20" t="n">
        <v>93.5</v>
      </c>
      <c r="S218" s="20" t="n">
        <v>93.86</v>
      </c>
      <c r="T218" s="44" t="n">
        <v>0.6153999999999999</v>
      </c>
      <c r="U218" s="44" t="n">
        <v>0.5405</v>
      </c>
      <c r="V218" s="46" t="n">
        <v>0.4999291666666667</v>
      </c>
      <c r="W218" s="20" t="n">
        <v>61.53999999999999</v>
      </c>
      <c r="X218" s="20" t="n">
        <v>49.99291666666667</v>
      </c>
      <c r="Y218" s="20" t="n">
        <v>56.92</v>
      </c>
      <c r="Z218" s="46" t="n">
        <v>0.1347607718741739</v>
      </c>
      <c r="AA218" s="44" t="n">
        <v>0.2735</v>
      </c>
      <c r="AB218" s="46" t="n">
        <v>0.2735</v>
      </c>
      <c r="AC218" s="20" t="n">
        <v>6.27</v>
      </c>
      <c r="AD218" s="91" t="n">
        <v>1.8915</v>
      </c>
      <c r="AE218" s="46" t="n">
        <v>0.2735</v>
      </c>
      <c r="AF218" s="20" t="n">
        <v>0.7950233906991461</v>
      </c>
      <c r="AG218" s="20" t="n">
        <v>45.8</v>
      </c>
      <c r="AH218" s="20" t="n">
        <v>30.88</v>
      </c>
      <c r="AI218" s="20" t="n">
        <v>39.83</v>
      </c>
      <c r="AJ218" s="46" t="n">
        <v>0.2298</v>
      </c>
      <c r="AK218" s="20" t="n">
        <v>100</v>
      </c>
      <c r="AL218" s="20" t="n">
        <v>96</v>
      </c>
      <c r="AM218" s="20" t="n">
        <v>82.78</v>
      </c>
      <c r="AN218" s="20" t="n">
        <v>6.27</v>
      </c>
      <c r="AO218" s="20" t="n">
        <v>39.83</v>
      </c>
      <c r="AP218" s="20" t="n">
        <v>100</v>
      </c>
      <c r="AQ218" s="92" t="n">
        <v>1</v>
      </c>
      <c r="AR218" s="20" t="n">
        <v>54.47277</v>
      </c>
      <c r="AS218" s="20" t="n">
        <v>54.47</v>
      </c>
      <c r="AT218" s="49" t="n">
        <v>199</v>
      </c>
      <c r="AU218" s="50">
        <f>IF(I218="","管理人规模；","")&amp;IF(J218="","产品规模标识；","")&amp;IF(AND(F218&lt;3,O218=""),"R_incep；","")&amp;IF(N218="","近三年收益；","")&amp;IF(U218="","近三年胜率；","")&amp;IF(AND(V218&lt;&gt;"",OR(V218&lt;0,V218&gt;1)),"胜率窗口口径不一致；","")&amp;IF(AA218="","近三年回撤；","")&amp;IF(AD218="","短期卡玛；","")&amp;IF(AND(P218&lt;&gt;"",AE218=""),"DD_long不可识别；","")</f>
        <v/>
      </c>
      <c r="AV218" s="51" t="n">
        <v>54.47277</v>
      </c>
      <c r="AW218" s="22" t="inlineStr">
        <is>
          <t>50-100亿元</t>
        </is>
      </c>
      <c r="AX218" s="22" t="inlineStr">
        <is>
          <t>2025-01-10</t>
        </is>
      </c>
      <c r="AY218" s="22" t="inlineStr">
        <is>
          <t>青岛鹿秀投资管理有限公司</t>
        </is>
      </c>
      <c r="AZ218" s="22" t="inlineStr">
        <is>
          <t>2025-01-10</t>
        </is>
      </c>
      <c r="BA218" s="22" t="inlineStr">
        <is>
          <t>https://gs.amac.org.cn/amac-infodisc/res/pof/manager/1612231708101923.html</t>
        </is>
      </c>
      <c r="BB218" s="22" t="inlineStr">
        <is>
          <t>鹿秀驯鹿20号私募证券投资基金</t>
        </is>
      </c>
      <c r="BC218" s="22" t="inlineStr">
        <is>
          <t>2025-04-09</t>
        </is>
      </c>
      <c r="BD218" s="22" t="inlineStr">
        <is>
          <t>已匹配</t>
        </is>
      </c>
      <c r="BE218" t="inlineStr">
        <is>
          <t>https://gs.amac.org.cn/amac-infodisc/res/pof/fund/2101261837105022.html</t>
        </is>
      </c>
      <c r="BF218" t="inlineStr">
        <is>
          <t>已核验</t>
        </is>
      </c>
    </row>
    <row r="219" hidden="1" ht="28" customHeight="1" s="73">
      <c r="A219" s="2" t="n">
        <v>203</v>
      </c>
      <c r="B219" s="18" t="inlineStr">
        <is>
          <t>宣夜投资涓流二号</t>
        </is>
      </c>
      <c r="C219" s="18">
        <f>'sheet4-原始数据'!B204</f>
        <v/>
      </c>
      <c r="D219" s="18" t="inlineStr">
        <is>
          <t>上海宣夜投资</t>
        </is>
      </c>
      <c r="E219" s="90" t="inlineStr">
        <is>
          <t>2021-05-11</t>
        </is>
      </c>
      <c r="F219" s="20" t="n">
        <v>5.347</v>
      </c>
      <c r="G219" s="2">
        <f>IF(F219="","",IF(F219&lt;1,"不入池","入池"))</f>
        <v/>
      </c>
      <c r="H219" s="42" t="inlineStr">
        <is>
          <t>20-50亿元</t>
        </is>
      </c>
      <c r="I219" s="20" t="n">
        <v>90</v>
      </c>
      <c r="J219" s="43" t="inlineStr">
        <is>
          <t>无低于1000万元标识</t>
        </is>
      </c>
      <c r="K219" s="20" t="n">
        <v>100</v>
      </c>
      <c r="L219" s="20" t="n">
        <v>100</v>
      </c>
      <c r="M219" s="44" t="n">
        <v>0.0284</v>
      </c>
      <c r="N219" s="44" t="n">
        <v>0.0405</v>
      </c>
      <c r="O219" s="45" t="n"/>
      <c r="P219" s="46" t="n">
        <v>0.04660328331134078</v>
      </c>
      <c r="Q219" s="20" t="n">
        <v>28.82</v>
      </c>
      <c r="R219" s="20" t="n">
        <v>33.5</v>
      </c>
      <c r="S219" s="20" t="n">
        <v>30.69</v>
      </c>
      <c r="T219" s="44" t="n">
        <v>0.4615</v>
      </c>
      <c r="U219" s="44" t="n">
        <v>0.6486</v>
      </c>
      <c r="V219" s="46" t="n">
        <v>0.7499458333333333</v>
      </c>
      <c r="W219" s="20" t="n">
        <v>46.15</v>
      </c>
      <c r="X219" s="20" t="n">
        <v>74.99458333333334</v>
      </c>
      <c r="Y219" s="20" t="n">
        <v>57.69</v>
      </c>
      <c r="Z219" s="46" t="n">
        <v>0.02830658825874613</v>
      </c>
      <c r="AA219" s="44" t="n">
        <v>0.0283</v>
      </c>
      <c r="AB219" s="46" t="n">
        <v>0.02830658825874613</v>
      </c>
      <c r="AC219" s="20" t="n">
        <v>60.28</v>
      </c>
      <c r="AD219" s="91" t="n">
        <v>1.0033</v>
      </c>
      <c r="AE219" s="46" t="n"/>
      <c r="AF219" s="20" t="n"/>
      <c r="AG219" s="20" t="n">
        <v>34.27</v>
      </c>
      <c r="AH219" s="20" t="n"/>
      <c r="AI219" s="20" t="n">
        <v>34.27</v>
      </c>
      <c r="AJ219" s="46" t="n">
        <v>0.0405</v>
      </c>
      <c r="AK219" s="20" t="n">
        <v>80</v>
      </c>
      <c r="AL219" s="20" t="n">
        <v>96</v>
      </c>
      <c r="AM219" s="20" t="n">
        <v>38.79</v>
      </c>
      <c r="AN219" s="20" t="n">
        <v>60.28</v>
      </c>
      <c r="AO219" s="20" t="n">
        <v>34.27</v>
      </c>
      <c r="AP219" s="20" t="n">
        <v>80</v>
      </c>
      <c r="AQ219" s="92" t="n">
        <v>0.88</v>
      </c>
      <c r="AR219" s="20" t="n">
        <v>51.39675</v>
      </c>
      <c r="AS219" s="20" t="n">
        <v>58.41</v>
      </c>
      <c r="AT219" s="49" t="n">
        <v>180</v>
      </c>
      <c r="AU219" s="50">
        <f>IF(I219="","管理人规模；","")&amp;IF(J219="","产品规模标识；","")&amp;IF(AND(F219&lt;3,O219=""),"R_incep；","")&amp;IF(N219="","近三年收益；","")&amp;IF(U219="","近三年胜率；","")&amp;IF(AND(V219&lt;&gt;"",OR(V219&lt;0,V219&gt;1)),"胜率窗口口径不一致；","")&amp;IF(AA219="","近三年回撤；","")&amp;IF(AD219="","短期卡玛；","")&amp;IF(AND(P219&lt;&gt;"",AE219=""),"DD_long不可识别；","")</f>
        <v/>
      </c>
      <c r="AV219" s="51" t="n"/>
      <c r="AW219" s="22" t="inlineStr">
        <is>
          <t>20-50亿元</t>
        </is>
      </c>
      <c r="AX219" s="22" t="inlineStr">
        <is>
          <t>2026-05-22</t>
        </is>
      </c>
      <c r="AY219" s="22" t="inlineStr">
        <is>
          <t>上海宣夜投资管理有限公司</t>
        </is>
      </c>
      <c r="AZ219" s="22" t="inlineStr">
        <is>
          <t>2026-05-22</t>
        </is>
      </c>
      <c r="BA219" s="22" t="inlineStr">
        <is>
          <t>https://gs.amac.org.cn/amac-infodisc/res/pof/manager/1609130947110564.html</t>
        </is>
      </c>
      <c r="BB219" s="22" t="inlineStr">
        <is>
          <t>宣夜投资涓流二号私募证券投资基金</t>
        </is>
      </c>
      <c r="BC219" s="22" t="inlineStr">
        <is>
          <t>2025-11-19</t>
        </is>
      </c>
      <c r="BD219" s="22" t="inlineStr">
        <is>
          <t>已匹配</t>
        </is>
      </c>
      <c r="BE219" t="inlineStr">
        <is>
          <t>https://gs.amac.org.cn/amac-infodisc/res/pof/fund/2105181107105802.html</t>
        </is>
      </c>
      <c r="BF219" t="inlineStr">
        <is>
          <t>已核验</t>
        </is>
      </c>
    </row>
    <row r="220" hidden="1" ht="28" customHeight="1" s="73">
      <c r="A220" s="2" t="n">
        <v>204</v>
      </c>
      <c r="B220" s="18" t="inlineStr">
        <is>
          <t>永泉奇点18号混合投资</t>
        </is>
      </c>
      <c r="C220" s="18">
        <f>'sheet4-原始数据'!B205</f>
        <v/>
      </c>
      <c r="D220" s="18" t="inlineStr">
        <is>
          <t>宁波永泉</t>
        </is>
      </c>
      <c r="E220" s="90" t="inlineStr">
        <is>
          <t>2021-05-18</t>
        </is>
      </c>
      <c r="F220" s="20" t="n">
        <v>5.3279</v>
      </c>
      <c r="G220" s="2">
        <f>IF(F220="","",IF(F220&lt;1,"不入池","入池"))</f>
        <v/>
      </c>
      <c r="H220" s="42" t="inlineStr">
        <is>
          <t>0-5亿元</t>
        </is>
      </c>
      <c r="I220" s="20" t="n">
        <v>60</v>
      </c>
      <c r="J220" s="43" t="inlineStr">
        <is>
          <t>无低于1000万元标识</t>
        </is>
      </c>
      <c r="K220" s="20" t="n">
        <v>100</v>
      </c>
      <c r="L220" s="20" t="n">
        <v>100</v>
      </c>
      <c r="M220" s="44" t="n">
        <v>0.0391</v>
      </c>
      <c r="N220" s="44" t="n">
        <v>0.0663</v>
      </c>
      <c r="O220" s="45" t="n"/>
      <c r="P220" s="46" t="n">
        <v>0.08016584672028082</v>
      </c>
      <c r="Q220" s="20" t="n">
        <v>36.81</v>
      </c>
      <c r="R220" s="20" t="n">
        <v>64.5</v>
      </c>
      <c r="S220" s="20" t="n">
        <v>47.89</v>
      </c>
      <c r="T220" s="44" t="n">
        <v>0.7692</v>
      </c>
      <c r="U220" s="44" t="n">
        <v>0.7568</v>
      </c>
      <c r="V220" s="46" t="n">
        <v>0.7500833333333334</v>
      </c>
      <c r="W220" s="20" t="n">
        <v>76.92</v>
      </c>
      <c r="X220" s="20" t="n">
        <v>75.00833333333334</v>
      </c>
      <c r="Y220" s="20" t="n">
        <v>76.16</v>
      </c>
      <c r="Z220" s="46" t="n">
        <v>0.009029188989469795</v>
      </c>
      <c r="AA220" s="44" t="n">
        <v>0.0174</v>
      </c>
      <c r="AB220" s="46" t="n">
        <v>0.0174</v>
      </c>
      <c r="AC220" s="20" t="n">
        <v>74.22</v>
      </c>
      <c r="AD220" s="91" t="n">
        <v>4.3304</v>
      </c>
      <c r="AE220" s="46" t="n">
        <v>0.0174</v>
      </c>
      <c r="AF220" s="20" t="n">
        <v>4.607232570131082</v>
      </c>
      <c r="AG220" s="20" t="n">
        <v>63.64</v>
      </c>
      <c r="AH220" s="20" t="n">
        <v>83.09</v>
      </c>
      <c r="AI220" s="20" t="n">
        <v>71.42</v>
      </c>
      <c r="AJ220" s="46" t="n">
        <v>0.0663</v>
      </c>
      <c r="AK220" s="20" t="n">
        <v>80</v>
      </c>
      <c r="AL220" s="20" t="n">
        <v>84</v>
      </c>
      <c r="AM220" s="20" t="n">
        <v>56.37</v>
      </c>
      <c r="AN220" s="20" t="n">
        <v>74.22</v>
      </c>
      <c r="AO220" s="20" t="n">
        <v>71.42</v>
      </c>
      <c r="AP220" s="20" t="n">
        <v>80</v>
      </c>
      <c r="AQ220" s="92" t="n">
        <v>1</v>
      </c>
      <c r="AR220" s="20" t="n">
        <v>71.85436</v>
      </c>
      <c r="AS220" s="20" t="n">
        <v>71.84999999999999</v>
      </c>
      <c r="AT220" s="49" t="n">
        <v>108</v>
      </c>
      <c r="AU220" s="50">
        <f>IF(I220="","管理人规模；","")&amp;IF(J220="","产品规模标识；","")&amp;IF(AND(F220&lt;3,O220=""),"R_incep；","")&amp;IF(N220="","近三年收益；","")&amp;IF(U220="","近三年胜率；","")&amp;IF(AND(V220&lt;&gt;"",OR(V220&lt;0,V220&gt;1)),"胜率窗口口径不一致；","")&amp;IF(AA220="","近三年回撤；","")&amp;IF(AD220="","短期卡玛；","")&amp;IF(AND(P220&lt;&gt;"",AE220=""),"DD_long不可识别；","")</f>
        <v/>
      </c>
      <c r="AV220" s="51" t="n">
        <v>71.85436</v>
      </c>
      <c r="AW220" s="22" t="inlineStr">
        <is>
          <t>0-5亿元</t>
        </is>
      </c>
      <c r="AX220" s="22" t="inlineStr">
        <is>
          <t>2026-05-11</t>
        </is>
      </c>
      <c r="AY220" s="22" t="inlineStr">
        <is>
          <t>宁波永泉私募基金管理有限公司</t>
        </is>
      </c>
      <c r="AZ220" s="22" t="inlineStr">
        <is>
          <t>2026-09-09</t>
        </is>
      </c>
      <c r="BA220" s="22" t="inlineStr">
        <is>
          <t>https://gs.amac.org.cn/amac-infodisc/res/pof/manager/101000016974.html</t>
        </is>
      </c>
      <c r="BB220" s="22" t="inlineStr">
        <is>
          <t>永泉奇点18号混合投资私募基金</t>
        </is>
      </c>
      <c r="BC220" s="22" t="inlineStr">
        <is>
          <t>2024-10-10</t>
        </is>
      </c>
      <c r="BD220" s="22" t="inlineStr">
        <is>
          <t>已匹配</t>
        </is>
      </c>
      <c r="BE220" t="inlineStr">
        <is>
          <t>https://gs.amac.org.cn/amac-infodisc/res/pof/fund/2105261800100429.html</t>
        </is>
      </c>
      <c r="BF220" t="inlineStr">
        <is>
          <t>已核验</t>
        </is>
      </c>
    </row>
    <row r="221" hidden="1" ht="28" customHeight="1" s="73">
      <c r="A221" s="2" t="n">
        <v>205</v>
      </c>
      <c r="B221" s="18" t="inlineStr">
        <is>
          <t>惠隆金选套利1号</t>
        </is>
      </c>
      <c r="C221" s="18">
        <f>'sheet4-原始数据'!B206</f>
        <v/>
      </c>
      <c r="D221" s="18" t="inlineStr">
        <is>
          <t>北京惠隆资管</t>
        </is>
      </c>
      <c r="E221" s="90" t="inlineStr">
        <is>
          <t>2021-09-23</t>
        </is>
      </c>
      <c r="F221" s="20" t="n">
        <v>4.9774</v>
      </c>
      <c r="G221" s="2">
        <f>IF(F221="","",IF(F221&lt;1,"不入池","入池"))</f>
        <v/>
      </c>
      <c r="H221" s="42" t="inlineStr">
        <is>
          <t>10-20亿元</t>
        </is>
      </c>
      <c r="I221" s="20" t="n">
        <v>80</v>
      </c>
      <c r="J221" s="43" t="inlineStr">
        <is>
          <t>无低于1000万元标识</t>
        </is>
      </c>
      <c r="K221" s="20" t="n">
        <v>100</v>
      </c>
      <c r="L221" s="20" t="n">
        <v>100</v>
      </c>
      <c r="M221" s="44" t="n">
        <v>0.1337</v>
      </c>
      <c r="N221" s="44" t="n">
        <v>0.1664</v>
      </c>
      <c r="O221" s="45" t="n"/>
      <c r="P221" s="46" t="n">
        <v>0.1831020125851857</v>
      </c>
      <c r="Q221" s="20" t="n">
        <v>84.90000000000001</v>
      </c>
      <c r="R221" s="20" t="n">
        <v>92.25</v>
      </c>
      <c r="S221" s="20" t="n">
        <v>87.84</v>
      </c>
      <c r="T221" s="44" t="n">
        <v>1</v>
      </c>
      <c r="U221" s="44" t="n">
        <v>1</v>
      </c>
      <c r="V221" s="46" t="n">
        <v>1</v>
      </c>
      <c r="W221" s="20" t="n">
        <v>100</v>
      </c>
      <c r="X221" s="20" t="n">
        <v>100</v>
      </c>
      <c r="Y221" s="20" t="n">
        <v>100</v>
      </c>
      <c r="Z221" s="46" t="n">
        <v>0.002721949868890372</v>
      </c>
      <c r="AA221" s="44" t="n">
        <v>0.0027</v>
      </c>
      <c r="AB221" s="46" t="n">
        <v>0.002721949868890372</v>
      </c>
      <c r="AC221" s="20" t="n">
        <v>98.78</v>
      </c>
      <c r="AD221" s="91" t="n">
        <v>49.1192</v>
      </c>
      <c r="AE221" s="46" t="n"/>
      <c r="AF221" s="20" t="n"/>
      <c r="AG221" s="20" t="n">
        <v>97.73</v>
      </c>
      <c r="AH221" s="20" t="n"/>
      <c r="AI221" s="20" t="n">
        <v>97.73</v>
      </c>
      <c r="AJ221" s="46" t="n">
        <v>0.1664</v>
      </c>
      <c r="AK221" s="20" t="n">
        <v>80</v>
      </c>
      <c r="AL221" s="20" t="n">
        <v>92</v>
      </c>
      <c r="AM221" s="20" t="n">
        <v>91.48999999999999</v>
      </c>
      <c r="AN221" s="20" t="n">
        <v>98.78</v>
      </c>
      <c r="AO221" s="20" t="n">
        <v>97.73</v>
      </c>
      <c r="AP221" s="20" t="n">
        <v>80</v>
      </c>
      <c r="AQ221" s="92" t="n">
        <v>0.88</v>
      </c>
      <c r="AR221" s="20" t="n">
        <v>82.384</v>
      </c>
      <c r="AS221" s="20" t="n">
        <v>93.62</v>
      </c>
      <c r="AT221" s="49" t="n">
        <v>2</v>
      </c>
      <c r="AU221" s="50">
        <f>IF(I221="","管理人规模；","")&amp;IF(J221="","产品规模标识；","")&amp;IF(AND(F221&lt;3,O221=""),"R_incep；","")&amp;IF(N221="","近三年收益；","")&amp;IF(U221="","近三年胜率；","")&amp;IF(AND(V221&lt;&gt;"",OR(V221&lt;0,V221&gt;1)),"胜率窗口口径不一致；","")&amp;IF(AA221="","近三年回撤；","")&amp;IF(AD221="","短期卡玛；","")&amp;IF(AND(P221&lt;&gt;"",AE221=""),"DD_long不可识别；","")</f>
        <v/>
      </c>
      <c r="AV221" s="51" t="n"/>
      <c r="AW221" s="22" t="inlineStr">
        <is>
          <t>10-20亿元</t>
        </is>
      </c>
      <c r="AX221" s="22" t="inlineStr">
        <is>
          <t>2026-08-14</t>
        </is>
      </c>
      <c r="AY221" s="22" t="inlineStr">
        <is>
          <t>北京惠隆资本管理有限责任公司</t>
        </is>
      </c>
      <c r="AZ221" s="22" t="inlineStr">
        <is>
          <t>2026-08-14</t>
        </is>
      </c>
      <c r="BA221" s="22" t="inlineStr">
        <is>
          <t>https://gs.amac.org.cn/amac-infodisc/res/pof/manager/1705031716108118.html</t>
        </is>
      </c>
      <c r="BB221" s="22" t="inlineStr">
        <is>
          <t>惠隆金选套利1号私募证券投资基金</t>
        </is>
      </c>
      <c r="BC221" s="22" t="inlineStr">
        <is>
          <t>2025-12-19</t>
        </is>
      </c>
      <c r="BD221" s="22" t="inlineStr">
        <is>
          <t>已匹配</t>
        </is>
      </c>
      <c r="BE221" t="inlineStr">
        <is>
          <t>https://gs.amac.org.cn/amac-infodisc/res/pof/fund/2109281437101671.html</t>
        </is>
      </c>
      <c r="BF221" t="inlineStr">
        <is>
          <t>已核验</t>
        </is>
      </c>
    </row>
    <row r="222" hidden="1" ht="28" customHeight="1" s="73">
      <c r="A222" s="2" t="n">
        <v>206</v>
      </c>
      <c r="B222" s="18" t="inlineStr">
        <is>
          <t>景鹏稳进1号</t>
        </is>
      </c>
      <c r="C222" s="18">
        <f>'sheet4-原始数据'!B207</f>
        <v/>
      </c>
      <c r="D222" s="18" t="inlineStr">
        <is>
          <t>上海景鹏</t>
        </is>
      </c>
      <c r="E222" s="90" t="inlineStr">
        <is>
          <t>2021-10-11</t>
        </is>
      </c>
      <c r="F222" s="20" t="n">
        <v>4.9281</v>
      </c>
      <c r="G222" s="2">
        <f>IF(F222="","",IF(F222&lt;1,"不入池","入池"))</f>
        <v/>
      </c>
      <c r="H222" s="42" t="inlineStr">
        <is>
          <t>0-5亿元</t>
        </is>
      </c>
      <c r="I222" s="20" t="n">
        <v>60</v>
      </c>
      <c r="J222" s="43" t="inlineStr">
        <is>
          <t>无低于1000万元标识</t>
        </is>
      </c>
      <c r="K222" s="20" t="n">
        <v>100</v>
      </c>
      <c r="L222" s="20" t="n">
        <v>100</v>
      </c>
      <c r="M222" s="44" t="n">
        <v>0.0673</v>
      </c>
      <c r="N222" s="44" t="n">
        <v>0.061</v>
      </c>
      <c r="O222" s="45" t="n"/>
      <c r="P222" s="46" t="n">
        <v>0.05786395898529451</v>
      </c>
      <c r="Q222" s="20" t="n">
        <v>56.94</v>
      </c>
      <c r="R222" s="20" t="n">
        <v>46.5</v>
      </c>
      <c r="S222" s="20" t="n">
        <v>52.76</v>
      </c>
      <c r="T222" s="44" t="n">
        <v>0.9231</v>
      </c>
      <c r="U222" s="44" t="n">
        <v>0.8919</v>
      </c>
      <c r="V222" s="46" t="n">
        <v>0.875</v>
      </c>
      <c r="W222" s="20" t="n">
        <v>92.31</v>
      </c>
      <c r="X222" s="20" t="n">
        <v>87.5</v>
      </c>
      <c r="Y222" s="20" t="n">
        <v>90.39</v>
      </c>
      <c r="Z222" s="46" t="n">
        <v>0.006300200333264683</v>
      </c>
      <c r="AA222" s="44" t="n">
        <v>0.0161</v>
      </c>
      <c r="AB222" s="46" t="n">
        <v>0.0161</v>
      </c>
      <c r="AC222" s="20" t="n">
        <v>77</v>
      </c>
      <c r="AD222" s="91" t="n">
        <v>10.6822</v>
      </c>
      <c r="AE222" s="46" t="n">
        <v>0.0161</v>
      </c>
      <c r="AF222" s="20" t="n">
        <v>3.59403471958351</v>
      </c>
      <c r="AG222" s="20" t="n">
        <v>82.87</v>
      </c>
      <c r="AH222" s="20" t="n">
        <v>78.68000000000001</v>
      </c>
      <c r="AI222" s="20" t="n">
        <v>81.19</v>
      </c>
      <c r="AJ222" s="46" t="n">
        <v>0.061</v>
      </c>
      <c r="AK222" s="20" t="n">
        <v>100</v>
      </c>
      <c r="AL222" s="20" t="n">
        <v>84</v>
      </c>
      <c r="AM222" s="20" t="n">
        <v>64.05</v>
      </c>
      <c r="AN222" s="20" t="n">
        <v>77</v>
      </c>
      <c r="AO222" s="20" t="n">
        <v>81.19</v>
      </c>
      <c r="AP222" s="20" t="n">
        <v>100</v>
      </c>
      <c r="AQ222" s="92" t="n">
        <v>1</v>
      </c>
      <c r="AR222" s="20" t="n">
        <v>79.01832</v>
      </c>
      <c r="AS222" s="20" t="n">
        <v>79.02</v>
      </c>
      <c r="AT222" s="49" t="n">
        <v>68</v>
      </c>
      <c r="AU222" s="50">
        <f>IF(I222="","管理人规模；","")&amp;IF(J222="","产品规模标识；","")&amp;IF(AND(F222&lt;3,O222=""),"R_incep；","")&amp;IF(N222="","近三年收益；","")&amp;IF(U222="","近三年胜率；","")&amp;IF(AND(V222&lt;&gt;"",OR(V222&lt;0,V222&gt;1)),"胜率窗口口径不一致；","")&amp;IF(AA222="","近三年回撤；","")&amp;IF(AD222="","短期卡玛；","")&amp;IF(AND(P222&lt;&gt;"",AE222=""),"DD_long不可识别；","")</f>
        <v/>
      </c>
      <c r="AV222" s="51" t="n">
        <v>79.01832</v>
      </c>
      <c r="AW222" s="22" t="inlineStr">
        <is>
          <t>0-5亿元</t>
        </is>
      </c>
      <c r="AX222" s="22" t="inlineStr">
        <is>
          <t>2026-07-27</t>
        </is>
      </c>
      <c r="AY222" s="22" t="inlineStr">
        <is>
          <t>上海景鹏私募基金管理有限公司</t>
        </is>
      </c>
      <c r="AZ222" s="22" t="inlineStr">
        <is>
          <t>2026-07-27</t>
        </is>
      </c>
      <c r="BA222" s="22" t="inlineStr">
        <is>
          <t>https://gs.amac.org.cn/amac-infodisc/res/pof/manager/2107201407107524.html</t>
        </is>
      </c>
      <c r="BB222" s="22" t="inlineStr">
        <is>
          <t>景鹏稳进1号私募证券投资基金</t>
        </is>
      </c>
      <c r="BC222" s="22" t="inlineStr">
        <is>
          <t>2026-07-21</t>
        </is>
      </c>
      <c r="BD222" s="22" t="inlineStr">
        <is>
          <t>已匹配</t>
        </is>
      </c>
      <c r="BE222" t="inlineStr">
        <is>
          <t>https://gs.amac.org.cn/amac-infodisc/res/pof/fund/2110181713130466.html</t>
        </is>
      </c>
      <c r="BF222" t="inlineStr">
        <is>
          <t>已核验</t>
        </is>
      </c>
    </row>
    <row r="223" hidden="1" ht="28" customHeight="1" s="73">
      <c r="A223" s="2" t="n">
        <v>207</v>
      </c>
      <c r="B223" s="18" t="inlineStr">
        <is>
          <t>久游投资4号</t>
        </is>
      </c>
      <c r="C223" s="18">
        <f>'sheet4-原始数据'!B208</f>
        <v/>
      </c>
      <c r="D223" s="18" t="inlineStr">
        <is>
          <t>深圳久游</t>
        </is>
      </c>
      <c r="E223" s="90" t="inlineStr">
        <is>
          <t>2021-11-05</t>
        </is>
      </c>
      <c r="F223" s="20" t="n">
        <v>4.8597</v>
      </c>
      <c r="G223" s="2">
        <f>IF(F223="","",IF(F223&lt;1,"不入池","入池"))</f>
        <v/>
      </c>
      <c r="H223" s="42" t="inlineStr">
        <is>
          <t>0-5亿元</t>
        </is>
      </c>
      <c r="I223" s="20" t="n">
        <v>60</v>
      </c>
      <c r="J223" s="43" t="inlineStr">
        <is>
          <t>无低于1000万元标识</t>
        </is>
      </c>
      <c r="K223" s="20" t="n">
        <v>100</v>
      </c>
      <c r="L223" s="20" t="n">
        <v>100</v>
      </c>
      <c r="M223" s="44" t="n">
        <v>0.0708</v>
      </c>
      <c r="N223" s="44" t="n">
        <v>0.07829999999999999</v>
      </c>
      <c r="O223" s="45" t="n"/>
      <c r="P223" s="46" t="n">
        <v>0.08206967612124472</v>
      </c>
      <c r="Q223" s="20" t="n">
        <v>59.03</v>
      </c>
      <c r="R223" s="20" t="n">
        <v>66.5</v>
      </c>
      <c r="S223" s="20" t="n">
        <v>62.02</v>
      </c>
      <c r="T223" s="44" t="n">
        <v>1</v>
      </c>
      <c r="U223" s="44" t="n">
        <v>0.973</v>
      </c>
      <c r="V223" s="46" t="n">
        <v>0.9583749999999999</v>
      </c>
      <c r="W223" s="20" t="n">
        <v>100</v>
      </c>
      <c r="X223" s="20" t="n">
        <v>95.83749999999999</v>
      </c>
      <c r="Y223" s="20" t="n">
        <v>98.34</v>
      </c>
      <c r="Z223" s="46" t="n">
        <v>0.004321157191247826</v>
      </c>
      <c r="AA223" s="44" t="n">
        <v>0.0164</v>
      </c>
      <c r="AB223" s="46" t="n">
        <v>0.0164</v>
      </c>
      <c r="AC223" s="20" t="n">
        <v>76.31</v>
      </c>
      <c r="AD223" s="91" t="n">
        <v>16.3845</v>
      </c>
      <c r="AE223" s="46" t="n">
        <v>0.0164</v>
      </c>
      <c r="AF223" s="20" t="n">
        <v>5.004248543978337</v>
      </c>
      <c r="AG223" s="20" t="n">
        <v>88.81</v>
      </c>
      <c r="AH223" s="20" t="n">
        <v>85.29000000000001</v>
      </c>
      <c r="AI223" s="20" t="n">
        <v>87.40000000000001</v>
      </c>
      <c r="AJ223" s="46" t="n">
        <v>0.07829999999999999</v>
      </c>
      <c r="AK223" s="20" t="n">
        <v>80</v>
      </c>
      <c r="AL223" s="20" t="n">
        <v>84</v>
      </c>
      <c r="AM223" s="20" t="n">
        <v>72.91</v>
      </c>
      <c r="AN223" s="20" t="n">
        <v>76.31</v>
      </c>
      <c r="AO223" s="20" t="n">
        <v>87.40000000000001</v>
      </c>
      <c r="AP223" s="20" t="n">
        <v>80</v>
      </c>
      <c r="AQ223" s="92" t="n">
        <v>1</v>
      </c>
      <c r="AR223" s="20" t="n">
        <v>80.48072000000001</v>
      </c>
      <c r="AS223" s="20" t="n">
        <v>80.48</v>
      </c>
      <c r="AT223" s="49" t="n">
        <v>60</v>
      </c>
      <c r="AU223" s="50">
        <f>IF(I223="","管理人规模；","")&amp;IF(J223="","产品规模标识；","")&amp;IF(AND(F223&lt;3,O223=""),"R_incep；","")&amp;IF(N223="","近三年收益；","")&amp;IF(U223="","近三年胜率；","")&amp;IF(AND(V223&lt;&gt;"",OR(V223&lt;0,V223&gt;1)),"胜率窗口口径不一致；","")&amp;IF(AA223="","近三年回撤；","")&amp;IF(AD223="","短期卡玛；","")&amp;IF(AND(P223&lt;&gt;"",AE223=""),"DD_long不可识别；","")</f>
        <v/>
      </c>
      <c r="AV223" s="51" t="n">
        <v>80.48072000000001</v>
      </c>
      <c r="AW223" s="22" t="inlineStr">
        <is>
          <t>0-5亿元</t>
        </is>
      </c>
      <c r="AX223" s="22" t="inlineStr">
        <is>
          <t>2025-04-28</t>
        </is>
      </c>
      <c r="AY223" s="22" t="inlineStr">
        <is>
          <t>深圳久游私募证券基金管理有限公司</t>
        </is>
      </c>
      <c r="AZ223" s="22" t="inlineStr">
        <is>
          <t>2025-04-28</t>
        </is>
      </c>
      <c r="BA223" s="22" t="inlineStr">
        <is>
          <t>https://gs.amac.org.cn/amac-infodisc/res/pof/manager/2108310949105248.html</t>
        </is>
      </c>
      <c r="BB223" s="22" t="inlineStr">
        <is>
          <t>久游投资4号私募证券投资基金</t>
        </is>
      </c>
      <c r="BC223" s="22" t="inlineStr">
        <is>
          <t>2021-11-17</t>
        </is>
      </c>
      <c r="BD223" s="22" t="inlineStr">
        <is>
          <t>已匹配</t>
        </is>
      </c>
      <c r="BE223" t="inlineStr">
        <is>
          <t>https://gs.amac.org.cn/amac-infodisc/res/pof/fund/2111101732101714.html</t>
        </is>
      </c>
      <c r="BF223" t="inlineStr">
        <is>
          <t>已核验</t>
        </is>
      </c>
    </row>
    <row r="224" hidden="1" ht="28" customHeight="1" s="73">
      <c r="A224" s="2" t="n">
        <v>208</v>
      </c>
      <c r="B224" s="18" t="inlineStr">
        <is>
          <t>摩旗ETF套利1号</t>
        </is>
      </c>
      <c r="C224" s="18">
        <f>'sheet4-原始数据'!B209</f>
        <v/>
      </c>
      <c r="D224" s="18" t="inlineStr">
        <is>
          <t>上海摩旗投资</t>
        </is>
      </c>
      <c r="E224" s="90" t="inlineStr">
        <is>
          <t>2022-01-10</t>
        </is>
      </c>
      <c r="F224" s="20" t="n">
        <v>4.679</v>
      </c>
      <c r="G224" s="2">
        <f>IF(F224="","",IF(F224&lt;1,"不入池","入池"))</f>
        <v/>
      </c>
      <c r="H224" s="42" t="inlineStr">
        <is>
          <t>10-20亿元</t>
        </is>
      </c>
      <c r="I224" s="20" t="n">
        <v>80</v>
      </c>
      <c r="J224" s="43" t="inlineStr">
        <is>
          <t>无低于1000万元标识</t>
        </is>
      </c>
      <c r="K224" s="20" t="n">
        <v>100</v>
      </c>
      <c r="L224" s="20" t="n">
        <v>100</v>
      </c>
      <c r="M224" s="44" t="n">
        <v>0.1133</v>
      </c>
      <c r="N224" s="44" t="n">
        <v>0.1453</v>
      </c>
      <c r="O224" s="45" t="n"/>
      <c r="P224" s="46" t="n">
        <v>0.1616432857020107</v>
      </c>
      <c r="Q224" s="20" t="n">
        <v>80.90000000000001</v>
      </c>
      <c r="R224" s="20" t="n">
        <v>90.5</v>
      </c>
      <c r="S224" s="20" t="n">
        <v>84.73999999999999</v>
      </c>
      <c r="T224" s="44" t="n">
        <v>1</v>
      </c>
      <c r="U224" s="44" t="n">
        <v>0.9459000000000001</v>
      </c>
      <c r="V224" s="46" t="n">
        <v>0.9165958333333334</v>
      </c>
      <c r="W224" s="20" t="n">
        <v>100</v>
      </c>
      <c r="X224" s="20" t="n">
        <v>91.65958333333334</v>
      </c>
      <c r="Y224" s="20" t="n">
        <v>96.66</v>
      </c>
      <c r="Z224" s="46" t="n">
        <v>0.005707147282682611</v>
      </c>
      <c r="AA224" s="44" t="n">
        <v>0.005699999999999999</v>
      </c>
      <c r="AB224" s="46" t="n">
        <v>0.005707147282682611</v>
      </c>
      <c r="AC224" s="20" t="n">
        <v>92.33</v>
      </c>
      <c r="AD224" s="91" t="n">
        <v>19.8523</v>
      </c>
      <c r="AE224" s="46" t="n"/>
      <c r="AF224" s="20" t="n"/>
      <c r="AG224" s="20" t="n">
        <v>91.26000000000001</v>
      </c>
      <c r="AH224" s="20" t="n"/>
      <c r="AI224" s="20" t="n">
        <v>91.26000000000001</v>
      </c>
      <c r="AJ224" s="46" t="n">
        <v>0.1453</v>
      </c>
      <c r="AK224" s="20" t="n">
        <v>80</v>
      </c>
      <c r="AL224" s="20" t="n">
        <v>92</v>
      </c>
      <c r="AM224" s="20" t="n">
        <v>88.31999999999999</v>
      </c>
      <c r="AN224" s="20" t="n">
        <v>92.33</v>
      </c>
      <c r="AO224" s="20" t="n">
        <v>91.26000000000001</v>
      </c>
      <c r="AP224" s="20" t="n">
        <v>80</v>
      </c>
      <c r="AQ224" s="92" t="n">
        <v>0.88</v>
      </c>
      <c r="AR224" s="20" t="n">
        <v>78.97273</v>
      </c>
      <c r="AS224" s="20" t="n">
        <v>89.73999999999999</v>
      </c>
      <c r="AT224" s="49" t="n">
        <v>11</v>
      </c>
      <c r="AU224" s="50">
        <f>IF(I224="","管理人规模；","")&amp;IF(J224="","产品规模标识；","")&amp;IF(AND(F224&lt;3,O224=""),"R_incep；","")&amp;IF(N224="","近三年收益；","")&amp;IF(U224="","近三年胜率；","")&amp;IF(AND(V224&lt;&gt;"",OR(V224&lt;0,V224&gt;1)),"胜率窗口口径不一致；","")&amp;IF(AA224="","近三年回撤；","")&amp;IF(AD224="","短期卡玛；","")&amp;IF(AND(P224&lt;&gt;"",AE224=""),"DD_long不可识别；","")</f>
        <v/>
      </c>
      <c r="AV224" s="51" t="n"/>
      <c r="AW224" s="22" t="inlineStr">
        <is>
          <t>10-20亿元</t>
        </is>
      </c>
      <c r="AX224" s="22" t="inlineStr">
        <is>
          <t>2025-12-25</t>
        </is>
      </c>
      <c r="AY224" s="22" t="inlineStr">
        <is>
          <t>上海摩旗投资管理有限公司</t>
        </is>
      </c>
      <c r="AZ224" s="22" t="inlineStr">
        <is>
          <t>2025-12-25</t>
        </is>
      </c>
      <c r="BA224" s="22" t="inlineStr">
        <is>
          <t>https://gs.amac.org.cn/amac-infodisc/res/pof/manager/101000000297.html</t>
        </is>
      </c>
      <c r="BB224" s="22" t="inlineStr">
        <is>
          <t>摩旗ETF套利1号私募证券投资基金</t>
        </is>
      </c>
      <c r="BC224" s="22" t="inlineStr">
        <is>
          <t>2024-12-06</t>
        </is>
      </c>
      <c r="BD224" s="22" t="inlineStr">
        <is>
          <t>已匹配</t>
        </is>
      </c>
      <c r="BE224" t="inlineStr">
        <is>
          <t>https://gs.amac.org.cn/amac-infodisc/res/pof/fund/2201111049116796.html</t>
        </is>
      </c>
      <c r="BF224" t="inlineStr">
        <is>
          <t>已核验</t>
        </is>
      </c>
    </row>
    <row r="225" hidden="1" ht="28" customHeight="1" s="73">
      <c r="A225" s="2" t="n">
        <v>209</v>
      </c>
      <c r="B225" s="18" t="inlineStr">
        <is>
          <t>兆信期权中性2号A类</t>
        </is>
      </c>
      <c r="C225" s="18">
        <f>'sheet4-原始数据'!B210</f>
        <v/>
      </c>
      <c r="D225" s="18" t="inlineStr">
        <is>
          <t>江苏兆信</t>
        </is>
      </c>
      <c r="E225" s="90" t="inlineStr">
        <is>
          <t>2021-11-11</t>
        </is>
      </c>
      <c r="F225" s="20" t="n">
        <v>4.8433</v>
      </c>
      <c r="G225" s="2">
        <f>IF(F225="","",IF(F225&lt;1,"不入池","入池"))</f>
        <v/>
      </c>
      <c r="H225" s="42" t="inlineStr">
        <is>
          <t>20-50亿元</t>
        </is>
      </c>
      <c r="I225" s="20" t="n">
        <v>90</v>
      </c>
      <c r="J225" s="43" t="inlineStr">
        <is>
          <t>无低于1000万元标识</t>
        </is>
      </c>
      <c r="K225" s="20" t="n"/>
      <c r="L225" s="20" t="n">
        <v>100</v>
      </c>
      <c r="M225" s="44" t="n">
        <v>0.131</v>
      </c>
      <c r="N225" s="44" t="n">
        <v>0.07690000000000001</v>
      </c>
      <c r="O225" s="45" t="n"/>
      <c r="P225" s="46" t="n">
        <v>0.05082830644580705</v>
      </c>
      <c r="Q225" s="20" t="n">
        <v>83.33</v>
      </c>
      <c r="R225" s="20" t="n">
        <v>38</v>
      </c>
      <c r="S225" s="20" t="n">
        <v>65.2</v>
      </c>
      <c r="T225" s="44" t="n">
        <v>0.9231</v>
      </c>
      <c r="U225" s="44" t="n">
        <v>0.8108</v>
      </c>
      <c r="V225" s="46" t="n">
        <v>0.7499708333333333</v>
      </c>
      <c r="W225" s="20" t="n">
        <v>92.31</v>
      </c>
      <c r="X225" s="20" t="n">
        <v>74.99708333333332</v>
      </c>
      <c r="Y225" s="20" t="n">
        <v>85.38</v>
      </c>
      <c r="Z225" s="46" t="n">
        <v>0.01459463674951816</v>
      </c>
      <c r="AA225" s="44" t="n">
        <v>0.08019999999999999</v>
      </c>
      <c r="AB225" s="46" t="n">
        <v>0.08019999999999999</v>
      </c>
      <c r="AC225" s="20" t="n">
        <v>32.75</v>
      </c>
      <c r="AD225" s="91" t="n">
        <v>8.975899999999999</v>
      </c>
      <c r="AE225" s="46" t="n">
        <v>0.08019999999999999</v>
      </c>
      <c r="AF225" s="20" t="n">
        <v>0.6337694070549508</v>
      </c>
      <c r="AG225" s="20" t="n">
        <v>75.52</v>
      </c>
      <c r="AH225" s="20" t="n">
        <v>22.79</v>
      </c>
      <c r="AI225" s="20" t="n">
        <v>54.43</v>
      </c>
      <c r="AJ225" s="46" t="n">
        <v>0.07690000000000001</v>
      </c>
      <c r="AK225" s="20" t="n">
        <v>100</v>
      </c>
      <c r="AL225" s="20" t="n">
        <v>94.29000000000001</v>
      </c>
      <c r="AM225" s="20" t="n">
        <v>71.25</v>
      </c>
      <c r="AN225" s="20" t="n">
        <v>32.75</v>
      </c>
      <c r="AO225" s="20" t="n">
        <v>54.43</v>
      </c>
      <c r="AP225" s="20" t="n">
        <v>100</v>
      </c>
      <c r="AQ225" s="92" t="n">
        <v>0.955</v>
      </c>
      <c r="AR225" s="20" t="n">
        <v>58.66670999999999</v>
      </c>
      <c r="AS225" s="20" t="n">
        <v>61.43</v>
      </c>
      <c r="AT225" s="49" t="n">
        <v>157</v>
      </c>
      <c r="AU225" s="50">
        <f>IF(I225="","管理人规模；","")&amp;IF(J225="","产品规模标识；","")&amp;IF(AND(F225&lt;3,O225=""),"R_incep；","")&amp;IF(N225="","近三年收益；","")&amp;IF(U225="","近三年胜率；","")&amp;IF(AND(V225&lt;&gt;"",OR(V225&lt;0,V225&gt;1)),"胜率窗口口径不一致；","")&amp;IF(AA225="","近三年回撤；","")&amp;IF(AD225="","短期卡玛；","")&amp;IF(AND(P225&lt;&gt;"",AE225=""),"DD_long不可识别；","")</f>
        <v/>
      </c>
      <c r="AV225" s="51" t="n"/>
      <c r="AW225" s="22" t="inlineStr">
        <is>
          <t>20-50亿元</t>
        </is>
      </c>
      <c r="AX225" s="22" t="inlineStr">
        <is>
          <t>2026-04-17</t>
        </is>
      </c>
      <c r="AY225" s="22" t="inlineStr">
        <is>
          <t>江苏兆信私募基金管理有限公司 江苏兆信私募基金管理有限公司</t>
        </is>
      </c>
      <c r="AZ225" s="22" t="inlineStr">
        <is>
          <t>2026-04-17</t>
        </is>
      </c>
      <c r="BA225" s="22" t="inlineStr">
        <is>
          <t>https://gs.amac.org.cn/amac-infodisc/res/pof/manager/101000002312.html</t>
        </is>
      </c>
      <c r="BB225" s="22" t="n"/>
      <c r="BC225" s="22" t="n"/>
      <c r="BD225" s="22" t="inlineStr">
        <is>
          <t>产品未匹配，管理人已按名称补录</t>
        </is>
      </c>
      <c r="BF225" t="inlineStr">
        <is>
          <t>未核验</t>
        </is>
      </c>
    </row>
    <row r="226" hidden="1" ht="28" customHeight="1" s="73">
      <c r="A226" s="2" t="n">
        <v>210</v>
      </c>
      <c r="B226" s="18" t="inlineStr">
        <is>
          <t>庄贤亨贞期权对冲</t>
        </is>
      </c>
      <c r="C226" s="18">
        <f>'sheet4-原始数据'!B211</f>
        <v/>
      </c>
      <c r="D226" s="18" t="inlineStr">
        <is>
          <t>杭州庄贤投资</t>
        </is>
      </c>
      <c r="E226" s="90" t="inlineStr">
        <is>
          <t>2022-01-28</t>
        </is>
      </c>
      <c r="F226" s="20" t="n">
        <v>4.6297</v>
      </c>
      <c r="G226" s="2">
        <f>IF(F226="","",IF(F226&lt;1,"不入池","入池"))</f>
        <v/>
      </c>
      <c r="H226" s="42" t="inlineStr">
        <is>
          <t>20-50亿元</t>
        </is>
      </c>
      <c r="I226" s="20" t="n">
        <v>90</v>
      </c>
      <c r="J226" s="43" t="inlineStr">
        <is>
          <t>无低于1000万元标识</t>
        </is>
      </c>
      <c r="K226" s="20" t="n">
        <v>100</v>
      </c>
      <c r="L226" s="20" t="n">
        <v>100</v>
      </c>
      <c r="M226" s="44" t="n">
        <v>0.0405</v>
      </c>
      <c r="N226" s="44" t="n">
        <v>0.04650000000000001</v>
      </c>
      <c r="O226" s="45" t="n"/>
      <c r="P226" s="46" t="n">
        <v>0.04951296208884615</v>
      </c>
      <c r="Q226" s="20" t="n">
        <v>39.93</v>
      </c>
      <c r="R226" s="20" t="n">
        <v>36.25</v>
      </c>
      <c r="S226" s="20" t="n">
        <v>38.46</v>
      </c>
      <c r="T226" s="44" t="n">
        <v>0.6923</v>
      </c>
      <c r="U226" s="44" t="n">
        <v>0.7568</v>
      </c>
      <c r="V226" s="46" t="n">
        <v>0.7917375</v>
      </c>
      <c r="W226" s="20" t="n">
        <v>69.23</v>
      </c>
      <c r="X226" s="20" t="n">
        <v>79.17375</v>
      </c>
      <c r="Y226" s="20" t="n">
        <v>73.20999999999999</v>
      </c>
      <c r="Z226" s="46" t="n">
        <v>0.004283810369994289</v>
      </c>
      <c r="AA226" s="44" t="n">
        <v>0.013</v>
      </c>
      <c r="AB226" s="46" t="n">
        <v>0.013</v>
      </c>
      <c r="AC226" s="20" t="n">
        <v>81.53</v>
      </c>
      <c r="AD226" s="91" t="n">
        <v>9.4542</v>
      </c>
      <c r="AE226" s="46" t="n">
        <v>0.013</v>
      </c>
      <c r="AF226" s="20" t="n">
        <v>3.808689391449703</v>
      </c>
      <c r="AG226" s="20" t="n">
        <v>78.5</v>
      </c>
      <c r="AH226" s="20" t="n">
        <v>81.25</v>
      </c>
      <c r="AI226" s="20" t="n">
        <v>79.59999999999999</v>
      </c>
      <c r="AJ226" s="46" t="n">
        <v>0.04650000000000001</v>
      </c>
      <c r="AK226" s="20" t="n">
        <v>80</v>
      </c>
      <c r="AL226" s="20" t="n">
        <v>96</v>
      </c>
      <c r="AM226" s="20" t="n">
        <v>48.88</v>
      </c>
      <c r="AN226" s="20" t="n">
        <v>81.53</v>
      </c>
      <c r="AO226" s="20" t="n">
        <v>79.59999999999999</v>
      </c>
      <c r="AP226" s="20" t="n">
        <v>80</v>
      </c>
      <c r="AQ226" s="92" t="n">
        <v>1</v>
      </c>
      <c r="AR226" s="20" t="n">
        <v>76.43907</v>
      </c>
      <c r="AS226" s="20" t="n">
        <v>76.44</v>
      </c>
      <c r="AT226" s="49" t="n">
        <v>81</v>
      </c>
      <c r="AU226" s="50">
        <f>IF(I226="","管理人规模；","")&amp;IF(J226="","产品规模标识；","")&amp;IF(AND(F226&lt;3,O226=""),"R_incep；","")&amp;IF(N226="","近三年收益；","")&amp;IF(U226="","近三年胜率；","")&amp;IF(AND(V226&lt;&gt;"",OR(V226&lt;0,V226&gt;1)),"胜率窗口口径不一致；","")&amp;IF(AA226="","近三年回撤；","")&amp;IF(AD226="","短期卡玛；","")&amp;IF(AND(P226&lt;&gt;"",AE226=""),"DD_long不可识别；","")</f>
        <v/>
      </c>
      <c r="AV226" s="51" t="n">
        <v>76.43907</v>
      </c>
      <c r="AW226" s="22" t="inlineStr">
        <is>
          <t>20-50亿元</t>
        </is>
      </c>
      <c r="AX226" s="22" t="inlineStr">
        <is>
          <t>2026-08-10</t>
        </is>
      </c>
      <c r="AY226" s="22" t="inlineStr">
        <is>
          <t>杭州庄贤投资管理合伙企业（有限合伙）</t>
        </is>
      </c>
      <c r="AZ226" s="22" t="inlineStr">
        <is>
          <t>2026-08-10</t>
        </is>
      </c>
      <c r="BA226" s="22" t="inlineStr">
        <is>
          <t>https://gs.amac.org.cn/amac-infodisc/res/pof/manager/1703280912100590.html</t>
        </is>
      </c>
      <c r="BB226" s="22" t="inlineStr">
        <is>
          <t>庄贤亨贞期权对冲私募证券投资基金</t>
        </is>
      </c>
      <c r="BC226" s="22" t="inlineStr">
        <is>
          <t>2025-03-28</t>
        </is>
      </c>
      <c r="BD226" s="22" t="inlineStr">
        <is>
          <t>已匹配</t>
        </is>
      </c>
      <c r="BE226" t="inlineStr">
        <is>
          <t>https://gs.amac.org.cn/amac-infodisc/res/pof/fund/2202111734100728.html</t>
        </is>
      </c>
      <c r="BF226" t="inlineStr">
        <is>
          <t>已核验</t>
        </is>
      </c>
    </row>
    <row r="227" hidden="1" ht="28" customHeight="1" s="73">
      <c r="A227" s="2" t="n">
        <v>211</v>
      </c>
      <c r="B227" s="18" t="inlineStr">
        <is>
          <t>悬铃尊享CTA8号</t>
        </is>
      </c>
      <c r="C227" s="18">
        <f>'sheet4-原始数据'!B212</f>
        <v/>
      </c>
      <c r="D227" s="18" t="inlineStr">
        <is>
          <t>上海悬铃</t>
        </is>
      </c>
      <c r="E227" s="90" t="inlineStr">
        <is>
          <t>2022-03-11</t>
        </is>
      </c>
      <c r="F227" s="20" t="n">
        <v>4.5147</v>
      </c>
      <c r="G227" s="2">
        <f>IF(F227="","",IF(F227&lt;1,"不入池","入池"))</f>
        <v/>
      </c>
      <c r="H227" s="42" t="inlineStr">
        <is>
          <t>20-50亿元</t>
        </is>
      </c>
      <c r="I227" s="20" t="n">
        <v>90</v>
      </c>
      <c r="J227" s="43" t="inlineStr">
        <is>
          <t>无低于1000万元标识</t>
        </is>
      </c>
      <c r="K227" s="20" t="n">
        <v>100</v>
      </c>
      <c r="L227" s="20" t="n">
        <v>100</v>
      </c>
      <c r="M227" s="44" t="n">
        <v>-0.07099999999999999</v>
      </c>
      <c r="N227" s="44" t="n">
        <v>0.0413</v>
      </c>
      <c r="O227" s="45" t="n"/>
      <c r="P227" s="46" t="n">
        <v>0.1024424957345877</v>
      </c>
      <c r="Q227" s="20" t="n">
        <v>5.9</v>
      </c>
      <c r="R227" s="20" t="n">
        <v>72.5</v>
      </c>
      <c r="S227" s="20" t="n">
        <v>32.54</v>
      </c>
      <c r="T227" s="44" t="n">
        <v>0.3846</v>
      </c>
      <c r="U227" s="44" t="n">
        <v>0.6486</v>
      </c>
      <c r="V227" s="46" t="n">
        <v>0.7915999999999999</v>
      </c>
      <c r="W227" s="20" t="n">
        <v>38.46</v>
      </c>
      <c r="X227" s="20" t="n">
        <v>79.15999999999998</v>
      </c>
      <c r="Y227" s="20" t="n">
        <v>54.74</v>
      </c>
      <c r="Z227" s="46" t="n">
        <v>0.1055291319857313</v>
      </c>
      <c r="AA227" s="44" t="n">
        <v>0.1167</v>
      </c>
      <c r="AB227" s="46" t="n">
        <v>0.1167</v>
      </c>
      <c r="AC227" s="20" t="n">
        <v>23.34</v>
      </c>
      <c r="AD227" s="91" t="n">
        <v>-0.6728</v>
      </c>
      <c r="AE227" s="46" t="n">
        <v>0.1167</v>
      </c>
      <c r="AF227" s="20" t="n">
        <v>0.8778277269459104</v>
      </c>
      <c r="AG227" s="20" t="n">
        <v>4.2</v>
      </c>
      <c r="AH227" s="20" t="n">
        <v>36.76</v>
      </c>
      <c r="AI227" s="20" t="n">
        <v>17.22</v>
      </c>
      <c r="AJ227" s="46" t="n">
        <v>0.0413</v>
      </c>
      <c r="AK227" s="20" t="n">
        <v>80</v>
      </c>
      <c r="AL227" s="20" t="n">
        <v>96</v>
      </c>
      <c r="AM227" s="20" t="n">
        <v>39.2</v>
      </c>
      <c r="AN227" s="20" t="n">
        <v>23.34</v>
      </c>
      <c r="AO227" s="20" t="n">
        <v>17.22</v>
      </c>
      <c r="AP227" s="20" t="n">
        <v>80</v>
      </c>
      <c r="AQ227" s="92" t="n">
        <v>1</v>
      </c>
      <c r="AR227" s="20" t="n">
        <v>41.2422</v>
      </c>
      <c r="AS227" s="20" t="n">
        <v>41.24</v>
      </c>
      <c r="AT227" s="49" t="n">
        <v>260</v>
      </c>
      <c r="AU227" s="50">
        <f>IF(I227="","管理人规模；","")&amp;IF(J227="","产品规模标识；","")&amp;IF(AND(F227&lt;3,O227=""),"R_incep；","")&amp;IF(N227="","近三年收益；","")&amp;IF(U227="","近三年胜率；","")&amp;IF(AND(V227&lt;&gt;"",OR(V227&lt;0,V227&gt;1)),"胜率窗口口径不一致；","")&amp;IF(AA227="","近三年回撤；","")&amp;IF(AD227="","短期卡玛；","")&amp;IF(AND(P227&lt;&gt;"",AE227=""),"DD_long不可识别；","")</f>
        <v/>
      </c>
      <c r="AV227" s="51" t="n">
        <v>41.2422</v>
      </c>
      <c r="AW227" s="22" t="inlineStr">
        <is>
          <t>20-50亿元</t>
        </is>
      </c>
      <c r="AX227" s="22" t="inlineStr">
        <is>
          <t>2026-07-13</t>
        </is>
      </c>
      <c r="AY227" s="22" t="inlineStr">
        <is>
          <t>上海悬铃私募基金管理有限公司</t>
        </is>
      </c>
      <c r="AZ227" s="22" t="inlineStr">
        <is>
          <t>2026-07-13</t>
        </is>
      </c>
      <c r="BA227" s="22" t="inlineStr">
        <is>
          <t>https://gs.amac.org.cn/amac-infodisc/res/pof/manager/1701161209103763.html</t>
        </is>
      </c>
      <c r="BB227" s="22" t="inlineStr">
        <is>
          <t>悬铃尊享CTA8号私募证券投资基金</t>
        </is>
      </c>
      <c r="BC227" s="22" t="inlineStr">
        <is>
          <t>2026-02-12</t>
        </is>
      </c>
      <c r="BD227" s="22" t="inlineStr">
        <is>
          <t>已匹配</t>
        </is>
      </c>
      <c r="BE227" t="inlineStr">
        <is>
          <t>https://gs.amac.org.cn/amac-infodisc/res/pof/fund/2203171944106372.html</t>
        </is>
      </c>
      <c r="BF227" t="inlineStr">
        <is>
          <t>已核验</t>
        </is>
      </c>
    </row>
    <row r="228" hidden="1" ht="28" customHeight="1" s="73">
      <c r="A228" s="2" t="n">
        <v>212</v>
      </c>
      <c r="B228" s="18" t="inlineStr">
        <is>
          <t>起源天择稳健1号</t>
        </is>
      </c>
      <c r="C228" s="18">
        <f>'sheet4-原始数据'!B213</f>
        <v/>
      </c>
      <c r="D228" s="18" t="inlineStr">
        <is>
          <t>海南起源</t>
        </is>
      </c>
      <c r="E228" s="90" t="inlineStr">
        <is>
          <t>2022-03-23</t>
        </is>
      </c>
      <c r="F228" s="20" t="n">
        <v>4.4819</v>
      </c>
      <c r="G228" s="2">
        <f>IF(F228="","",IF(F228&lt;1,"不入池","入池"))</f>
        <v/>
      </c>
      <c r="H228" s="42" t="inlineStr">
        <is>
          <t>0-5亿元</t>
        </is>
      </c>
      <c r="I228" s="20" t="n">
        <v>60</v>
      </c>
      <c r="J228" s="43" t="inlineStr">
        <is>
          <t>无低于1000万元标识</t>
        </is>
      </c>
      <c r="K228" s="20" t="n">
        <v>100</v>
      </c>
      <c r="L228" s="20" t="n">
        <v>100</v>
      </c>
      <c r="M228" s="44" t="n">
        <v>0.1231</v>
      </c>
      <c r="N228" s="44" t="n">
        <v>0.121</v>
      </c>
      <c r="O228" s="45" t="n"/>
      <c r="P228" s="46" t="n">
        <v>0.1199514729460709</v>
      </c>
      <c r="Q228" s="20" t="n">
        <v>82.64</v>
      </c>
      <c r="R228" s="20" t="n">
        <v>80.5</v>
      </c>
      <c r="S228" s="20" t="n">
        <v>81.78</v>
      </c>
      <c r="T228" s="44" t="n">
        <v>0.7692</v>
      </c>
      <c r="U228" s="44" t="n">
        <v>0.7297</v>
      </c>
      <c r="V228" s="46" t="n">
        <v>0.7083041666666666</v>
      </c>
      <c r="W228" s="20" t="n">
        <v>76.92</v>
      </c>
      <c r="X228" s="20" t="n">
        <v>70.83041666666666</v>
      </c>
      <c r="Y228" s="20" t="n">
        <v>74.48</v>
      </c>
      <c r="Z228" s="46" t="n">
        <v>0.05286438203212231</v>
      </c>
      <c r="AA228" s="44" t="n">
        <v>0.0529</v>
      </c>
      <c r="AB228" s="46" t="n">
        <v>0.0529</v>
      </c>
      <c r="AC228" s="20" t="n">
        <v>42.86</v>
      </c>
      <c r="AD228" s="91" t="n">
        <v>2.3286</v>
      </c>
      <c r="AE228" s="46" t="n"/>
      <c r="AF228" s="20" t="n"/>
      <c r="AG228" s="20" t="n">
        <v>50.7</v>
      </c>
      <c r="AH228" s="20" t="n"/>
      <c r="AI228" s="20" t="n">
        <v>50.7</v>
      </c>
      <c r="AJ228" s="46" t="n">
        <v>0.121</v>
      </c>
      <c r="AK228" s="20" t="n">
        <v>100</v>
      </c>
      <c r="AL228" s="20" t="n">
        <v>84</v>
      </c>
      <c r="AM228" s="20" t="n">
        <v>79.59</v>
      </c>
      <c r="AN228" s="20" t="n">
        <v>42.86</v>
      </c>
      <c r="AO228" s="20" t="n">
        <v>50.7</v>
      </c>
      <c r="AP228" s="20" t="n">
        <v>100</v>
      </c>
      <c r="AQ228" s="92" t="n">
        <v>0.88</v>
      </c>
      <c r="AR228" s="20" t="n">
        <v>58.35981</v>
      </c>
      <c r="AS228" s="20" t="n">
        <v>66.31999999999999</v>
      </c>
      <c r="AT228" s="49" t="n">
        <v>140</v>
      </c>
      <c r="AU228" s="50">
        <f>IF(I228="","管理人规模；","")&amp;IF(J228="","产品规模标识；","")&amp;IF(AND(F228&lt;3,O228=""),"R_incep；","")&amp;IF(N228="","近三年收益；","")&amp;IF(U228="","近三年胜率；","")&amp;IF(AND(V228&lt;&gt;"",OR(V228&lt;0,V228&gt;1)),"胜率窗口口径不一致；","")&amp;IF(AA228="","近三年回撤；","")&amp;IF(AD228="","短期卡玛；","")&amp;IF(AND(P228&lt;&gt;"",AE228=""),"DD_long不可识别；","")</f>
        <v/>
      </c>
      <c r="AV228" s="51" t="n"/>
      <c r="AW228" s="22" t="inlineStr">
        <is>
          <t>0-5亿元</t>
        </is>
      </c>
      <c r="AX228" s="22" t="inlineStr">
        <is>
          <t>2025-12-30</t>
        </is>
      </c>
      <c r="AY228" s="22" t="inlineStr">
        <is>
          <t>海南起源私募基金管理合伙企业（有限合伙）</t>
        </is>
      </c>
      <c r="AZ228" s="22" t="inlineStr">
        <is>
          <t>2025-12-30</t>
        </is>
      </c>
      <c r="BA228" s="22" t="inlineStr">
        <is>
          <t>https://gs.amac.org.cn/amac-infodisc/res/pof/manager/2109301707118145.html</t>
        </is>
      </c>
      <c r="BB228" s="22" t="inlineStr">
        <is>
          <t>起源天择稳健1号私募证券投资基金</t>
        </is>
      </c>
      <c r="BC228" s="22" t="inlineStr">
        <is>
          <t>2025-06-13</t>
        </is>
      </c>
      <c r="BD228" s="22" t="inlineStr">
        <is>
          <t>已匹配</t>
        </is>
      </c>
      <c r="BE228" t="inlineStr">
        <is>
          <t>https://gs.amac.org.cn/amac-infodisc/res/pof/fund/2203280952108464.html</t>
        </is>
      </c>
      <c r="BF228" t="inlineStr">
        <is>
          <t>已核验</t>
        </is>
      </c>
    </row>
    <row r="229" hidden="1" ht="28" customHeight="1" s="73">
      <c r="A229" s="2" t="n">
        <v>213</v>
      </c>
      <c r="B229" s="18" t="inlineStr">
        <is>
          <t>东玛多策略稳健1号</t>
        </is>
      </c>
      <c r="C229" s="18">
        <f>'sheet4-原始数据'!B214</f>
        <v/>
      </c>
      <c r="D229" s="18" t="inlineStr">
        <is>
          <t>宁波东玛</t>
        </is>
      </c>
      <c r="E229" s="90" t="inlineStr">
        <is>
          <t>2022-03-28</t>
        </is>
      </c>
      <c r="F229" s="20" t="n">
        <v>4.4682</v>
      </c>
      <c r="G229" s="2">
        <f>IF(F229="","",IF(F229&lt;1,"不入池","入池"))</f>
        <v/>
      </c>
      <c r="H229" s="42" t="inlineStr">
        <is>
          <t>5-10亿元</t>
        </is>
      </c>
      <c r="I229" s="20" t="n">
        <v>70</v>
      </c>
      <c r="J229" s="43" t="inlineStr">
        <is>
          <t>无低于1000万元标识</t>
        </is>
      </c>
      <c r="K229" s="20" t="n">
        <v>100</v>
      </c>
      <c r="L229" s="20" t="n">
        <v>100</v>
      </c>
      <c r="M229" s="44" t="n">
        <v>-0.1452</v>
      </c>
      <c r="N229" s="44" t="n">
        <v>0.019</v>
      </c>
      <c r="O229" s="45" t="n"/>
      <c r="P229" s="46" t="n">
        <v>0.1125742886344547</v>
      </c>
      <c r="Q229" s="20" t="n">
        <v>2.43</v>
      </c>
      <c r="R229" s="20" t="n">
        <v>77.5</v>
      </c>
      <c r="S229" s="20" t="n">
        <v>32.46</v>
      </c>
      <c r="T229" s="44" t="n">
        <v>0.3077</v>
      </c>
      <c r="U229" s="44" t="n">
        <v>0.4595</v>
      </c>
      <c r="V229" s="46" t="n">
        <v>0.541725</v>
      </c>
      <c r="W229" s="20" t="n">
        <v>30.77</v>
      </c>
      <c r="X229" s="20" t="n">
        <v>54.1725</v>
      </c>
      <c r="Y229" s="20" t="n">
        <v>40.13</v>
      </c>
      <c r="Z229" s="46" t="n">
        <v>0.1741215973138266</v>
      </c>
      <c r="AA229" s="44" t="n">
        <v>0.1741</v>
      </c>
      <c r="AB229" s="46" t="n">
        <v>0.1741215973138266</v>
      </c>
      <c r="AC229" s="20" t="n">
        <v>13.24</v>
      </c>
      <c r="AD229" s="91" t="n">
        <v>-0.8339</v>
      </c>
      <c r="AE229" s="46" t="n"/>
      <c r="AF229" s="20" t="n"/>
      <c r="AG229" s="20" t="n">
        <v>2.1</v>
      </c>
      <c r="AH229" s="20" t="n"/>
      <c r="AI229" s="20" t="n">
        <v>2.1</v>
      </c>
      <c r="AJ229" s="46" t="n">
        <v>0.019</v>
      </c>
      <c r="AK229" s="20" t="n">
        <v>80</v>
      </c>
      <c r="AL229" s="20" t="n">
        <v>88</v>
      </c>
      <c r="AM229" s="20" t="n">
        <v>34.76</v>
      </c>
      <c r="AN229" s="20" t="n">
        <v>13.24</v>
      </c>
      <c r="AO229" s="20" t="n">
        <v>2.1</v>
      </c>
      <c r="AP229" s="20" t="n">
        <v>80</v>
      </c>
      <c r="AQ229" s="92" t="n">
        <v>0.88</v>
      </c>
      <c r="AR229" s="20" t="n">
        <v>31.83998</v>
      </c>
      <c r="AS229" s="20" t="n">
        <v>36.18</v>
      </c>
      <c r="AT229" s="49" t="n">
        <v>282</v>
      </c>
      <c r="AU229" s="50">
        <f>IF(I229="","管理人规模；","")&amp;IF(J229="","产品规模标识；","")&amp;IF(AND(F229&lt;3,O229=""),"R_incep；","")&amp;IF(N229="","近三年收益；","")&amp;IF(U229="","近三年胜率；","")&amp;IF(AND(V229&lt;&gt;"",OR(V229&lt;0,V229&gt;1)),"胜率窗口口径不一致；","")&amp;IF(AA229="","近三年回撤；","")&amp;IF(AD229="","短期卡玛；","")&amp;IF(AND(P229&lt;&gt;"",AE229=""),"DD_long不可识别；","")</f>
        <v/>
      </c>
      <c r="AV229" s="51" t="n"/>
      <c r="AW229" s="22" t="inlineStr">
        <is>
          <t>5-10亿元</t>
        </is>
      </c>
      <c r="AX229" s="22" t="inlineStr">
        <is>
          <t>2026-07-07</t>
        </is>
      </c>
      <c r="AY229" s="22" t="inlineStr">
        <is>
          <t>宁波东玛私募基金管理有限公司</t>
        </is>
      </c>
      <c r="AZ229" s="22" t="inlineStr">
        <is>
          <t>2026-07-07</t>
        </is>
      </c>
      <c r="BA229" s="22" t="inlineStr">
        <is>
          <t>https://gs.amac.org.cn/amac-infodisc/res/pof/manager/2110261036100964.html</t>
        </is>
      </c>
      <c r="BB229" s="22" t="inlineStr">
        <is>
          <t>东玛多策略稳健1号私募证券投资基金</t>
        </is>
      </c>
      <c r="BC229" s="22" t="inlineStr">
        <is>
          <t>2024-12-02</t>
        </is>
      </c>
      <c r="BD229" s="22" t="inlineStr">
        <is>
          <t>已匹配</t>
        </is>
      </c>
      <c r="BE229" t="inlineStr">
        <is>
          <t>https://gs.amac.org.cn/amac-infodisc/res/pof/fund/2204081717101635.html</t>
        </is>
      </c>
      <c r="BF229" t="inlineStr">
        <is>
          <t>已核验</t>
        </is>
      </c>
    </row>
    <row r="230" hidden="1" ht="28" customHeight="1" s="73">
      <c r="A230" s="2" t="n">
        <v>214</v>
      </c>
      <c r="B230" s="18" t="inlineStr">
        <is>
          <t>以利安得利混合1号</t>
        </is>
      </c>
      <c r="C230" s="18">
        <f>'sheet4-原始数据'!B215</f>
        <v/>
      </c>
      <c r="D230" s="18" t="inlineStr">
        <is>
          <t>河南以利</t>
        </is>
      </c>
      <c r="E230" s="90" t="inlineStr">
        <is>
          <t>2022-04-13</t>
        </is>
      </c>
      <c r="F230" s="20" t="n">
        <v>4.4244</v>
      </c>
      <c r="G230" s="2">
        <f>IF(F230="","",IF(F230&lt;1,"不入池","入池"))</f>
        <v/>
      </c>
      <c r="H230" s="42" t="inlineStr">
        <is>
          <t>0-5亿元</t>
        </is>
      </c>
      <c r="I230" s="20" t="n">
        <v>60</v>
      </c>
      <c r="J230" s="43" t="inlineStr">
        <is>
          <t>无低于1000万元标识</t>
        </is>
      </c>
      <c r="K230" s="20" t="n">
        <v>100</v>
      </c>
      <c r="L230" s="20" t="n">
        <v>100</v>
      </c>
      <c r="M230" s="44" t="n">
        <v>0.0393</v>
      </c>
      <c r="N230" s="44" t="n">
        <v>0.0867</v>
      </c>
      <c r="O230" s="45" t="n"/>
      <c r="P230" s="46" t="n">
        <v>0.1112046163409626</v>
      </c>
      <c r="Q230" s="20" t="n">
        <v>37.15</v>
      </c>
      <c r="R230" s="20" t="n">
        <v>76.5</v>
      </c>
      <c r="S230" s="20" t="n">
        <v>52.89</v>
      </c>
      <c r="T230" s="44" t="n">
        <v>0.8462000000000001</v>
      </c>
      <c r="U230" s="44" t="n">
        <v>0.9189000000000001</v>
      </c>
      <c r="V230" s="46" t="n">
        <v>0.9582791666666669</v>
      </c>
      <c r="W230" s="20" t="n">
        <v>84.62</v>
      </c>
      <c r="X230" s="20" t="n">
        <v>95.8279166666667</v>
      </c>
      <c r="Y230" s="20" t="n">
        <v>89.09999999999999</v>
      </c>
      <c r="Z230" s="46" t="n">
        <v>0.001167984735955206</v>
      </c>
      <c r="AA230" s="44" t="n">
        <v>0.0071</v>
      </c>
      <c r="AB230" s="46" t="n">
        <v>0.0071</v>
      </c>
      <c r="AC230" s="20" t="n">
        <v>89.55</v>
      </c>
      <c r="AD230" s="91" t="n">
        <v>33.6477</v>
      </c>
      <c r="AE230" s="46" t="n">
        <v>0.0071</v>
      </c>
      <c r="AF230" s="20" t="n">
        <v>15.66262201985388</v>
      </c>
      <c r="AG230" s="20" t="n">
        <v>95.45</v>
      </c>
      <c r="AH230" s="20" t="n">
        <v>94.84999999999999</v>
      </c>
      <c r="AI230" s="20" t="n">
        <v>95.20999999999999</v>
      </c>
      <c r="AJ230" s="46" t="n">
        <v>0.0867</v>
      </c>
      <c r="AK230" s="20" t="n">
        <v>80</v>
      </c>
      <c r="AL230" s="20" t="n">
        <v>84</v>
      </c>
      <c r="AM230" s="20" t="n">
        <v>63.75</v>
      </c>
      <c r="AN230" s="20" t="n">
        <v>89.55</v>
      </c>
      <c r="AO230" s="20" t="n">
        <v>95.20999999999999</v>
      </c>
      <c r="AP230" s="20" t="n">
        <v>80</v>
      </c>
      <c r="AQ230" s="92" t="n">
        <v>1</v>
      </c>
      <c r="AR230" s="20" t="n">
        <v>84.30128999999999</v>
      </c>
      <c r="AS230" s="20" t="n">
        <v>84.3</v>
      </c>
      <c r="AT230" s="49" t="n">
        <v>35</v>
      </c>
      <c r="AU230" s="50">
        <f>IF(I230="","管理人规模；","")&amp;IF(J230="","产品规模标识；","")&amp;IF(AND(F230&lt;3,O230=""),"R_incep；","")&amp;IF(N230="","近三年收益；","")&amp;IF(U230="","近三年胜率；","")&amp;IF(AND(V230&lt;&gt;"",OR(V230&lt;0,V230&gt;1)),"胜率窗口口径不一致；","")&amp;IF(AA230="","近三年回撤；","")&amp;IF(AD230="","短期卡玛；","")&amp;IF(AND(P230&lt;&gt;"",AE230=""),"DD_long不可识别；","")</f>
        <v/>
      </c>
      <c r="AV230" s="51" t="n">
        <v>84.30128999999999</v>
      </c>
      <c r="AW230" s="22" t="inlineStr">
        <is>
          <t>0-5亿元</t>
        </is>
      </c>
      <c r="AX230" s="22" t="inlineStr">
        <is>
          <t>2026-08-21</t>
        </is>
      </c>
      <c r="AY230" s="22" t="inlineStr">
        <is>
          <t>河南以利私募基金管理有限公司</t>
        </is>
      </c>
      <c r="AZ230" s="22" t="inlineStr">
        <is>
          <t>2026-08-21</t>
        </is>
      </c>
      <c r="BA230" s="22" t="inlineStr">
        <is>
          <t>https://gs.amac.org.cn/amac-infodisc/res/pof/manager/101000009955.html</t>
        </is>
      </c>
      <c r="BB230" s="22" t="inlineStr">
        <is>
          <t>以利安得利混合1号私募证券投资基金</t>
        </is>
      </c>
      <c r="BC230" s="22" t="inlineStr">
        <is>
          <t>2026-07-22</t>
        </is>
      </c>
      <c r="BD230" s="22" t="inlineStr">
        <is>
          <t>已匹配</t>
        </is>
      </c>
      <c r="BE230" t="inlineStr">
        <is>
          <t>https://gs.amac.org.cn/amac-infodisc/res/pof/fund/2204180932106462.html</t>
        </is>
      </c>
      <c r="BF230" t="inlineStr">
        <is>
          <t>已核验</t>
        </is>
      </c>
    </row>
    <row r="231" hidden="1" ht="28" customHeight="1" s="73">
      <c r="A231" s="2" t="n">
        <v>242</v>
      </c>
      <c r="B231" s="18" t="inlineStr">
        <is>
          <t>放牛人5号</t>
        </is>
      </c>
      <c r="C231" s="18">
        <f>'sheet4-原始数据'!B243</f>
        <v/>
      </c>
      <c r="D231" s="18" t="inlineStr">
        <is>
          <t>上海放牛人</t>
        </is>
      </c>
      <c r="E231" s="90" t="inlineStr">
        <is>
          <t>2022-06-17</t>
        </is>
      </c>
      <c r="F231" s="20" t="n">
        <v>4.2464</v>
      </c>
      <c r="G231" s="2">
        <f>IF(F231="","",IF(F231&lt;1,"不入池","入池"))</f>
        <v/>
      </c>
      <c r="H231" s="42" t="inlineStr">
        <is>
          <t>0-5亿元</t>
        </is>
      </c>
      <c r="I231" s="20" t="n">
        <v>60</v>
      </c>
      <c r="J231" s="43" t="inlineStr">
        <is>
          <t>无低于1000万元标识</t>
        </is>
      </c>
      <c r="K231" s="20" t="n">
        <v>100</v>
      </c>
      <c r="L231" s="20" t="n">
        <v>100</v>
      </c>
      <c r="M231" s="44" t="n">
        <v>0.0946</v>
      </c>
      <c r="N231" s="44" t="n">
        <v>0.081</v>
      </c>
      <c r="O231" s="45" t="n"/>
      <c r="P231" s="46" t="n">
        <v>0.07426349744391603</v>
      </c>
      <c r="Q231" s="20" t="n">
        <v>75.17</v>
      </c>
      <c r="R231" s="20" t="n">
        <v>59.5</v>
      </c>
      <c r="S231" s="20" t="n">
        <v>68.90000000000001</v>
      </c>
      <c r="T231" s="44" t="n">
        <v>1</v>
      </c>
      <c r="U231" s="44" t="n">
        <v>0.9459000000000001</v>
      </c>
      <c r="V231" s="46" t="n">
        <v>0.9165958333333334</v>
      </c>
      <c r="W231" s="20" t="n">
        <v>100</v>
      </c>
      <c r="X231" s="20" t="n">
        <v>91.65958333333334</v>
      </c>
      <c r="Y231" s="20" t="n">
        <v>96.66</v>
      </c>
      <c r="Z231" s="46" t="n">
        <v>0.001054493692544864</v>
      </c>
      <c r="AA231" s="44" t="n">
        <v>0.0033</v>
      </c>
      <c r="AB231" s="46" t="n">
        <v>0.0033</v>
      </c>
      <c r="AC231" s="20" t="n">
        <v>97.73999999999999</v>
      </c>
      <c r="AD231" s="91" t="n">
        <v>89.71129999999999</v>
      </c>
      <c r="AE231" s="46" t="n">
        <v>0.0033</v>
      </c>
      <c r="AF231" s="20" t="n">
        <v>22.50409013452001</v>
      </c>
      <c r="AG231" s="20" t="n">
        <v>99.65000000000001</v>
      </c>
      <c r="AH231" s="20" t="n">
        <v>98.53</v>
      </c>
      <c r="AI231" s="20" t="n">
        <v>99.2</v>
      </c>
      <c r="AJ231" s="46" t="n">
        <v>0.081</v>
      </c>
      <c r="AK231" s="20" t="n">
        <v>100</v>
      </c>
      <c r="AL231" s="20" t="n">
        <v>84</v>
      </c>
      <c r="AM231" s="20" t="n">
        <v>77.23</v>
      </c>
      <c r="AN231" s="20" t="n">
        <v>97.73999999999999</v>
      </c>
      <c r="AO231" s="20" t="n">
        <v>99.2</v>
      </c>
      <c r="AP231" s="20" t="n">
        <v>100</v>
      </c>
      <c r="AQ231" s="92" t="n">
        <v>1</v>
      </c>
      <c r="AR231" s="20" t="n">
        <v>92.24171</v>
      </c>
      <c r="AS231" s="20" t="n">
        <v>92.23999999999999</v>
      </c>
      <c r="AT231" s="49" t="n">
        <v>5</v>
      </c>
      <c r="AU231" s="50">
        <f>IF(I231="","管理人规模；","")&amp;IF(J231="","产品规模标识；","")&amp;IF(AND(F231&lt;3,O231=""),"R_incep；","")&amp;IF(N231="","近三年收益；","")&amp;IF(U231="","近三年胜率；","")&amp;IF(AND(V231&lt;&gt;"",OR(V231&lt;0,V231&gt;1)),"胜率窗口口径不一致；","")&amp;IF(AA231="","近三年回撤；","")&amp;IF(AD231="","短期卡玛；","")&amp;IF(AND(P231&lt;&gt;"",AE231=""),"DD_long不可识别；","")</f>
        <v/>
      </c>
      <c r="AV231" s="51" t="n">
        <v>92.24171</v>
      </c>
      <c r="AW231" s="22" t="inlineStr">
        <is>
          <t>0-5亿元</t>
        </is>
      </c>
      <c r="AX231" s="22" t="inlineStr">
        <is>
          <t>2026-03-18</t>
        </is>
      </c>
      <c r="AY231" s="22" t="inlineStr">
        <is>
          <t>上海放牛人私募基金管理有限公司</t>
        </is>
      </c>
      <c r="AZ231" s="22" t="inlineStr">
        <is>
          <t>2026-03-18</t>
        </is>
      </c>
      <c r="BA231" s="22" t="inlineStr">
        <is>
          <t>https://gs.amac.org.cn/amac-infodisc/res/pof/manager/2104292125100136.html</t>
        </is>
      </c>
      <c r="BB231" s="22" t="inlineStr">
        <is>
          <t>放牛人5号私募证券投资基金</t>
        </is>
      </c>
      <c r="BC231" s="22" t="inlineStr">
        <is>
          <t>2022-06-24</t>
        </is>
      </c>
      <c r="BD231" s="22" t="inlineStr">
        <is>
          <t>已匹配</t>
        </is>
      </c>
      <c r="BE231" t="inlineStr">
        <is>
          <t>https://gs.amac.org.cn/amac-infodisc/res/pof/fund/2206241503107051.html</t>
        </is>
      </c>
      <c r="BF231" t="inlineStr">
        <is>
          <t>已核验</t>
        </is>
      </c>
    </row>
    <row r="232" hidden="1" ht="28" customHeight="1" s="73">
      <c r="A232" s="2" t="n">
        <v>243</v>
      </c>
      <c r="B232" s="18" t="inlineStr">
        <is>
          <t>鹿秀呦呦1号</t>
        </is>
      </c>
      <c r="C232" s="18">
        <f>'sheet4-原始数据'!B244</f>
        <v/>
      </c>
      <c r="D232" s="18" t="inlineStr">
        <is>
          <t>青岛鹿秀投资</t>
        </is>
      </c>
      <c r="E232" s="90" t="inlineStr">
        <is>
          <t>2022-07-01</t>
        </is>
      </c>
      <c r="F232" s="20" t="n">
        <v>4.2081</v>
      </c>
      <c r="G232" s="2">
        <f>IF(F232="","",IF(F232&lt;1,"不入池","入池"))</f>
        <v/>
      </c>
      <c r="H232" s="42" t="inlineStr">
        <is>
          <t>50-100亿元</t>
        </is>
      </c>
      <c r="I232" s="20" t="n">
        <v>90</v>
      </c>
      <c r="J232" s="43" t="inlineStr">
        <is>
          <t>无低于1000万元标识</t>
        </is>
      </c>
      <c r="K232" s="20" t="n">
        <v>100</v>
      </c>
      <c r="L232" s="20" t="n">
        <v>100</v>
      </c>
      <c r="M232" s="44" t="n">
        <v>-0.0152</v>
      </c>
      <c r="N232" s="44" t="n">
        <v>0.2566</v>
      </c>
      <c r="O232" s="45" t="n"/>
      <c r="P232" s="46" t="n">
        <v>0.4194547848261032</v>
      </c>
      <c r="Q232" s="20" t="n">
        <v>12.85</v>
      </c>
      <c r="R232" s="20" t="n">
        <v>100</v>
      </c>
      <c r="S232" s="20" t="n">
        <v>47.71</v>
      </c>
      <c r="T232" s="44" t="n">
        <v>0.6923</v>
      </c>
      <c r="U232" s="44" t="n">
        <v>0.5946</v>
      </c>
      <c r="V232" s="46" t="n">
        <v>0.5416791666666666</v>
      </c>
      <c r="W232" s="20" t="n">
        <v>69.23</v>
      </c>
      <c r="X232" s="20" t="n">
        <v>54.16791666666666</v>
      </c>
      <c r="Y232" s="20" t="n">
        <v>63.21</v>
      </c>
      <c r="Z232" s="46" t="n">
        <v>0.2248520710059172</v>
      </c>
      <c r="AA232" s="44" t="n">
        <v>0.3414</v>
      </c>
      <c r="AB232" s="46" t="n">
        <v>0.3414</v>
      </c>
      <c r="AC232" s="20" t="n">
        <v>2.09</v>
      </c>
      <c r="AD232" s="91" t="n">
        <v>-0.06759999999999999</v>
      </c>
      <c r="AE232" s="46" t="n">
        <v>0.3414</v>
      </c>
      <c r="AF232" s="20" t="n">
        <v>1.228631472835686</v>
      </c>
      <c r="AG232" s="20" t="n">
        <v>15.38</v>
      </c>
      <c r="AH232" s="20" t="n">
        <v>49.26</v>
      </c>
      <c r="AI232" s="20" t="n">
        <v>28.93</v>
      </c>
      <c r="AJ232" s="46" t="n">
        <v>0.2566</v>
      </c>
      <c r="AK232" s="20" t="n">
        <v>60</v>
      </c>
      <c r="AL232" s="20" t="n">
        <v>96</v>
      </c>
      <c r="AM232" s="20" t="n">
        <v>52.36</v>
      </c>
      <c r="AN232" s="20" t="n">
        <v>2.09</v>
      </c>
      <c r="AO232" s="20" t="n">
        <v>28.93</v>
      </c>
      <c r="AP232" s="20" t="n">
        <v>60</v>
      </c>
      <c r="AQ232" s="92" t="n">
        <v>1</v>
      </c>
      <c r="AR232" s="20" t="n">
        <v>40.07381</v>
      </c>
      <c r="AS232" s="20" t="n">
        <v>40.07</v>
      </c>
      <c r="AT232" s="49" t="n">
        <v>266</v>
      </c>
      <c r="AU232" s="50">
        <f>IF(I232="","管理人规模；","")&amp;IF(J232="","产品规模标识；","")&amp;IF(AND(F232&lt;3,O232=""),"R_incep；","")&amp;IF(N232="","近三年收益；","")&amp;IF(U232="","近三年胜率；","")&amp;IF(AND(V232&lt;&gt;"",OR(V232&lt;0,V232&gt;1)),"胜率窗口口径不一致；","")&amp;IF(AA232="","近三年回撤；","")&amp;IF(AD232="","短期卡玛；","")&amp;IF(AND(P232&lt;&gt;"",AE232=""),"DD_long不可识别；","")</f>
        <v/>
      </c>
      <c r="AV232" s="51" t="n">
        <v>40.07381</v>
      </c>
      <c r="AW232" s="22" t="inlineStr">
        <is>
          <t>50-100亿元</t>
        </is>
      </c>
      <c r="AX232" s="22" t="inlineStr">
        <is>
          <t>2025-01-10</t>
        </is>
      </c>
      <c r="AY232" s="22" t="inlineStr">
        <is>
          <t>青岛鹿秀投资管理有限公司</t>
        </is>
      </c>
      <c r="AZ232" s="22" t="inlineStr">
        <is>
          <t>2025-01-10</t>
        </is>
      </c>
      <c r="BA232" s="22" t="inlineStr">
        <is>
          <t>https://gs.amac.org.cn/amac-infodisc/res/pof/manager/1612231708101923.html</t>
        </is>
      </c>
      <c r="BB232" s="22" t="inlineStr">
        <is>
          <t>鹿秀呦呦1号私募证券投资基金</t>
        </is>
      </c>
      <c r="BC232" s="22" t="inlineStr">
        <is>
          <t>2025-11-21</t>
        </is>
      </c>
      <c r="BD232" s="22" t="inlineStr">
        <is>
          <t>已匹配</t>
        </is>
      </c>
      <c r="BE232" t="inlineStr">
        <is>
          <t>https://gs.amac.org.cn/amac-infodisc/res/pof/fund/2207121422105313.html</t>
        </is>
      </c>
      <c r="BF232" t="inlineStr">
        <is>
          <t>已核验</t>
        </is>
      </c>
    </row>
    <row r="233" hidden="1" ht="28" customHeight="1" s="73">
      <c r="A233" s="2" t="n">
        <v>244</v>
      </c>
      <c r="B233" s="18" t="inlineStr">
        <is>
          <t>慕途基本面量化1号</t>
        </is>
      </c>
      <c r="C233" s="18">
        <f>'sheet4-原始数据'!B245</f>
        <v/>
      </c>
      <c r="D233" s="18" t="inlineStr">
        <is>
          <t>慕途基金</t>
        </is>
      </c>
      <c r="E233" s="90" t="inlineStr">
        <is>
          <t>2022-07-08</t>
        </is>
      </c>
      <c r="F233" s="20" t="n">
        <v>4.1889</v>
      </c>
      <c r="G233" s="2">
        <f>IF(F233="","",IF(F233&lt;1,"不入池","入池"))</f>
        <v/>
      </c>
      <c r="H233" s="42" t="inlineStr">
        <is>
          <t>10-20亿元</t>
        </is>
      </c>
      <c r="I233" s="20" t="n">
        <v>80</v>
      </c>
      <c r="J233" s="43" t="inlineStr">
        <is>
          <t>无低于1000万元标识</t>
        </is>
      </c>
      <c r="K233" s="20" t="n">
        <v>100</v>
      </c>
      <c r="L233" s="20" t="n">
        <v>100</v>
      </c>
      <c r="M233" s="44" t="n">
        <v>0.1066</v>
      </c>
      <c r="N233" s="44" t="n">
        <v>0.0931</v>
      </c>
      <c r="O233" s="45" t="n"/>
      <c r="P233" s="46" t="n">
        <v>0.0864118862731762</v>
      </c>
      <c r="Q233" s="20" t="n">
        <v>78.3</v>
      </c>
      <c r="R233" s="20" t="n">
        <v>69</v>
      </c>
      <c r="S233" s="20" t="n">
        <v>74.58</v>
      </c>
      <c r="T233" s="44" t="n">
        <v>0.6923</v>
      </c>
      <c r="U233" s="44" t="n">
        <v>0.7297</v>
      </c>
      <c r="V233" s="46" t="n">
        <v>0.7499583333333333</v>
      </c>
      <c r="W233" s="20" t="n">
        <v>69.23</v>
      </c>
      <c r="X233" s="20" t="n">
        <v>74.99583333333332</v>
      </c>
      <c r="Y233" s="20" t="n">
        <v>71.54000000000001</v>
      </c>
      <c r="Z233" s="46" t="n">
        <v>0.04021427493586842</v>
      </c>
      <c r="AA233" s="44" t="n">
        <v>0.04019999999999999</v>
      </c>
      <c r="AB233" s="46" t="n">
        <v>0.04021427493586842</v>
      </c>
      <c r="AC233" s="20" t="n">
        <v>51.92</v>
      </c>
      <c r="AD233" s="91" t="n">
        <v>2.6508</v>
      </c>
      <c r="AE233" s="46" t="n"/>
      <c r="AF233" s="20" t="n"/>
      <c r="AG233" s="20" t="n">
        <v>52.45</v>
      </c>
      <c r="AH233" s="20" t="n"/>
      <c r="AI233" s="20" t="n">
        <v>52.45</v>
      </c>
      <c r="AJ233" s="46" t="n">
        <v>0.0931</v>
      </c>
      <c r="AK233" s="20" t="n">
        <v>100</v>
      </c>
      <c r="AL233" s="20" t="n">
        <v>92</v>
      </c>
      <c r="AM233" s="20" t="n">
        <v>73.67</v>
      </c>
      <c r="AN233" s="20" t="n">
        <v>51.92</v>
      </c>
      <c r="AO233" s="20" t="n">
        <v>52.45</v>
      </c>
      <c r="AP233" s="20" t="n">
        <v>100</v>
      </c>
      <c r="AQ233" s="92" t="n">
        <v>0.88</v>
      </c>
      <c r="AR233" s="20" t="n">
        <v>60.95438</v>
      </c>
      <c r="AS233" s="20" t="n">
        <v>69.27</v>
      </c>
      <c r="AT233" s="49" t="n">
        <v>126</v>
      </c>
      <c r="AU233" s="50">
        <f>IF(I233="","管理人规模；","")&amp;IF(J233="","产品规模标识；","")&amp;IF(AND(F233&lt;3,O233=""),"R_incep；","")&amp;IF(N233="","近三年收益；","")&amp;IF(U233="","近三年胜率；","")&amp;IF(AND(V233&lt;&gt;"",OR(V233&lt;0,V233&gt;1)),"胜率窗口口径不一致；","")&amp;IF(AA233="","近三年回撤；","")&amp;IF(AD233="","短期卡玛；","")&amp;IF(AND(P233&lt;&gt;"",AE233=""),"DD_long不可识别；","")</f>
        <v/>
      </c>
      <c r="AV233" s="51" t="n"/>
      <c r="AW233" s="22" t="inlineStr">
        <is>
          <t>10-20亿元</t>
        </is>
      </c>
      <c r="AX233" s="22" t="inlineStr">
        <is>
          <t>2026-06-12</t>
        </is>
      </c>
      <c r="AY233" s="22" t="inlineStr">
        <is>
          <t>上海慕途私募基金管理有限公司</t>
        </is>
      </c>
      <c r="AZ233" s="22" t="inlineStr">
        <is>
          <t>2026-06-12</t>
        </is>
      </c>
      <c r="BA233" s="22" t="inlineStr">
        <is>
          <t>https://gs.amac.org.cn/amac-infodisc/res/pof/manager/2106221238106983.html</t>
        </is>
      </c>
      <c r="BB233" s="22" t="inlineStr">
        <is>
          <t>慕途基本面量化1号私募证券投资基金</t>
        </is>
      </c>
      <c r="BC233" s="22" t="inlineStr">
        <is>
          <t>2026-07-09</t>
        </is>
      </c>
      <c r="BD233" s="22" t="inlineStr">
        <is>
          <t>已匹配</t>
        </is>
      </c>
      <c r="BE233" t="inlineStr">
        <is>
          <t>https://gs.amac.org.cn/amac-infodisc/res/pof/fund/2207141704102568.html</t>
        </is>
      </c>
      <c r="BF233" t="inlineStr">
        <is>
          <t>已核验</t>
        </is>
      </c>
    </row>
    <row r="234" hidden="1" ht="28" customHeight="1" s="73">
      <c r="A234" s="2" t="n">
        <v>245</v>
      </c>
      <c r="B234" s="18" t="inlineStr">
        <is>
          <t>金和金诚5号</t>
        </is>
      </c>
      <c r="C234" s="18">
        <f>'sheet4-原始数据'!B246</f>
        <v/>
      </c>
      <c r="D234" s="18" t="inlineStr">
        <is>
          <t>上海金和晟</t>
        </is>
      </c>
      <c r="E234" s="90" t="inlineStr">
        <is>
          <t>2022-07-07</t>
        </is>
      </c>
      <c r="F234" s="20" t="n">
        <v>4.1916</v>
      </c>
      <c r="G234" s="2">
        <f>IF(F234="","",IF(F234&lt;1,"不入池","入池"))</f>
        <v/>
      </c>
      <c r="H234" s="42" t="inlineStr">
        <is>
          <t>20-50亿元</t>
        </is>
      </c>
      <c r="I234" s="20" t="n">
        <v>90</v>
      </c>
      <c r="J234" s="43" t="inlineStr">
        <is>
          <t>无低于1000万元标识</t>
        </is>
      </c>
      <c r="K234" s="20" t="n">
        <v>100</v>
      </c>
      <c r="L234" s="20" t="n">
        <v>100</v>
      </c>
      <c r="M234" s="44" t="n">
        <v>0.0843</v>
      </c>
      <c r="N234" s="44" t="n">
        <v>0.1232</v>
      </c>
      <c r="O234" s="45" t="n"/>
      <c r="P234" s="46" t="n">
        <v>0.1431702486672659</v>
      </c>
      <c r="Q234" s="20" t="n">
        <v>67.70999999999999</v>
      </c>
      <c r="R234" s="20" t="n">
        <v>88</v>
      </c>
      <c r="S234" s="20" t="n">
        <v>75.83</v>
      </c>
      <c r="T234" s="44" t="n">
        <v>0.6923</v>
      </c>
      <c r="U234" s="44" t="n">
        <v>0.7059000000000001</v>
      </c>
      <c r="V234" s="46" t="n">
        <v>0.7132666666666667</v>
      </c>
      <c r="W234" s="20" t="n">
        <v>69.23</v>
      </c>
      <c r="X234" s="20" t="n">
        <v>71.32666666666667</v>
      </c>
      <c r="Y234" s="20" t="n">
        <v>70.06999999999999</v>
      </c>
      <c r="Z234" s="46" t="n">
        <v>0.01868309656257618</v>
      </c>
      <c r="AA234" s="44" t="n">
        <v>0.0187</v>
      </c>
      <c r="AB234" s="46" t="n">
        <v>0.0187</v>
      </c>
      <c r="AC234" s="20" t="n">
        <v>73.87</v>
      </c>
      <c r="AD234" s="91" t="n">
        <v>4.5121</v>
      </c>
      <c r="AE234" s="46" t="n"/>
      <c r="AF234" s="20" t="n"/>
      <c r="AG234" s="20" t="n">
        <v>64.69</v>
      </c>
      <c r="AH234" s="20" t="n"/>
      <c r="AI234" s="20" t="n">
        <v>64.69</v>
      </c>
      <c r="AJ234" s="46" t="n">
        <v>0.1232</v>
      </c>
      <c r="AK234" s="20" t="n">
        <v>80</v>
      </c>
      <c r="AL234" s="20" t="n">
        <v>96</v>
      </c>
      <c r="AM234" s="20" t="n">
        <v>74.09999999999999</v>
      </c>
      <c r="AN234" s="20" t="n">
        <v>73.87</v>
      </c>
      <c r="AO234" s="20" t="n">
        <v>64.69</v>
      </c>
      <c r="AP234" s="20" t="n">
        <v>80</v>
      </c>
      <c r="AQ234" s="92" t="n">
        <v>0.88</v>
      </c>
      <c r="AR234" s="20" t="n">
        <v>67.33146000000001</v>
      </c>
      <c r="AS234" s="20" t="n">
        <v>76.51000000000001</v>
      </c>
      <c r="AT234" s="49" t="n">
        <v>80</v>
      </c>
      <c r="AU234" s="50">
        <f>IF(I234="","管理人规模；","")&amp;IF(J234="","产品规模标识；","")&amp;IF(AND(F234&lt;3,O234=""),"R_incep；","")&amp;IF(N234="","近三年收益；","")&amp;IF(U234="","近三年胜率；","")&amp;IF(AND(V234&lt;&gt;"",OR(V234&lt;0,V234&gt;1)),"胜率窗口口径不一致；","")&amp;IF(AA234="","近三年回撤；","")&amp;IF(AD234="","短期卡玛；","")&amp;IF(AND(P234&lt;&gt;"",AE234=""),"DD_long不可识别；","")</f>
        <v/>
      </c>
      <c r="AV234" s="51" t="n"/>
      <c r="AW234" s="22" t="inlineStr">
        <is>
          <t>20-50亿元</t>
        </is>
      </c>
      <c r="AX234" s="22" t="inlineStr">
        <is>
          <t>2026-03-27</t>
        </is>
      </c>
      <c r="AY234" s="22" t="inlineStr">
        <is>
          <t>上海金和晟私募基金管理有限公司</t>
        </is>
      </c>
      <c r="AZ234" s="22" t="inlineStr">
        <is>
          <t>2026-03-27</t>
        </is>
      </c>
      <c r="BA234" s="22" t="inlineStr">
        <is>
          <t>https://gs.amac.org.cn/amac-infodisc/res/pof/manager/2010280957108370.html</t>
        </is>
      </c>
      <c r="BB234" s="22" t="inlineStr">
        <is>
          <t>金和金诚5号私募证券投资基金</t>
        </is>
      </c>
      <c r="BC234" s="22" t="inlineStr">
        <is>
          <t>2025-09-23</t>
        </is>
      </c>
      <c r="BD234" s="22" t="inlineStr">
        <is>
          <t>已匹配</t>
        </is>
      </c>
      <c r="BE234" t="inlineStr">
        <is>
          <t>https://gs.amac.org.cn/amac-infodisc/res/pof/fund/2207141704101581.html</t>
        </is>
      </c>
      <c r="BF234" t="inlineStr">
        <is>
          <t>已核验</t>
        </is>
      </c>
    </row>
    <row r="235" hidden="1" ht="28" customHeight="1" s="73">
      <c r="A235" s="2" t="n">
        <v>246</v>
      </c>
      <c r="B235" s="18" t="inlineStr">
        <is>
          <t>殊馥馥源套利6号</t>
        </is>
      </c>
      <c r="C235" s="18">
        <f>'sheet4-原始数据'!B247</f>
        <v/>
      </c>
      <c r="D235" s="18" t="inlineStr">
        <is>
          <t>上海殊馥投资</t>
        </is>
      </c>
      <c r="E235" s="90" t="inlineStr">
        <is>
          <t>2022-08-03</t>
        </is>
      </c>
      <c r="F235" s="20" t="n">
        <v>4.1177</v>
      </c>
      <c r="G235" s="2">
        <f>IF(F235="","",IF(F235&lt;1,"不入池","入池"))</f>
        <v/>
      </c>
      <c r="H235" s="42" t="inlineStr">
        <is>
          <t>10-20亿元</t>
        </is>
      </c>
      <c r="I235" s="20" t="n">
        <v>80</v>
      </c>
      <c r="J235" s="43" t="inlineStr">
        <is>
          <t>无低于1000万元标识</t>
        </is>
      </c>
      <c r="K235" s="20" t="n">
        <v>100</v>
      </c>
      <c r="L235" s="20" t="n">
        <v>100</v>
      </c>
      <c r="M235" s="44" t="n"/>
      <c r="N235" s="44" t="n"/>
      <c r="O235" s="45" t="n"/>
      <c r="P235" s="46" t="n"/>
      <c r="Q235" s="20" t="n"/>
      <c r="R235" s="20" t="n"/>
      <c r="S235" s="20" t="n"/>
      <c r="T235" s="44" t="n"/>
      <c r="U235" s="44" t="n"/>
      <c r="V235" s="46" t="n"/>
      <c r="W235" s="20" t="n"/>
      <c r="X235" s="20" t="n"/>
      <c r="Y235" s="20" t="n"/>
      <c r="Z235" s="46" t="n"/>
      <c r="AA235" s="44" t="n"/>
      <c r="AB235" s="46" t="n"/>
      <c r="AC235" s="20" t="n"/>
      <c r="AD235" s="91" t="n"/>
      <c r="AE235" s="46" t="n"/>
      <c r="AF235" s="20" t="n"/>
      <c r="AG235" s="20" t="n"/>
      <c r="AH235" s="20" t="n"/>
      <c r="AI235" s="20" t="n"/>
      <c r="AJ235" s="46" t="n"/>
      <c r="AK235" s="20" t="n"/>
      <c r="AL235" s="20" t="n">
        <v>92</v>
      </c>
      <c r="AM235" s="20" t="n"/>
      <c r="AN235" s="20" t="n"/>
      <c r="AO235" s="20" t="n"/>
      <c r="AP235" s="20" t="n"/>
      <c r="AQ235" s="92" t="n">
        <v>0.15</v>
      </c>
      <c r="AR235" s="20" t="n">
        <v>13.8</v>
      </c>
      <c r="AS235" s="20" t="n">
        <v>92</v>
      </c>
      <c r="AT235" s="49" t="n">
        <v>7</v>
      </c>
      <c r="AU235" s="50">
        <f>IF(I235="","管理人规模；","")&amp;IF(J235="","产品规模标识；","")&amp;IF(AND(F235&lt;3,O235=""),"R_incep；","")&amp;IF(N235="","近三年收益；","")&amp;IF(U235="","近三年胜率；","")&amp;IF(AND(V235&lt;&gt;"",OR(V235&lt;0,V235&gt;1)),"胜率窗口口径不一致；","")&amp;IF(AA235="","近三年回撤；","")&amp;IF(AD235="","短期卡玛；","")&amp;IF(AND(P235&lt;&gt;"",AE235=""),"DD_long不可识别；","")</f>
        <v/>
      </c>
      <c r="AV235" s="51" t="n"/>
      <c r="AW235" s="22" t="inlineStr">
        <is>
          <t>10-20亿元</t>
        </is>
      </c>
      <c r="AX235" s="22" t="inlineStr">
        <is>
          <t>2026-06-29</t>
        </is>
      </c>
      <c r="AY235" s="22" t="inlineStr">
        <is>
          <t>上海殊馥投资管理有限公司</t>
        </is>
      </c>
      <c r="AZ235" s="22" t="inlineStr">
        <is>
          <t>2026-06-29</t>
        </is>
      </c>
      <c r="BA235" s="22" t="inlineStr">
        <is>
          <t>https://gs.amac.org.cn/amac-infodisc/res/pof/manager/101000042776.html</t>
        </is>
      </c>
      <c r="BB235" s="22" t="inlineStr">
        <is>
          <t>殊馥馥源套利6号私募证券投资基金</t>
        </is>
      </c>
      <c r="BC235" s="22" t="inlineStr">
        <is>
          <t>2026-06-05</t>
        </is>
      </c>
      <c r="BD235" s="22" t="inlineStr">
        <is>
          <t>已匹配</t>
        </is>
      </c>
      <c r="BE235" t="inlineStr">
        <is>
          <t>https://gs.amac.org.cn/amac-infodisc/res/pof/fund/2208031553101578.html</t>
        </is>
      </c>
      <c r="BF235" t="inlineStr">
        <is>
          <t>已核验</t>
        </is>
      </c>
    </row>
    <row r="236" hidden="1" ht="28" customHeight="1" s="73">
      <c r="A236" s="2" t="n">
        <v>247</v>
      </c>
      <c r="B236" s="18" t="inlineStr">
        <is>
          <t>守正卓越一号</t>
        </is>
      </c>
      <c r="C236" s="18">
        <f>'sheet4-原始数据'!B248</f>
        <v/>
      </c>
      <c r="D236" s="18" t="inlineStr">
        <is>
          <t>山东守正</t>
        </is>
      </c>
      <c r="E236" s="90" t="inlineStr">
        <is>
          <t>2022-07-27</t>
        </is>
      </c>
      <c r="F236" s="20" t="n">
        <v>4.1369</v>
      </c>
      <c r="G236" s="2">
        <f>IF(F236="","",IF(F236&lt;1,"不入池","入池"))</f>
        <v/>
      </c>
      <c r="H236" s="42" t="inlineStr">
        <is>
          <t>0-5亿元</t>
        </is>
      </c>
      <c r="I236" s="20" t="n">
        <v>60</v>
      </c>
      <c r="J236" s="43" t="inlineStr">
        <is>
          <t>无低于1000万元标识</t>
        </is>
      </c>
      <c r="K236" s="20" t="n">
        <v>100</v>
      </c>
      <c r="L236" s="20" t="n">
        <v>100</v>
      </c>
      <c r="M236" s="44" t="n">
        <v>0.0498</v>
      </c>
      <c r="N236" s="44" t="n">
        <v>0.1057</v>
      </c>
      <c r="O236" s="45" t="n"/>
      <c r="P236" s="46" t="n">
        <v>0.1347565027907234</v>
      </c>
      <c r="Q236" s="20" t="n">
        <v>45.83</v>
      </c>
      <c r="R236" s="20" t="n">
        <v>86.5</v>
      </c>
      <c r="S236" s="20" t="n">
        <v>62.1</v>
      </c>
      <c r="T236" s="44" t="n">
        <v>1</v>
      </c>
      <c r="U236" s="44" t="n">
        <v>0.7837999999999999</v>
      </c>
      <c r="V236" s="46" t="n">
        <v>0.6666916666666666</v>
      </c>
      <c r="W236" s="20" t="n">
        <v>100</v>
      </c>
      <c r="X236" s="20" t="n">
        <v>66.66916666666665</v>
      </c>
      <c r="Y236" s="20" t="n">
        <v>86.67</v>
      </c>
      <c r="Z236" s="46" t="n">
        <v>0.002060806197315987</v>
      </c>
      <c r="AA236" s="44" t="n">
        <v>0.1185</v>
      </c>
      <c r="AB236" s="46" t="n">
        <v>0.1185</v>
      </c>
      <c r="AC236" s="20" t="n">
        <v>20.91</v>
      </c>
      <c r="AD236" s="91" t="n">
        <v>24.1653</v>
      </c>
      <c r="AE236" s="46" t="n">
        <v>0.1185</v>
      </c>
      <c r="AF236" s="20" t="n">
        <v>1.137185677558847</v>
      </c>
      <c r="AG236" s="20" t="n">
        <v>92.66</v>
      </c>
      <c r="AH236" s="20" t="n">
        <v>47.79</v>
      </c>
      <c r="AI236" s="20" t="n">
        <v>74.70999999999999</v>
      </c>
      <c r="AJ236" s="46" t="n">
        <v>0.1057</v>
      </c>
      <c r="AK236" s="20" t="n">
        <v>80</v>
      </c>
      <c r="AL236" s="20" t="n">
        <v>84</v>
      </c>
      <c r="AM236" s="20" t="n">
        <v>69.47</v>
      </c>
      <c r="AN236" s="20" t="n">
        <v>20.91</v>
      </c>
      <c r="AO236" s="20" t="n">
        <v>74.70999999999999</v>
      </c>
      <c r="AP236" s="20" t="n">
        <v>80</v>
      </c>
      <c r="AQ236" s="92" t="n">
        <v>1</v>
      </c>
      <c r="AR236" s="20" t="n">
        <v>62.13488</v>
      </c>
      <c r="AS236" s="20" t="n">
        <v>62.13</v>
      </c>
      <c r="AT236" s="49" t="n">
        <v>156</v>
      </c>
      <c r="AU236" s="50">
        <f>IF(I236="","管理人规模；","")&amp;IF(J236="","产品规模标识；","")&amp;IF(AND(F236&lt;3,O236=""),"R_incep；","")&amp;IF(N236="","近三年收益；","")&amp;IF(U236="","近三年胜率；","")&amp;IF(AND(V236&lt;&gt;"",OR(V236&lt;0,V236&gt;1)),"胜率窗口口径不一致；","")&amp;IF(AA236="","近三年回撤；","")&amp;IF(AD236="","短期卡玛；","")&amp;IF(AND(P236&lt;&gt;"",AE236=""),"DD_long不可识别；","")</f>
        <v/>
      </c>
      <c r="AV236" s="51" t="n">
        <v>62.13488</v>
      </c>
      <c r="AW236" s="22" t="inlineStr">
        <is>
          <t>0-5亿元</t>
        </is>
      </c>
      <c r="AX236" s="22" t="inlineStr">
        <is>
          <t>2023-07-31</t>
        </is>
      </c>
      <c r="AY236" s="22" t="inlineStr">
        <is>
          <t>山东守正私募基金管理有限公司</t>
        </is>
      </c>
      <c r="AZ236" s="22" t="inlineStr">
        <is>
          <t>2023-07-31</t>
        </is>
      </c>
      <c r="BA236" s="22" t="inlineStr">
        <is>
          <t>https://gs.amac.org.cn/amac-infodisc/res/pof/manager/2111241907106834.html</t>
        </is>
      </c>
      <c r="BB236" s="22" t="inlineStr">
        <is>
          <t>守正卓越一号私募证券投资基金</t>
        </is>
      </c>
      <c r="BC236" s="22" t="inlineStr">
        <is>
          <t>2025-03-04</t>
        </is>
      </c>
      <c r="BD236" s="22" t="inlineStr">
        <is>
          <t>已匹配</t>
        </is>
      </c>
      <c r="BE236" t="inlineStr">
        <is>
          <t>https://gs.amac.org.cn/amac-infodisc/res/pof/fund/2208081957100560.html</t>
        </is>
      </c>
      <c r="BF236" t="inlineStr">
        <is>
          <t>已核验</t>
        </is>
      </c>
    </row>
    <row r="237" hidden="1" ht="28" customHeight="1" s="73">
      <c r="A237" s="2" t="n">
        <v>248</v>
      </c>
      <c r="B237" s="18" t="inlineStr">
        <is>
          <t>东方富银宏观量化1号</t>
        </is>
      </c>
      <c r="C237" s="18">
        <f>'sheet4-原始数据'!B249</f>
        <v/>
      </c>
      <c r="D237" s="18" t="inlineStr">
        <is>
          <t>深圳东方富银投资</t>
        </is>
      </c>
      <c r="E237" s="90" t="inlineStr">
        <is>
          <t>2022-08-03</t>
        </is>
      </c>
      <c r="F237" s="20" t="n">
        <v>4.1177</v>
      </c>
      <c r="G237" s="2">
        <f>IF(F237="","",IF(F237&lt;1,"不入池","入池"))</f>
        <v/>
      </c>
      <c r="H237" s="42" t="inlineStr">
        <is>
          <t>0-5亿元</t>
        </is>
      </c>
      <c r="I237" s="20" t="n">
        <v>60</v>
      </c>
      <c r="J237" s="43" t="inlineStr">
        <is>
          <t>无低于1000万元标识</t>
        </is>
      </c>
      <c r="K237" s="20" t="n">
        <v>100</v>
      </c>
      <c r="L237" s="20" t="n">
        <v>100</v>
      </c>
      <c r="M237" s="44" t="n">
        <v>0.0663</v>
      </c>
      <c r="N237" s="44" t="n">
        <v>0.0839</v>
      </c>
      <c r="O237" s="45" t="n"/>
      <c r="P237" s="46" t="n">
        <v>0.09280863960600372</v>
      </c>
      <c r="Q237" s="20" t="n">
        <v>56.25</v>
      </c>
      <c r="R237" s="20" t="n">
        <v>70.5</v>
      </c>
      <c r="S237" s="20" t="n">
        <v>61.95</v>
      </c>
      <c r="T237" s="44" t="n">
        <v>0.9231</v>
      </c>
      <c r="U237" s="44" t="n">
        <v>0.7837999999999999</v>
      </c>
      <c r="V237" s="46" t="n">
        <v>0.7083458333333331</v>
      </c>
      <c r="W237" s="20" t="n">
        <v>92.31</v>
      </c>
      <c r="X237" s="20" t="n">
        <v>70.83458333333331</v>
      </c>
      <c r="Y237" s="20" t="n">
        <v>83.72</v>
      </c>
      <c r="Z237" s="46" t="n">
        <v>0.00702308189358389</v>
      </c>
      <c r="AA237" s="44" t="n">
        <v>0.0347</v>
      </c>
      <c r="AB237" s="46" t="n">
        <v>0.0347</v>
      </c>
      <c r="AC237" s="20" t="n">
        <v>55.23</v>
      </c>
      <c r="AD237" s="91" t="n">
        <v>9.440300000000001</v>
      </c>
      <c r="AE237" s="46" t="n">
        <v>0.0347</v>
      </c>
      <c r="AF237" s="20" t="n">
        <v>2.674600565014516</v>
      </c>
      <c r="AG237" s="20" t="n">
        <v>77.97</v>
      </c>
      <c r="AH237" s="20" t="n">
        <v>74.26000000000001</v>
      </c>
      <c r="AI237" s="20" t="n">
        <v>76.48999999999999</v>
      </c>
      <c r="AJ237" s="46" t="n">
        <v>0.0839</v>
      </c>
      <c r="AK237" s="20" t="n">
        <v>80</v>
      </c>
      <c r="AL237" s="20" t="n">
        <v>84</v>
      </c>
      <c r="AM237" s="20" t="n">
        <v>68.48</v>
      </c>
      <c r="AN237" s="20" t="n">
        <v>55.23</v>
      </c>
      <c r="AO237" s="20" t="n">
        <v>76.48999999999999</v>
      </c>
      <c r="AP237" s="20" t="n">
        <v>80</v>
      </c>
      <c r="AQ237" s="92" t="n">
        <v>1</v>
      </c>
      <c r="AR237" s="20" t="n">
        <v>71.04948999999999</v>
      </c>
      <c r="AS237" s="20" t="n">
        <v>71.05</v>
      </c>
      <c r="AT237" s="49" t="n">
        <v>111</v>
      </c>
      <c r="AU237" s="50">
        <f>IF(I237="","管理人规模；","")&amp;IF(J237="","产品规模标识；","")&amp;IF(AND(F237&lt;3,O237=""),"R_incep；","")&amp;IF(N237="","近三年收益；","")&amp;IF(U237="","近三年胜率；","")&amp;IF(AND(V237&lt;&gt;"",OR(V237&lt;0,V237&gt;1)),"胜率窗口口径不一致；","")&amp;IF(AA237="","近三年回撤；","")&amp;IF(AD237="","短期卡玛；","")&amp;IF(AND(P237&lt;&gt;"",AE237=""),"DD_long不可识别；","")</f>
        <v/>
      </c>
      <c r="AV237" s="51" t="n">
        <v>71.04948999999999</v>
      </c>
      <c r="AW237" s="22" t="inlineStr">
        <is>
          <t>0-5亿元</t>
        </is>
      </c>
      <c r="AX237" s="22" t="inlineStr">
        <is>
          <t>2026-02-03</t>
        </is>
      </c>
      <c r="AY237" s="22" t="inlineStr">
        <is>
          <t>深圳市东方富银投资管理有限公司</t>
        </is>
      </c>
      <c r="AZ237" s="22" t="inlineStr">
        <is>
          <t>2026-02-03</t>
        </is>
      </c>
      <c r="BA237" s="22" t="inlineStr">
        <is>
          <t>https://gs.amac.org.cn/amac-infodisc/res/pof/manager/1803121751101388.html</t>
        </is>
      </c>
      <c r="BB237" s="22" t="inlineStr">
        <is>
          <t>东方富银宏观量化1号私募证券投资基金</t>
        </is>
      </c>
      <c r="BC237" s="22" t="inlineStr">
        <is>
          <t>2022-08-11</t>
        </is>
      </c>
      <c r="BD237" s="22" t="inlineStr">
        <is>
          <t>已匹配</t>
        </is>
      </c>
      <c r="BE237" t="inlineStr">
        <is>
          <t>https://gs.amac.org.cn/amac-infodisc/res/pof/fund/2208111702102050.html</t>
        </is>
      </c>
      <c r="BF237" t="inlineStr">
        <is>
          <t>已核验</t>
        </is>
      </c>
    </row>
    <row r="238" hidden="1" ht="28" customHeight="1" s="73">
      <c r="A238" s="2" t="n">
        <v>249</v>
      </c>
      <c r="B238" s="18" t="inlineStr">
        <is>
          <t>致同添利套利多策略三期A类</t>
        </is>
      </c>
      <c r="C238" s="18">
        <f>'sheet4-原始数据'!B250</f>
        <v/>
      </c>
      <c r="D238" s="18" t="inlineStr">
        <is>
          <t>上海致同投资</t>
        </is>
      </c>
      <c r="E238" s="90" t="inlineStr">
        <is>
          <t>2022-07-28</t>
        </is>
      </c>
      <c r="F238" s="20" t="n">
        <v>4.1342</v>
      </c>
      <c r="G238" s="2">
        <f>IF(F238="","",IF(F238&lt;1,"不入池","入池"))</f>
        <v/>
      </c>
      <c r="H238" s="42" t="inlineStr">
        <is>
          <t>20-50亿元</t>
        </is>
      </c>
      <c r="I238" s="20" t="n">
        <v>90</v>
      </c>
      <c r="J238" s="43" t="inlineStr">
        <is>
          <t>无低于1000万元标识</t>
        </is>
      </c>
      <c r="K238" s="20" t="n"/>
      <c r="L238" s="20" t="n">
        <v>100</v>
      </c>
      <c r="M238" s="44" t="n">
        <v>0.0304</v>
      </c>
      <c r="N238" s="44" t="n">
        <v>0.0355</v>
      </c>
      <c r="O238" s="45" t="n"/>
      <c r="P238" s="46" t="n">
        <v>0.03805945818983991</v>
      </c>
      <c r="Q238" s="20" t="n">
        <v>30.73</v>
      </c>
      <c r="R238" s="20" t="n">
        <v>24.25</v>
      </c>
      <c r="S238" s="20" t="n">
        <v>28.14</v>
      </c>
      <c r="T238" s="44" t="n">
        <v>0.7692</v>
      </c>
      <c r="U238" s="44" t="n">
        <v>0.7837999999999999</v>
      </c>
      <c r="V238" s="46" t="n">
        <v>0.7917083333333332</v>
      </c>
      <c r="W238" s="20" t="n">
        <v>76.92</v>
      </c>
      <c r="X238" s="20" t="n">
        <v>79.17083333333332</v>
      </c>
      <c r="Y238" s="20" t="n">
        <v>77.81999999999999</v>
      </c>
      <c r="Z238" s="46" t="n">
        <v>0.008567724480018038</v>
      </c>
      <c r="AA238" s="44" t="n">
        <v>0.0086</v>
      </c>
      <c r="AB238" s="46" t="n">
        <v>0.0086</v>
      </c>
      <c r="AC238" s="20" t="n">
        <v>87.11</v>
      </c>
      <c r="AD238" s="91" t="n">
        <v>3.5482</v>
      </c>
      <c r="AE238" s="46" t="n"/>
      <c r="AF238" s="20" t="n"/>
      <c r="AG238" s="20" t="n">
        <v>59.79</v>
      </c>
      <c r="AH238" s="20" t="n"/>
      <c r="AI238" s="20" t="n">
        <v>59.79</v>
      </c>
      <c r="AJ238" s="46" t="n">
        <v>0.0355</v>
      </c>
      <c r="AK238" s="20" t="n">
        <v>80</v>
      </c>
      <c r="AL238" s="20" t="n">
        <v>94.29000000000001</v>
      </c>
      <c r="AM238" s="20" t="n">
        <v>43.04</v>
      </c>
      <c r="AN238" s="20" t="n">
        <v>87.11</v>
      </c>
      <c r="AO238" s="20" t="n">
        <v>59.79</v>
      </c>
      <c r="AP238" s="20" t="n">
        <v>80</v>
      </c>
      <c r="AQ238" s="92" t="n">
        <v>0.835</v>
      </c>
      <c r="AR238" s="20" t="n">
        <v>59.04824</v>
      </c>
      <c r="AS238" s="20" t="n">
        <v>70.72</v>
      </c>
      <c r="AT238" s="49" t="n">
        <v>114</v>
      </c>
      <c r="AU238" s="50">
        <f>IF(I238="","管理人规模；","")&amp;IF(J238="","产品规模标识；","")&amp;IF(AND(F238&lt;3,O238=""),"R_incep；","")&amp;IF(N238="","近三年收益；","")&amp;IF(U238="","近三年胜率；","")&amp;IF(AND(V238&lt;&gt;"",OR(V238&lt;0,V238&gt;1)),"胜率窗口口径不一致；","")&amp;IF(AA238="","近三年回撤；","")&amp;IF(AD238="","短期卡玛；","")&amp;IF(AND(P238&lt;&gt;"",AE238=""),"DD_long不可识别；","")</f>
        <v/>
      </c>
      <c r="AV238" s="51" t="n"/>
      <c r="AW238" s="22" t="inlineStr">
        <is>
          <t>20-50亿元</t>
        </is>
      </c>
      <c r="AX238" s="22" t="inlineStr">
        <is>
          <t>2026-03-16</t>
        </is>
      </c>
      <c r="AY238" s="22" t="inlineStr">
        <is>
          <t>上海致同投资管理有限公司 上海致同投资管理有限公司</t>
        </is>
      </c>
      <c r="AZ238" s="22" t="inlineStr">
        <is>
          <t>2026-03-16</t>
        </is>
      </c>
      <c r="BA238" s="22" t="inlineStr">
        <is>
          <t>https://gs.amac.org.cn/amac-infodisc/res/pof/manager/101000004339.html</t>
        </is>
      </c>
      <c r="BB238" s="22" t="n"/>
      <c r="BC238" s="22" t="n"/>
      <c r="BD238" s="22" t="inlineStr">
        <is>
          <t>产品未匹配，管理人已按名称补录</t>
        </is>
      </c>
      <c r="BF238" t="inlineStr">
        <is>
          <t>未核验</t>
        </is>
      </c>
    </row>
    <row r="239" hidden="1" ht="28" customHeight="1" s="73">
      <c r="A239" s="2" t="n">
        <v>250</v>
      </c>
      <c r="B239" s="18" t="inlineStr">
        <is>
          <t>炽浪衍复9号</t>
        </is>
      </c>
      <c r="C239" s="18">
        <f>'sheet4-原始数据'!B251</f>
        <v/>
      </c>
      <c r="D239" s="18" t="inlineStr">
        <is>
          <t>海南炽浪</t>
        </is>
      </c>
      <c r="E239" s="90" t="inlineStr">
        <is>
          <t>2022-09-15</t>
        </is>
      </c>
      <c r="F239" s="20" t="n">
        <v>4</v>
      </c>
      <c r="G239" s="2">
        <f>IF(F239="","",IF(F239&lt;1,"不入池","入池"))</f>
        <v/>
      </c>
      <c r="H239" s="42" t="inlineStr">
        <is>
          <t>0-5亿元</t>
        </is>
      </c>
      <c r="I239" s="20" t="n">
        <v>60</v>
      </c>
      <c r="J239" s="43" t="inlineStr">
        <is>
          <t>无低于1000万元标识</t>
        </is>
      </c>
      <c r="K239" s="20" t="n">
        <v>100</v>
      </c>
      <c r="L239" s="20" t="n">
        <v>100</v>
      </c>
      <c r="M239" s="44" t="n">
        <v>0.8868</v>
      </c>
      <c r="N239" s="44" t="n">
        <v>0.4440999999999999</v>
      </c>
      <c r="O239" s="45" t="n"/>
      <c r="P239" s="46" t="n">
        <v>0.2633770057343514</v>
      </c>
      <c r="Q239" s="20" t="n">
        <v>99.31</v>
      </c>
      <c r="R239" s="20" t="n">
        <v>97</v>
      </c>
      <c r="S239" s="20" t="n">
        <v>98.39</v>
      </c>
      <c r="T239" s="44" t="n">
        <v>0.6153999999999999</v>
      </c>
      <c r="U239" s="44" t="n">
        <v>0.5676</v>
      </c>
      <c r="V239" s="46" t="n">
        <v>0.5417083333333333</v>
      </c>
      <c r="W239" s="20" t="n">
        <v>61.53999999999999</v>
      </c>
      <c r="X239" s="20" t="n">
        <v>54.17083333333333</v>
      </c>
      <c r="Y239" s="20" t="n">
        <v>58.59</v>
      </c>
      <c r="Z239" s="46" t="n">
        <v>0.1934428375106341</v>
      </c>
      <c r="AA239" s="44" t="n">
        <v>0.3205</v>
      </c>
      <c r="AB239" s="46" t="n">
        <v>0.3205</v>
      </c>
      <c r="AC239" s="20" t="n">
        <v>3.48</v>
      </c>
      <c r="AD239" s="91" t="n">
        <v>4.5843</v>
      </c>
      <c r="AE239" s="46" t="n">
        <v>0.3205</v>
      </c>
      <c r="AF239" s="20" t="n">
        <v>0.8217691286563228</v>
      </c>
      <c r="AG239" s="20" t="n">
        <v>65.03</v>
      </c>
      <c r="AH239" s="20" t="n">
        <v>31.62</v>
      </c>
      <c r="AI239" s="20" t="n">
        <v>51.67</v>
      </c>
      <c r="AJ239" s="46" t="n">
        <v>0.4440999999999999</v>
      </c>
      <c r="AK239" s="20" t="n">
        <v>100</v>
      </c>
      <c r="AL239" s="20" t="n">
        <v>84</v>
      </c>
      <c r="AM239" s="20" t="n">
        <v>86.45</v>
      </c>
      <c r="AN239" s="20" t="n">
        <v>3.48</v>
      </c>
      <c r="AO239" s="20" t="n">
        <v>51.67</v>
      </c>
      <c r="AP239" s="20" t="n">
        <v>100</v>
      </c>
      <c r="AQ239" s="92" t="n">
        <v>1</v>
      </c>
      <c r="AR239" s="20" t="n">
        <v>56.25938</v>
      </c>
      <c r="AS239" s="20" t="n">
        <v>56.26</v>
      </c>
      <c r="AT239" s="49" t="n">
        <v>191</v>
      </c>
      <c r="AU239" s="50">
        <f>IF(I239="","管理人规模；","")&amp;IF(J239="","产品规模标识；","")&amp;IF(AND(F239&lt;3,O239=""),"R_incep；","")&amp;IF(N239="","近三年收益；","")&amp;IF(U239="","近三年胜率；","")&amp;IF(AND(V239&lt;&gt;"",OR(V239&lt;0,V239&gt;1)),"胜率窗口口径不一致；","")&amp;IF(AA239="","近三年回撤；","")&amp;IF(AD239="","短期卡玛；","")&amp;IF(AND(P239&lt;&gt;"",AE239=""),"DD_long不可识别；","")</f>
        <v/>
      </c>
      <c r="AV239" s="51" t="n">
        <v>56.25938</v>
      </c>
      <c r="AW239" s="22" t="inlineStr">
        <is>
          <t>0-5亿元</t>
        </is>
      </c>
      <c r="AX239" s="22" t="inlineStr">
        <is>
          <t>2026-02-10</t>
        </is>
      </c>
      <c r="AY239" s="22" t="inlineStr">
        <is>
          <t>炽浪私募基金（海南）合伙企业（有限合伙）</t>
        </is>
      </c>
      <c r="AZ239" s="22" t="inlineStr">
        <is>
          <t>2026-02-10</t>
        </is>
      </c>
      <c r="BA239" s="22" t="inlineStr">
        <is>
          <t>https://gs.amac.org.cn/amac-infodisc/res/pof/manager/2005090837103499.html</t>
        </is>
      </c>
      <c r="BB239" s="22" t="inlineStr">
        <is>
          <t>炽浪衍复9号私募证券投资基金</t>
        </is>
      </c>
      <c r="BC239" s="22" t="inlineStr">
        <is>
          <t>2026-07-20</t>
        </is>
      </c>
      <c r="BD239" s="22" t="inlineStr">
        <is>
          <t>已匹配</t>
        </is>
      </c>
      <c r="BE239" t="inlineStr">
        <is>
          <t>https://gs.amac.org.cn/amac-infodisc/res/pof/fund/2209211854100874.html</t>
        </is>
      </c>
      <c r="BF239" t="inlineStr">
        <is>
          <t>已核验</t>
        </is>
      </c>
    </row>
    <row r="240" hidden="1" ht="28" customHeight="1" s="73">
      <c r="A240" s="2" t="n">
        <v>251</v>
      </c>
      <c r="B240" s="18" t="inlineStr">
        <is>
          <t>岳鑫遥1号</t>
        </is>
      </c>
      <c r="C240" s="18">
        <f>'sheet4-原始数据'!B252</f>
        <v/>
      </c>
      <c r="D240" s="18" t="inlineStr">
        <is>
          <t>北京岳鑫遥</t>
        </is>
      </c>
      <c r="E240" s="90" t="inlineStr">
        <is>
          <t>2022-09-26</t>
        </is>
      </c>
      <c r="F240" s="20" t="n">
        <v>3.9699</v>
      </c>
      <c r="G240" s="2">
        <f>IF(F240="","",IF(F240&lt;1,"不入池","入池"))</f>
        <v/>
      </c>
      <c r="H240" s="42" t="inlineStr">
        <is>
          <t>5-10亿元</t>
        </is>
      </c>
      <c r="I240" s="20" t="n">
        <v>70</v>
      </c>
      <c r="J240" s="43" t="inlineStr">
        <is>
          <t>无低于1000万元标识</t>
        </is>
      </c>
      <c r="K240" s="20" t="n">
        <v>100</v>
      </c>
      <c r="L240" s="20" t="n">
        <v>100</v>
      </c>
      <c r="M240" s="44" t="n">
        <v>0.4036999999999999</v>
      </c>
      <c r="N240" s="44" t="n">
        <v>0.2679</v>
      </c>
      <c r="O240" s="45" t="n"/>
      <c r="P240" s="46" t="n">
        <v>0.2050091726225909</v>
      </c>
      <c r="Q240" s="20" t="n">
        <v>98.26000000000001</v>
      </c>
      <c r="R240" s="20" t="n">
        <v>93</v>
      </c>
      <c r="S240" s="20" t="n">
        <v>96.16</v>
      </c>
      <c r="T240" s="44" t="n">
        <v>0.6923</v>
      </c>
      <c r="U240" s="44" t="n">
        <v>0.7568</v>
      </c>
      <c r="V240" s="46" t="n">
        <v>0.7917375</v>
      </c>
      <c r="W240" s="20" t="n">
        <v>69.23</v>
      </c>
      <c r="X240" s="20" t="n">
        <v>79.17375</v>
      </c>
      <c r="Y240" s="20" t="n">
        <v>73.20999999999999</v>
      </c>
      <c r="Z240" s="46" t="n">
        <v>0.275450327510917</v>
      </c>
      <c r="AA240" s="44" t="n">
        <v>0.2754</v>
      </c>
      <c r="AB240" s="46" t="n">
        <v>0.275450327510917</v>
      </c>
      <c r="AC240" s="20" t="n">
        <v>5.92</v>
      </c>
      <c r="AD240" s="91" t="n">
        <v>1.4656</v>
      </c>
      <c r="AE240" s="46" t="n"/>
      <c r="AF240" s="20" t="n"/>
      <c r="AG240" s="20" t="n">
        <v>40.21</v>
      </c>
      <c r="AH240" s="20" t="n"/>
      <c r="AI240" s="20" t="n">
        <v>40.21</v>
      </c>
      <c r="AJ240" s="46" t="n">
        <v>0.2679</v>
      </c>
      <c r="AK240" s="20" t="n">
        <v>100</v>
      </c>
      <c r="AL240" s="20" t="n">
        <v>88</v>
      </c>
      <c r="AM240" s="20" t="n">
        <v>89.27</v>
      </c>
      <c r="AN240" s="20" t="n">
        <v>5.92</v>
      </c>
      <c r="AO240" s="20" t="n">
        <v>40.21</v>
      </c>
      <c r="AP240" s="20" t="n">
        <v>100</v>
      </c>
      <c r="AQ240" s="92" t="n">
        <v>0.88</v>
      </c>
      <c r="AR240" s="20" t="n">
        <v>49.77209</v>
      </c>
      <c r="AS240" s="20" t="n">
        <v>56.56</v>
      </c>
      <c r="AT240" s="49" t="n">
        <v>188</v>
      </c>
      <c r="AU240" s="50">
        <f>IF(I240="","管理人规模；","")&amp;IF(J240="","产品规模标识；","")&amp;IF(AND(F240&lt;3,O240=""),"R_incep；","")&amp;IF(N240="","近三年收益；","")&amp;IF(U240="","近三年胜率；","")&amp;IF(AND(V240&lt;&gt;"",OR(V240&lt;0,V240&gt;1)),"胜率窗口口径不一致；","")&amp;IF(AA240="","近三年回撤；","")&amp;IF(AD240="","短期卡玛；","")&amp;IF(AND(P240&lt;&gt;"",AE240=""),"DD_long不可识别；","")</f>
        <v/>
      </c>
      <c r="AV240" s="51" t="n"/>
      <c r="AW240" s="22" t="inlineStr">
        <is>
          <t>5-10亿元</t>
        </is>
      </c>
      <c r="AX240" s="22" t="inlineStr">
        <is>
          <t>2026-05-07</t>
        </is>
      </c>
      <c r="AY240" s="22" t="inlineStr">
        <is>
          <t>岳鑫遥（北京）私募基金管理有限公司</t>
        </is>
      </c>
      <c r="AZ240" s="22" t="inlineStr">
        <is>
          <t>2026-05-07</t>
        </is>
      </c>
      <c r="BA240" s="22" t="inlineStr">
        <is>
          <t>https://gs.amac.org.cn/amac-infodisc/res/pof/manager/2207041830121644.html</t>
        </is>
      </c>
      <c r="BB240" s="22" t="inlineStr">
        <is>
          <t>岳鑫遥1号私募证券投资基金</t>
        </is>
      </c>
      <c r="BC240" s="22" t="inlineStr">
        <is>
          <t>2024-09-06</t>
        </is>
      </c>
      <c r="BD240" s="22" t="inlineStr">
        <is>
          <t>已匹配</t>
        </is>
      </c>
      <c r="BE240" t="inlineStr">
        <is>
          <t>https://gs.amac.org.cn/amac-infodisc/res/pof/fund/2210131922100921.html</t>
        </is>
      </c>
      <c r="BF240" t="inlineStr">
        <is>
          <t>已核验</t>
        </is>
      </c>
    </row>
    <row r="241" hidden="1" ht="28" customHeight="1" s="73">
      <c r="A241" s="2" t="n">
        <v>252</v>
      </c>
      <c r="B241" s="18" t="inlineStr">
        <is>
          <t>兆信股指期货期权套利1号</t>
        </is>
      </c>
      <c r="C241" s="18">
        <f>'sheet4-原始数据'!B253</f>
        <v/>
      </c>
      <c r="D241" s="18" t="inlineStr">
        <is>
          <t>江苏兆信</t>
        </is>
      </c>
      <c r="E241" s="90" t="inlineStr">
        <is>
          <t>2022-10-13</t>
        </is>
      </c>
      <c r="F241" s="20" t="n">
        <v>3.9233</v>
      </c>
      <c r="G241" s="2">
        <f>IF(F241="","",IF(F241&lt;1,"不入池","入池"))</f>
        <v/>
      </c>
      <c r="H241" s="42" t="inlineStr">
        <is>
          <t>20-50亿元</t>
        </is>
      </c>
      <c r="I241" s="20" t="n">
        <v>90</v>
      </c>
      <c r="J241" s="43" t="inlineStr">
        <is>
          <t>无低于1000万元标识</t>
        </is>
      </c>
      <c r="K241" s="20" t="n">
        <v>100</v>
      </c>
      <c r="L241" s="20" t="n">
        <v>100</v>
      </c>
      <c r="M241" s="44" t="n">
        <v>0.0394</v>
      </c>
      <c r="N241" s="44" t="n">
        <v>0.0819</v>
      </c>
      <c r="O241" s="45" t="n"/>
      <c r="P241" s="46" t="n">
        <v>0.1037972937591509</v>
      </c>
      <c r="Q241" s="20" t="n">
        <v>37.67</v>
      </c>
      <c r="R241" s="20" t="n">
        <v>74</v>
      </c>
      <c r="S241" s="20" t="n">
        <v>52.2</v>
      </c>
      <c r="T241" s="44" t="n">
        <v>0.4615</v>
      </c>
      <c r="U241" s="44" t="n">
        <v>0.7297</v>
      </c>
      <c r="V241" s="46" t="n">
        <v>0.8749750000000001</v>
      </c>
      <c r="W241" s="20" t="n">
        <v>46.15</v>
      </c>
      <c r="X241" s="20" t="n">
        <v>87.4975</v>
      </c>
      <c r="Y241" s="20" t="n">
        <v>62.69</v>
      </c>
      <c r="Z241" s="46" t="n">
        <v>0.04286802306604286</v>
      </c>
      <c r="AA241" s="44" t="n">
        <v>0.0428</v>
      </c>
      <c r="AB241" s="46" t="n">
        <v>0.04286802306604286</v>
      </c>
      <c r="AC241" s="20" t="n">
        <v>49.13</v>
      </c>
      <c r="AD241" s="91" t="n">
        <v>0.9191</v>
      </c>
      <c r="AE241" s="46" t="n"/>
      <c r="AF241" s="20" t="n"/>
      <c r="AG241" s="20" t="n">
        <v>33.22</v>
      </c>
      <c r="AH241" s="20" t="n"/>
      <c r="AI241" s="20" t="n">
        <v>33.22</v>
      </c>
      <c r="AJ241" s="46" t="n">
        <v>0.0819</v>
      </c>
      <c r="AK241" s="20" t="n">
        <v>80</v>
      </c>
      <c r="AL241" s="20" t="n">
        <v>96</v>
      </c>
      <c r="AM241" s="20" t="n">
        <v>55.35</v>
      </c>
      <c r="AN241" s="20" t="n">
        <v>49.13</v>
      </c>
      <c r="AO241" s="20" t="n">
        <v>33.22</v>
      </c>
      <c r="AP241" s="20" t="n">
        <v>80</v>
      </c>
      <c r="AQ241" s="92" t="n">
        <v>0.88</v>
      </c>
      <c r="AR241" s="20" t="n">
        <v>51.73172</v>
      </c>
      <c r="AS241" s="20" t="n">
        <v>58.79</v>
      </c>
      <c r="AT241" s="49" t="n">
        <v>177</v>
      </c>
      <c r="AU241" s="50">
        <f>IF(I241="","管理人规模；","")&amp;IF(J241="","产品规模标识；","")&amp;IF(AND(F241&lt;3,O241=""),"R_incep；","")&amp;IF(N241="","近三年收益；","")&amp;IF(U241="","近三年胜率；","")&amp;IF(AND(V241&lt;&gt;"",OR(V241&lt;0,V241&gt;1)),"胜率窗口口径不一致；","")&amp;IF(AA241="","近三年回撤；","")&amp;IF(AD241="","短期卡玛；","")&amp;IF(AND(P241&lt;&gt;"",AE241=""),"DD_long不可识别；","")</f>
        <v/>
      </c>
      <c r="AV241" s="51" t="n"/>
      <c r="AW241" s="22" t="inlineStr">
        <is>
          <t>20-50亿元</t>
        </is>
      </c>
      <c r="AX241" s="22" t="inlineStr">
        <is>
          <t>2026-04-17</t>
        </is>
      </c>
      <c r="AY241" s="22" t="inlineStr">
        <is>
          <t>江苏兆信私募基金管理有限公司</t>
        </is>
      </c>
      <c r="AZ241" s="22" t="inlineStr">
        <is>
          <t>2026-04-17</t>
        </is>
      </c>
      <c r="BA241" s="22" t="inlineStr">
        <is>
          <t>https://gs.amac.org.cn/amac-infodisc/res/pof/manager/101000002312.html</t>
        </is>
      </c>
      <c r="BB241" s="22" t="inlineStr">
        <is>
          <t>兆信股指期货期权套利1号私募证券投资基金</t>
        </is>
      </c>
      <c r="BC241" s="22" t="inlineStr">
        <is>
          <t>2026-07-23</t>
        </is>
      </c>
      <c r="BD241" s="22" t="inlineStr">
        <is>
          <t>已匹配</t>
        </is>
      </c>
      <c r="BE241" t="inlineStr">
        <is>
          <t>https://gs.amac.org.cn/amac-infodisc/res/pof/fund/2210140921103682.html</t>
        </is>
      </c>
      <c r="BF241" t="inlineStr">
        <is>
          <t>已核验</t>
        </is>
      </c>
    </row>
    <row r="242" hidden="1" ht="28" customHeight="1" s="73">
      <c r="A242" s="2" t="n">
        <v>253</v>
      </c>
      <c r="B242" s="18" t="inlineStr">
        <is>
          <t>谊恒滴海一号</t>
        </is>
      </c>
      <c r="C242" s="18">
        <f>'sheet4-原始数据'!B254</f>
        <v/>
      </c>
      <c r="D242" s="18" t="inlineStr">
        <is>
          <t>上海滴海</t>
        </is>
      </c>
      <c r="E242" s="90" t="inlineStr">
        <is>
          <t>2022-10-21</t>
        </is>
      </c>
      <c r="F242" s="20" t="n">
        <v>3.9014</v>
      </c>
      <c r="G242" s="2">
        <f>IF(F242="","",IF(F242&lt;1,"不入池","入池"))</f>
        <v/>
      </c>
      <c r="H242" s="42" t="inlineStr">
        <is>
          <t>5-10亿元</t>
        </is>
      </c>
      <c r="I242" s="20" t="n">
        <v>70</v>
      </c>
      <c r="J242" s="43" t="inlineStr">
        <is>
          <t>无低于1000万元标识</t>
        </is>
      </c>
      <c r="K242" s="20" t="n">
        <v>100</v>
      </c>
      <c r="L242" s="20" t="n">
        <v>100</v>
      </c>
      <c r="M242" s="44" t="n">
        <v>0.07780000000000001</v>
      </c>
      <c r="N242" s="44" t="n">
        <v>0.0612</v>
      </c>
      <c r="O242" s="45" t="n"/>
      <c r="P242" s="46" t="n">
        <v>0.05299612339995918</v>
      </c>
      <c r="Q242" s="20" t="n">
        <v>63.89</v>
      </c>
      <c r="R242" s="20" t="n">
        <v>39</v>
      </c>
      <c r="S242" s="20" t="n">
        <v>53.93</v>
      </c>
      <c r="T242" s="44" t="n">
        <v>0.6153999999999999</v>
      </c>
      <c r="U242" s="44" t="n">
        <v>0.6215999999999999</v>
      </c>
      <c r="V242" s="46" t="n">
        <v>0.6249583333333333</v>
      </c>
      <c r="W242" s="20" t="n">
        <v>61.53999999999999</v>
      </c>
      <c r="X242" s="20" t="n">
        <v>62.49583333333333</v>
      </c>
      <c r="Y242" s="20" t="n">
        <v>61.92</v>
      </c>
      <c r="Z242" s="46" t="n">
        <v>0.02886399050233732</v>
      </c>
      <c r="AA242" s="44" t="n">
        <v>0.0289</v>
      </c>
      <c r="AB242" s="46" t="n">
        <v>0.0289</v>
      </c>
      <c r="AC242" s="20" t="n">
        <v>59.58</v>
      </c>
      <c r="AD242" s="91" t="n">
        <v>2.6954</v>
      </c>
      <c r="AE242" s="46" t="n"/>
      <c r="AF242" s="20" t="n"/>
      <c r="AG242" s="20" t="n">
        <v>53.15</v>
      </c>
      <c r="AH242" s="20" t="n"/>
      <c r="AI242" s="20" t="n">
        <v>53.15</v>
      </c>
      <c r="AJ242" s="46" t="n">
        <v>0.0612</v>
      </c>
      <c r="AK242" s="20" t="n">
        <v>100</v>
      </c>
      <c r="AL242" s="20" t="n">
        <v>88</v>
      </c>
      <c r="AM242" s="20" t="n">
        <v>56.33</v>
      </c>
      <c r="AN242" s="20" t="n">
        <v>59.58</v>
      </c>
      <c r="AO242" s="20" t="n">
        <v>53.15</v>
      </c>
      <c r="AP242" s="20" t="n">
        <v>100</v>
      </c>
      <c r="AQ242" s="92" t="n">
        <v>0.88</v>
      </c>
      <c r="AR242" s="20" t="n">
        <v>58.9281</v>
      </c>
      <c r="AS242" s="20" t="n">
        <v>66.95999999999999</v>
      </c>
      <c r="AT242" s="49" t="n">
        <v>137</v>
      </c>
      <c r="AU242" s="50">
        <f>IF(I242="","管理人规模；","")&amp;IF(J242="","产品规模标识；","")&amp;IF(AND(F242&lt;3,O242=""),"R_incep；","")&amp;IF(N242="","近三年收益；","")&amp;IF(U242="","近三年胜率；","")&amp;IF(AND(V242&lt;&gt;"",OR(V242&lt;0,V242&gt;1)),"胜率窗口口径不一致；","")&amp;IF(AA242="","近三年回撤；","")&amp;IF(AD242="","短期卡玛；","")&amp;IF(AND(P242&lt;&gt;"",AE242=""),"DD_long不可识别；","")</f>
        <v/>
      </c>
      <c r="AV242" s="51" t="n"/>
      <c r="AW242" s="22" t="inlineStr">
        <is>
          <t>5-10亿元</t>
        </is>
      </c>
      <c r="AX242" s="22" t="inlineStr">
        <is>
          <t>2026-03-23</t>
        </is>
      </c>
      <c r="AY242" s="22" t="inlineStr">
        <is>
          <t>上海滴海私募基金管理中心（有限合伙）</t>
        </is>
      </c>
      <c r="AZ242" s="22" t="inlineStr">
        <is>
          <t>2026-03-23</t>
        </is>
      </c>
      <c r="BA242" s="22" t="inlineStr">
        <is>
          <t>https://gs.amac.org.cn/amac-infodisc/res/pof/manager/101000018343.html</t>
        </is>
      </c>
      <c r="BB242" s="22" t="inlineStr">
        <is>
          <t>谊恒滴海一号私募证券投资基金</t>
        </is>
      </c>
      <c r="BC242" s="22" t="inlineStr">
        <is>
          <t>2025-03-19</t>
        </is>
      </c>
      <c r="BD242" s="22" t="inlineStr">
        <is>
          <t>已匹配</t>
        </is>
      </c>
      <c r="BE242" t="inlineStr">
        <is>
          <t>https://gs.amac.org.cn/amac-infodisc/res/pof/fund/2210281610103422.html</t>
        </is>
      </c>
      <c r="BF242" t="inlineStr">
        <is>
          <t>已核验</t>
        </is>
      </c>
    </row>
    <row r="243" hidden="1" ht="28" customHeight="1" s="73">
      <c r="A243" s="2" t="n">
        <v>254</v>
      </c>
      <c r="B243" s="18" t="inlineStr">
        <is>
          <t>尊嘉金润1号</t>
        </is>
      </c>
      <c r="C243" s="18">
        <f>'sheet4-原始数据'!B255</f>
        <v/>
      </c>
      <c r="D243" s="18" t="inlineStr">
        <is>
          <t>北京尊嘉资管</t>
        </is>
      </c>
      <c r="E243" s="90" t="inlineStr">
        <is>
          <t>2022-10-26</t>
        </is>
      </c>
      <c r="F243" s="20" t="n">
        <v>3.8877</v>
      </c>
      <c r="G243" s="2">
        <f>IF(F243="","",IF(F243&lt;1,"不入池","入池"))</f>
        <v/>
      </c>
      <c r="H243" s="42" t="inlineStr">
        <is>
          <t>0-5亿元</t>
        </is>
      </c>
      <c r="I243" s="20" t="n">
        <v>60</v>
      </c>
      <c r="J243" s="43" t="inlineStr">
        <is>
          <t>无低于1000万元标识</t>
        </is>
      </c>
      <c r="K243" s="20" t="n">
        <v>100</v>
      </c>
      <c r="L243" s="20" t="n">
        <v>100</v>
      </c>
      <c r="M243" s="44" t="n">
        <v>0.0268</v>
      </c>
      <c r="N243" s="44" t="n">
        <v>0.0624</v>
      </c>
      <c r="O243" s="45" t="n"/>
      <c r="P243" s="46" t="n">
        <v>0.0806602150597262</v>
      </c>
      <c r="Q243" s="20" t="n">
        <v>27.78</v>
      </c>
      <c r="R243" s="20" t="n">
        <v>65.5</v>
      </c>
      <c r="S243" s="20" t="n">
        <v>42.87</v>
      </c>
      <c r="T243" s="44" t="n">
        <v>0.6153999999999999</v>
      </c>
      <c r="U243" s="44" t="n">
        <v>0.7297</v>
      </c>
      <c r="V243" s="46" t="n">
        <v>0.7916124999999999</v>
      </c>
      <c r="W243" s="20" t="n">
        <v>61.53999999999999</v>
      </c>
      <c r="X243" s="20" t="n">
        <v>79.16125</v>
      </c>
      <c r="Y243" s="20" t="n">
        <v>68.59</v>
      </c>
      <c r="Z243" s="46" t="n">
        <v>0.06179386672815311</v>
      </c>
      <c r="AA243" s="44" t="n">
        <v>0.109</v>
      </c>
      <c r="AB243" s="46" t="n">
        <v>0.109</v>
      </c>
      <c r="AC243" s="20" t="n">
        <v>25.09</v>
      </c>
      <c r="AD243" s="91" t="n">
        <v>0.4337</v>
      </c>
      <c r="AE243" s="46" t="n">
        <v>0.109</v>
      </c>
      <c r="AF243" s="20" t="n">
        <v>0.740001973025011</v>
      </c>
      <c r="AG243" s="20" t="n">
        <v>24.13</v>
      </c>
      <c r="AH243" s="20" t="n">
        <v>28.68</v>
      </c>
      <c r="AI243" s="20" t="n">
        <v>25.95</v>
      </c>
      <c r="AJ243" s="46" t="n">
        <v>0.0624</v>
      </c>
      <c r="AK243" s="20" t="n">
        <v>80</v>
      </c>
      <c r="AL243" s="20" t="n">
        <v>84</v>
      </c>
      <c r="AM243" s="20" t="n">
        <v>50.58</v>
      </c>
      <c r="AN243" s="20" t="n">
        <v>25.09</v>
      </c>
      <c r="AO243" s="20" t="n">
        <v>25.95</v>
      </c>
      <c r="AP243" s="20" t="n">
        <v>80</v>
      </c>
      <c r="AQ243" s="92" t="n">
        <v>1</v>
      </c>
      <c r="AR243" s="20" t="n">
        <v>44.77433</v>
      </c>
      <c r="AS243" s="20" t="n">
        <v>44.77</v>
      </c>
      <c r="AT243" s="49" t="n">
        <v>243</v>
      </c>
      <c r="AU243" s="50">
        <f>IF(I243="","管理人规模；","")&amp;IF(J243="","产品规模标识；","")&amp;IF(AND(F243&lt;3,O243=""),"R_incep；","")&amp;IF(N243="","近三年收益；","")&amp;IF(U243="","近三年胜率；","")&amp;IF(AND(V243&lt;&gt;"",OR(V243&lt;0,V243&gt;1)),"胜率窗口口径不一致；","")&amp;IF(AA243="","近三年回撤；","")&amp;IF(AD243="","短期卡玛；","")&amp;IF(AND(P243&lt;&gt;"",AE243=""),"DD_long不可识别；","")</f>
        <v/>
      </c>
      <c r="AV243" s="51" t="n">
        <v>44.77433</v>
      </c>
      <c r="AW243" s="22" t="inlineStr">
        <is>
          <t>0-5亿元</t>
        </is>
      </c>
      <c r="AX243" s="22" t="inlineStr">
        <is>
          <t>2026-07-21</t>
        </is>
      </c>
      <c r="AY243" s="22" t="inlineStr">
        <is>
          <t>北京尊嘉资产管理有限公司</t>
        </is>
      </c>
      <c r="AZ243" s="22" t="inlineStr">
        <is>
          <t>2026-07-21</t>
        </is>
      </c>
      <c r="BA243" s="22" t="inlineStr">
        <is>
          <t>https://gs.amac.org.cn/amac-infodisc/res/pof/manager/101000000661.html</t>
        </is>
      </c>
      <c r="BB243" s="22" t="inlineStr">
        <is>
          <t>尊嘉金润1号私募证券投资基金</t>
        </is>
      </c>
      <c r="BC243" s="22" t="inlineStr">
        <is>
          <t>2025-02-07</t>
        </is>
      </c>
      <c r="BD243" s="22" t="inlineStr">
        <is>
          <t>已匹配</t>
        </is>
      </c>
      <c r="BE243" t="inlineStr">
        <is>
          <t>https://gs.amac.org.cn/amac-infodisc/res/pof/fund/2210311704131702.html</t>
        </is>
      </c>
      <c r="BF243" t="inlineStr">
        <is>
          <t>已核验</t>
        </is>
      </c>
    </row>
    <row r="244" hidden="1" ht="28" customHeight="1" s="73">
      <c r="A244" s="2" t="n">
        <v>255</v>
      </c>
      <c r="B244" s="18" t="inlineStr">
        <is>
          <t>殊馥兴义6号</t>
        </is>
      </c>
      <c r="C244" s="18">
        <f>'sheet4-原始数据'!B256</f>
        <v/>
      </c>
      <c r="D244" s="18" t="inlineStr">
        <is>
          <t>上海殊馥投资</t>
        </is>
      </c>
      <c r="E244" s="90" t="inlineStr">
        <is>
          <t>2022-11-02</t>
        </is>
      </c>
      <c r="F244" s="20" t="n">
        <v>3.8686</v>
      </c>
      <c r="G244" s="2">
        <f>IF(F244="","",IF(F244&lt;1,"不入池","入池"))</f>
        <v/>
      </c>
      <c r="H244" s="42" t="inlineStr">
        <is>
          <t>10-20亿元</t>
        </is>
      </c>
      <c r="I244" s="20" t="n">
        <v>80</v>
      </c>
      <c r="J244" s="43" t="inlineStr">
        <is>
          <t>无低于1000万元标识</t>
        </is>
      </c>
      <c r="K244" s="20" t="n">
        <v>100</v>
      </c>
      <c r="L244" s="20" t="n">
        <v>100</v>
      </c>
      <c r="M244" s="44" t="n">
        <v>0.075</v>
      </c>
      <c r="N244" s="44" t="n">
        <v>0.06660000000000001</v>
      </c>
      <c r="O244" s="45" t="n"/>
      <c r="P244" s="46" t="n">
        <v>0.06242464610316811</v>
      </c>
      <c r="Q244" s="20" t="n">
        <v>62.85</v>
      </c>
      <c r="R244" s="20" t="n">
        <v>49.5</v>
      </c>
      <c r="S244" s="20" t="n">
        <v>57.51</v>
      </c>
      <c r="T244" s="44" t="n">
        <v>0.6923</v>
      </c>
      <c r="U244" s="44" t="n">
        <v>0.7837999999999999</v>
      </c>
      <c r="V244" s="46" t="n">
        <v>0.8333624999999999</v>
      </c>
      <c r="W244" s="20" t="n">
        <v>69.23</v>
      </c>
      <c r="X244" s="20" t="n">
        <v>83.33624999999999</v>
      </c>
      <c r="Y244" s="20" t="n">
        <v>74.87</v>
      </c>
      <c r="Z244" s="46" t="n">
        <v>0.01694723760027115</v>
      </c>
      <c r="AA244" s="44" t="n">
        <v>0.0169</v>
      </c>
      <c r="AB244" s="46" t="n">
        <v>0.01694723760027115</v>
      </c>
      <c r="AC244" s="20" t="n">
        <v>75.26000000000001</v>
      </c>
      <c r="AD244" s="91" t="n">
        <v>4.4255</v>
      </c>
      <c r="AE244" s="46" t="n"/>
      <c r="AF244" s="20" t="n"/>
      <c r="AG244" s="20" t="n">
        <v>63.99</v>
      </c>
      <c r="AH244" s="20" t="n"/>
      <c r="AI244" s="20" t="n">
        <v>63.99</v>
      </c>
      <c r="AJ244" s="46" t="n">
        <v>0.06660000000000001</v>
      </c>
      <c r="AK244" s="20" t="n">
        <v>100</v>
      </c>
      <c r="AL244" s="20" t="n">
        <v>92</v>
      </c>
      <c r="AM244" s="20" t="n">
        <v>62.72</v>
      </c>
      <c r="AN244" s="20" t="n">
        <v>75.26000000000001</v>
      </c>
      <c r="AO244" s="20" t="n">
        <v>63.99</v>
      </c>
      <c r="AP244" s="20" t="n">
        <v>100</v>
      </c>
      <c r="AQ244" s="92" t="n">
        <v>0.88</v>
      </c>
      <c r="AR244" s="20" t="n">
        <v>66.67695000000001</v>
      </c>
      <c r="AS244" s="20" t="n">
        <v>75.77</v>
      </c>
      <c r="AT244" s="49" t="n">
        <v>83</v>
      </c>
      <c r="AU244" s="50">
        <f>IF(I244="","管理人规模；","")&amp;IF(J244="","产品规模标识；","")&amp;IF(AND(F244&lt;3,O244=""),"R_incep；","")&amp;IF(N244="","近三年收益；","")&amp;IF(U244="","近三年胜率；","")&amp;IF(AND(V244&lt;&gt;"",OR(V244&lt;0,V244&gt;1)),"胜率窗口口径不一致；","")&amp;IF(AA244="","近三年回撤；","")&amp;IF(AD244="","短期卡玛；","")&amp;IF(AND(P244&lt;&gt;"",AE244=""),"DD_long不可识别；","")</f>
        <v/>
      </c>
      <c r="AV244" s="51" t="n"/>
      <c r="AW244" s="22" t="inlineStr">
        <is>
          <t>10-20亿元</t>
        </is>
      </c>
      <c r="AX244" s="22" t="inlineStr">
        <is>
          <t>2026-06-29</t>
        </is>
      </c>
      <c r="AY244" s="22" t="inlineStr">
        <is>
          <t>上海殊馥投资管理有限公司</t>
        </is>
      </c>
      <c r="AZ244" s="22" t="inlineStr">
        <is>
          <t>2026-06-29</t>
        </is>
      </c>
      <c r="BA244" s="22" t="inlineStr">
        <is>
          <t>https://gs.amac.org.cn/amac-infodisc/res/pof/manager/101000042776.html</t>
        </is>
      </c>
      <c r="BB244" s="22" t="inlineStr">
        <is>
          <t>殊馥兴义6号私募证券投资基金</t>
        </is>
      </c>
      <c r="BC244" s="22" t="inlineStr">
        <is>
          <t>2026-01-09</t>
        </is>
      </c>
      <c r="BD244" s="22" t="inlineStr">
        <is>
          <t>已匹配</t>
        </is>
      </c>
      <c r="BE244" t="inlineStr">
        <is>
          <t>https://gs.amac.org.cn/amac-infodisc/res/pof/fund/2211021355100496.html</t>
        </is>
      </c>
      <c r="BF244" t="inlineStr">
        <is>
          <t>已核验</t>
        </is>
      </c>
    </row>
    <row r="245" hidden="1" ht="28" customHeight="1" s="73">
      <c r="A245" s="2" t="n">
        <v>256</v>
      </c>
      <c r="B245" s="18" t="inlineStr">
        <is>
          <t>博弈树金选套利2号</t>
        </is>
      </c>
      <c r="C245" s="18">
        <f>'sheet4-原始数据'!B257</f>
        <v/>
      </c>
      <c r="D245" s="18" t="inlineStr">
        <is>
          <t>广东丰煜</t>
        </is>
      </c>
      <c r="E245" s="90" t="inlineStr">
        <is>
          <t>2022-11-02</t>
        </is>
      </c>
      <c r="F245" s="20" t="n">
        <v>3.8686</v>
      </c>
      <c r="G245" s="2">
        <f>IF(F245="","",IF(F245&lt;1,"不入池","入池"))</f>
        <v/>
      </c>
      <c r="H245" s="42" t="inlineStr">
        <is>
          <t>0-5亿元</t>
        </is>
      </c>
      <c r="I245" s="20" t="n">
        <v>60</v>
      </c>
      <c r="J245" s="43" t="inlineStr">
        <is>
          <t>无低于1000万元标识</t>
        </is>
      </c>
      <c r="K245" s="20" t="n">
        <v>100</v>
      </c>
      <c r="L245" s="20" t="n">
        <v>100</v>
      </c>
      <c r="M245" s="44" t="n">
        <v>0.2233</v>
      </c>
      <c r="N245" s="44" t="n">
        <v>0.1272</v>
      </c>
      <c r="O245" s="45" t="n"/>
      <c r="P245" s="46" t="n">
        <v>0.08201923752925433</v>
      </c>
      <c r="Q245" s="20" t="n">
        <v>93.06</v>
      </c>
      <c r="R245" s="20" t="n">
        <v>66</v>
      </c>
      <c r="S245" s="20" t="n">
        <v>82.23999999999999</v>
      </c>
      <c r="T245" s="44" t="n">
        <v>0.7692</v>
      </c>
      <c r="U245" s="44" t="n">
        <v>0.7297</v>
      </c>
      <c r="V245" s="46" t="n">
        <v>0.7083041666666666</v>
      </c>
      <c r="W245" s="20" t="n">
        <v>76.92</v>
      </c>
      <c r="X245" s="20" t="n">
        <v>70.83041666666666</v>
      </c>
      <c r="Y245" s="20" t="n">
        <v>74.48</v>
      </c>
      <c r="Z245" s="46" t="n">
        <v>0.0409935379644588</v>
      </c>
      <c r="AA245" s="44" t="n">
        <v>0.04099999999999999</v>
      </c>
      <c r="AB245" s="46" t="n">
        <v>0.04099999999999999</v>
      </c>
      <c r="AC245" s="20" t="n">
        <v>51.22</v>
      </c>
      <c r="AD245" s="91" t="n">
        <v>5.4472</v>
      </c>
      <c r="AE245" s="46" t="n"/>
      <c r="AF245" s="20" t="n"/>
      <c r="AG245" s="20" t="n">
        <v>68.18000000000001</v>
      </c>
      <c r="AH245" s="20" t="n"/>
      <c r="AI245" s="20" t="n">
        <v>68.18000000000001</v>
      </c>
      <c r="AJ245" s="46" t="n">
        <v>0.1272</v>
      </c>
      <c r="AK245" s="20" t="n">
        <v>100</v>
      </c>
      <c r="AL245" s="20" t="n">
        <v>84</v>
      </c>
      <c r="AM245" s="20" t="n">
        <v>79.91</v>
      </c>
      <c r="AN245" s="20" t="n">
        <v>51.22</v>
      </c>
      <c r="AO245" s="20" t="n">
        <v>68.18000000000001</v>
      </c>
      <c r="AP245" s="20" t="n">
        <v>100</v>
      </c>
      <c r="AQ245" s="92" t="n">
        <v>0.88</v>
      </c>
      <c r="AR245" s="20" t="n">
        <v>63.65949</v>
      </c>
      <c r="AS245" s="20" t="n">
        <v>72.34</v>
      </c>
      <c r="AT245" s="49" t="n">
        <v>103</v>
      </c>
      <c r="AU245" s="50">
        <f>IF(I245="","管理人规模；","")&amp;IF(J245="","产品规模标识；","")&amp;IF(AND(F245&lt;3,O245=""),"R_incep；","")&amp;IF(N245="","近三年收益；","")&amp;IF(U245="","近三年胜率；","")&amp;IF(AND(V245&lt;&gt;"",OR(V245&lt;0,V245&gt;1)),"胜率窗口口径不一致；","")&amp;IF(AA245="","近三年回撤；","")&amp;IF(AD245="","短期卡玛；","")&amp;IF(AND(P245&lt;&gt;"",AE245=""),"DD_long不可识别；","")</f>
        <v/>
      </c>
      <c r="AV245" s="51" t="n"/>
      <c r="AW245" s="22" t="inlineStr">
        <is>
          <t>0-5亿元</t>
        </is>
      </c>
      <c r="AX245" s="22" t="inlineStr">
        <is>
          <t>2026-04-22</t>
        </is>
      </c>
      <c r="AY245" s="22" t="inlineStr">
        <is>
          <t>广东丰煜私募基金管理有限公司</t>
        </is>
      </c>
      <c r="AZ245" s="22" t="inlineStr">
        <is>
          <t>2026-04-22</t>
        </is>
      </c>
      <c r="BA245" s="22" t="inlineStr">
        <is>
          <t>https://gs.amac.org.cn/amac-infodisc/res/pof/manager/101000015767.html</t>
        </is>
      </c>
      <c r="BB245" s="22" t="inlineStr">
        <is>
          <t>博弈树金选套利2号私募证券投资基金</t>
        </is>
      </c>
      <c r="BC245" s="22" t="inlineStr">
        <is>
          <t>2022-11-10</t>
        </is>
      </c>
      <c r="BD245" s="22" t="inlineStr">
        <is>
          <t>已匹配</t>
        </is>
      </c>
      <c r="BE245" t="inlineStr">
        <is>
          <t>https://gs.amac.org.cn/amac-infodisc/res/pof/fund/2211100902114438.html</t>
        </is>
      </c>
      <c r="BF245" t="inlineStr">
        <is>
          <t>已核验</t>
        </is>
      </c>
    </row>
    <row r="246" hidden="1" ht="28" customHeight="1" s="73">
      <c r="A246" s="2" t="n">
        <v>257</v>
      </c>
      <c r="B246" s="18" t="inlineStr">
        <is>
          <t>致同云峰AA类</t>
        </is>
      </c>
      <c r="C246" s="18">
        <f>'sheet4-原始数据'!B258</f>
        <v/>
      </c>
      <c r="D246" s="18" t="inlineStr">
        <is>
          <t>上海致同投资</t>
        </is>
      </c>
      <c r="E246" s="90" t="inlineStr">
        <is>
          <t>2020-11-10</t>
        </is>
      </c>
      <c r="F246" s="20" t="n">
        <v>5.8453</v>
      </c>
      <c r="G246" s="2">
        <f>IF(F246="","",IF(F246&lt;1,"不入池","入池"))</f>
        <v/>
      </c>
      <c r="H246" s="42" t="inlineStr">
        <is>
          <t>20-50亿元</t>
        </is>
      </c>
      <c r="I246" s="20" t="n">
        <v>90</v>
      </c>
      <c r="J246" s="43" t="inlineStr">
        <is>
          <t>无低于1000万元标识</t>
        </is>
      </c>
      <c r="K246" s="20" t="n"/>
      <c r="L246" s="20" t="n">
        <v>100</v>
      </c>
      <c r="M246" s="44" t="n">
        <v>0.0416</v>
      </c>
      <c r="N246" s="44" t="n">
        <v>0.04190000000000001</v>
      </c>
      <c r="O246" s="45" t="n"/>
      <c r="P246" s="46" t="n">
        <v>0.04205003240051863</v>
      </c>
      <c r="Q246" s="20" t="n">
        <v>41.15</v>
      </c>
      <c r="R246" s="20" t="n">
        <v>30.5</v>
      </c>
      <c r="S246" s="20" t="n">
        <v>36.89</v>
      </c>
      <c r="T246" s="44" t="n">
        <v>0.7692</v>
      </c>
      <c r="U246" s="44" t="n">
        <v>0.8108</v>
      </c>
      <c r="V246" s="46" t="n">
        <v>0.8333333333333334</v>
      </c>
      <c r="W246" s="20" t="n">
        <v>76.92</v>
      </c>
      <c r="X246" s="20" t="n">
        <v>83.33333333333334</v>
      </c>
      <c r="Y246" s="20" t="n">
        <v>79.48999999999999</v>
      </c>
      <c r="Z246" s="46" t="n">
        <v>0.01372574897716774</v>
      </c>
      <c r="AA246" s="44" t="n">
        <v>0.0137</v>
      </c>
      <c r="AB246" s="46" t="n">
        <v>0.01372574897716774</v>
      </c>
      <c r="AC246" s="20" t="n">
        <v>79.79000000000001</v>
      </c>
      <c r="AD246" s="91" t="n">
        <v>3.0308</v>
      </c>
      <c r="AE246" s="46" t="n"/>
      <c r="AF246" s="20" t="n"/>
      <c r="AG246" s="20" t="n">
        <v>55.24</v>
      </c>
      <c r="AH246" s="20" t="n"/>
      <c r="AI246" s="20" t="n">
        <v>55.24</v>
      </c>
      <c r="AJ246" s="46" t="n">
        <v>0.04190000000000001</v>
      </c>
      <c r="AK246" s="20" t="n">
        <v>80</v>
      </c>
      <c r="AL246" s="20" t="n">
        <v>94.29000000000001</v>
      </c>
      <c r="AM246" s="20" t="n">
        <v>49.67</v>
      </c>
      <c r="AN246" s="20" t="n">
        <v>79.79000000000001</v>
      </c>
      <c r="AO246" s="20" t="n">
        <v>55.24</v>
      </c>
      <c r="AP246" s="20" t="n">
        <v>80</v>
      </c>
      <c r="AQ246" s="92" t="n">
        <v>0.835</v>
      </c>
      <c r="AR246" s="20" t="n">
        <v>57.72442</v>
      </c>
      <c r="AS246" s="20" t="n">
        <v>69.13</v>
      </c>
      <c r="AT246" s="49" t="n">
        <v>128</v>
      </c>
      <c r="AU246" s="50">
        <f>IF(I246="","管理人规模；","")&amp;IF(J246="","产品规模标识；","")&amp;IF(AND(F246&lt;3,O246=""),"R_incep；","")&amp;IF(N246="","近三年收益；","")&amp;IF(U246="","近三年胜率；","")&amp;IF(AND(V246&lt;&gt;"",OR(V246&lt;0,V246&gt;1)),"胜率窗口口径不一致；","")&amp;IF(AA246="","近三年回撤；","")&amp;IF(AD246="","短期卡玛；","")&amp;IF(AND(P246&lt;&gt;"",AE246=""),"DD_long不可识别；","")</f>
        <v/>
      </c>
      <c r="AV246" s="51" t="n"/>
      <c r="AW246" s="22" t="inlineStr">
        <is>
          <t>20-50亿元</t>
        </is>
      </c>
      <c r="AX246" s="22" t="inlineStr">
        <is>
          <t>2026-03-16</t>
        </is>
      </c>
      <c r="AY246" s="22" t="inlineStr">
        <is>
          <t>上海致同投资管理有限公司 上海致同投资管理有限公司</t>
        </is>
      </c>
      <c r="AZ246" s="22" t="inlineStr">
        <is>
          <t>2026-03-16</t>
        </is>
      </c>
      <c r="BA246" s="22" t="inlineStr">
        <is>
          <t>https://gs.amac.org.cn/amac-infodisc/res/pof/manager/101000004339.html</t>
        </is>
      </c>
      <c r="BB246" s="22" t="n"/>
      <c r="BC246" s="22" t="n"/>
      <c r="BD246" s="22" t="inlineStr">
        <is>
          <t>产品未匹配，管理人已按名称补录</t>
        </is>
      </c>
      <c r="BF246" t="inlineStr">
        <is>
          <t>未核验</t>
        </is>
      </c>
    </row>
    <row r="247" hidden="1" ht="28" customHeight="1" s="73">
      <c r="A247" s="2" t="n">
        <v>258</v>
      </c>
      <c r="B247" s="18" t="inlineStr">
        <is>
          <t>擎丰1号3期</t>
        </is>
      </c>
      <c r="C247" s="18">
        <f>'sheet4-原始数据'!B259</f>
        <v/>
      </c>
      <c r="D247" s="18" t="inlineStr">
        <is>
          <t>上海擎丰</t>
        </is>
      </c>
      <c r="E247" s="90" t="inlineStr">
        <is>
          <t>2022-10-31</t>
        </is>
      </c>
      <c r="F247" s="20" t="n">
        <v>3.8741</v>
      </c>
      <c r="G247" s="2">
        <f>IF(F247="","",IF(F247&lt;1,"不入池","入池"))</f>
        <v/>
      </c>
      <c r="H247" s="42" t="inlineStr">
        <is>
          <t>0-5亿元</t>
        </is>
      </c>
      <c r="I247" s="20" t="n">
        <v>60</v>
      </c>
      <c r="J247" s="43" t="inlineStr">
        <is>
          <t>无低于1000万元标识</t>
        </is>
      </c>
      <c r="K247" s="20" t="n">
        <v>100</v>
      </c>
      <c r="L247" s="20" t="n">
        <v>100</v>
      </c>
      <c r="M247" s="44" t="n">
        <v>0.0453</v>
      </c>
      <c r="N247" s="44" t="n">
        <v>0.04650000000000001</v>
      </c>
      <c r="O247" s="45" t="n"/>
      <c r="P247" s="46" t="n">
        <v>0.04710051649930636</v>
      </c>
      <c r="Q247" s="20" t="n">
        <v>42.19</v>
      </c>
      <c r="R247" s="20" t="n">
        <v>34</v>
      </c>
      <c r="S247" s="20" t="n">
        <v>38.91</v>
      </c>
      <c r="T247" s="44" t="n">
        <v>0.9231</v>
      </c>
      <c r="U247" s="44" t="n">
        <v>0.8919</v>
      </c>
      <c r="V247" s="46" t="n">
        <v>0.875</v>
      </c>
      <c r="W247" s="20" t="n">
        <v>92.31</v>
      </c>
      <c r="X247" s="20" t="n">
        <v>87.5</v>
      </c>
      <c r="Y247" s="20" t="n">
        <v>90.39</v>
      </c>
      <c r="Z247" s="46" t="n">
        <v>0.001967674538812706</v>
      </c>
      <c r="AA247" s="44" t="n">
        <v>0.0026</v>
      </c>
      <c r="AB247" s="46" t="n">
        <v>0.0026</v>
      </c>
      <c r="AC247" s="20" t="n">
        <v>99.3</v>
      </c>
      <c r="AD247" s="91" t="n">
        <v>23.0221</v>
      </c>
      <c r="AE247" s="46" t="n">
        <v>0.0026</v>
      </c>
      <c r="AF247" s="20" t="n">
        <v>18.11558326896398</v>
      </c>
      <c r="AG247" s="20" t="n">
        <v>92.31</v>
      </c>
      <c r="AH247" s="20" t="n">
        <v>97.06</v>
      </c>
      <c r="AI247" s="20" t="n">
        <v>94.20999999999999</v>
      </c>
      <c r="AJ247" s="46" t="n">
        <v>0.04650000000000001</v>
      </c>
      <c r="AK247" s="20" t="n">
        <v>80</v>
      </c>
      <c r="AL247" s="20" t="n">
        <v>84</v>
      </c>
      <c r="AM247" s="20" t="n">
        <v>54.36</v>
      </c>
      <c r="AN247" s="20" t="n">
        <v>99.3</v>
      </c>
      <c r="AO247" s="20" t="n">
        <v>94.20999999999999</v>
      </c>
      <c r="AP247" s="20" t="n">
        <v>80</v>
      </c>
      <c r="AQ247" s="92" t="n">
        <v>1</v>
      </c>
      <c r="AR247" s="20" t="n">
        <v>84.55911999999999</v>
      </c>
      <c r="AS247" s="20" t="n">
        <v>84.56</v>
      </c>
      <c r="AT247" s="49" t="n">
        <v>34</v>
      </c>
      <c r="AU247" s="50">
        <f>IF(I247="","管理人规模；","")&amp;IF(J247="","产品规模标识；","")&amp;IF(AND(F247&lt;3,O247=""),"R_incep；","")&amp;IF(N247="","近三年收益；","")&amp;IF(U247="","近三年胜率；","")&amp;IF(AND(V247&lt;&gt;"",OR(V247&lt;0,V247&gt;1)),"胜率窗口口径不一致；","")&amp;IF(AA247="","近三年回撤；","")&amp;IF(AD247="","短期卡玛；","")&amp;IF(AND(P247&lt;&gt;"",AE247=""),"DD_long不可识别；","")</f>
        <v/>
      </c>
      <c r="AV247" s="51" t="n">
        <v>84.55911999999999</v>
      </c>
      <c r="AW247" s="22" t="inlineStr">
        <is>
          <t>0-5亿元</t>
        </is>
      </c>
      <c r="AX247" s="22" t="inlineStr">
        <is>
          <t>2026-08-06</t>
        </is>
      </c>
      <c r="AY247" s="22" t="inlineStr">
        <is>
          <t>上海擎丰私募基金管理有限公司</t>
        </is>
      </c>
      <c r="AZ247" s="22" t="inlineStr">
        <is>
          <t>2026-08-06</t>
        </is>
      </c>
      <c r="BA247" s="22" t="inlineStr">
        <is>
          <t>https://gs.amac.org.cn/amac-infodisc/res/pof/manager/1707071820104466.html</t>
        </is>
      </c>
      <c r="BB247" s="22" t="inlineStr">
        <is>
          <t>擎丰1号3期私募证券投资基金</t>
        </is>
      </c>
      <c r="BC247" s="22" t="inlineStr">
        <is>
          <t>2026-07-07</t>
        </is>
      </c>
      <c r="BD247" s="22" t="inlineStr">
        <is>
          <t>已匹配</t>
        </is>
      </c>
      <c r="BE247" t="inlineStr">
        <is>
          <t>https://gs.amac.org.cn/amac-infodisc/res/pof/fund/2211141811104373.html</t>
        </is>
      </c>
      <c r="BF247" t="inlineStr">
        <is>
          <t>已核验</t>
        </is>
      </c>
    </row>
    <row r="248" hidden="1" ht="28" customHeight="1" s="73">
      <c r="A248" s="2" t="n">
        <v>259</v>
      </c>
      <c r="B248" s="18" t="inlineStr">
        <is>
          <t>泰创稳健二号</t>
        </is>
      </c>
      <c r="C248" s="18">
        <f>'sheet4-原始数据'!B260</f>
        <v/>
      </c>
      <c r="D248" s="18" t="inlineStr">
        <is>
          <t>北京泰创投资</t>
        </is>
      </c>
      <c r="E248" s="90" t="inlineStr">
        <is>
          <t>2022-11-10</t>
        </is>
      </c>
      <c r="F248" s="20" t="n">
        <v>3.8467</v>
      </c>
      <c r="G248" s="2">
        <f>IF(F248="","",IF(F248&lt;1,"不入池","入池"))</f>
        <v/>
      </c>
      <c r="H248" s="42" t="inlineStr">
        <is>
          <t>5-10亿元</t>
        </is>
      </c>
      <c r="I248" s="20" t="n">
        <v>70</v>
      </c>
      <c r="J248" s="43" t="inlineStr">
        <is>
          <t>无低于1000万元标识</t>
        </is>
      </c>
      <c r="K248" s="20" t="n">
        <v>100</v>
      </c>
      <c r="L248" s="20" t="n">
        <v>100</v>
      </c>
      <c r="M248" s="44" t="n">
        <v>-0.0868</v>
      </c>
      <c r="N248" s="44" t="n">
        <v>-0.0355</v>
      </c>
      <c r="O248" s="45" t="n"/>
      <c r="P248" s="46" t="n">
        <v>-0.008779223362037847</v>
      </c>
      <c r="Q248" s="20" t="n">
        <v>4.86</v>
      </c>
      <c r="R248" s="20" t="n">
        <v>4.5</v>
      </c>
      <c r="S248" s="20" t="n">
        <v>4.72</v>
      </c>
      <c r="T248" s="44" t="n">
        <v>0.3846</v>
      </c>
      <c r="U248" s="44" t="n">
        <v>0.4054</v>
      </c>
      <c r="V248" s="46" t="n">
        <v>0.4166666666666667</v>
      </c>
      <c r="W248" s="20" t="n">
        <v>38.46</v>
      </c>
      <c r="X248" s="20" t="n">
        <v>41.66666666666667</v>
      </c>
      <c r="Y248" s="20" t="n">
        <v>39.74</v>
      </c>
      <c r="Z248" s="46" t="n">
        <v>0.1101802487941102</v>
      </c>
      <c r="AA248" s="44" t="n">
        <v>0.1468</v>
      </c>
      <c r="AB248" s="46" t="n">
        <v>0.1468</v>
      </c>
      <c r="AC248" s="20" t="n">
        <v>15.68</v>
      </c>
      <c r="AD248" s="91" t="n">
        <v>-0.7877999999999999</v>
      </c>
      <c r="AE248" s="46" t="n">
        <v>0.1468</v>
      </c>
      <c r="AF248" s="20" t="n">
        <v>-0.05980397385584365</v>
      </c>
      <c r="AG248" s="20" t="n">
        <v>3.5</v>
      </c>
      <c r="AH248" s="20" t="n">
        <v>5.15</v>
      </c>
      <c r="AI248" s="20" t="n">
        <v>4.16</v>
      </c>
      <c r="AJ248" s="46" t="n">
        <v>-0.0355</v>
      </c>
      <c r="AK248" s="20" t="n">
        <v>80</v>
      </c>
      <c r="AL248" s="20" t="n">
        <v>88</v>
      </c>
      <c r="AM248" s="20" t="n">
        <v>15.22</v>
      </c>
      <c r="AN248" s="20" t="n">
        <v>15.68</v>
      </c>
      <c r="AO248" s="20" t="n">
        <v>4.16</v>
      </c>
      <c r="AP248" s="20" t="n">
        <v>80</v>
      </c>
      <c r="AQ248" s="92" t="n">
        <v>1</v>
      </c>
      <c r="AR248" s="20" t="n">
        <v>29.4128</v>
      </c>
      <c r="AS248" s="20" t="n">
        <v>29.41</v>
      </c>
      <c r="AT248" s="49" t="n">
        <v>298</v>
      </c>
      <c r="AU248" s="50">
        <f>IF(I248="","管理人规模；","")&amp;IF(J248="","产品规模标识；","")&amp;IF(AND(F248&lt;3,O248=""),"R_incep；","")&amp;IF(N248="","近三年收益；","")&amp;IF(U248="","近三年胜率；","")&amp;IF(AND(V248&lt;&gt;"",OR(V248&lt;0,V248&gt;1)),"胜率窗口口径不一致；","")&amp;IF(AA248="","近三年回撤；","")&amp;IF(AD248="","短期卡玛；","")&amp;IF(AND(P248&lt;&gt;"",AE248=""),"DD_long不可识别；","")</f>
        <v/>
      </c>
      <c r="AV248" s="51" t="n">
        <v>29.4128</v>
      </c>
      <c r="AW248" s="22" t="inlineStr">
        <is>
          <t>5-10亿元</t>
        </is>
      </c>
      <c r="AX248" s="22" t="inlineStr">
        <is>
          <t>2026-05-12</t>
        </is>
      </c>
      <c r="AY248" s="22" t="inlineStr">
        <is>
          <t>北京泰创投资管理有限公司</t>
        </is>
      </c>
      <c r="AZ248" s="22" t="inlineStr">
        <is>
          <t>2026-05-12</t>
        </is>
      </c>
      <c r="BA248" s="22" t="inlineStr">
        <is>
          <t>https://gs.amac.org.cn/amac-infodisc/res/pof/manager/101000008864.html</t>
        </is>
      </c>
      <c r="BB248" s="22" t="inlineStr">
        <is>
          <t>泰创稳健二号私募证券投资基金</t>
        </is>
      </c>
      <c r="BC248" s="22" t="inlineStr">
        <is>
          <t>2026-07-22</t>
        </is>
      </c>
      <c r="BD248" s="22" t="inlineStr">
        <is>
          <t>已匹配</t>
        </is>
      </c>
      <c r="BE248" t="inlineStr">
        <is>
          <t>https://gs.amac.org.cn/amac-infodisc/res/pof/fund/2211151609104614.html</t>
        </is>
      </c>
      <c r="BF248" t="inlineStr">
        <is>
          <t>已核验</t>
        </is>
      </c>
    </row>
    <row r="249" hidden="1" ht="28" customHeight="1" s="73">
      <c r="A249" s="2" t="n">
        <v>260</v>
      </c>
      <c r="B249" s="18" t="inlineStr">
        <is>
          <t>殊馥兴义7号</t>
        </is>
      </c>
      <c r="C249" s="18">
        <f>'sheet4-原始数据'!B261</f>
        <v/>
      </c>
      <c r="D249" s="18" t="inlineStr">
        <is>
          <t>上海殊馥投资</t>
        </is>
      </c>
      <c r="E249" s="90" t="inlineStr">
        <is>
          <t>2022-11-29</t>
        </is>
      </c>
      <c r="F249" s="20" t="n">
        <v>3.7947</v>
      </c>
      <c r="G249" s="2">
        <f>IF(F249="","",IF(F249&lt;1,"不入池","入池"))</f>
        <v/>
      </c>
      <c r="H249" s="42" t="inlineStr">
        <is>
          <t>10-20亿元</t>
        </is>
      </c>
      <c r="I249" s="20" t="n">
        <v>80</v>
      </c>
      <c r="J249" s="43" t="inlineStr">
        <is>
          <t>无低于1000万元标识</t>
        </is>
      </c>
      <c r="K249" s="20" t="n">
        <v>100</v>
      </c>
      <c r="L249" s="20" t="n">
        <v>100</v>
      </c>
      <c r="M249" s="44" t="n">
        <v>0.07240000000000001</v>
      </c>
      <c r="N249" s="44" t="n">
        <v>0.07580000000000001</v>
      </c>
      <c r="O249" s="45" t="n"/>
      <c r="P249" s="46" t="n">
        <v>0.07750404020147594</v>
      </c>
      <c r="Q249" s="20" t="n">
        <v>60.42</v>
      </c>
      <c r="R249" s="20" t="n">
        <v>63</v>
      </c>
      <c r="S249" s="20" t="n">
        <v>61.45</v>
      </c>
      <c r="T249" s="44" t="n">
        <v>0.8462000000000001</v>
      </c>
      <c r="U249" s="44" t="n">
        <v>0.8378</v>
      </c>
      <c r="V249" s="46" t="n">
        <v>0.8332499999999999</v>
      </c>
      <c r="W249" s="20" t="n">
        <v>84.62</v>
      </c>
      <c r="X249" s="20" t="n">
        <v>83.32499999999999</v>
      </c>
      <c r="Y249" s="20" t="n">
        <v>84.09999999999999</v>
      </c>
      <c r="Z249" s="46" t="n">
        <v>0.007867683814739955</v>
      </c>
      <c r="AA249" s="44" t="n">
        <v>0.007900000000000001</v>
      </c>
      <c r="AB249" s="46" t="n">
        <v>0.007900000000000001</v>
      </c>
      <c r="AC249" s="20" t="n">
        <v>88.15000000000001</v>
      </c>
      <c r="AD249" s="91" t="n">
        <v>9.202199999999999</v>
      </c>
      <c r="AE249" s="46" t="n"/>
      <c r="AF249" s="20" t="n"/>
      <c r="AG249" s="20" t="n">
        <v>76.56999999999999</v>
      </c>
      <c r="AH249" s="20" t="n"/>
      <c r="AI249" s="20" t="n">
        <v>76.56999999999999</v>
      </c>
      <c r="AJ249" s="46" t="n">
        <v>0.07580000000000001</v>
      </c>
      <c r="AK249" s="20" t="n">
        <v>80</v>
      </c>
      <c r="AL249" s="20" t="n">
        <v>92</v>
      </c>
      <c r="AM249" s="20" t="n">
        <v>68.25</v>
      </c>
      <c r="AN249" s="20" t="n">
        <v>88.15000000000001</v>
      </c>
      <c r="AO249" s="20" t="n">
        <v>76.56999999999999</v>
      </c>
      <c r="AP249" s="20" t="n">
        <v>80</v>
      </c>
      <c r="AQ249" s="92" t="n">
        <v>0.88</v>
      </c>
      <c r="AR249" s="20" t="n">
        <v>71.26949999999999</v>
      </c>
      <c r="AS249" s="20" t="n">
        <v>80.98999999999999</v>
      </c>
      <c r="AT249" s="49" t="n">
        <v>56</v>
      </c>
      <c r="AU249" s="50">
        <f>IF(I249="","管理人规模；","")&amp;IF(J249="","产品规模标识；","")&amp;IF(AND(F249&lt;3,O249=""),"R_incep；","")&amp;IF(N249="","近三年收益；","")&amp;IF(U249="","近三年胜率；","")&amp;IF(AND(V249&lt;&gt;"",OR(V249&lt;0,V249&gt;1)),"胜率窗口口径不一致；","")&amp;IF(AA249="","近三年回撤；","")&amp;IF(AD249="","短期卡玛；","")&amp;IF(AND(P249&lt;&gt;"",AE249=""),"DD_long不可识别；","")</f>
        <v/>
      </c>
      <c r="AV249" s="51" t="n"/>
      <c r="AW249" s="22" t="inlineStr">
        <is>
          <t>10-20亿元</t>
        </is>
      </c>
      <c r="AX249" s="22" t="inlineStr">
        <is>
          <t>2026-06-29</t>
        </is>
      </c>
      <c r="AY249" s="22" t="inlineStr">
        <is>
          <t>上海殊馥投资管理有限公司</t>
        </is>
      </c>
      <c r="AZ249" s="22" t="inlineStr">
        <is>
          <t>2026-06-29</t>
        </is>
      </c>
      <c r="BA249" s="22" t="inlineStr">
        <is>
          <t>https://gs.amac.org.cn/amac-infodisc/res/pof/manager/101000042776.html</t>
        </is>
      </c>
      <c r="BB249" s="22" t="inlineStr">
        <is>
          <t>殊馥兴义7号私募证券投资基金</t>
        </is>
      </c>
      <c r="BC249" s="22" t="inlineStr">
        <is>
          <t>2025-07-17</t>
        </is>
      </c>
      <c r="BD249" s="22" t="inlineStr">
        <is>
          <t>已匹配</t>
        </is>
      </c>
      <c r="BE249" t="inlineStr">
        <is>
          <t>https://gs.amac.org.cn/amac-infodisc/res/pof/fund/2211291421100191.html</t>
        </is>
      </c>
      <c r="BF249" t="inlineStr">
        <is>
          <t>已核验</t>
        </is>
      </c>
    </row>
    <row r="250" hidden="1" ht="28" customHeight="1" s="73">
      <c r="A250" s="2" t="n">
        <v>261</v>
      </c>
      <c r="B250" s="18" t="inlineStr">
        <is>
          <t>锐耐复利倍增2号</t>
        </is>
      </c>
      <c r="C250" s="18">
        <f>'sheet4-原始数据'!B262</f>
        <v/>
      </c>
      <c r="D250" s="18" t="inlineStr">
        <is>
          <t>上海锐耐</t>
        </is>
      </c>
      <c r="E250" s="90" t="inlineStr">
        <is>
          <t>2022-11-28</t>
        </is>
      </c>
      <c r="F250" s="20" t="n">
        <v>3.7974</v>
      </c>
      <c r="G250" s="2">
        <f>IF(F250="","",IF(F250&lt;1,"不入池","入池"))</f>
        <v/>
      </c>
      <c r="H250" s="42" t="inlineStr">
        <is>
          <t>20-50亿元</t>
        </is>
      </c>
      <c r="I250" s="20" t="n">
        <v>90</v>
      </c>
      <c r="J250" s="43" t="inlineStr">
        <is>
          <t>无低于1000万元标识</t>
        </is>
      </c>
      <c r="K250" s="20" t="n">
        <v>100</v>
      </c>
      <c r="L250" s="20" t="n">
        <v>100</v>
      </c>
      <c r="M250" s="44" t="n">
        <v>0.0288</v>
      </c>
      <c r="N250" s="44" t="n">
        <v>0.08400000000000001</v>
      </c>
      <c r="O250" s="45" t="n"/>
      <c r="P250" s="46" t="n">
        <v>0.1127009158571322</v>
      </c>
      <c r="Q250" s="20" t="n">
        <v>29.17</v>
      </c>
      <c r="R250" s="20" t="n">
        <v>78</v>
      </c>
      <c r="S250" s="20" t="n">
        <v>48.7</v>
      </c>
      <c r="T250" s="44" t="n">
        <v>0.5385</v>
      </c>
      <c r="U250" s="44" t="n">
        <v>0.6757</v>
      </c>
      <c r="V250" s="46" t="n">
        <v>0.7500166666666667</v>
      </c>
      <c r="W250" s="20" t="n">
        <v>53.84999999999999</v>
      </c>
      <c r="X250" s="20" t="n">
        <v>75.00166666666667</v>
      </c>
      <c r="Y250" s="20" t="n">
        <v>62.31</v>
      </c>
      <c r="Z250" s="46" t="n">
        <v>0.04921394395078605</v>
      </c>
      <c r="AA250" s="44" t="n">
        <v>0.0492</v>
      </c>
      <c r="AB250" s="46" t="n">
        <v>0.04921394395078605</v>
      </c>
      <c r="AC250" s="20" t="n">
        <v>45.3</v>
      </c>
      <c r="AD250" s="91" t="n">
        <v>0.5852000000000001</v>
      </c>
      <c r="AE250" s="46" t="n"/>
      <c r="AF250" s="20" t="n"/>
      <c r="AG250" s="20" t="n">
        <v>27.27</v>
      </c>
      <c r="AH250" s="20" t="n"/>
      <c r="AI250" s="20" t="n">
        <v>27.27</v>
      </c>
      <c r="AJ250" s="46" t="n">
        <v>0.08400000000000001</v>
      </c>
      <c r="AK250" s="20" t="n">
        <v>80</v>
      </c>
      <c r="AL250" s="20" t="n">
        <v>96</v>
      </c>
      <c r="AM250" s="20" t="n">
        <v>52.78</v>
      </c>
      <c r="AN250" s="20" t="n">
        <v>45.3</v>
      </c>
      <c r="AO250" s="20" t="n">
        <v>27.27</v>
      </c>
      <c r="AP250" s="20" t="n">
        <v>80</v>
      </c>
      <c r="AQ250" s="92" t="n">
        <v>0.88</v>
      </c>
      <c r="AR250" s="20" t="n">
        <v>49.19052</v>
      </c>
      <c r="AS250" s="20" t="n">
        <v>55.9</v>
      </c>
      <c r="AT250" s="49" t="n">
        <v>192</v>
      </c>
      <c r="AU250" s="50">
        <f>IF(I250="","管理人规模；","")&amp;IF(J250="","产品规模标识；","")&amp;IF(AND(F250&lt;3,O250=""),"R_incep；","")&amp;IF(N250="","近三年收益；","")&amp;IF(U250="","近三年胜率；","")&amp;IF(AND(V250&lt;&gt;"",OR(V250&lt;0,V250&gt;1)),"胜率窗口口径不一致；","")&amp;IF(AA250="","近三年回撤；","")&amp;IF(AD250="","短期卡玛；","")&amp;IF(AND(P250&lt;&gt;"",AE250=""),"DD_long不可识别；","")</f>
        <v/>
      </c>
      <c r="AV250" s="51" t="n"/>
      <c r="AW250" s="22" t="inlineStr">
        <is>
          <t>20-50亿元</t>
        </is>
      </c>
      <c r="AX250" s="22" t="inlineStr">
        <is>
          <t>2026-05-14</t>
        </is>
      </c>
      <c r="AY250" s="22" t="inlineStr">
        <is>
          <t>上海锐耐私募基金管理有限公司</t>
        </is>
      </c>
      <c r="AZ250" s="22" t="inlineStr">
        <is>
          <t>2026-05-14</t>
        </is>
      </c>
      <c r="BA250" s="22" t="inlineStr">
        <is>
          <t>https://gs.amac.org.cn/amac-infodisc/res/pof/manager/2011201413105709.html</t>
        </is>
      </c>
      <c r="BB250" s="22" t="inlineStr">
        <is>
          <t>锐耐复利倍增2号私募证券投资基金</t>
        </is>
      </c>
      <c r="BC250" s="22" t="inlineStr">
        <is>
          <t>2025-03-06</t>
        </is>
      </c>
      <c r="BD250" s="22" t="inlineStr">
        <is>
          <t>已匹配</t>
        </is>
      </c>
      <c r="BE250" t="inlineStr">
        <is>
          <t>https://gs.amac.org.cn/amac-infodisc/res/pof/fund/2212051126108903.html</t>
        </is>
      </c>
      <c r="BF250" t="inlineStr">
        <is>
          <t>已核验</t>
        </is>
      </c>
    </row>
    <row r="251" hidden="1" ht="28" customHeight="1" s="73">
      <c r="A251" s="2" t="n">
        <v>262</v>
      </c>
      <c r="B251" s="18" t="inlineStr">
        <is>
          <t>乘舟紫荆1号</t>
        </is>
      </c>
      <c r="C251" s="18">
        <f>'sheet4-原始数据'!B263</f>
        <v/>
      </c>
      <c r="D251" s="18" t="inlineStr">
        <is>
          <t>上海乘舟投资</t>
        </is>
      </c>
      <c r="E251" s="90" t="inlineStr">
        <is>
          <t>2022-12-01</t>
        </is>
      </c>
      <c r="F251" s="20" t="n">
        <v>3.7892</v>
      </c>
      <c r="G251" s="2">
        <f>IF(F251="","",IF(F251&lt;1,"不入池","入池"))</f>
        <v/>
      </c>
      <c r="H251" s="42" t="inlineStr">
        <is>
          <t>5-10亿元</t>
        </is>
      </c>
      <c r="I251" s="20" t="n">
        <v>70</v>
      </c>
      <c r="J251" s="43" t="inlineStr">
        <is>
          <t>无低于1000万元标识</t>
        </is>
      </c>
      <c r="K251" s="20" t="n">
        <v>100</v>
      </c>
      <c r="L251" s="20" t="n">
        <v>100</v>
      </c>
      <c r="M251" s="44" t="n">
        <v>-0.0193</v>
      </c>
      <c r="N251" s="44" t="n">
        <v>0.0603</v>
      </c>
      <c r="O251" s="45" t="n"/>
      <c r="P251" s="46" t="n">
        <v>0.102491004052885</v>
      </c>
      <c r="Q251" s="20" t="n">
        <v>11.46</v>
      </c>
      <c r="R251" s="20" t="n">
        <v>73</v>
      </c>
      <c r="S251" s="20" t="n">
        <v>36.08</v>
      </c>
      <c r="T251" s="44" t="n">
        <v>0.7692</v>
      </c>
      <c r="U251" s="44" t="n">
        <v>0.8378</v>
      </c>
      <c r="V251" s="46" t="n">
        <v>0.8749583333333334</v>
      </c>
      <c r="W251" s="20" t="n">
        <v>76.92</v>
      </c>
      <c r="X251" s="20" t="n">
        <v>87.49583333333334</v>
      </c>
      <c r="Y251" s="20" t="n">
        <v>81.15000000000001</v>
      </c>
      <c r="Z251" s="46" t="n">
        <v>0.09999999999999999</v>
      </c>
      <c r="AA251" s="44" t="n">
        <v>0.1</v>
      </c>
      <c r="AB251" s="46" t="n">
        <v>0.1</v>
      </c>
      <c r="AC251" s="20" t="n">
        <v>26.48</v>
      </c>
      <c r="AD251" s="91" t="n">
        <v>-0.193</v>
      </c>
      <c r="AE251" s="46" t="n"/>
      <c r="AF251" s="20" t="n"/>
      <c r="AG251" s="20" t="n">
        <v>11.54</v>
      </c>
      <c r="AH251" s="20" t="n"/>
      <c r="AI251" s="20" t="n">
        <v>11.54</v>
      </c>
      <c r="AJ251" s="46" t="n">
        <v>0.0603</v>
      </c>
      <c r="AK251" s="20" t="n">
        <v>80</v>
      </c>
      <c r="AL251" s="20" t="n">
        <v>88</v>
      </c>
      <c r="AM251" s="20" t="n">
        <v>49.6</v>
      </c>
      <c r="AN251" s="20" t="n">
        <v>26.48</v>
      </c>
      <c r="AO251" s="20" t="n">
        <v>11.54</v>
      </c>
      <c r="AP251" s="20" t="n">
        <v>80</v>
      </c>
      <c r="AQ251" s="92" t="n">
        <v>0.88</v>
      </c>
      <c r="AR251" s="20" t="n">
        <v>39.81686</v>
      </c>
      <c r="AS251" s="20" t="n">
        <v>45.25</v>
      </c>
      <c r="AT251" s="49" t="n">
        <v>241</v>
      </c>
      <c r="AU251" s="50">
        <f>IF(I251="","管理人规模；","")&amp;IF(J251="","产品规模标识；","")&amp;IF(AND(F251&lt;3,O251=""),"R_incep；","")&amp;IF(N251="","近三年收益；","")&amp;IF(U251="","近三年胜率；","")&amp;IF(AND(V251&lt;&gt;"",OR(V251&lt;0,V251&gt;1)),"胜率窗口口径不一致；","")&amp;IF(AA251="","近三年回撤；","")&amp;IF(AD251="","短期卡玛；","")&amp;IF(AND(P251&lt;&gt;"",AE251=""),"DD_long不可识别；","")</f>
        <v/>
      </c>
      <c r="AV251" s="51" t="n"/>
      <c r="AW251" s="22" t="inlineStr">
        <is>
          <t>5-10亿元</t>
        </is>
      </c>
      <c r="AX251" s="22" t="inlineStr">
        <is>
          <t>2026-07-21</t>
        </is>
      </c>
      <c r="AY251" s="22" t="inlineStr">
        <is>
          <t>上海乘舟投资管理有限公司</t>
        </is>
      </c>
      <c r="AZ251" s="22" t="inlineStr">
        <is>
          <t>2026-07-21</t>
        </is>
      </c>
      <c r="BA251" s="22" t="inlineStr">
        <is>
          <t>https://gs.amac.org.cn/amac-infodisc/res/pof/manager/2003191500102072.html</t>
        </is>
      </c>
      <c r="BB251" s="22" t="inlineStr">
        <is>
          <t>乘舟紫荆1号私募证券投资基金</t>
        </is>
      </c>
      <c r="BC251" s="22" t="inlineStr">
        <is>
          <t>2022-12-07</t>
        </is>
      </c>
      <c r="BD251" s="22" t="inlineStr">
        <is>
          <t>已匹配</t>
        </is>
      </c>
      <c r="BE251" t="inlineStr">
        <is>
          <t>https://gs.amac.org.cn/amac-infodisc/res/pof/fund/2212071732102944.html</t>
        </is>
      </c>
      <c r="BF251" t="inlineStr">
        <is>
          <t>已核验</t>
        </is>
      </c>
    </row>
    <row r="252" hidden="1" ht="28" customHeight="1" s="73">
      <c r="A252" s="2" t="n">
        <v>263</v>
      </c>
      <c r="B252" s="18" t="inlineStr">
        <is>
          <t>岳鑫遥3号</t>
        </is>
      </c>
      <c r="C252" s="18">
        <f>'sheet4-原始数据'!B264</f>
        <v/>
      </c>
      <c r="D252" s="18" t="inlineStr">
        <is>
          <t>北京岳鑫遥</t>
        </is>
      </c>
      <c r="E252" s="90" t="inlineStr">
        <is>
          <t>2022-12-12</t>
        </is>
      </c>
      <c r="F252" s="20" t="n">
        <v>3.7591</v>
      </c>
      <c r="G252" s="2">
        <f>IF(F252="","",IF(F252&lt;1,"不入池","入池"))</f>
        <v/>
      </c>
      <c r="H252" s="42" t="inlineStr">
        <is>
          <t>5-10亿元</t>
        </is>
      </c>
      <c r="I252" s="20" t="n">
        <v>70</v>
      </c>
      <c r="J252" s="43" t="inlineStr">
        <is>
          <t>无低于1000万元标识</t>
        </is>
      </c>
      <c r="K252" s="20" t="n">
        <v>100</v>
      </c>
      <c r="L252" s="20" t="n">
        <v>100</v>
      </c>
      <c r="M252" s="44" t="n">
        <v>-0.1536</v>
      </c>
      <c r="N252" s="44" t="n">
        <v>0.1068</v>
      </c>
      <c r="O252" s="45" t="n"/>
      <c r="P252" s="46" t="n">
        <v>0.2656566296577429</v>
      </c>
      <c r="Q252" s="20" t="n">
        <v>1.91</v>
      </c>
      <c r="R252" s="20" t="n">
        <v>97.75</v>
      </c>
      <c r="S252" s="20" t="n">
        <v>40.25</v>
      </c>
      <c r="T252" s="44" t="n">
        <v>0.5385</v>
      </c>
      <c r="U252" s="44" t="n">
        <v>0.7297</v>
      </c>
      <c r="V252" s="46" t="n">
        <v>0.8332666666666667</v>
      </c>
      <c r="W252" s="20" t="n">
        <v>53.84999999999999</v>
      </c>
      <c r="X252" s="20" t="n">
        <v>83.32666666666667</v>
      </c>
      <c r="Y252" s="20" t="n">
        <v>65.64</v>
      </c>
      <c r="Z252" s="46" t="n">
        <v>0.3235727828101959</v>
      </c>
      <c r="AA252" s="44" t="n">
        <v>0.3236</v>
      </c>
      <c r="AB252" s="46" t="n">
        <v>0.3236</v>
      </c>
      <c r="AC252" s="20" t="n">
        <v>2.61</v>
      </c>
      <c r="AD252" s="91" t="n">
        <v>-0.4747</v>
      </c>
      <c r="AE252" s="46" t="n"/>
      <c r="AF252" s="20" t="n"/>
      <c r="AG252" s="20" t="n">
        <v>6.82</v>
      </c>
      <c r="AH252" s="20" t="n"/>
      <c r="AI252" s="20" t="n">
        <v>6.82</v>
      </c>
      <c r="AJ252" s="46" t="n">
        <v>0.1068</v>
      </c>
      <c r="AK252" s="20" t="n">
        <v>60</v>
      </c>
      <c r="AL252" s="20" t="n">
        <v>88</v>
      </c>
      <c r="AM252" s="20" t="n">
        <v>47.86</v>
      </c>
      <c r="AN252" s="20" t="n">
        <v>2.61</v>
      </c>
      <c r="AO252" s="20" t="n">
        <v>6.82</v>
      </c>
      <c r="AP252" s="20" t="n">
        <v>60</v>
      </c>
      <c r="AQ252" s="92" t="n">
        <v>0.88</v>
      </c>
      <c r="AR252" s="20" t="n">
        <v>30.65298</v>
      </c>
      <c r="AS252" s="20" t="n">
        <v>34.83</v>
      </c>
      <c r="AT252" s="49" t="n">
        <v>286</v>
      </c>
      <c r="AU252" s="50">
        <f>IF(I252="","管理人规模；","")&amp;IF(J252="","产品规模标识；","")&amp;IF(AND(F252&lt;3,O252=""),"R_incep；","")&amp;IF(N252="","近三年收益；","")&amp;IF(U252="","近三年胜率；","")&amp;IF(AND(V252&lt;&gt;"",OR(V252&lt;0,V252&gt;1)),"胜率窗口口径不一致；","")&amp;IF(AA252="","近三年回撤；","")&amp;IF(AD252="","短期卡玛；","")&amp;IF(AND(P252&lt;&gt;"",AE252=""),"DD_long不可识别；","")</f>
        <v/>
      </c>
      <c r="AV252" s="51" t="n"/>
      <c r="AW252" s="22" t="inlineStr">
        <is>
          <t>5-10亿元</t>
        </is>
      </c>
      <c r="AX252" s="22" t="inlineStr">
        <is>
          <t>2026-05-07</t>
        </is>
      </c>
      <c r="AY252" s="22" t="inlineStr">
        <is>
          <t>岳鑫遥（北京）私募基金管理有限公司</t>
        </is>
      </c>
      <c r="AZ252" s="22" t="inlineStr">
        <is>
          <t>2026-05-07</t>
        </is>
      </c>
      <c r="BA252" s="22" t="inlineStr">
        <is>
          <t>https://gs.amac.org.cn/amac-infodisc/res/pof/manager/2207041830121644.html</t>
        </is>
      </c>
      <c r="BB252" s="22" t="inlineStr">
        <is>
          <t>岳鑫遥3号私募证券投资基金</t>
        </is>
      </c>
      <c r="BC252" s="22" t="inlineStr">
        <is>
          <t>2022-12-23</t>
        </is>
      </c>
      <c r="BD252" s="22" t="inlineStr">
        <is>
          <t>已匹配</t>
        </is>
      </c>
      <c r="BE252" t="inlineStr">
        <is>
          <t>https://gs.amac.org.cn/amac-infodisc/res/pof/fund/2212231712100194.html</t>
        </is>
      </c>
      <c r="BF252" t="inlineStr">
        <is>
          <t>已核验</t>
        </is>
      </c>
    </row>
    <row r="253" hidden="1" ht="28" customHeight="1" s="73">
      <c r="A253" s="2" t="n">
        <v>265</v>
      </c>
      <c r="B253" s="18" t="inlineStr">
        <is>
          <t>雁丰卓衍1号</t>
        </is>
      </c>
      <c r="C253" s="18">
        <f>'sheet4-原始数据'!B266</f>
        <v/>
      </c>
      <c r="D253" s="18" t="inlineStr">
        <is>
          <t>上海雁丰投资</t>
        </is>
      </c>
      <c r="E253" s="90" t="inlineStr">
        <is>
          <t>2023-01-04</t>
        </is>
      </c>
      <c r="F253" s="20" t="n">
        <v>3.6961</v>
      </c>
      <c r="G253" s="2">
        <f>IF(F253="","",IF(F253&lt;1,"不入池","入池"))</f>
        <v/>
      </c>
      <c r="H253" s="42" t="inlineStr">
        <is>
          <t>0-5亿元</t>
        </is>
      </c>
      <c r="I253" s="20" t="n">
        <v>60</v>
      </c>
      <c r="J253" s="43" t="inlineStr">
        <is>
          <t>无低于1000万元标识</t>
        </is>
      </c>
      <c r="K253" s="20" t="n">
        <v>100</v>
      </c>
      <c r="L253" s="20" t="n">
        <v>100</v>
      </c>
      <c r="M253" s="44" t="n">
        <v>0.1925</v>
      </c>
      <c r="N253" s="44" t="n">
        <v>0.09960000000000001</v>
      </c>
      <c r="O253" s="45" t="n"/>
      <c r="P253" s="46" t="n">
        <v>0.05590027479053394</v>
      </c>
      <c r="Q253" s="20" t="n">
        <v>90.63</v>
      </c>
      <c r="R253" s="20" t="n">
        <v>44.5</v>
      </c>
      <c r="S253" s="20" t="n">
        <v>72.18000000000001</v>
      </c>
      <c r="T253" s="44" t="n">
        <v>0.7692</v>
      </c>
      <c r="U253" s="44" t="n">
        <v>0.7027</v>
      </c>
      <c r="V253" s="46" t="n">
        <v>0.6666791666666668</v>
      </c>
      <c r="W253" s="20" t="n">
        <v>76.92</v>
      </c>
      <c r="X253" s="20" t="n">
        <v>66.66791666666668</v>
      </c>
      <c r="Y253" s="20" t="n">
        <v>72.81999999999999</v>
      </c>
      <c r="Z253" s="46" t="n">
        <v>0.02186679995001874</v>
      </c>
      <c r="AA253" s="44" t="n">
        <v>0.0559</v>
      </c>
      <c r="AB253" s="46" t="n">
        <v>0.0559</v>
      </c>
      <c r="AC253" s="20" t="n">
        <v>40.77</v>
      </c>
      <c r="AD253" s="91" t="n">
        <v>8.8033</v>
      </c>
      <c r="AE253" s="46" t="n">
        <v>0.0559</v>
      </c>
      <c r="AF253" s="20" t="n">
        <v>1.000004915751949</v>
      </c>
      <c r="AG253" s="20" t="n">
        <v>75.17</v>
      </c>
      <c r="AH253" s="20" t="n">
        <v>41.91</v>
      </c>
      <c r="AI253" s="20" t="n">
        <v>61.87</v>
      </c>
      <c r="AJ253" s="46" t="n">
        <v>0.09960000000000001</v>
      </c>
      <c r="AK253" s="20" t="n">
        <v>100</v>
      </c>
      <c r="AL253" s="20" t="n">
        <v>84</v>
      </c>
      <c r="AM253" s="20" t="n">
        <v>72.37</v>
      </c>
      <c r="AN253" s="20" t="n">
        <v>40.77</v>
      </c>
      <c r="AO253" s="20" t="n">
        <v>61.87</v>
      </c>
      <c r="AP253" s="20" t="n">
        <v>100</v>
      </c>
      <c r="AQ253" s="92" t="n">
        <v>1</v>
      </c>
      <c r="AR253" s="20" t="n">
        <v>65.82637</v>
      </c>
      <c r="AS253" s="20" t="n">
        <v>65.83</v>
      </c>
      <c r="AT253" s="49" t="n">
        <v>141</v>
      </c>
      <c r="AU253" s="50">
        <f>IF(I253="","管理人规模；","")&amp;IF(J253="","产品规模标识；","")&amp;IF(AND(F253&lt;3,O253=""),"R_incep；","")&amp;IF(N253="","近三年收益；","")&amp;IF(U253="","近三年胜率；","")&amp;IF(AND(V253&lt;&gt;"",OR(V253&lt;0,V253&gt;1)),"胜率窗口口径不一致；","")&amp;IF(AA253="","近三年回撤；","")&amp;IF(AD253="","短期卡玛；","")&amp;IF(AND(P253&lt;&gt;"",AE253=""),"DD_long不可识别；","")</f>
        <v/>
      </c>
      <c r="AV253" s="51" t="n">
        <v>65.82637</v>
      </c>
      <c r="AW253" s="22" t="inlineStr">
        <is>
          <t>0-5亿元</t>
        </is>
      </c>
      <c r="AX253" s="22" t="inlineStr">
        <is>
          <t>2026-01-14</t>
        </is>
      </c>
      <c r="AY253" s="22" t="inlineStr">
        <is>
          <t>上海雁丰投资管理有限公司</t>
        </is>
      </c>
      <c r="AZ253" s="22" t="inlineStr">
        <is>
          <t>2026-01-14</t>
        </is>
      </c>
      <c r="BA253" s="22" t="inlineStr">
        <is>
          <t>https://gs.amac.org.cn/amac-infodisc/res/pof/manager/101000007795.html</t>
        </is>
      </c>
      <c r="BB253" s="22" t="inlineStr">
        <is>
          <t>雁丰卓衍1号私募证券投资基金</t>
        </is>
      </c>
      <c r="BC253" s="22" t="inlineStr">
        <is>
          <t>2026-08-28</t>
        </is>
      </c>
      <c r="BD253" s="22" t="inlineStr">
        <is>
          <t>已匹配</t>
        </is>
      </c>
      <c r="BE253" t="inlineStr">
        <is>
          <t>https://gs.amac.org.cn/amac-infodisc/res/pof/fund/2301040921105586.html</t>
        </is>
      </c>
      <c r="BF253" t="inlineStr">
        <is>
          <t>已核验</t>
        </is>
      </c>
    </row>
    <row r="254" hidden="1" ht="28" customHeight="1" s="73">
      <c r="A254" s="2" t="n">
        <v>266</v>
      </c>
      <c r="B254" s="18" t="inlineStr">
        <is>
          <t>殊馥兴义8号</t>
        </is>
      </c>
      <c r="C254" s="18">
        <f>'sheet4-原始数据'!B267</f>
        <v/>
      </c>
      <c r="D254" s="18" t="inlineStr">
        <is>
          <t>上海殊馥投资</t>
        </is>
      </c>
      <c r="E254" s="90" t="inlineStr">
        <is>
          <t>2022-12-22</t>
        </is>
      </c>
      <c r="F254" s="20" t="n">
        <v>3.7317</v>
      </c>
      <c r="G254" s="2">
        <f>IF(F254="","",IF(F254&lt;1,"不入池","入池"))</f>
        <v/>
      </c>
      <c r="H254" s="42" t="inlineStr">
        <is>
          <t>10-20亿元</t>
        </is>
      </c>
      <c r="I254" s="20" t="n">
        <v>80</v>
      </c>
      <c r="J254" s="43" t="inlineStr">
        <is>
          <t>无低于1000万元标识</t>
        </is>
      </c>
      <c r="K254" s="20" t="n">
        <v>100</v>
      </c>
      <c r="L254" s="20" t="n">
        <v>100</v>
      </c>
      <c r="M254" s="44" t="n">
        <v>0.2917</v>
      </c>
      <c r="N254" s="44" t="n">
        <v>0.2468</v>
      </c>
      <c r="O254" s="45" t="n"/>
      <c r="P254" s="46" t="n">
        <v>0.2249387138545107</v>
      </c>
      <c r="Q254" s="20" t="n">
        <v>96.18000000000001</v>
      </c>
      <c r="R254" s="20" t="n">
        <v>94.5</v>
      </c>
      <c r="S254" s="20" t="n">
        <v>95.51000000000001</v>
      </c>
      <c r="T254" s="44" t="n">
        <v>0.6923</v>
      </c>
      <c r="U254" s="44" t="n">
        <v>0.6757</v>
      </c>
      <c r="V254" s="46" t="n">
        <v>0.6667083333333332</v>
      </c>
      <c r="W254" s="20" t="n">
        <v>69.23</v>
      </c>
      <c r="X254" s="20" t="n">
        <v>66.67083333333332</v>
      </c>
      <c r="Y254" s="20" t="n">
        <v>68.20999999999999</v>
      </c>
      <c r="Z254" s="46" t="n">
        <v>0.07401299096721811</v>
      </c>
      <c r="AA254" s="44" t="n">
        <v>0.2059</v>
      </c>
      <c r="AB254" s="46" t="n">
        <v>0.2059</v>
      </c>
      <c r="AC254" s="20" t="n">
        <v>9.41</v>
      </c>
      <c r="AD254" s="91" t="n">
        <v>3.9412</v>
      </c>
      <c r="AE254" s="46" t="n">
        <v>0.2059</v>
      </c>
      <c r="AF254" s="20" t="n">
        <v>1.092465827365278</v>
      </c>
      <c r="AG254" s="20" t="n">
        <v>62.24</v>
      </c>
      <c r="AH254" s="20" t="n">
        <v>44.12</v>
      </c>
      <c r="AI254" s="20" t="n">
        <v>54.99</v>
      </c>
      <c r="AJ254" s="46" t="n">
        <v>0.2468</v>
      </c>
      <c r="AK254" s="20" t="n">
        <v>100</v>
      </c>
      <c r="AL254" s="20" t="n">
        <v>92</v>
      </c>
      <c r="AM254" s="20" t="n">
        <v>87.31999999999999</v>
      </c>
      <c r="AN254" s="20" t="n">
        <v>9.41</v>
      </c>
      <c r="AO254" s="20" t="n">
        <v>54.99</v>
      </c>
      <c r="AP254" s="20" t="n">
        <v>100</v>
      </c>
      <c r="AQ254" s="92" t="n">
        <v>1</v>
      </c>
      <c r="AR254" s="20" t="n">
        <v>60.1136</v>
      </c>
      <c r="AS254" s="20" t="n">
        <v>60.11</v>
      </c>
      <c r="AT254" s="49" t="n">
        <v>168</v>
      </c>
      <c r="AU254" s="50">
        <f>IF(I254="","管理人规模；","")&amp;IF(J254="","产品规模标识；","")&amp;IF(AND(F254&lt;3,O254=""),"R_incep；","")&amp;IF(N254="","近三年收益；","")&amp;IF(U254="","近三年胜率；","")&amp;IF(AND(V254&lt;&gt;"",OR(V254&lt;0,V254&gt;1)),"胜率窗口口径不一致；","")&amp;IF(AA254="","近三年回撤；","")&amp;IF(AD254="","短期卡玛；","")&amp;IF(AND(P254&lt;&gt;"",AE254=""),"DD_long不可识别；","")</f>
        <v/>
      </c>
      <c r="AV254" s="51" t="n">
        <v>60.1136</v>
      </c>
      <c r="AW254" s="22" t="inlineStr">
        <is>
          <t>10-20亿元</t>
        </is>
      </c>
      <c r="AX254" s="22" t="inlineStr">
        <is>
          <t>2026-06-29</t>
        </is>
      </c>
      <c r="AY254" s="22" t="inlineStr">
        <is>
          <t>上海殊馥投资管理有限公司</t>
        </is>
      </c>
      <c r="AZ254" s="22" t="inlineStr">
        <is>
          <t>2026-06-29</t>
        </is>
      </c>
      <c r="BA254" s="22" t="inlineStr">
        <is>
          <t>https://gs.amac.org.cn/amac-infodisc/res/pof/manager/101000042776.html</t>
        </is>
      </c>
      <c r="BB254" s="22" t="inlineStr">
        <is>
          <t>殊馥兴义8号私募证券投资基金</t>
        </is>
      </c>
      <c r="BC254" s="22" t="inlineStr">
        <is>
          <t>2025-04-23</t>
        </is>
      </c>
      <c r="BD254" s="22" t="inlineStr">
        <is>
          <t>已匹配</t>
        </is>
      </c>
      <c r="BE254" t="inlineStr">
        <is>
          <t>https://gs.amac.org.cn/amac-infodisc/res/pof/fund/2301040929105681.html</t>
        </is>
      </c>
      <c r="BF254" t="inlineStr">
        <is>
          <t>已核验</t>
        </is>
      </c>
    </row>
    <row r="255" hidden="1" ht="28" customHeight="1" s="73">
      <c r="A255" s="2" t="n">
        <v>267</v>
      </c>
      <c r="B255" s="18" t="inlineStr">
        <is>
          <t>烁菓量化复合套利2号</t>
        </is>
      </c>
      <c r="C255" s="18">
        <f>'sheet4-原始数据'!B268</f>
        <v/>
      </c>
      <c r="D255" s="18" t="inlineStr">
        <is>
          <t>福州烁菓</t>
        </is>
      </c>
      <c r="E255" s="90" t="inlineStr">
        <is>
          <t>2023-01-05</t>
        </is>
      </c>
      <c r="F255" s="20" t="n">
        <v>3.6934</v>
      </c>
      <c r="G255" s="2">
        <f>IF(F255="","",IF(F255&lt;1,"不入池","入池"))</f>
        <v/>
      </c>
      <c r="H255" s="42" t="inlineStr">
        <is>
          <t>0-5亿元</t>
        </is>
      </c>
      <c r="I255" s="20" t="n">
        <v>60</v>
      </c>
      <c r="J255" s="43" t="inlineStr">
        <is>
          <t>无低于1000万元标识</t>
        </is>
      </c>
      <c r="K255" s="20" t="n">
        <v>100</v>
      </c>
      <c r="L255" s="20" t="n">
        <v>100</v>
      </c>
      <c r="M255" s="44" t="n">
        <v>0.08810000000000001</v>
      </c>
      <c r="N255" s="44" t="n">
        <v>0.06900000000000001</v>
      </c>
      <c r="O255" s="45" t="n"/>
      <c r="P255" s="46" t="n">
        <v>0.05957609745377757</v>
      </c>
      <c r="Q255" s="20" t="n">
        <v>71.18000000000001</v>
      </c>
      <c r="R255" s="20" t="n">
        <v>49</v>
      </c>
      <c r="S255" s="20" t="n">
        <v>62.31</v>
      </c>
      <c r="T255" s="44" t="n">
        <v>1</v>
      </c>
      <c r="U255" s="44" t="n">
        <v>0.9189000000000001</v>
      </c>
      <c r="V255" s="46" t="n">
        <v>0.8749708333333336</v>
      </c>
      <c r="W255" s="20" t="n">
        <v>100</v>
      </c>
      <c r="X255" s="20" t="n">
        <v>87.49708333333336</v>
      </c>
      <c r="Y255" s="20" t="n">
        <v>95</v>
      </c>
      <c r="Z255" s="46" t="n">
        <v>0.001603605473009009</v>
      </c>
      <c r="AA255" s="44" t="n">
        <v>0.004699999999999999</v>
      </c>
      <c r="AB255" s="46" t="n">
        <v>0.004699999999999999</v>
      </c>
      <c r="AC255" s="20" t="n">
        <v>94.59999999999999</v>
      </c>
      <c r="AD255" s="91" t="n">
        <v>54.9387</v>
      </c>
      <c r="AE255" s="46" t="n">
        <v>0.004699999999999999</v>
      </c>
      <c r="AF255" s="20" t="n">
        <v>12.67576541569736</v>
      </c>
      <c r="AG255" s="20" t="n">
        <v>98.25</v>
      </c>
      <c r="AH255" s="20" t="n">
        <v>92.65000000000001</v>
      </c>
      <c r="AI255" s="20" t="n">
        <v>96.01000000000001</v>
      </c>
      <c r="AJ255" s="46" t="n">
        <v>0.06900000000000001</v>
      </c>
      <c r="AK255" s="20" t="n">
        <v>100</v>
      </c>
      <c r="AL255" s="20" t="n">
        <v>84</v>
      </c>
      <c r="AM255" s="20" t="n">
        <v>72.12</v>
      </c>
      <c r="AN255" s="20" t="n">
        <v>94.59999999999999</v>
      </c>
      <c r="AO255" s="20" t="n">
        <v>96.01000000000001</v>
      </c>
      <c r="AP255" s="20" t="n">
        <v>100</v>
      </c>
      <c r="AQ255" s="92" t="n">
        <v>1</v>
      </c>
      <c r="AR255" s="20" t="n">
        <v>89.47605</v>
      </c>
      <c r="AS255" s="20" t="n">
        <v>89.48</v>
      </c>
      <c r="AT255" s="49" t="n">
        <v>12</v>
      </c>
      <c r="AU255" s="50">
        <f>IF(I255="","管理人规模；","")&amp;IF(J255="","产品规模标识；","")&amp;IF(AND(F255&lt;3,O255=""),"R_incep；","")&amp;IF(N255="","近三年收益；","")&amp;IF(U255="","近三年胜率；","")&amp;IF(AND(V255&lt;&gt;"",OR(V255&lt;0,V255&gt;1)),"胜率窗口口径不一致；","")&amp;IF(AA255="","近三年回撤；","")&amp;IF(AD255="","短期卡玛；","")&amp;IF(AND(P255&lt;&gt;"",AE255=""),"DD_long不可识别；","")</f>
        <v/>
      </c>
      <c r="AV255" s="51" t="n">
        <v>89.47605</v>
      </c>
      <c r="AW255" s="22" t="inlineStr">
        <is>
          <t>0-5亿元</t>
        </is>
      </c>
      <c r="AX255" s="22" t="inlineStr">
        <is>
          <t>2026-07-31</t>
        </is>
      </c>
      <c r="AY255" s="22" t="inlineStr">
        <is>
          <t>福州烁菓私募基金管理有限公司</t>
        </is>
      </c>
      <c r="AZ255" s="22" t="inlineStr">
        <is>
          <t>2026-07-31</t>
        </is>
      </c>
      <c r="BA255" s="22" t="inlineStr">
        <is>
          <t>https://gs.amac.org.cn/amac-infodisc/res/pof/manager/101000027571.html</t>
        </is>
      </c>
      <c r="BB255" s="22" t="inlineStr">
        <is>
          <t>烁菓量化复合套利2号私募证券投资基金</t>
        </is>
      </c>
      <c r="BC255" s="22" t="inlineStr">
        <is>
          <t>2023-06-13</t>
        </is>
      </c>
      <c r="BD255" s="22" t="inlineStr">
        <is>
          <t>已匹配</t>
        </is>
      </c>
      <c r="BE255" t="inlineStr">
        <is>
          <t>https://gs.amac.org.cn/amac-infodisc/res/pof/fund/2301111805105842.html</t>
        </is>
      </c>
      <c r="BF255" t="inlineStr">
        <is>
          <t>已核验</t>
        </is>
      </c>
    </row>
    <row r="256" hidden="1" ht="28" customHeight="1" s="73">
      <c r="A256" s="2" t="n">
        <v>268</v>
      </c>
      <c r="B256" s="18" t="inlineStr">
        <is>
          <t>泰创稳健三号</t>
        </is>
      </c>
      <c r="C256" s="18">
        <f>'sheet4-原始数据'!B269</f>
        <v/>
      </c>
      <c r="D256" s="18" t="inlineStr">
        <is>
          <t>北京泰创投资</t>
        </is>
      </c>
      <c r="E256" s="90" t="inlineStr">
        <is>
          <t>2023-01-10</t>
        </is>
      </c>
      <c r="F256" s="20" t="n">
        <v>3.6797</v>
      </c>
      <c r="G256" s="2">
        <f>IF(F256="","",IF(F256&lt;1,"不入池","入池"))</f>
        <v/>
      </c>
      <c r="H256" s="42" t="inlineStr">
        <is>
          <t>5-10亿元</t>
        </is>
      </c>
      <c r="I256" s="20" t="n">
        <v>70</v>
      </c>
      <c r="J256" s="43" t="inlineStr">
        <is>
          <t>无低于1000万元标识</t>
        </is>
      </c>
      <c r="K256" s="20" t="n">
        <v>100</v>
      </c>
      <c r="L256" s="20" t="n">
        <v>100</v>
      </c>
      <c r="M256" s="44" t="n">
        <v>0.0404</v>
      </c>
      <c r="N256" s="44" t="n">
        <v>0.0475</v>
      </c>
      <c r="O256" s="45" t="n"/>
      <c r="P256" s="46" t="n">
        <v>0.05106814908115265</v>
      </c>
      <c r="Q256" s="20" t="n">
        <v>39.24</v>
      </c>
      <c r="R256" s="20" t="n">
        <v>38.5</v>
      </c>
      <c r="S256" s="20" t="n">
        <v>38.94</v>
      </c>
      <c r="T256" s="44" t="n">
        <v>0.6923</v>
      </c>
      <c r="U256" s="44" t="n">
        <v>0.7568</v>
      </c>
      <c r="V256" s="46" t="n">
        <v>0.7917375</v>
      </c>
      <c r="W256" s="20" t="n">
        <v>69.23</v>
      </c>
      <c r="X256" s="20" t="n">
        <v>79.17375</v>
      </c>
      <c r="Y256" s="20" t="n">
        <v>73.20999999999999</v>
      </c>
      <c r="Z256" s="46" t="n">
        <v>0.01973137973137973</v>
      </c>
      <c r="AA256" s="44" t="n">
        <v>0.0283</v>
      </c>
      <c r="AB256" s="46" t="n">
        <v>0.0283</v>
      </c>
      <c r="AC256" s="20" t="n">
        <v>60.63</v>
      </c>
      <c r="AD256" s="91" t="n">
        <v>2.0475</v>
      </c>
      <c r="AE256" s="46" t="n">
        <v>0.0283</v>
      </c>
      <c r="AF256" s="20" t="n">
        <v>1.804528236083132</v>
      </c>
      <c r="AG256" s="20" t="n">
        <v>47.55</v>
      </c>
      <c r="AH256" s="20" t="n">
        <v>61.76</v>
      </c>
      <c r="AI256" s="20" t="n">
        <v>53.23</v>
      </c>
      <c r="AJ256" s="46" t="n">
        <v>0.0475</v>
      </c>
      <c r="AK256" s="20" t="n">
        <v>80</v>
      </c>
      <c r="AL256" s="20" t="n">
        <v>88</v>
      </c>
      <c r="AM256" s="20" t="n">
        <v>49.22</v>
      </c>
      <c r="AN256" s="20" t="n">
        <v>60.63</v>
      </c>
      <c r="AO256" s="20" t="n">
        <v>53.23</v>
      </c>
      <c r="AP256" s="20" t="n">
        <v>80</v>
      </c>
      <c r="AQ256" s="92" t="n">
        <v>1</v>
      </c>
      <c r="AR256" s="20" t="n">
        <v>62.17231</v>
      </c>
      <c r="AS256" s="20" t="n">
        <v>62.17</v>
      </c>
      <c r="AT256" s="49" t="n">
        <v>155</v>
      </c>
      <c r="AU256" s="50">
        <f>IF(I256="","管理人规模；","")&amp;IF(J256="","产品规模标识；","")&amp;IF(AND(F256&lt;3,O256=""),"R_incep；","")&amp;IF(N256="","近三年收益；","")&amp;IF(U256="","近三年胜率；","")&amp;IF(AND(V256&lt;&gt;"",OR(V256&lt;0,V256&gt;1)),"胜率窗口口径不一致；","")&amp;IF(AA256="","近三年回撤；","")&amp;IF(AD256="","短期卡玛；","")&amp;IF(AND(P256&lt;&gt;"",AE256=""),"DD_long不可识别；","")</f>
        <v/>
      </c>
      <c r="AV256" s="51" t="n">
        <v>62.17231</v>
      </c>
      <c r="AW256" s="22" t="inlineStr">
        <is>
          <t>5-10亿元</t>
        </is>
      </c>
      <c r="AX256" s="22" t="inlineStr">
        <is>
          <t>2026-05-12</t>
        </is>
      </c>
      <c r="AY256" s="22" t="inlineStr">
        <is>
          <t>北京泰创投资管理有限公司</t>
        </is>
      </c>
      <c r="AZ256" s="22" t="inlineStr">
        <is>
          <t>2026-05-12</t>
        </is>
      </c>
      <c r="BA256" s="22" t="inlineStr">
        <is>
          <t>https://gs.amac.org.cn/amac-infodisc/res/pof/manager/101000008864.html</t>
        </is>
      </c>
      <c r="BB256" s="22" t="inlineStr">
        <is>
          <t>泰创稳健三号私募证券投资基金</t>
        </is>
      </c>
      <c r="BC256" s="22" t="inlineStr">
        <is>
          <t>2026-03-25</t>
        </is>
      </c>
      <c r="BD256" s="22" t="inlineStr">
        <is>
          <t>已匹配</t>
        </is>
      </c>
      <c r="BE256" t="inlineStr">
        <is>
          <t>https://gs.amac.org.cn/amac-infodisc/res/pof/fund/2301161834100205.html</t>
        </is>
      </c>
      <c r="BF256" t="inlineStr">
        <is>
          <t>已核验</t>
        </is>
      </c>
    </row>
    <row r="257" hidden="1" ht="28" customHeight="1" s="73">
      <c r="A257" s="2" t="n">
        <v>269</v>
      </c>
      <c r="B257" s="18" t="inlineStr">
        <is>
          <t>瑞倍稳聚1号</t>
        </is>
      </c>
      <c r="C257" s="18">
        <f>'sheet4-原始数据'!B270</f>
        <v/>
      </c>
      <c r="D257" s="18" t="inlineStr">
        <is>
          <t>宁波瑞倍</t>
        </is>
      </c>
      <c r="E257" s="90" t="inlineStr">
        <is>
          <t>2023-01-16</t>
        </is>
      </c>
      <c r="F257" s="20" t="n">
        <v>3.6632</v>
      </c>
      <c r="G257" s="2">
        <f>IF(F257="","",IF(F257&lt;1,"不入池","入池"))</f>
        <v/>
      </c>
      <c r="H257" s="42" t="inlineStr">
        <is>
          <t>10-20亿元</t>
        </is>
      </c>
      <c r="I257" s="20" t="n">
        <v>80</v>
      </c>
      <c r="J257" s="43" t="inlineStr">
        <is>
          <t>无低于1000万元标识</t>
        </is>
      </c>
      <c r="K257" s="20" t="n">
        <v>100</v>
      </c>
      <c r="L257" s="20" t="n">
        <v>100</v>
      </c>
      <c r="M257" s="44" t="n">
        <v>0.024</v>
      </c>
      <c r="N257" s="44" t="n"/>
      <c r="O257" s="45" t="n"/>
      <c r="P257" s="46" t="n"/>
      <c r="Q257" s="20" t="n">
        <v>26.04</v>
      </c>
      <c r="R257" s="20" t="n"/>
      <c r="S257" s="20" t="n">
        <v>26.04</v>
      </c>
      <c r="T257" s="44" t="n">
        <v>0.8462000000000001</v>
      </c>
      <c r="U257" s="44" t="n"/>
      <c r="V257" s="46" t="n"/>
      <c r="W257" s="20" t="n">
        <v>84.62</v>
      </c>
      <c r="X257" s="20" t="n"/>
      <c r="Y257" s="20" t="n">
        <v>84.62</v>
      </c>
      <c r="Z257" s="46" t="n">
        <v>0.005574394945881916</v>
      </c>
      <c r="AA257" s="44" t="n"/>
      <c r="AB257" s="46" t="n">
        <v>0.005574394945881916</v>
      </c>
      <c r="AC257" s="20" t="n">
        <v>93.03</v>
      </c>
      <c r="AD257" s="91" t="n">
        <v>4.3054</v>
      </c>
      <c r="AE257" s="46" t="n"/>
      <c r="AF257" s="20" t="n"/>
      <c r="AG257" s="20" t="n">
        <v>63.29</v>
      </c>
      <c r="AH257" s="20" t="n"/>
      <c r="AI257" s="20" t="n">
        <v>63.29</v>
      </c>
      <c r="AJ257" s="46" t="n"/>
      <c r="AK257" s="20" t="n"/>
      <c r="AL257" s="20" t="n">
        <v>92</v>
      </c>
      <c r="AM257" s="20" t="n">
        <v>43.61</v>
      </c>
      <c r="AN257" s="20" t="n">
        <v>93.03</v>
      </c>
      <c r="AO257" s="20" t="n">
        <v>63.29</v>
      </c>
      <c r="AP257" s="20" t="n"/>
      <c r="AQ257" s="92" t="n">
        <v>0.7</v>
      </c>
      <c r="AR257" s="20" t="n">
        <v>53.68338</v>
      </c>
      <c r="AS257" s="20" t="n">
        <v>76.69</v>
      </c>
      <c r="AT257" s="49" t="n">
        <v>79</v>
      </c>
      <c r="AU257" s="50">
        <f>IF(I257="","管理人规模；","")&amp;IF(J257="","产品规模标识；","")&amp;IF(AND(F257&lt;3,O257=""),"R_incep；","")&amp;IF(N257="","近三年收益；","")&amp;IF(U257="","近三年胜率；","")&amp;IF(AND(V257&lt;&gt;"",OR(V257&lt;0,V257&gt;1)),"胜率窗口口径不一致；","")&amp;IF(AA257="","近三年回撤；","")&amp;IF(AD257="","短期卡玛；","")&amp;IF(AND(P257&lt;&gt;"",AE257=""),"DD_long不可识别；","")</f>
        <v/>
      </c>
      <c r="AV257" s="51" t="n"/>
      <c r="AW257" s="22" t="inlineStr">
        <is>
          <t>10-20亿元</t>
        </is>
      </c>
      <c r="AX257" s="22" t="inlineStr">
        <is>
          <t>2026-01-16</t>
        </is>
      </c>
      <c r="AY257" s="22" t="inlineStr">
        <is>
          <t>宁波瑞倍私募基金管理有限公司</t>
        </is>
      </c>
      <c r="AZ257" s="22" t="inlineStr">
        <is>
          <t>2026-01-16</t>
        </is>
      </c>
      <c r="BA257" s="22" t="inlineStr">
        <is>
          <t>https://gs.amac.org.cn/amac-infodisc/res/pof/manager/101000014169.html</t>
        </is>
      </c>
      <c r="BB257" s="22" t="inlineStr">
        <is>
          <t>瑞倍稳聚1号私募证券投资基金</t>
        </is>
      </c>
      <c r="BC257" s="22" t="inlineStr">
        <is>
          <t>2024-12-05</t>
        </is>
      </c>
      <c r="BD257" s="22" t="inlineStr">
        <is>
          <t>已匹配</t>
        </is>
      </c>
      <c r="BE257" t="inlineStr">
        <is>
          <t>https://gs.amac.org.cn/amac-infodisc/res/pof/fund/2301160956105305.html</t>
        </is>
      </c>
      <c r="BF257" t="inlineStr">
        <is>
          <t>已核验</t>
        </is>
      </c>
    </row>
    <row r="258" hidden="1" ht="28" customHeight="1" s="73">
      <c r="A258" s="2" t="n">
        <v>270</v>
      </c>
      <c r="B258" s="18" t="inlineStr">
        <is>
          <t>赢起隆华1期</t>
        </is>
      </c>
      <c r="C258" s="18">
        <f>'sheet4-原始数据'!B271</f>
        <v/>
      </c>
      <c r="D258" s="18" t="inlineStr">
        <is>
          <t>上海赢起</t>
        </is>
      </c>
      <c r="E258" s="90" t="inlineStr">
        <is>
          <t>2023-01-12</t>
        </is>
      </c>
      <c r="F258" s="20" t="n">
        <v>3.6742</v>
      </c>
      <c r="G258" s="2">
        <f>IF(F258="","",IF(F258&lt;1,"不入池","入池"))</f>
        <v/>
      </c>
      <c r="H258" s="42" t="inlineStr">
        <is>
          <t>0-5亿元</t>
        </is>
      </c>
      <c r="I258" s="20" t="n">
        <v>60</v>
      </c>
      <c r="J258" s="43" t="inlineStr">
        <is>
          <t>无低于1000万元标识</t>
        </is>
      </c>
      <c r="K258" s="20" t="n">
        <v>100</v>
      </c>
      <c r="L258" s="20" t="n">
        <v>100</v>
      </c>
      <c r="M258" s="44" t="n">
        <v>0.1172</v>
      </c>
      <c r="N258" s="44" t="n">
        <v>0.0916</v>
      </c>
      <c r="O258" s="45" t="n"/>
      <c r="P258" s="46" t="n">
        <v>0.07902082593426174</v>
      </c>
      <c r="Q258" s="20" t="n">
        <v>81.94</v>
      </c>
      <c r="R258" s="20" t="n">
        <v>64</v>
      </c>
      <c r="S258" s="20" t="n">
        <v>74.76000000000001</v>
      </c>
      <c r="T258" s="44" t="n">
        <v>0.9231</v>
      </c>
      <c r="U258" s="44" t="n">
        <v>0.8649</v>
      </c>
      <c r="V258" s="46" t="n">
        <v>0.8333749999999999</v>
      </c>
      <c r="W258" s="20" t="n">
        <v>92.31</v>
      </c>
      <c r="X258" s="20" t="n">
        <v>83.33749999999999</v>
      </c>
      <c r="Y258" s="20" t="n">
        <v>88.72</v>
      </c>
      <c r="Z258" s="46" t="n">
        <v>0.02167199837275098</v>
      </c>
      <c r="AA258" s="44" t="n">
        <v>0.0343</v>
      </c>
      <c r="AB258" s="46" t="n">
        <v>0.0343</v>
      </c>
      <c r="AC258" s="20" t="n">
        <v>56.1</v>
      </c>
      <c r="AD258" s="91" t="n">
        <v>5.4079</v>
      </c>
      <c r="AE258" s="46" t="n">
        <v>0.0343</v>
      </c>
      <c r="AF258" s="20" t="n">
        <v>2.303814167179642</v>
      </c>
      <c r="AG258" s="20" t="n">
        <v>67.83</v>
      </c>
      <c r="AH258" s="20" t="n">
        <v>69.84999999999999</v>
      </c>
      <c r="AI258" s="20" t="n">
        <v>68.64</v>
      </c>
      <c r="AJ258" s="46" t="n">
        <v>0.0916</v>
      </c>
      <c r="AK258" s="20" t="n">
        <v>100</v>
      </c>
      <c r="AL258" s="20" t="n">
        <v>84</v>
      </c>
      <c r="AM258" s="20" t="n">
        <v>78.95</v>
      </c>
      <c r="AN258" s="20" t="n">
        <v>56.1</v>
      </c>
      <c r="AO258" s="20" t="n">
        <v>68.64</v>
      </c>
      <c r="AP258" s="20" t="n">
        <v>100</v>
      </c>
      <c r="AQ258" s="92" t="n">
        <v>1</v>
      </c>
      <c r="AR258" s="20" t="n">
        <v>73.00662</v>
      </c>
      <c r="AS258" s="20" t="n">
        <v>73.01000000000001</v>
      </c>
      <c r="AT258" s="49" t="n">
        <v>97</v>
      </c>
      <c r="AU258" s="50">
        <f>IF(I258="","管理人规模；","")&amp;IF(J258="","产品规模标识；","")&amp;IF(AND(F258&lt;3,O258=""),"R_incep；","")&amp;IF(N258="","近三年收益；","")&amp;IF(U258="","近三年胜率；","")&amp;IF(AND(V258&lt;&gt;"",OR(V258&lt;0,V258&gt;1)),"胜率窗口口径不一致；","")&amp;IF(AA258="","近三年回撤；","")&amp;IF(AD258="","短期卡玛；","")&amp;IF(AND(P258&lt;&gt;"",AE258=""),"DD_long不可识别；","")</f>
        <v/>
      </c>
      <c r="AV258" s="51" t="n">
        <v>73.00662</v>
      </c>
      <c r="AW258" s="22" t="inlineStr">
        <is>
          <t>0-5亿元</t>
        </is>
      </c>
      <c r="AX258" s="22" t="inlineStr">
        <is>
          <t>2026-04-29</t>
        </is>
      </c>
      <c r="AY258" s="22" t="inlineStr">
        <is>
          <t>赢起（上海）私募基金管理有限公司</t>
        </is>
      </c>
      <c r="AZ258" s="22" t="inlineStr">
        <is>
          <t>2026-04-29</t>
        </is>
      </c>
      <c r="BA258" s="22" t="inlineStr">
        <is>
          <t>https://gs.amac.org.cn/amac-infodisc/res/pof/manager/1611081535100767.html</t>
        </is>
      </c>
      <c r="BB258" s="22" t="inlineStr">
        <is>
          <t>赢起隆华1期私募证券投资基金</t>
        </is>
      </c>
      <c r="BC258" s="22" t="inlineStr">
        <is>
          <t>2023-01-17</t>
        </is>
      </c>
      <c r="BD258" s="22" t="inlineStr">
        <is>
          <t>已匹配</t>
        </is>
      </c>
      <c r="BE258" t="inlineStr">
        <is>
          <t>https://gs.amac.org.cn/amac-infodisc/res/pof/fund/2301171711114464.html</t>
        </is>
      </c>
      <c r="BF258" t="inlineStr">
        <is>
          <t>已核验</t>
        </is>
      </c>
    </row>
    <row r="259" hidden="1" ht="28" customHeight="1" s="73">
      <c r="A259" s="2" t="n">
        <v>271</v>
      </c>
      <c r="B259" s="18" t="inlineStr">
        <is>
          <t>思益行稳致远1号</t>
        </is>
      </c>
      <c r="C259" s="18">
        <f>'sheet4-原始数据'!B272</f>
        <v/>
      </c>
      <c r="D259" s="18" t="inlineStr">
        <is>
          <t>海南思益</t>
        </is>
      </c>
      <c r="E259" s="90" t="inlineStr">
        <is>
          <t>2023-01-16</t>
        </is>
      </c>
      <c r="F259" s="20" t="n">
        <v>3.6632</v>
      </c>
      <c r="G259" s="2">
        <f>IF(F259="","",IF(F259&lt;1,"不入池","入池"))</f>
        <v/>
      </c>
      <c r="H259" s="42" t="inlineStr">
        <is>
          <t>10-20亿元</t>
        </is>
      </c>
      <c r="I259" s="20" t="n">
        <v>80</v>
      </c>
      <c r="J259" s="43" t="inlineStr">
        <is>
          <t>无低于1000万元标识</t>
        </is>
      </c>
      <c r="K259" s="20" t="n">
        <v>100</v>
      </c>
      <c r="L259" s="20" t="n">
        <v>100</v>
      </c>
      <c r="M259" s="44" t="n">
        <v>0.06950000000000001</v>
      </c>
      <c r="N259" s="44" t="n">
        <v>0.0706</v>
      </c>
      <c r="O259" s="45" t="n"/>
      <c r="P259" s="46" t="n">
        <v>0.0711504241909755</v>
      </c>
      <c r="Q259" s="20" t="n">
        <v>57.99</v>
      </c>
      <c r="R259" s="20" t="n">
        <v>58</v>
      </c>
      <c r="S259" s="20" t="n">
        <v>57.99</v>
      </c>
      <c r="T259" s="44" t="n">
        <v>0.8462000000000001</v>
      </c>
      <c r="U259" s="44" t="n">
        <v>0.7568</v>
      </c>
      <c r="V259" s="46" t="n">
        <v>0.7083749999999999</v>
      </c>
      <c r="W259" s="20" t="n">
        <v>84.62</v>
      </c>
      <c r="X259" s="20" t="n">
        <v>70.83749999999999</v>
      </c>
      <c r="Y259" s="20" t="n">
        <v>79.11</v>
      </c>
      <c r="Z259" s="46" t="n">
        <v>0.02198532202960901</v>
      </c>
      <c r="AA259" s="44" t="n">
        <v>0.0384</v>
      </c>
      <c r="AB259" s="46" t="n">
        <v>0.0384</v>
      </c>
      <c r="AC259" s="20" t="n">
        <v>52.61</v>
      </c>
      <c r="AD259" s="91" t="n">
        <v>3.1612</v>
      </c>
      <c r="AE259" s="46" t="n">
        <v>0.0384</v>
      </c>
      <c r="AF259" s="20" t="n">
        <v>1.85287562997332</v>
      </c>
      <c r="AG259" s="20" t="n">
        <v>55.94</v>
      </c>
      <c r="AH259" s="20" t="n">
        <v>63.24</v>
      </c>
      <c r="AI259" s="20" t="n">
        <v>58.86</v>
      </c>
      <c r="AJ259" s="46" t="n">
        <v>0.0706</v>
      </c>
      <c r="AK259" s="20" t="n">
        <v>80</v>
      </c>
      <c r="AL259" s="20" t="n">
        <v>92</v>
      </c>
      <c r="AM259" s="20" t="n">
        <v>64.33</v>
      </c>
      <c r="AN259" s="20" t="n">
        <v>52.61</v>
      </c>
      <c r="AO259" s="20" t="n">
        <v>58.86</v>
      </c>
      <c r="AP259" s="20" t="n">
        <v>80</v>
      </c>
      <c r="AQ259" s="92" t="n">
        <v>1</v>
      </c>
      <c r="AR259" s="20" t="n">
        <v>65.47608</v>
      </c>
      <c r="AS259" s="20" t="n">
        <v>65.48</v>
      </c>
      <c r="AT259" s="49" t="n">
        <v>144</v>
      </c>
      <c r="AU259" s="50">
        <f>IF(I259="","管理人规模；","")&amp;IF(J259="","产品规模标识；","")&amp;IF(AND(F259&lt;3,O259=""),"R_incep；","")&amp;IF(N259="","近三年收益；","")&amp;IF(U259="","近三年胜率；","")&amp;IF(AND(V259&lt;&gt;"",OR(V259&lt;0,V259&gt;1)),"胜率窗口口径不一致；","")&amp;IF(AA259="","近三年回撤；","")&amp;IF(AD259="","短期卡玛；","")&amp;IF(AND(P259&lt;&gt;"",AE259=""),"DD_long不可识别；","")</f>
        <v/>
      </c>
      <c r="AV259" s="51" t="n">
        <v>65.47608</v>
      </c>
      <c r="AW259" s="22" t="inlineStr">
        <is>
          <t>10-20亿元</t>
        </is>
      </c>
      <c r="AX259" s="22" t="inlineStr">
        <is>
          <t>2026-06-16</t>
        </is>
      </c>
      <c r="AY259" s="22" t="inlineStr">
        <is>
          <t>海南思益私募基金管理合伙企业（有限合伙）</t>
        </is>
      </c>
      <c r="AZ259" s="22" t="inlineStr">
        <is>
          <t>2026-06-16</t>
        </is>
      </c>
      <c r="BA259" s="22" t="inlineStr">
        <is>
          <t>https://gs.amac.org.cn/amac-infodisc/res/pof/manager/2204271712106058.html</t>
        </is>
      </c>
      <c r="BB259" s="22" t="inlineStr">
        <is>
          <t>思益行稳致远1号私募证券投资基金</t>
        </is>
      </c>
      <c r="BC259" s="22" t="inlineStr">
        <is>
          <t>2026-01-08</t>
        </is>
      </c>
      <c r="BD259" s="22" t="inlineStr">
        <is>
          <t>已匹配</t>
        </is>
      </c>
      <c r="BE259" t="inlineStr">
        <is>
          <t>https://gs.amac.org.cn/amac-infodisc/res/pof/fund/2301191725107252.html</t>
        </is>
      </c>
      <c r="BF259" t="inlineStr">
        <is>
          <t>已核验</t>
        </is>
      </c>
    </row>
    <row r="260" hidden="1" ht="28" customHeight="1" s="73">
      <c r="A260" s="2" t="n">
        <v>272</v>
      </c>
      <c r="B260" s="18" t="inlineStr">
        <is>
          <t>恒立卓越1号</t>
        </is>
      </c>
      <c r="C260" s="18">
        <f>'sheet4-原始数据'!B273</f>
        <v/>
      </c>
      <c r="D260" s="18" t="inlineStr">
        <is>
          <t>海南恒立</t>
        </is>
      </c>
      <c r="E260" s="90" t="inlineStr">
        <is>
          <t>2023-01-19</t>
        </is>
      </c>
      <c r="F260" s="20" t="n">
        <v>3.655</v>
      </c>
      <c r="G260" s="2">
        <f>IF(F260="","",IF(F260&lt;1,"不入池","入池"))</f>
        <v/>
      </c>
      <c r="H260" s="42" t="inlineStr">
        <is>
          <t>5-10亿元</t>
        </is>
      </c>
      <c r="I260" s="20" t="n">
        <v>70</v>
      </c>
      <c r="J260" s="43" t="inlineStr">
        <is>
          <t>低于1000万元</t>
        </is>
      </c>
      <c r="K260" s="20" t="n">
        <v>100</v>
      </c>
      <c r="L260" s="20" t="n">
        <v>100</v>
      </c>
      <c r="M260" s="44" t="n">
        <v>-0.04679999999999999</v>
      </c>
      <c r="N260" s="44" t="n">
        <v>0.1544</v>
      </c>
      <c r="O260" s="45" t="n"/>
      <c r="P260" s="46" t="n">
        <v>0.270405777899468</v>
      </c>
      <c r="Q260" s="20" t="n">
        <v>7.99</v>
      </c>
      <c r="R260" s="20" t="n">
        <v>98.5</v>
      </c>
      <c r="S260" s="20" t="n">
        <v>44.19</v>
      </c>
      <c r="T260" s="44" t="n">
        <v>0.5385</v>
      </c>
      <c r="U260" s="44" t="n">
        <v>0.5405</v>
      </c>
      <c r="V260" s="46" t="n">
        <v>0.5415833333333334</v>
      </c>
      <c r="W260" s="20" t="n">
        <v>53.84999999999999</v>
      </c>
      <c r="X260" s="20" t="n">
        <v>54.15833333333334</v>
      </c>
      <c r="Y260" s="20" t="n">
        <v>53.97</v>
      </c>
      <c r="Z260" s="46" t="n">
        <v>0.12280241406455</v>
      </c>
      <c r="AA260" s="44" t="n">
        <v>0.1228</v>
      </c>
      <c r="AB260" s="46" t="n">
        <v>0.12280241406455</v>
      </c>
      <c r="AC260" s="20" t="n">
        <v>19.51</v>
      </c>
      <c r="AD260" s="91" t="n">
        <v>-0.3811</v>
      </c>
      <c r="AE260" s="46" t="n"/>
      <c r="AF260" s="20" t="n"/>
      <c r="AG260" s="20" t="n">
        <v>7.69</v>
      </c>
      <c r="AH260" s="20" t="n"/>
      <c r="AI260" s="20" t="n">
        <v>7.69</v>
      </c>
      <c r="AJ260" s="46" t="n">
        <v>0.1544</v>
      </c>
      <c r="AK260" s="20" t="n">
        <v>60</v>
      </c>
      <c r="AL260" s="20" t="n">
        <v>88</v>
      </c>
      <c r="AM260" s="20" t="n">
        <v>47.13</v>
      </c>
      <c r="AN260" s="20" t="n">
        <v>19.51</v>
      </c>
      <c r="AO260" s="20" t="n">
        <v>7.69</v>
      </c>
      <c r="AP260" s="20" t="n">
        <v>60</v>
      </c>
      <c r="AQ260" s="92" t="n">
        <v>0.88</v>
      </c>
      <c r="AR260" s="20" t="n">
        <v>34.88726</v>
      </c>
      <c r="AS260" s="20" t="n">
        <v>39.64</v>
      </c>
      <c r="AT260" s="49" t="n">
        <v>270</v>
      </c>
      <c r="AU260" s="50">
        <f>IF(I260="","管理人规模；","")&amp;IF(J260="","产品规模标识；","")&amp;IF(AND(F260&lt;3,O260=""),"R_incep；","")&amp;IF(N260="","近三年收益；","")&amp;IF(U260="","近三年胜率；","")&amp;IF(AND(V260&lt;&gt;"",OR(V260&lt;0,V260&gt;1)),"胜率窗口口径不一致；","")&amp;IF(AA260="","近三年回撤；","")&amp;IF(AD260="","短期卡玛；","")&amp;IF(AND(P260&lt;&gt;"",AE260=""),"DD_long不可识别；","")</f>
        <v/>
      </c>
      <c r="AV260" s="51" t="n"/>
      <c r="AW260" s="22" t="inlineStr">
        <is>
          <t>5-10亿元</t>
        </is>
      </c>
      <c r="AX260" s="22" t="inlineStr">
        <is>
          <t>2026-07-08</t>
        </is>
      </c>
      <c r="AY260" s="22" t="inlineStr">
        <is>
          <t>海南恒立私募基金管理有限公司</t>
        </is>
      </c>
      <c r="AZ260" s="22" t="inlineStr">
        <is>
          <t>2026-07-08</t>
        </is>
      </c>
      <c r="BA260" s="22" t="inlineStr">
        <is>
          <t>https://gs.amac.org.cn/amac-infodisc/res/pof/manager/2204132153103555.html</t>
        </is>
      </c>
      <c r="BB260" s="22" t="inlineStr">
        <is>
          <t>恒立卓越私募证券投资基金1号</t>
        </is>
      </c>
      <c r="BC260" s="22" t="inlineStr">
        <is>
          <t>2026-07-10</t>
        </is>
      </c>
      <c r="BD260" s="22" t="inlineStr">
        <is>
          <t>已匹配</t>
        </is>
      </c>
      <c r="BE260" t="inlineStr">
        <is>
          <t>https://gs.amac.org.cn/amac-infodisc/res/pof/fund/2301291120104275.html</t>
        </is>
      </c>
      <c r="BF260" t="inlineStr">
        <is>
          <t>已核验</t>
        </is>
      </c>
    </row>
    <row r="261" hidden="1" ht="28" customHeight="1" s="73">
      <c r="A261" s="2" t="n">
        <v>273</v>
      </c>
      <c r="B261" s="18" t="inlineStr">
        <is>
          <t>辰元优选稳健</t>
        </is>
      </c>
      <c r="C261" s="18">
        <f>'sheet4-原始数据'!B274</f>
        <v/>
      </c>
      <c r="D261" s="18" t="inlineStr">
        <is>
          <t>广东辰元</t>
        </is>
      </c>
      <c r="E261" s="90" t="inlineStr">
        <is>
          <t>2023-02-09</t>
        </is>
      </c>
      <c r="F261" s="20" t="n">
        <v>3.5975</v>
      </c>
      <c r="G261" s="2">
        <f>IF(F261="","",IF(F261&lt;1,"不入池","入池"))</f>
        <v/>
      </c>
      <c r="H261" s="42" t="inlineStr">
        <is>
          <t>20-50亿元</t>
        </is>
      </c>
      <c r="I261" s="20" t="n">
        <v>90</v>
      </c>
      <c r="J261" s="43" t="inlineStr">
        <is>
          <t>无低于1000万元标识</t>
        </is>
      </c>
      <c r="K261" s="20" t="n">
        <v>100</v>
      </c>
      <c r="L261" s="20" t="n">
        <v>100</v>
      </c>
      <c r="M261" s="44" t="n">
        <v>0.0264</v>
      </c>
      <c r="N261" s="44" t="n">
        <v>0.0635</v>
      </c>
      <c r="O261" s="45" t="n"/>
      <c r="P261" s="46" t="n">
        <v>0.08254988863086932</v>
      </c>
      <c r="Q261" s="20" t="n">
        <v>27.43</v>
      </c>
      <c r="R261" s="20" t="n">
        <v>67.5</v>
      </c>
      <c r="S261" s="20" t="n">
        <v>43.46</v>
      </c>
      <c r="T261" s="44" t="n">
        <v>0.6153999999999999</v>
      </c>
      <c r="U261" s="44" t="n">
        <v>0.8378</v>
      </c>
      <c r="V261" s="46" t="n">
        <v>0.9582666666666667</v>
      </c>
      <c r="W261" s="20" t="n">
        <v>61.53999999999999</v>
      </c>
      <c r="X261" s="20" t="n">
        <v>95.82666666666667</v>
      </c>
      <c r="Y261" s="20" t="n">
        <v>75.25</v>
      </c>
      <c r="Z261" s="46" t="n">
        <v>0.004210324864839003</v>
      </c>
      <c r="AA261" s="44" t="n">
        <v>0.0042</v>
      </c>
      <c r="AB261" s="46" t="n">
        <v>0.004210324864839003</v>
      </c>
      <c r="AC261" s="20" t="n">
        <v>95.81999999999999</v>
      </c>
      <c r="AD261" s="91" t="n">
        <v>6.2703</v>
      </c>
      <c r="AE261" s="46" t="n"/>
      <c r="AF261" s="20" t="n"/>
      <c r="AG261" s="20" t="n">
        <v>71.68000000000001</v>
      </c>
      <c r="AH261" s="20" t="n"/>
      <c r="AI261" s="20" t="n">
        <v>71.68000000000001</v>
      </c>
      <c r="AJ261" s="46" t="n">
        <v>0.0635</v>
      </c>
      <c r="AK261" s="20" t="n">
        <v>80</v>
      </c>
      <c r="AL261" s="20" t="n">
        <v>96</v>
      </c>
      <c r="AM261" s="20" t="n">
        <v>53</v>
      </c>
      <c r="AN261" s="20" t="n">
        <v>95.81999999999999</v>
      </c>
      <c r="AO261" s="20" t="n">
        <v>71.68000000000001</v>
      </c>
      <c r="AP261" s="20" t="n">
        <v>80</v>
      </c>
      <c r="AQ261" s="92" t="n">
        <v>0.88</v>
      </c>
      <c r="AR261" s="20" t="n">
        <v>69.85679999999999</v>
      </c>
      <c r="AS261" s="20" t="n">
        <v>79.38</v>
      </c>
      <c r="AT261" s="49" t="n">
        <v>66</v>
      </c>
      <c r="AU261" s="50">
        <f>IF(I261="","管理人规模；","")&amp;IF(J261="","产品规模标识；","")&amp;IF(AND(F261&lt;3,O261=""),"R_incep；","")&amp;IF(N261="","近三年收益；","")&amp;IF(U261="","近三年胜率；","")&amp;IF(AND(V261&lt;&gt;"",OR(V261&lt;0,V261&gt;1)),"胜率窗口口径不一致；","")&amp;IF(AA261="","近三年回撤；","")&amp;IF(AD261="","短期卡玛；","")&amp;IF(AND(P261&lt;&gt;"",AE261=""),"DD_long不可识别；","")</f>
        <v/>
      </c>
      <c r="AV261" s="51" t="n"/>
      <c r="AW261" s="22" t="inlineStr">
        <is>
          <t>20-50亿元</t>
        </is>
      </c>
      <c r="AX261" s="22" t="inlineStr">
        <is>
          <t>2025-10-17</t>
        </is>
      </c>
      <c r="AY261" s="22" t="inlineStr">
        <is>
          <t>广东辰元私募基金管理有限公司</t>
        </is>
      </c>
      <c r="AZ261" s="22" t="inlineStr">
        <is>
          <t>2025-10-17</t>
        </is>
      </c>
      <c r="BA261" s="22" t="inlineStr">
        <is>
          <t>https://gs.amac.org.cn/amac-infodisc/res/pof/manager/2209261520106658.html</t>
        </is>
      </c>
      <c r="BB261" s="22" t="inlineStr">
        <is>
          <t>辰元优选稳健私募证券投资基金</t>
        </is>
      </c>
      <c r="BC261" s="22" t="inlineStr">
        <is>
          <t>2026-07-03</t>
        </is>
      </c>
      <c r="BD261" s="22" t="inlineStr">
        <is>
          <t>已匹配</t>
        </is>
      </c>
      <c r="BE261" t="inlineStr">
        <is>
          <t>https://gs.amac.org.cn/amac-infodisc/res/pof/fund/2302141700101335.html</t>
        </is>
      </c>
      <c r="BF261" t="inlineStr">
        <is>
          <t>已核验</t>
        </is>
      </c>
    </row>
    <row r="262" hidden="1" ht="28" customHeight="1" s="73">
      <c r="A262" s="2" t="n">
        <v>274</v>
      </c>
      <c r="B262" s="18" t="inlineStr">
        <is>
          <t>辰元稳健2号</t>
        </is>
      </c>
      <c r="C262" s="18">
        <f>'sheet4-原始数据'!B275</f>
        <v/>
      </c>
      <c r="D262" s="18" t="inlineStr">
        <is>
          <t>广东辰元</t>
        </is>
      </c>
      <c r="E262" s="90" t="inlineStr">
        <is>
          <t>2023-02-10</t>
        </is>
      </c>
      <c r="F262" s="20" t="n">
        <v>3.5948</v>
      </c>
      <c r="G262" s="2">
        <f>IF(F262="","",IF(F262&lt;1,"不入池","入池"))</f>
        <v/>
      </c>
      <c r="H262" s="42" t="inlineStr">
        <is>
          <t>20-50亿元</t>
        </is>
      </c>
      <c r="I262" s="20" t="n">
        <v>90</v>
      </c>
      <c r="J262" s="43" t="inlineStr">
        <is>
          <t>无低于1000万元标识</t>
        </is>
      </c>
      <c r="K262" s="20" t="n">
        <v>100</v>
      </c>
      <c r="L262" s="20" t="n">
        <v>100</v>
      </c>
      <c r="M262" s="44" t="n">
        <v>0.0238</v>
      </c>
      <c r="N262" s="44" t="n">
        <v>0.0613</v>
      </c>
      <c r="O262" s="45" t="n"/>
      <c r="P262" s="46" t="n">
        <v>0.08056198270776416</v>
      </c>
      <c r="Q262" s="20" t="n">
        <v>25.69</v>
      </c>
      <c r="R262" s="20" t="n">
        <v>65</v>
      </c>
      <c r="S262" s="20" t="n">
        <v>41.41</v>
      </c>
      <c r="T262" s="44" t="n">
        <v>0.6153999999999999</v>
      </c>
      <c r="U262" s="44" t="n">
        <v>0.8378</v>
      </c>
      <c r="V262" s="46" t="n">
        <v>0.9582666666666667</v>
      </c>
      <c r="W262" s="20" t="n">
        <v>61.53999999999999</v>
      </c>
      <c r="X262" s="20" t="n">
        <v>95.82666666666667</v>
      </c>
      <c r="Y262" s="20" t="n">
        <v>75.25</v>
      </c>
      <c r="Z262" s="46" t="n">
        <v>0.00494001411432604</v>
      </c>
      <c r="AA262" s="44" t="n">
        <v>0.0062</v>
      </c>
      <c r="AB262" s="46" t="n">
        <v>0.0062</v>
      </c>
      <c r="AC262" s="20" t="n">
        <v>91.64</v>
      </c>
      <c r="AD262" s="91" t="n">
        <v>4.8178</v>
      </c>
      <c r="AE262" s="46" t="n">
        <v>0.0062</v>
      </c>
      <c r="AF262" s="20" t="n">
        <v>12.99386817867164</v>
      </c>
      <c r="AG262" s="20" t="n">
        <v>65.73</v>
      </c>
      <c r="AH262" s="20" t="n">
        <v>93.38</v>
      </c>
      <c r="AI262" s="20" t="n">
        <v>76.79000000000001</v>
      </c>
      <c r="AJ262" s="46" t="n">
        <v>0.0613</v>
      </c>
      <c r="AK262" s="20" t="n">
        <v>80</v>
      </c>
      <c r="AL262" s="20" t="n">
        <v>96</v>
      </c>
      <c r="AM262" s="20" t="n">
        <v>51.57</v>
      </c>
      <c r="AN262" s="20" t="n">
        <v>91.64</v>
      </c>
      <c r="AO262" s="20" t="n">
        <v>76.79000000000001</v>
      </c>
      <c r="AP262" s="20" t="n">
        <v>80</v>
      </c>
      <c r="AQ262" s="92" t="n">
        <v>1</v>
      </c>
      <c r="AR262" s="20" t="n">
        <v>78.66024</v>
      </c>
      <c r="AS262" s="20" t="n">
        <v>78.66</v>
      </c>
      <c r="AT262" s="49" t="n">
        <v>72</v>
      </c>
      <c r="AU262" s="50">
        <f>IF(I262="","管理人规模；","")&amp;IF(J262="","产品规模标识；","")&amp;IF(AND(F262&lt;3,O262=""),"R_incep；","")&amp;IF(N262="","近三年收益；","")&amp;IF(U262="","近三年胜率；","")&amp;IF(AND(V262&lt;&gt;"",OR(V262&lt;0,V262&gt;1)),"胜率窗口口径不一致；","")&amp;IF(AA262="","近三年回撤；","")&amp;IF(AD262="","短期卡玛；","")&amp;IF(AND(P262&lt;&gt;"",AE262=""),"DD_long不可识别；","")</f>
        <v/>
      </c>
      <c r="AV262" s="51" t="n">
        <v>78.66024</v>
      </c>
      <c r="AW262" s="22" t="inlineStr">
        <is>
          <t>20-50亿元</t>
        </is>
      </c>
      <c r="AX262" s="22" t="inlineStr">
        <is>
          <t>2025-10-17</t>
        </is>
      </c>
      <c r="AY262" s="22" t="inlineStr">
        <is>
          <t>广东辰元私募基金管理有限公司</t>
        </is>
      </c>
      <c r="AZ262" s="22" t="inlineStr">
        <is>
          <t>2025-10-17</t>
        </is>
      </c>
      <c r="BA262" s="22" t="inlineStr">
        <is>
          <t>https://gs.amac.org.cn/amac-infodisc/res/pof/manager/2209261520106658.html</t>
        </is>
      </c>
      <c r="BB262" s="22" t="inlineStr">
        <is>
          <t>辰元稳健2号私募证券投资基金</t>
        </is>
      </c>
      <c r="BC262" s="22" t="inlineStr">
        <is>
          <t>2025-09-26</t>
        </is>
      </c>
      <c r="BD262" s="22" t="inlineStr">
        <is>
          <t>已匹配</t>
        </is>
      </c>
      <c r="BE262" t="inlineStr">
        <is>
          <t>https://gs.amac.org.cn/amac-infodisc/res/pof/fund/2302151739100614.html</t>
        </is>
      </c>
      <c r="BF262" t="inlineStr">
        <is>
          <t>已核验</t>
        </is>
      </c>
    </row>
    <row r="263" hidden="1" ht="28" customHeight="1" s="73">
      <c r="A263" s="2" t="n">
        <v>275</v>
      </c>
      <c r="B263" s="18" t="inlineStr">
        <is>
          <t>江岳联接54期</t>
        </is>
      </c>
      <c r="C263" s="18">
        <f>'sheet4-原始数据'!B276</f>
        <v/>
      </c>
      <c r="D263" s="18" t="inlineStr">
        <is>
          <t>西安江岳</t>
        </is>
      </c>
      <c r="E263" s="90" t="inlineStr">
        <is>
          <t>2023-02-21</t>
        </is>
      </c>
      <c r="F263" s="20" t="n">
        <v>3.5647</v>
      </c>
      <c r="G263" s="2">
        <f>IF(F263="","",IF(F263&lt;1,"不入池","入池"))</f>
        <v/>
      </c>
      <c r="H263" s="42" t="inlineStr">
        <is>
          <t>10-20亿元</t>
        </is>
      </c>
      <c r="I263" s="20" t="n">
        <v>80</v>
      </c>
      <c r="J263" s="43" t="inlineStr">
        <is>
          <t>无低于1000万元标识</t>
        </is>
      </c>
      <c r="K263" s="20" t="n">
        <v>100</v>
      </c>
      <c r="L263" s="20" t="n">
        <v>100</v>
      </c>
      <c r="M263" s="44" t="n">
        <v>0.05769999999999999</v>
      </c>
      <c r="N263" s="44" t="n">
        <v>0.0983</v>
      </c>
      <c r="O263" s="45" t="n"/>
      <c r="P263" s="46" t="n">
        <v>0.1191807282953412</v>
      </c>
      <c r="Q263" s="20" t="n">
        <v>48.96</v>
      </c>
      <c r="R263" s="20" t="n">
        <v>80</v>
      </c>
      <c r="S263" s="20" t="n">
        <v>61.38</v>
      </c>
      <c r="T263" s="44" t="n">
        <v>0.9231</v>
      </c>
      <c r="U263" s="44" t="n">
        <v>0.9459000000000001</v>
      </c>
      <c r="V263" s="46" t="n">
        <v>0.9582499999999999</v>
      </c>
      <c r="W263" s="20" t="n">
        <v>92.31</v>
      </c>
      <c r="X263" s="20" t="n">
        <v>95.82499999999999</v>
      </c>
      <c r="Y263" s="20" t="n">
        <v>93.72</v>
      </c>
      <c r="Z263" s="46" t="n">
        <v>0.005391414849283325</v>
      </c>
      <c r="AA263" s="44" t="n">
        <v>0.0066</v>
      </c>
      <c r="AB263" s="46" t="n">
        <v>0.0066</v>
      </c>
      <c r="AC263" s="20" t="n">
        <v>90.94</v>
      </c>
      <c r="AD263" s="91" t="n">
        <v>10.7022</v>
      </c>
      <c r="AE263" s="46" t="n">
        <v>0.0066</v>
      </c>
      <c r="AF263" s="20" t="n">
        <v>18.05768610535473</v>
      </c>
      <c r="AG263" s="20" t="n">
        <v>83.22</v>
      </c>
      <c r="AH263" s="20" t="n">
        <v>96.31999999999999</v>
      </c>
      <c r="AI263" s="20" t="n">
        <v>88.45999999999999</v>
      </c>
      <c r="AJ263" s="46" t="n">
        <v>0.0983</v>
      </c>
      <c r="AK263" s="20" t="n">
        <v>80</v>
      </c>
      <c r="AL263" s="20" t="n">
        <v>92</v>
      </c>
      <c r="AM263" s="20" t="n">
        <v>71.08</v>
      </c>
      <c r="AN263" s="20" t="n">
        <v>90.94</v>
      </c>
      <c r="AO263" s="20" t="n">
        <v>88.45999999999999</v>
      </c>
      <c r="AP263" s="20" t="n">
        <v>80</v>
      </c>
      <c r="AQ263" s="92" t="n">
        <v>1</v>
      </c>
      <c r="AR263" s="20" t="n">
        <v>85.2886</v>
      </c>
      <c r="AS263" s="20" t="n">
        <v>85.29000000000001</v>
      </c>
      <c r="AT263" s="49" t="n">
        <v>28</v>
      </c>
      <c r="AU263" s="50">
        <f>IF(I263="","管理人规模；","")&amp;IF(J263="","产品规模标识；","")&amp;IF(AND(F263&lt;3,O263=""),"R_incep；","")&amp;IF(N263="","近三年收益；","")&amp;IF(U263="","近三年胜率；","")&amp;IF(AND(V263&lt;&gt;"",OR(V263&lt;0,V263&gt;1)),"胜率窗口口径不一致；","")&amp;IF(AA263="","近三年回撤；","")&amp;IF(AD263="","短期卡玛；","")&amp;IF(AND(P263&lt;&gt;"",AE263=""),"DD_long不可识别；","")</f>
        <v/>
      </c>
      <c r="AV263" s="51" t="n">
        <v>85.2886</v>
      </c>
      <c r="AW263" s="22" t="inlineStr">
        <is>
          <t>10-20亿元</t>
        </is>
      </c>
      <c r="AX263" s="22" t="inlineStr">
        <is>
          <t>2026-08-24</t>
        </is>
      </c>
      <c r="AY263" s="22" t="inlineStr">
        <is>
          <t>西安江岳私募基金管理有限公司</t>
        </is>
      </c>
      <c r="AZ263" s="22" t="inlineStr">
        <is>
          <t>2026-08-24</t>
        </is>
      </c>
      <c r="BA263" s="22" t="inlineStr">
        <is>
          <t>https://gs.amac.org.cn/amac-infodisc/res/pof/manager/1703241729101117.html</t>
        </is>
      </c>
      <c r="BB263" s="22" t="inlineStr">
        <is>
          <t>江岳联接54期私募证券投资基金</t>
        </is>
      </c>
      <c r="BC263" s="22" t="inlineStr">
        <is>
          <t>2026-07-31</t>
        </is>
      </c>
      <c r="BD263" s="22" t="inlineStr">
        <is>
          <t>已匹配</t>
        </is>
      </c>
      <c r="BE263" t="inlineStr">
        <is>
          <t>https://gs.amac.org.cn/amac-infodisc/res/pof/fund/2302211738101079.html</t>
        </is>
      </c>
      <c r="BF263" t="inlineStr">
        <is>
          <t>已核验</t>
        </is>
      </c>
    </row>
    <row r="264" hidden="1" ht="28" customHeight="1" s="73">
      <c r="A264" s="2" t="n">
        <v>276</v>
      </c>
      <c r="B264" s="18" t="inlineStr">
        <is>
          <t>权舆金品1号</t>
        </is>
      </c>
      <c r="C264" s="18">
        <f>'sheet4-原始数据'!B277</f>
        <v/>
      </c>
      <c r="D264" s="18" t="inlineStr">
        <is>
          <t>上海权舆</t>
        </is>
      </c>
      <c r="E264" s="90" t="inlineStr">
        <is>
          <t>2023-02-20</t>
        </is>
      </c>
      <c r="F264" s="20" t="n">
        <v>3.5674</v>
      </c>
      <c r="G264" s="2">
        <f>IF(F264="","",IF(F264&lt;1,"不入池","入池"))</f>
        <v/>
      </c>
      <c r="H264" s="42" t="inlineStr">
        <is>
          <t>0-5亿元</t>
        </is>
      </c>
      <c r="I264" s="20" t="n">
        <v>60</v>
      </c>
      <c r="J264" s="43" t="inlineStr">
        <is>
          <t>无低于1000万元标识</t>
        </is>
      </c>
      <c r="K264" s="20" t="n">
        <v>100</v>
      </c>
      <c r="L264" s="20" t="n">
        <v>100</v>
      </c>
      <c r="M264" s="44" t="n"/>
      <c r="N264" s="44" t="n"/>
      <c r="O264" s="45" t="n"/>
      <c r="P264" s="46" t="n"/>
      <c r="Q264" s="20" t="n"/>
      <c r="R264" s="20" t="n"/>
      <c r="S264" s="20" t="n"/>
      <c r="T264" s="44" t="n"/>
      <c r="U264" s="44" t="n"/>
      <c r="V264" s="46" t="n"/>
      <c r="W264" s="20" t="n"/>
      <c r="X264" s="20" t="n"/>
      <c r="Y264" s="20" t="n"/>
      <c r="Z264" s="46" t="n"/>
      <c r="AA264" s="44" t="n"/>
      <c r="AB264" s="46" t="n"/>
      <c r="AC264" s="20" t="n"/>
      <c r="AD264" s="91" t="n"/>
      <c r="AE264" s="46" t="n"/>
      <c r="AF264" s="20" t="n"/>
      <c r="AG264" s="20" t="n"/>
      <c r="AH264" s="20" t="n"/>
      <c r="AI264" s="20" t="n"/>
      <c r="AJ264" s="46" t="n"/>
      <c r="AK264" s="20" t="n"/>
      <c r="AL264" s="20" t="n">
        <v>84</v>
      </c>
      <c r="AM264" s="20" t="n"/>
      <c r="AN264" s="20" t="n"/>
      <c r="AO264" s="20" t="n"/>
      <c r="AP264" s="20" t="n"/>
      <c r="AQ264" s="92" t="n">
        <v>0.15</v>
      </c>
      <c r="AR264" s="20" t="n">
        <v>12.6</v>
      </c>
      <c r="AS264" s="20" t="n">
        <v>84</v>
      </c>
      <c r="AT264" s="49" t="n">
        <v>43</v>
      </c>
      <c r="AU264" s="50">
        <f>IF(I264="","管理人规模；","")&amp;IF(J264="","产品规模标识；","")&amp;IF(AND(F264&lt;3,O264=""),"R_incep；","")&amp;IF(N264="","近三年收益；","")&amp;IF(U264="","近三年胜率；","")&amp;IF(AND(V264&lt;&gt;"",OR(V264&lt;0,V264&gt;1)),"胜率窗口口径不一致；","")&amp;IF(AA264="","近三年回撤；","")&amp;IF(AD264="","短期卡玛；","")&amp;IF(AND(P264&lt;&gt;"",AE264=""),"DD_long不可识别；","")</f>
        <v/>
      </c>
      <c r="AV264" s="51" t="n"/>
      <c r="AW264" s="22" t="inlineStr">
        <is>
          <t>0-5亿元</t>
        </is>
      </c>
      <c r="AX264" s="22" t="inlineStr">
        <is>
          <t>2026-06-17</t>
        </is>
      </c>
      <c r="AY264" s="22" t="inlineStr">
        <is>
          <t>上海权舆私募基金管理有限公司</t>
        </is>
      </c>
      <c r="AZ264" s="22" t="inlineStr">
        <is>
          <t>2026-06-17</t>
        </is>
      </c>
      <c r="BA264" s="22" t="inlineStr">
        <is>
          <t>https://gs.amac.org.cn/amac-infodisc/res/pof/manager/2112210913109327.html</t>
        </is>
      </c>
      <c r="BB264" s="22" t="inlineStr">
        <is>
          <t>权舆金品1号私募证券投资基金</t>
        </is>
      </c>
      <c r="BC264" s="22" t="inlineStr">
        <is>
          <t>2025-07-11</t>
        </is>
      </c>
      <c r="BD264" s="22" t="inlineStr">
        <is>
          <t>已匹配</t>
        </is>
      </c>
      <c r="BE264" t="inlineStr">
        <is>
          <t>https://gs.amac.org.cn/amac-infodisc/res/pof/fund/2302241522101552.html</t>
        </is>
      </c>
      <c r="BF264" t="inlineStr">
        <is>
          <t>已核验</t>
        </is>
      </c>
    </row>
    <row r="265" hidden="1" ht="28" customHeight="1" s="73">
      <c r="A265" s="2" t="n">
        <v>277</v>
      </c>
      <c r="B265" s="18" t="inlineStr">
        <is>
          <t>言起投资价值成长1号</t>
        </is>
      </c>
      <c r="C265" s="18">
        <f>'sheet4-原始数据'!B278</f>
        <v/>
      </c>
      <c r="D265" s="18" t="inlineStr">
        <is>
          <t>厦门言起投资</t>
        </is>
      </c>
      <c r="E265" s="90" t="inlineStr">
        <is>
          <t>2023-02-22</t>
        </is>
      </c>
      <c r="F265" s="20" t="n">
        <v>3.5619</v>
      </c>
      <c r="G265" s="2">
        <f>IF(F265="","",IF(F265&lt;1,"不入池","入池"))</f>
        <v/>
      </c>
      <c r="H265" s="42" t="inlineStr">
        <is>
          <t>0-5亿元</t>
        </is>
      </c>
      <c r="I265" s="20" t="n">
        <v>60</v>
      </c>
      <c r="J265" s="43" t="inlineStr">
        <is>
          <t>无低于1000万元标识</t>
        </is>
      </c>
      <c r="K265" s="20" t="n">
        <v>100</v>
      </c>
      <c r="L265" s="20" t="n">
        <v>100</v>
      </c>
      <c r="M265" s="44" t="n">
        <v>-0.2116</v>
      </c>
      <c r="N265" s="44" t="n">
        <v>-0.059</v>
      </c>
      <c r="O265" s="45" t="n"/>
      <c r="P265" s="46" t="n">
        <v>0.02804263792815265</v>
      </c>
      <c r="Q265" s="20" t="n">
        <v>1.39</v>
      </c>
      <c r="R265" s="20" t="n">
        <v>14.5</v>
      </c>
      <c r="S265" s="20" t="n">
        <v>6.63</v>
      </c>
      <c r="T265" s="44" t="n">
        <v>0.2308</v>
      </c>
      <c r="U265" s="44" t="n">
        <v>0.3514</v>
      </c>
      <c r="V265" s="46" t="n">
        <v>0.416725</v>
      </c>
      <c r="W265" s="20" t="n">
        <v>23.08</v>
      </c>
      <c r="X265" s="20" t="n">
        <v>41.6725</v>
      </c>
      <c r="Y265" s="20" t="n">
        <v>30.52</v>
      </c>
      <c r="Z265" s="46" t="n">
        <v>0.3232014663204522</v>
      </c>
      <c r="AA265" s="44" t="n">
        <v>0.3232</v>
      </c>
      <c r="AB265" s="46" t="n">
        <v>0.3232014663204522</v>
      </c>
      <c r="AC265" s="20" t="n">
        <v>3.14</v>
      </c>
      <c r="AD265" s="91" t="n">
        <v>-0.6546999999999999</v>
      </c>
      <c r="AE265" s="46" t="n"/>
      <c r="AF265" s="20" t="n"/>
      <c r="AG265" s="20" t="n">
        <v>4.55</v>
      </c>
      <c r="AH265" s="20" t="n"/>
      <c r="AI265" s="20" t="n">
        <v>4.55</v>
      </c>
      <c r="AJ265" s="46" t="n">
        <v>-0.059</v>
      </c>
      <c r="AK265" s="20" t="n">
        <v>80</v>
      </c>
      <c r="AL265" s="20" t="n">
        <v>84</v>
      </c>
      <c r="AM265" s="20" t="n">
        <v>13.8</v>
      </c>
      <c r="AN265" s="20" t="n">
        <v>3.14</v>
      </c>
      <c r="AO265" s="20" t="n">
        <v>4.55</v>
      </c>
      <c r="AP265" s="20" t="n">
        <v>80</v>
      </c>
      <c r="AQ265" s="92" t="n">
        <v>0.88</v>
      </c>
      <c r="AR265" s="20" t="n">
        <v>24.96378</v>
      </c>
      <c r="AS265" s="20" t="n">
        <v>28.37</v>
      </c>
      <c r="AT265" s="49" t="n">
        <v>302</v>
      </c>
      <c r="AU265" s="50">
        <f>IF(I265="","管理人规模；","")&amp;IF(J265="","产品规模标识；","")&amp;IF(AND(F265&lt;3,O265=""),"R_incep；","")&amp;IF(N265="","近三年收益；","")&amp;IF(U265="","近三年胜率；","")&amp;IF(AND(V265&lt;&gt;"",OR(V265&lt;0,V265&gt;1)),"胜率窗口口径不一致；","")&amp;IF(AA265="","近三年回撤；","")&amp;IF(AD265="","短期卡玛；","")&amp;IF(AND(P265&lt;&gt;"",AE265=""),"DD_long不可识别；","")</f>
        <v/>
      </c>
      <c r="AV265" s="51" t="n"/>
      <c r="AW265" s="22" t="inlineStr">
        <is>
          <t>0-5亿元</t>
        </is>
      </c>
      <c r="AX265" s="22" t="inlineStr">
        <is>
          <t>2026-03-02</t>
        </is>
      </c>
      <c r="AY265" s="22" t="inlineStr">
        <is>
          <t>厦门言起投资管理有限公司</t>
        </is>
      </c>
      <c r="AZ265" s="22" t="inlineStr">
        <is>
          <t>2026-03-02</t>
        </is>
      </c>
      <c r="BA265" s="22" t="inlineStr">
        <is>
          <t>https://gs.amac.org.cn/amac-infodisc/res/pof/manager/101000049573.html</t>
        </is>
      </c>
      <c r="BB265" s="22" t="inlineStr">
        <is>
          <t>言起投资价值成长1号私募证券投资基金</t>
        </is>
      </c>
      <c r="BC265" s="22" t="inlineStr">
        <is>
          <t>2023-02-27</t>
        </is>
      </c>
      <c r="BD265" s="22" t="inlineStr">
        <is>
          <t>已匹配</t>
        </is>
      </c>
      <c r="BE265" t="inlineStr">
        <is>
          <t>https://gs.amac.org.cn/amac-infodisc/res/pof/fund/2302271500104378.html</t>
        </is>
      </c>
      <c r="BF265" t="inlineStr">
        <is>
          <t>已核验</t>
        </is>
      </c>
    </row>
    <row r="266" hidden="1" ht="28" customHeight="1" s="73">
      <c r="A266" s="2" t="n">
        <v>278</v>
      </c>
      <c r="B266" s="18" t="inlineStr">
        <is>
          <t>泰创稳增1号</t>
        </is>
      </c>
      <c r="C266" s="18">
        <f>'sheet4-原始数据'!B279</f>
        <v/>
      </c>
      <c r="D266" s="18" t="inlineStr">
        <is>
          <t>北京泰创投资</t>
        </is>
      </c>
      <c r="E266" s="90" t="inlineStr">
        <is>
          <t>2023-04-10</t>
        </is>
      </c>
      <c r="F266" s="20" t="n">
        <v>3.4333</v>
      </c>
      <c r="G266" s="2">
        <f>IF(F266="","",IF(F266&lt;1,"不入池","入池"))</f>
        <v/>
      </c>
      <c r="H266" s="42" t="inlineStr">
        <is>
          <t>5-10亿元</t>
        </is>
      </c>
      <c r="I266" s="20" t="n">
        <v>70</v>
      </c>
      <c r="J266" s="43" t="inlineStr">
        <is>
          <t>无低于1000万元标识</t>
        </is>
      </c>
      <c r="K266" s="20" t="n">
        <v>100</v>
      </c>
      <c r="L266" s="20" t="n">
        <v>100</v>
      </c>
      <c r="M266" s="44" t="n">
        <v>0.049</v>
      </c>
      <c r="N266" s="44" t="n">
        <v>0.0583</v>
      </c>
      <c r="O266" s="45" t="n"/>
      <c r="P266" s="46" t="n">
        <v>0.06298087319789381</v>
      </c>
      <c r="Q266" s="20" t="n">
        <v>45.14</v>
      </c>
      <c r="R266" s="20" t="n">
        <v>50</v>
      </c>
      <c r="S266" s="20" t="n">
        <v>47.08</v>
      </c>
      <c r="T266" s="44" t="n">
        <v>0.6153999999999999</v>
      </c>
      <c r="U266" s="44" t="n">
        <v>0.7837999999999999</v>
      </c>
      <c r="V266" s="46" t="n">
        <v>0.8750166666666667</v>
      </c>
      <c r="W266" s="20" t="n">
        <v>61.53999999999999</v>
      </c>
      <c r="X266" s="20" t="n">
        <v>87.50166666666667</v>
      </c>
      <c r="Y266" s="20" t="n">
        <v>71.92</v>
      </c>
      <c r="Z266" s="46" t="n">
        <v>0.0160645203593207</v>
      </c>
      <c r="AA266" s="44" t="n">
        <v>0.0238</v>
      </c>
      <c r="AB266" s="46" t="n">
        <v>0.0238</v>
      </c>
      <c r="AC266" s="20" t="n">
        <v>70.03</v>
      </c>
      <c r="AD266" s="91" t="n">
        <v>3.0502</v>
      </c>
      <c r="AE266" s="46" t="n">
        <v>0.0238</v>
      </c>
      <c r="AF266" s="20" t="n">
        <v>2.646255176382093</v>
      </c>
      <c r="AG266" s="20" t="n">
        <v>55.59</v>
      </c>
      <c r="AH266" s="20" t="n">
        <v>72.79000000000001</v>
      </c>
      <c r="AI266" s="20" t="n">
        <v>62.47</v>
      </c>
      <c r="AJ266" s="46" t="n">
        <v>0.0583</v>
      </c>
      <c r="AK266" s="20" t="n">
        <v>80</v>
      </c>
      <c r="AL266" s="20" t="n">
        <v>88</v>
      </c>
      <c r="AM266" s="20" t="n">
        <v>54.54</v>
      </c>
      <c r="AN266" s="20" t="n">
        <v>70.03</v>
      </c>
      <c r="AO266" s="20" t="n">
        <v>62.47</v>
      </c>
      <c r="AP266" s="20" t="n">
        <v>80</v>
      </c>
      <c r="AQ266" s="92" t="n">
        <v>1</v>
      </c>
      <c r="AR266" s="20" t="n">
        <v>68.35574</v>
      </c>
      <c r="AS266" s="20" t="n">
        <v>68.36</v>
      </c>
      <c r="AT266" s="49" t="n">
        <v>132</v>
      </c>
      <c r="AU266" s="50">
        <f>IF(I266="","管理人规模；","")&amp;IF(J266="","产品规模标识；","")&amp;IF(AND(F266&lt;3,O266=""),"R_incep；","")&amp;IF(N266="","近三年收益；","")&amp;IF(U266="","近三年胜率；","")&amp;IF(AND(V266&lt;&gt;"",OR(V266&lt;0,V266&gt;1)),"胜率窗口口径不一致；","")&amp;IF(AA266="","近三年回撤；","")&amp;IF(AD266="","短期卡玛；","")&amp;IF(AND(P266&lt;&gt;"",AE266=""),"DD_long不可识别；","")</f>
        <v/>
      </c>
      <c r="AV266" s="51" t="n">
        <v>68.35574</v>
      </c>
      <c r="AW266" s="22" t="inlineStr">
        <is>
          <t>5-10亿元</t>
        </is>
      </c>
      <c r="AX266" s="22" t="inlineStr">
        <is>
          <t>2026-05-12</t>
        </is>
      </c>
      <c r="AY266" s="22" t="inlineStr">
        <is>
          <t>北京泰创投资管理有限公司</t>
        </is>
      </c>
      <c r="AZ266" s="22" t="inlineStr">
        <is>
          <t>2026-05-12</t>
        </is>
      </c>
      <c r="BA266" s="22" t="inlineStr">
        <is>
          <t>https://gs.amac.org.cn/amac-infodisc/res/pof/manager/101000008864.html</t>
        </is>
      </c>
      <c r="BB266" s="22" t="inlineStr">
        <is>
          <t>泰创稳增1号私募证券投资基金</t>
        </is>
      </c>
      <c r="BC266" s="22" t="inlineStr">
        <is>
          <t>2026-06-12</t>
        </is>
      </c>
      <c r="BD266" s="22" t="inlineStr">
        <is>
          <t>已匹配</t>
        </is>
      </c>
      <c r="BE266" t="inlineStr">
        <is>
          <t>https://gs.amac.org.cn/amac-infodisc/res/pof/fund/2304172010100805.html</t>
        </is>
      </c>
      <c r="BF266" t="inlineStr">
        <is>
          <t>已核验</t>
        </is>
      </c>
    </row>
    <row r="267" hidden="1" ht="28" customHeight="1" s="73">
      <c r="A267" s="2" t="n">
        <v>279</v>
      </c>
      <c r="B267" s="18" t="inlineStr">
        <is>
          <t>悬铃君享CTA2号</t>
        </is>
      </c>
      <c r="C267" s="18">
        <f>'sheet4-原始数据'!B280</f>
        <v/>
      </c>
      <c r="D267" s="18" t="inlineStr">
        <is>
          <t>上海悬铃</t>
        </is>
      </c>
      <c r="E267" s="90" t="inlineStr">
        <is>
          <t>2023-04-18</t>
        </is>
      </c>
      <c r="F267" s="20" t="n">
        <v>3.4114</v>
      </c>
      <c r="G267" s="2">
        <f>IF(F267="","",IF(F267&lt;1,"不入池","入池"))</f>
        <v/>
      </c>
      <c r="H267" s="42" t="inlineStr">
        <is>
          <t>20-50亿元</t>
        </is>
      </c>
      <c r="I267" s="20" t="n">
        <v>90</v>
      </c>
      <c r="J267" s="43" t="inlineStr">
        <is>
          <t>无低于1000万元标识</t>
        </is>
      </c>
      <c r="K267" s="20" t="n">
        <v>100</v>
      </c>
      <c r="L267" s="20" t="n">
        <v>100</v>
      </c>
      <c r="M267" s="44" t="n">
        <v>0.008</v>
      </c>
      <c r="N267" s="44" t="n">
        <v>0.079</v>
      </c>
      <c r="O267" s="45" t="n"/>
      <c r="P267" s="46" t="n">
        <v>0.1163539180907227</v>
      </c>
      <c r="Q267" s="20" t="n">
        <v>18.75</v>
      </c>
      <c r="R267" s="20" t="n">
        <v>79</v>
      </c>
      <c r="S267" s="20" t="n">
        <v>42.85</v>
      </c>
      <c r="T267" s="44" t="n">
        <v>0.6153999999999999</v>
      </c>
      <c r="U267" s="44" t="n">
        <v>0.6486</v>
      </c>
      <c r="V267" s="46" t="n">
        <v>0.6665833333333332</v>
      </c>
      <c r="W267" s="20" t="n">
        <v>61.53999999999999</v>
      </c>
      <c r="X267" s="20" t="n">
        <v>66.65833333333332</v>
      </c>
      <c r="Y267" s="20" t="n">
        <v>63.59</v>
      </c>
      <c r="Z267" s="46" t="n">
        <v>0.06584362139917696</v>
      </c>
      <c r="AA267" s="44" t="n">
        <v>0.1376</v>
      </c>
      <c r="AB267" s="46" t="n">
        <v>0.1376</v>
      </c>
      <c r="AC267" s="20" t="n">
        <v>17.07</v>
      </c>
      <c r="AD267" s="91" t="n">
        <v>0.1215</v>
      </c>
      <c r="AE267" s="46" t="n">
        <v>0.1376</v>
      </c>
      <c r="AF267" s="20" t="n">
        <v>0.8455953349616476</v>
      </c>
      <c r="AG267" s="20" t="n">
        <v>18.88</v>
      </c>
      <c r="AH267" s="20" t="n">
        <v>34.56</v>
      </c>
      <c r="AI267" s="20" t="n">
        <v>25.15</v>
      </c>
      <c r="AJ267" s="46" t="n">
        <v>0.079</v>
      </c>
      <c r="AK267" s="20" t="n">
        <v>80</v>
      </c>
      <c r="AL267" s="20" t="n">
        <v>96</v>
      </c>
      <c r="AM267" s="20" t="n">
        <v>49.07</v>
      </c>
      <c r="AN267" s="20" t="n">
        <v>17.07</v>
      </c>
      <c r="AO267" s="20" t="n">
        <v>25.15</v>
      </c>
      <c r="AP267" s="20" t="n">
        <v>80</v>
      </c>
      <c r="AQ267" s="92" t="n">
        <v>1</v>
      </c>
      <c r="AR267" s="20" t="n">
        <v>44.02734</v>
      </c>
      <c r="AS267" s="20" t="n">
        <v>44.03</v>
      </c>
      <c r="AT267" s="49" t="n">
        <v>245</v>
      </c>
      <c r="AU267" s="50">
        <f>IF(I267="","管理人规模；","")&amp;IF(J267="","产品规模标识；","")&amp;IF(AND(F267&lt;3,O267=""),"R_incep；","")&amp;IF(N267="","近三年收益；","")&amp;IF(U267="","近三年胜率；","")&amp;IF(AND(V267&lt;&gt;"",OR(V267&lt;0,V267&gt;1)),"胜率窗口口径不一致；","")&amp;IF(AA267="","近三年回撤；","")&amp;IF(AD267="","短期卡玛；","")&amp;IF(AND(P267&lt;&gt;"",AE267=""),"DD_long不可识别；","")</f>
        <v/>
      </c>
      <c r="AV267" s="51" t="n">
        <v>44.02734</v>
      </c>
      <c r="AW267" s="22" t="inlineStr">
        <is>
          <t>20-50亿元</t>
        </is>
      </c>
      <c r="AX267" s="22" t="inlineStr">
        <is>
          <t>2026-07-13</t>
        </is>
      </c>
      <c r="AY267" s="22" t="inlineStr">
        <is>
          <t>上海悬铃私募基金管理有限公司</t>
        </is>
      </c>
      <c r="AZ267" s="22" t="inlineStr">
        <is>
          <t>2026-07-13</t>
        </is>
      </c>
      <c r="BA267" s="22" t="inlineStr">
        <is>
          <t>https://gs.amac.org.cn/amac-infodisc/res/pof/manager/1701161209103763.html</t>
        </is>
      </c>
      <c r="BB267" s="22" t="inlineStr">
        <is>
          <t>悬铃君享CTA2号私募证券投资基金</t>
        </is>
      </c>
      <c r="BC267" s="22" t="inlineStr">
        <is>
          <t>2026-04-28</t>
        </is>
      </c>
      <c r="BD267" s="22" t="inlineStr">
        <is>
          <t>已匹配</t>
        </is>
      </c>
      <c r="BE267" t="inlineStr">
        <is>
          <t>https://gs.amac.org.cn/amac-infodisc/res/pof/fund/2304181515102191.html</t>
        </is>
      </c>
      <c r="BF267" t="inlineStr">
        <is>
          <t>已核验</t>
        </is>
      </c>
    </row>
    <row r="268" hidden="1" ht="28" customHeight="1" s="73">
      <c r="A268" s="2" t="n">
        <v>280</v>
      </c>
      <c r="B268" s="18" t="inlineStr">
        <is>
          <t>世宽若水尘心2号B类</t>
        </is>
      </c>
      <c r="C268" s="18">
        <f>'sheet4-原始数据'!B281</f>
        <v/>
      </c>
      <c r="D268" s="18" t="inlineStr">
        <is>
          <t>厦门世宽</t>
        </is>
      </c>
      <c r="E268" s="90" t="inlineStr">
        <is>
          <t>2022-12-09</t>
        </is>
      </c>
      <c r="F268" s="20" t="n">
        <v>3.7673</v>
      </c>
      <c r="G268" s="2">
        <f>IF(F268="","",IF(F268&lt;1,"不入池","入池"))</f>
        <v/>
      </c>
      <c r="H268" s="42" t="inlineStr">
        <is>
          <t>0-5亿元</t>
        </is>
      </c>
      <c r="I268" s="20" t="n">
        <v>60</v>
      </c>
      <c r="J268" s="43" t="inlineStr">
        <is>
          <t>无低于1000万元标识</t>
        </is>
      </c>
      <c r="K268" s="20" t="n"/>
      <c r="L268" s="20" t="n">
        <v>100</v>
      </c>
      <c r="M268" s="44" t="n">
        <v>0.1551</v>
      </c>
      <c r="N268" s="44" t="n"/>
      <c r="O268" s="45" t="n"/>
      <c r="P268" s="46" t="n"/>
      <c r="Q268" s="20" t="n">
        <v>87.5</v>
      </c>
      <c r="R268" s="20" t="n"/>
      <c r="S268" s="20" t="n">
        <v>87.5</v>
      </c>
      <c r="T268" s="44" t="n">
        <v>0.7692</v>
      </c>
      <c r="U268" s="44" t="n"/>
      <c r="V268" s="46" t="n"/>
      <c r="W268" s="20" t="n">
        <v>76.92</v>
      </c>
      <c r="X268" s="20" t="n"/>
      <c r="Y268" s="20" t="n">
        <v>76.92</v>
      </c>
      <c r="Z268" s="46" t="n">
        <v>0.01452981844752965</v>
      </c>
      <c r="AA268" s="44" t="n"/>
      <c r="AB268" s="46" t="n">
        <v>0.01452981844752965</v>
      </c>
      <c r="AC268" s="20" t="n">
        <v>78.75</v>
      </c>
      <c r="AD268" s="91" t="n">
        <v>10.6746</v>
      </c>
      <c r="AE268" s="46" t="n"/>
      <c r="AF268" s="20" t="n"/>
      <c r="AG268" s="20" t="n">
        <v>82.52</v>
      </c>
      <c r="AH268" s="20" t="n"/>
      <c r="AI268" s="20" t="n">
        <v>82.52</v>
      </c>
      <c r="AJ268" s="46" t="n"/>
      <c r="AK268" s="20" t="n"/>
      <c r="AL268" s="20" t="n">
        <v>77.14</v>
      </c>
      <c r="AM268" s="20" t="n">
        <v>84.33</v>
      </c>
      <c r="AN268" s="20" t="n">
        <v>78.75</v>
      </c>
      <c r="AO268" s="20" t="n">
        <v>82.52</v>
      </c>
      <c r="AP268" s="20" t="n"/>
      <c r="AQ268" s="92" t="n">
        <v>0.655</v>
      </c>
      <c r="AR268" s="20" t="n">
        <v>52.76022</v>
      </c>
      <c r="AS268" s="20" t="n">
        <v>80.55</v>
      </c>
      <c r="AT268" s="49" t="n">
        <v>57</v>
      </c>
      <c r="AU268" s="50">
        <f>IF(I268="","管理人规模；","")&amp;IF(J268="","产品规模标识；","")&amp;IF(AND(F268&lt;3,O268=""),"R_incep；","")&amp;IF(N268="","近三年收益；","")&amp;IF(U268="","近三年胜率；","")&amp;IF(AND(V268&lt;&gt;"",OR(V268&lt;0,V268&gt;1)),"胜率窗口口径不一致；","")&amp;IF(AA268="","近三年回撤；","")&amp;IF(AD268="","短期卡玛；","")&amp;IF(AND(P268&lt;&gt;"",AE268=""),"DD_long不可识别；","")</f>
        <v/>
      </c>
      <c r="AV268" s="51" t="n"/>
      <c r="AW268" s="22" t="inlineStr">
        <is>
          <t>0-5亿元</t>
        </is>
      </c>
      <c r="AX268" s="22" t="inlineStr">
        <is>
          <t>2026-02-26</t>
        </is>
      </c>
      <c r="AY268" s="22" t="inlineStr">
        <is>
          <t>厦门世宽私募基金管理有限公司 厦门世宽私募基金管理有限公司</t>
        </is>
      </c>
      <c r="AZ268" s="22" t="inlineStr">
        <is>
          <t>2026-02-26</t>
        </is>
      </c>
      <c r="BA268" s="22" t="inlineStr">
        <is>
          <t>https://gs.amac.org.cn/amac-infodisc/res/pof/manager/101000026000.html</t>
        </is>
      </c>
      <c r="BB268" s="22" t="n"/>
      <c r="BC268" s="22" t="n"/>
      <c r="BD268" s="22" t="inlineStr">
        <is>
          <t>产品未匹配，管理人已按名称补录</t>
        </is>
      </c>
      <c r="BF268" t="inlineStr">
        <is>
          <t>未核验</t>
        </is>
      </c>
    </row>
    <row r="269" hidden="1" ht="28" customHeight="1" s="73">
      <c r="A269" s="2" t="n">
        <v>281</v>
      </c>
      <c r="B269" s="18" t="inlineStr">
        <is>
          <t>溋沣鸿运来星选1号</t>
        </is>
      </c>
      <c r="C269" s="18">
        <f>'sheet4-原始数据'!B282</f>
        <v/>
      </c>
      <c r="D269" s="18" t="inlineStr">
        <is>
          <t>深圳前海溋沣资管</t>
        </is>
      </c>
      <c r="E269" s="90" t="inlineStr">
        <is>
          <t>2023-05-15</t>
        </is>
      </c>
      <c r="F269" s="20" t="n">
        <v>3.3374</v>
      </c>
      <c r="G269" s="2">
        <f>IF(F269="","",IF(F269&lt;1,"不入池","入池"))</f>
        <v/>
      </c>
      <c r="H269" s="42" t="inlineStr">
        <is>
          <t>0-5亿元</t>
        </is>
      </c>
      <c r="I269" s="20" t="n">
        <v>60</v>
      </c>
      <c r="J269" s="43" t="inlineStr">
        <is>
          <t>无低于1000万元标识</t>
        </is>
      </c>
      <c r="K269" s="20" t="n">
        <v>100</v>
      </c>
      <c r="L269" s="20" t="n">
        <v>100</v>
      </c>
      <c r="M269" s="44" t="n">
        <v>0.08800000000000001</v>
      </c>
      <c r="N269" s="44" t="n">
        <v>0.0488</v>
      </c>
      <c r="O269" s="45" t="n"/>
      <c r="P269" s="46" t="n">
        <v>0.02973285650439728</v>
      </c>
      <c r="Q269" s="20" t="n">
        <v>70.66</v>
      </c>
      <c r="R269" s="20" t="n">
        <v>16</v>
      </c>
      <c r="S269" s="20" t="n">
        <v>48.8</v>
      </c>
      <c r="T269" s="44" t="n">
        <v>0.8462000000000001</v>
      </c>
      <c r="U269" s="44" t="n">
        <v>0.8378</v>
      </c>
      <c r="V269" s="46" t="n">
        <v>0.8332499999999999</v>
      </c>
      <c r="W269" s="20" t="n">
        <v>84.62</v>
      </c>
      <c r="X269" s="20" t="n">
        <v>83.32499999999999</v>
      </c>
      <c r="Y269" s="20" t="n">
        <v>84.09999999999999</v>
      </c>
      <c r="Z269" s="46" t="n">
        <v>0.02329459724170792</v>
      </c>
      <c r="AA269" s="44" t="n">
        <v>0.0269</v>
      </c>
      <c r="AB269" s="46" t="n">
        <v>0.0269</v>
      </c>
      <c r="AC269" s="20" t="n">
        <v>63.07</v>
      </c>
      <c r="AD269" s="91" t="n">
        <v>3.7777</v>
      </c>
      <c r="AE269" s="46" t="n">
        <v>0.0269</v>
      </c>
      <c r="AF269" s="20" t="n">
        <v>1.105310650721088</v>
      </c>
      <c r="AG269" s="20" t="n">
        <v>61.19</v>
      </c>
      <c r="AH269" s="20" t="n">
        <v>45.59</v>
      </c>
      <c r="AI269" s="20" t="n">
        <v>54.95</v>
      </c>
      <c r="AJ269" s="46" t="n">
        <v>0.0488</v>
      </c>
      <c r="AK269" s="20" t="n">
        <v>100</v>
      </c>
      <c r="AL269" s="20" t="n">
        <v>84</v>
      </c>
      <c r="AM269" s="20" t="n">
        <v>59.39</v>
      </c>
      <c r="AN269" s="20" t="n">
        <v>63.07</v>
      </c>
      <c r="AO269" s="20" t="n">
        <v>54.95</v>
      </c>
      <c r="AP269" s="20" t="n">
        <v>100</v>
      </c>
      <c r="AQ269" s="92" t="n">
        <v>1</v>
      </c>
      <c r="AR269" s="20" t="n">
        <v>66.73005999999999</v>
      </c>
      <c r="AS269" s="20" t="n">
        <v>66.73</v>
      </c>
      <c r="AT269" s="49" t="n">
        <v>139</v>
      </c>
      <c r="AU269" s="50">
        <f>IF(I269="","管理人规模；","")&amp;IF(J269="","产品规模标识；","")&amp;IF(AND(F269&lt;3,O269=""),"R_incep；","")&amp;IF(N269="","近三年收益；","")&amp;IF(U269="","近三年胜率；","")&amp;IF(AND(V269&lt;&gt;"",OR(V269&lt;0,V269&gt;1)),"胜率窗口口径不一致；","")&amp;IF(AA269="","近三年回撤；","")&amp;IF(AD269="","短期卡玛；","")&amp;IF(AND(P269&lt;&gt;"",AE269=""),"DD_long不可识别；","")</f>
        <v/>
      </c>
      <c r="AV269" s="51" t="n">
        <v>66.73005999999999</v>
      </c>
      <c r="AW269" s="22" t="inlineStr">
        <is>
          <t>0-5亿元</t>
        </is>
      </c>
      <c r="AX269" s="22" t="inlineStr">
        <is>
          <t>2026-01-06</t>
        </is>
      </c>
      <c r="AY269" s="22" t="inlineStr">
        <is>
          <t>深圳前海溋沣资本管理有限公司</t>
        </is>
      </c>
      <c r="AZ269" s="22" t="inlineStr">
        <is>
          <t>2026-01-06</t>
        </is>
      </c>
      <c r="BA269" s="22" t="inlineStr">
        <is>
          <t>https://gs.amac.org.cn/amac-infodisc/res/pof/manager/1610131040102006.html</t>
        </is>
      </c>
      <c r="BB269" s="22" t="inlineStr">
        <is>
          <t>溋沣鸿运来星选1号私募证券投资基金</t>
        </is>
      </c>
      <c r="BC269" s="22" t="inlineStr">
        <is>
          <t>2023-05-19</t>
        </is>
      </c>
      <c r="BD269" s="22" t="inlineStr">
        <is>
          <t>已匹配</t>
        </is>
      </c>
      <c r="BE269" t="inlineStr">
        <is>
          <t>https://gs.amac.org.cn/amac-infodisc/res/pof/fund/2305191728100615.html</t>
        </is>
      </c>
      <c r="BF269" t="inlineStr">
        <is>
          <t>已核验</t>
        </is>
      </c>
    </row>
    <row r="270" hidden="1" ht="28" customHeight="1" s="73">
      <c r="A270" s="2" t="n">
        <v>282</v>
      </c>
      <c r="B270" s="18" t="inlineStr">
        <is>
          <t>鑫翰启明复合策略三期</t>
        </is>
      </c>
      <c r="C270" s="18">
        <f>'sheet4-原始数据'!B283</f>
        <v/>
      </c>
      <c r="D270" s="18" t="inlineStr">
        <is>
          <t>北京鑫翰资管</t>
        </is>
      </c>
      <c r="E270" s="90" t="inlineStr">
        <is>
          <t>2023-05-22</t>
        </is>
      </c>
      <c r="F270" s="20" t="n">
        <v>3.3183</v>
      </c>
      <c r="G270" s="2">
        <f>IF(F270="","",IF(F270&lt;1,"不入池","入池"))</f>
        <v/>
      </c>
      <c r="H270" s="42" t="inlineStr">
        <is>
          <t>0-5亿元</t>
        </is>
      </c>
      <c r="I270" s="20" t="n">
        <v>60</v>
      </c>
      <c r="J270" s="43" t="inlineStr">
        <is>
          <t>无低于1000万元标识</t>
        </is>
      </c>
      <c r="K270" s="20" t="n">
        <v>100</v>
      </c>
      <c r="L270" s="20" t="n">
        <v>100</v>
      </c>
      <c r="M270" s="44" t="n">
        <v>0.0181</v>
      </c>
      <c r="N270" s="44" t="n">
        <v>0.0517</v>
      </c>
      <c r="O270" s="45" t="n"/>
      <c r="P270" s="46" t="n">
        <v>0.06891357399651388</v>
      </c>
      <c r="Q270" s="20" t="n">
        <v>23.61</v>
      </c>
      <c r="R270" s="20" t="n">
        <v>55.5</v>
      </c>
      <c r="S270" s="20" t="n">
        <v>36.37</v>
      </c>
      <c r="T270" s="44" t="n">
        <v>0.6153999999999999</v>
      </c>
      <c r="U270" s="44" t="n">
        <v>0.6757</v>
      </c>
      <c r="V270" s="46" t="n">
        <v>0.7083624999999999</v>
      </c>
      <c r="W270" s="20" t="n">
        <v>61.53999999999999</v>
      </c>
      <c r="X270" s="20" t="n">
        <v>70.83624999999999</v>
      </c>
      <c r="Y270" s="20" t="n">
        <v>65.26000000000001</v>
      </c>
      <c r="Z270" s="46" t="n">
        <v>0.03591982536217504</v>
      </c>
      <c r="AA270" s="44" t="n">
        <v>0.0383</v>
      </c>
      <c r="AB270" s="46" t="n">
        <v>0.0383</v>
      </c>
      <c r="AC270" s="20" t="n">
        <v>52.96</v>
      </c>
      <c r="AD270" s="91" t="n">
        <v>0.5039</v>
      </c>
      <c r="AE270" s="46" t="n">
        <v>0.0383</v>
      </c>
      <c r="AF270" s="20" t="n">
        <v>1.799310026018639</v>
      </c>
      <c r="AG270" s="20" t="n">
        <v>25.17</v>
      </c>
      <c r="AH270" s="20" t="n">
        <v>61.03</v>
      </c>
      <c r="AI270" s="20" t="n">
        <v>39.51</v>
      </c>
      <c r="AJ270" s="46" t="n">
        <v>0.0517</v>
      </c>
      <c r="AK270" s="20" t="n">
        <v>80</v>
      </c>
      <c r="AL270" s="20" t="n">
        <v>84</v>
      </c>
      <c r="AM270" s="20" t="n">
        <v>45.03</v>
      </c>
      <c r="AN270" s="20" t="n">
        <v>52.96</v>
      </c>
      <c r="AO270" s="20" t="n">
        <v>39.51</v>
      </c>
      <c r="AP270" s="20" t="n">
        <v>80</v>
      </c>
      <c r="AQ270" s="92" t="n">
        <v>1</v>
      </c>
      <c r="AR270" s="20" t="n">
        <v>54.70095</v>
      </c>
      <c r="AS270" s="20" t="n">
        <v>54.7</v>
      </c>
      <c r="AT270" s="49" t="n">
        <v>197</v>
      </c>
      <c r="AU270" s="50">
        <f>IF(I270="","管理人规模；","")&amp;IF(J270="","产品规模标识；","")&amp;IF(AND(F270&lt;3,O270=""),"R_incep；","")&amp;IF(N270="","近三年收益；","")&amp;IF(U270="","近三年胜率；","")&amp;IF(AND(V270&lt;&gt;"",OR(V270&lt;0,V270&gt;1)),"胜率窗口口径不一致；","")&amp;IF(AA270="","近三年回撤；","")&amp;IF(AD270="","短期卡玛；","")&amp;IF(AND(P270&lt;&gt;"",AE270=""),"DD_long不可识别；","")</f>
        <v/>
      </c>
      <c r="AV270" s="51" t="n">
        <v>54.70095</v>
      </c>
      <c r="AW270" s="22" t="inlineStr">
        <is>
          <t>0-5亿元</t>
        </is>
      </c>
      <c r="AX270" s="22" t="inlineStr">
        <is>
          <t>2026-04-10</t>
        </is>
      </c>
      <c r="AY270" s="22" t="inlineStr">
        <is>
          <t>北京鑫翰资本管理有限公司</t>
        </is>
      </c>
      <c r="AZ270" s="22" t="inlineStr">
        <is>
          <t>2026-04-10</t>
        </is>
      </c>
      <c r="BA270" s="22" t="inlineStr">
        <is>
          <t>https://gs.amac.org.cn/amac-infodisc/res/pof/manager/1906200947105473.html</t>
        </is>
      </c>
      <c r="BB270" s="22" t="inlineStr">
        <is>
          <t>鑫翰启明复合策略三期私募证券投资基金</t>
        </is>
      </c>
      <c r="BC270" s="22" t="inlineStr">
        <is>
          <t>2024-10-08</t>
        </is>
      </c>
      <c r="BD270" s="22" t="inlineStr">
        <is>
          <t>已匹配</t>
        </is>
      </c>
      <c r="BE270" t="inlineStr">
        <is>
          <t>https://gs.amac.org.cn/amac-infodisc/res/pof/fund/2305312045104021.html</t>
        </is>
      </c>
      <c r="BF270" t="inlineStr">
        <is>
          <t>已核验</t>
        </is>
      </c>
    </row>
    <row r="271" hidden="1" ht="28" customHeight="1" s="73">
      <c r="A271" s="2" t="n">
        <v>283</v>
      </c>
      <c r="B271" s="18" t="inlineStr">
        <is>
          <t>金和至信稳健12号</t>
        </is>
      </c>
      <c r="C271" s="18">
        <f>'sheet4-原始数据'!B284</f>
        <v/>
      </c>
      <c r="D271" s="18" t="inlineStr">
        <is>
          <t>上海金和晟</t>
        </is>
      </c>
      <c r="E271" s="90" t="inlineStr">
        <is>
          <t>2023-07-20</t>
        </is>
      </c>
      <c r="F271" s="20" t="n">
        <v>3.1567</v>
      </c>
      <c r="G271" s="2">
        <f>IF(F271="","",IF(F271&lt;1,"不入池","入池"))</f>
        <v/>
      </c>
      <c r="H271" s="42" t="inlineStr">
        <is>
          <t>20-50亿元</t>
        </is>
      </c>
      <c r="I271" s="20" t="n">
        <v>90</v>
      </c>
      <c r="J271" s="43" t="inlineStr">
        <is>
          <t>无低于1000万元标识</t>
        </is>
      </c>
      <c r="K271" s="20" t="n">
        <v>100</v>
      </c>
      <c r="L271" s="20" t="n">
        <v>100</v>
      </c>
      <c r="M271" s="44" t="n">
        <v>0.03240000000000001</v>
      </c>
      <c r="N271" s="44" t="n">
        <v>0.0544</v>
      </c>
      <c r="O271" s="45" t="n"/>
      <c r="P271" s="46" t="n">
        <v>0.06557518450452293</v>
      </c>
      <c r="Q271" s="20" t="n">
        <v>32.64</v>
      </c>
      <c r="R271" s="20" t="n">
        <v>53</v>
      </c>
      <c r="S271" s="20" t="n">
        <v>40.78</v>
      </c>
      <c r="T271" s="44" t="n">
        <v>0.8462000000000001</v>
      </c>
      <c r="U271" s="44" t="n">
        <v>0.8649</v>
      </c>
      <c r="V271" s="46" t="n">
        <v>0.8750291666666667</v>
      </c>
      <c r="W271" s="20" t="n">
        <v>84.62</v>
      </c>
      <c r="X271" s="20" t="n">
        <v>87.50291666666668</v>
      </c>
      <c r="Y271" s="20" t="n">
        <v>85.77</v>
      </c>
      <c r="Z271" s="46" t="n">
        <v>0.007001166861143526</v>
      </c>
      <c r="AA271" s="44" t="n">
        <v>0.09960000000000001</v>
      </c>
      <c r="AB271" s="46" t="n">
        <v>0.09960000000000001</v>
      </c>
      <c r="AC271" s="20" t="n">
        <v>27.18</v>
      </c>
      <c r="AD271" s="91" t="n">
        <v>4.6278</v>
      </c>
      <c r="AE271" s="46" t="n">
        <v>0.09960000000000001</v>
      </c>
      <c r="AF271" s="20" t="n">
        <v>0.6583853865915956</v>
      </c>
      <c r="AG271" s="20" t="n">
        <v>65.38</v>
      </c>
      <c r="AH271" s="20" t="n">
        <v>24.26</v>
      </c>
      <c r="AI271" s="20" t="n">
        <v>48.93</v>
      </c>
      <c r="AJ271" s="46" t="n">
        <v>0.0544</v>
      </c>
      <c r="AK271" s="20" t="n">
        <v>80</v>
      </c>
      <c r="AL271" s="20" t="n">
        <v>96</v>
      </c>
      <c r="AM271" s="20" t="n">
        <v>54.28</v>
      </c>
      <c r="AN271" s="20" t="n">
        <v>27.18</v>
      </c>
      <c r="AO271" s="20" t="n">
        <v>48.93</v>
      </c>
      <c r="AP271" s="20" t="n">
        <v>80</v>
      </c>
      <c r="AQ271" s="92" t="n">
        <v>1</v>
      </c>
      <c r="AR271" s="20" t="n">
        <v>54.73075</v>
      </c>
      <c r="AS271" s="20" t="n">
        <v>54.73</v>
      </c>
      <c r="AT271" s="49" t="n">
        <v>196</v>
      </c>
      <c r="AU271" s="50">
        <f>IF(I271="","管理人规模；","")&amp;IF(J271="","产品规模标识；","")&amp;IF(AND(F271&lt;3,O271=""),"R_incep；","")&amp;IF(N271="","近三年收益；","")&amp;IF(U271="","近三年胜率；","")&amp;IF(AND(V271&lt;&gt;"",OR(V271&lt;0,V271&gt;1)),"胜率窗口口径不一致；","")&amp;IF(AA271="","近三年回撤；","")&amp;IF(AD271="","短期卡玛；","")&amp;IF(AND(P271&lt;&gt;"",AE271=""),"DD_long不可识别；","")</f>
        <v/>
      </c>
      <c r="AV271" s="51" t="n">
        <v>54.73075</v>
      </c>
      <c r="AW271" s="22" t="inlineStr">
        <is>
          <t>20-50亿元</t>
        </is>
      </c>
      <c r="AX271" s="22" t="inlineStr">
        <is>
          <t>2026-03-27</t>
        </is>
      </c>
      <c r="AY271" s="22" t="inlineStr">
        <is>
          <t>上海金和晟私募基金管理有限公司</t>
        </is>
      </c>
      <c r="AZ271" s="22" t="inlineStr">
        <is>
          <t>2026-03-27</t>
        </is>
      </c>
      <c r="BA271" s="22" t="inlineStr">
        <is>
          <t>https://gs.amac.org.cn/amac-infodisc/res/pof/manager/2010280957108370.html</t>
        </is>
      </c>
      <c r="BB271" s="22" t="inlineStr">
        <is>
          <t>金和至信稳健12号私募证券投资基金</t>
        </is>
      </c>
      <c r="BC271" s="22" t="inlineStr">
        <is>
          <t>2026-02-26</t>
        </is>
      </c>
      <c r="BD271" s="22" t="inlineStr">
        <is>
          <t>已匹配</t>
        </is>
      </c>
      <c r="BE271" t="inlineStr">
        <is>
          <t>https://gs.amac.org.cn/amac-infodisc/res/pof/fund/2308031614104375.html</t>
        </is>
      </c>
      <c r="BF271" t="inlineStr">
        <is>
          <t>已核验</t>
        </is>
      </c>
    </row>
    <row r="272" hidden="1" ht="28" customHeight="1" s="73">
      <c r="A272" s="2" t="n">
        <v>284</v>
      </c>
      <c r="B272" s="18" t="inlineStr">
        <is>
          <t>鸿儒灵活配置2期</t>
        </is>
      </c>
      <c r="C272" s="18">
        <f>'sheet4-原始数据'!B285</f>
        <v/>
      </c>
      <c r="D272" s="18" t="inlineStr">
        <is>
          <t>上海鸿儒投资</t>
        </is>
      </c>
      <c r="E272" s="90" t="inlineStr">
        <is>
          <t>2023-07-20</t>
        </is>
      </c>
      <c r="F272" s="20" t="n">
        <v>3.1567</v>
      </c>
      <c r="G272" s="2">
        <f>IF(F272="","",IF(F272&lt;1,"不入池","入池"))</f>
        <v/>
      </c>
      <c r="H272" s="42" t="inlineStr">
        <is>
          <t>0-5亿元</t>
        </is>
      </c>
      <c r="I272" s="20" t="n">
        <v>60</v>
      </c>
      <c r="J272" s="43" t="inlineStr">
        <is>
          <t>无低于1000万元标识</t>
        </is>
      </c>
      <c r="K272" s="20" t="n">
        <v>100</v>
      </c>
      <c r="L272" s="20" t="n">
        <v>100</v>
      </c>
      <c r="M272" s="44" t="n">
        <v>0.0621</v>
      </c>
      <c r="N272" s="44" t="n">
        <v>0.0265</v>
      </c>
      <c r="O272" s="45" t="n"/>
      <c r="P272" s="46" t="n">
        <v>0.009150003712266486</v>
      </c>
      <c r="Q272" s="20" t="n">
        <v>52.78</v>
      </c>
      <c r="R272" s="20" t="n">
        <v>6.5</v>
      </c>
      <c r="S272" s="20" t="n">
        <v>34.27</v>
      </c>
      <c r="T272" s="44" t="n">
        <v>0.7692</v>
      </c>
      <c r="U272" s="44" t="n">
        <v>0.8649</v>
      </c>
      <c r="V272" s="46" t="n">
        <v>0.9167375</v>
      </c>
      <c r="W272" s="20" t="n">
        <v>76.92</v>
      </c>
      <c r="X272" s="20" t="n">
        <v>91.67375</v>
      </c>
      <c r="Y272" s="20" t="n">
        <v>82.81999999999999</v>
      </c>
      <c r="Z272" s="46" t="n">
        <v>0.003818366280320964</v>
      </c>
      <c r="AA272" s="44" t="n">
        <v>0.0225</v>
      </c>
      <c r="AB272" s="46" t="n">
        <v>0.0225</v>
      </c>
      <c r="AC272" s="20" t="n">
        <v>71.43000000000001</v>
      </c>
      <c r="AD272" s="91" t="n">
        <v>16.2635</v>
      </c>
      <c r="AE272" s="46" t="n">
        <v>0.0225</v>
      </c>
      <c r="AF272" s="20" t="n">
        <v>0.4066668316562883</v>
      </c>
      <c r="AG272" s="20" t="n">
        <v>88.45999999999999</v>
      </c>
      <c r="AH272" s="20" t="n">
        <v>18.38</v>
      </c>
      <c r="AI272" s="20" t="n">
        <v>60.43</v>
      </c>
      <c r="AJ272" s="46" t="n">
        <v>0.0265</v>
      </c>
      <c r="AK272" s="20" t="n">
        <v>100</v>
      </c>
      <c r="AL272" s="20" t="n">
        <v>84</v>
      </c>
      <c r="AM272" s="20" t="n">
        <v>48.83</v>
      </c>
      <c r="AN272" s="20" t="n">
        <v>71.43000000000001</v>
      </c>
      <c r="AO272" s="20" t="n">
        <v>60.43</v>
      </c>
      <c r="AP272" s="20" t="n">
        <v>100</v>
      </c>
      <c r="AQ272" s="92" t="n">
        <v>1</v>
      </c>
      <c r="AR272" s="20" t="n">
        <v>68.35271</v>
      </c>
      <c r="AS272" s="20" t="n">
        <v>68.34999999999999</v>
      </c>
      <c r="AT272" s="49" t="n">
        <v>133</v>
      </c>
      <c r="AU272" s="50">
        <f>IF(I272="","管理人规模；","")&amp;IF(J272="","产品规模标识；","")&amp;IF(AND(F272&lt;3,O272=""),"R_incep；","")&amp;IF(N272="","近三年收益；","")&amp;IF(U272="","近三年胜率；","")&amp;IF(AND(V272&lt;&gt;"",OR(V272&lt;0,V272&gt;1)),"胜率窗口口径不一致；","")&amp;IF(AA272="","近三年回撤；","")&amp;IF(AD272="","短期卡玛；","")&amp;IF(AND(P272&lt;&gt;"",AE272=""),"DD_long不可识别；","")</f>
        <v/>
      </c>
      <c r="AV272" s="51" t="n">
        <v>68.35271</v>
      </c>
      <c r="AW272" s="22" t="inlineStr">
        <is>
          <t>0-5亿元</t>
        </is>
      </c>
      <c r="AX272" s="22" t="inlineStr">
        <is>
          <t>2026-01-30</t>
        </is>
      </c>
      <c r="AY272" s="22" t="inlineStr">
        <is>
          <t>上海鸿儒投资管理有限公司</t>
        </is>
      </c>
      <c r="AZ272" s="22" t="inlineStr">
        <is>
          <t>2026-01-30</t>
        </is>
      </c>
      <c r="BA272" s="22" t="inlineStr">
        <is>
          <t>https://gs.amac.org.cn/amac-infodisc/res/pof/manager/1912121722101881.html</t>
        </is>
      </c>
      <c r="BB272" s="22" t="inlineStr">
        <is>
          <t>鸿儒灵活配置2期私募证券投资基金</t>
        </is>
      </c>
      <c r="BC272" s="22" t="inlineStr">
        <is>
          <t>2025-05-26</t>
        </is>
      </c>
      <c r="BD272" s="22" t="inlineStr">
        <is>
          <t>已匹配</t>
        </is>
      </c>
      <c r="BE272" t="inlineStr">
        <is>
          <t>https://gs.amac.org.cn/amac-infodisc/res/pof/fund/2308031614104654.html</t>
        </is>
      </c>
      <c r="BF272" t="inlineStr">
        <is>
          <t>已核验</t>
        </is>
      </c>
    </row>
    <row r="273" hidden="1" ht="28" customHeight="1" s="73">
      <c r="A273" s="2" t="n">
        <v>285</v>
      </c>
      <c r="B273" s="18" t="inlineStr">
        <is>
          <t>博普跨市场1号A类</t>
        </is>
      </c>
      <c r="C273" s="18">
        <f>'sheet4-原始数据'!B286</f>
        <v/>
      </c>
      <c r="D273" s="18" t="inlineStr">
        <is>
          <t>深圳博普科技</t>
        </is>
      </c>
      <c r="E273" s="90" t="inlineStr">
        <is>
          <t>2016-11-21</t>
        </is>
      </c>
      <c r="F273" s="20" t="n">
        <v>9.815200000000001</v>
      </c>
      <c r="G273" s="2">
        <f>IF(F273="","",IF(F273&lt;1,"不入池","入池"))</f>
        <v/>
      </c>
      <c r="H273" s="42" t="inlineStr">
        <is>
          <t>100亿元以上</t>
        </is>
      </c>
      <c r="I273" s="20" t="n">
        <v>100</v>
      </c>
      <c r="J273" s="43" t="inlineStr">
        <is>
          <t>无低于1000万元标识</t>
        </is>
      </c>
      <c r="K273" s="20" t="n"/>
      <c r="L273" s="20" t="n">
        <v>100</v>
      </c>
      <c r="M273" s="44" t="n">
        <v>0.06</v>
      </c>
      <c r="N273" s="44" t="n">
        <v>0.0557</v>
      </c>
      <c r="O273" s="45" t="n"/>
      <c r="P273" s="46" t="n">
        <v>0.05355654570288548</v>
      </c>
      <c r="Q273" s="20" t="n">
        <v>50.35</v>
      </c>
      <c r="R273" s="20" t="n">
        <v>40</v>
      </c>
      <c r="S273" s="20" t="n">
        <v>46.21</v>
      </c>
      <c r="T273" s="44" t="n">
        <v>0.9231</v>
      </c>
      <c r="U273" s="44" t="n">
        <v>0.8649</v>
      </c>
      <c r="V273" s="46" t="n">
        <v>0.8333749999999999</v>
      </c>
      <c r="W273" s="20" t="n">
        <v>92.31</v>
      </c>
      <c r="X273" s="20" t="n">
        <v>83.33749999999999</v>
      </c>
      <c r="Y273" s="20" t="n">
        <v>88.72</v>
      </c>
      <c r="Z273" s="46" t="n">
        <v>0.006177478970832003</v>
      </c>
      <c r="AA273" s="44" t="n">
        <v>0.0355</v>
      </c>
      <c r="AB273" s="46" t="n">
        <v>0.0355</v>
      </c>
      <c r="AC273" s="20" t="n">
        <v>54.36</v>
      </c>
      <c r="AD273" s="91" t="n">
        <v>9.7127</v>
      </c>
      <c r="AE273" s="46" t="n">
        <v>0.0355</v>
      </c>
      <c r="AF273" s="20" t="n">
        <v>1.508635090222126</v>
      </c>
      <c r="AG273" s="20" t="n">
        <v>79.37</v>
      </c>
      <c r="AH273" s="20" t="n">
        <v>55.88</v>
      </c>
      <c r="AI273" s="20" t="n">
        <v>69.97</v>
      </c>
      <c r="AJ273" s="46" t="n">
        <v>0.0557</v>
      </c>
      <c r="AK273" s="20" t="n">
        <v>100</v>
      </c>
      <c r="AL273" s="20" t="n">
        <v>100</v>
      </c>
      <c r="AM273" s="20" t="n">
        <v>58.96</v>
      </c>
      <c r="AN273" s="20" t="n">
        <v>54.36</v>
      </c>
      <c r="AO273" s="20" t="n">
        <v>69.97</v>
      </c>
      <c r="AP273" s="20" t="n">
        <v>100</v>
      </c>
      <c r="AQ273" s="92" t="n">
        <v>0.955</v>
      </c>
      <c r="AR273" s="20" t="n">
        <v>66.87486</v>
      </c>
      <c r="AS273" s="20" t="n">
        <v>70.03</v>
      </c>
      <c r="AT273" s="49" t="n">
        <v>120</v>
      </c>
      <c r="AU273" s="50">
        <f>IF(I273="","管理人规模；","")&amp;IF(J273="","产品规模标识；","")&amp;IF(AND(F273&lt;3,O273=""),"R_incep；","")&amp;IF(N273="","近三年收益；","")&amp;IF(U273="","近三年胜率；","")&amp;IF(AND(V273&lt;&gt;"",OR(V273&lt;0,V273&gt;1)),"胜率窗口口径不一致；","")&amp;IF(AA273="","近三年回撤；","")&amp;IF(AD273="","短期卡玛；","")&amp;IF(AND(P273&lt;&gt;"",AE273=""),"DD_long不可识别；","")</f>
        <v/>
      </c>
      <c r="AV273" s="51" t="n"/>
      <c r="AW273" s="22" t="inlineStr">
        <is>
          <t>100亿元以上</t>
        </is>
      </c>
      <c r="AX273" s="22" t="inlineStr">
        <is>
          <t>2023-09-25</t>
        </is>
      </c>
      <c r="AY273" s="22" t="inlineStr">
        <is>
          <t>深圳博普科技有限公司 深圳博普科技有限公司</t>
        </is>
      </c>
      <c r="AZ273" s="22" t="inlineStr">
        <is>
          <t>2023-09-25</t>
        </is>
      </c>
      <c r="BA273" s="22" t="inlineStr">
        <is>
          <t>https://gs.amac.org.cn/amac-infodisc/res/pof/manager/101000001136.html</t>
        </is>
      </c>
      <c r="BB273" s="22" t="n"/>
      <c r="BC273" s="22" t="n"/>
      <c r="BD273" s="22" t="inlineStr">
        <is>
          <t>产品未匹配，管理人已按名称补录</t>
        </is>
      </c>
      <c r="BF273" t="inlineStr">
        <is>
          <t>未核验</t>
        </is>
      </c>
    </row>
    <row r="274" hidden="1" ht="28" customHeight="1" s="73">
      <c r="A274" s="2" t="n">
        <v>286</v>
      </c>
      <c r="B274" s="18" t="inlineStr">
        <is>
          <t>博益安盈精英1号A类</t>
        </is>
      </c>
      <c r="C274" s="18">
        <f>'sheet4-原始数据'!B287</f>
        <v/>
      </c>
      <c r="D274" s="18" t="inlineStr">
        <is>
          <t>深圳博益安盈</t>
        </is>
      </c>
      <c r="E274" s="90" t="inlineStr">
        <is>
          <t>2016-08-29</t>
        </is>
      </c>
      <c r="F274" s="20" t="n">
        <v>10.0452</v>
      </c>
      <c r="G274" s="2">
        <f>IF(F274="","",IF(F274&lt;1,"不入池","入池"))</f>
        <v/>
      </c>
      <c r="H274" s="42" t="inlineStr">
        <is>
          <t>5-10亿元</t>
        </is>
      </c>
      <c r="I274" s="20" t="n">
        <v>70</v>
      </c>
      <c r="J274" s="43" t="inlineStr">
        <is>
          <t>无低于1000万元标识</t>
        </is>
      </c>
      <c r="K274" s="20" t="n"/>
      <c r="L274" s="20" t="n">
        <v>100</v>
      </c>
      <c r="M274" s="44" t="n">
        <v>0.1742</v>
      </c>
      <c r="N274" s="44" t="n"/>
      <c r="O274" s="45" t="n"/>
      <c r="P274" s="46" t="n"/>
      <c r="Q274" s="20" t="n">
        <v>89.23999999999999</v>
      </c>
      <c r="R274" s="20" t="n"/>
      <c r="S274" s="20" t="n">
        <v>89.23999999999999</v>
      </c>
      <c r="T274" s="44" t="n">
        <v>0.6923</v>
      </c>
      <c r="U274" s="44" t="n"/>
      <c r="V274" s="46" t="n"/>
      <c r="W274" s="20" t="n">
        <v>69.23</v>
      </c>
      <c r="X274" s="20" t="n"/>
      <c r="Y274" s="20" t="n">
        <v>69.23</v>
      </c>
      <c r="Z274" s="46" t="n">
        <v>0.02951091836216098</v>
      </c>
      <c r="AA274" s="44" t="n"/>
      <c r="AB274" s="46" t="n">
        <v>0.02951091836216098</v>
      </c>
      <c r="AC274" s="20" t="n">
        <v>58.89</v>
      </c>
      <c r="AD274" s="91" t="n">
        <v>5.9029</v>
      </c>
      <c r="AE274" s="46" t="n"/>
      <c r="AF274" s="20" t="n"/>
      <c r="AG274" s="20" t="n">
        <v>70.28</v>
      </c>
      <c r="AH274" s="20" t="n"/>
      <c r="AI274" s="20" t="n">
        <v>70.28</v>
      </c>
      <c r="AJ274" s="46" t="n"/>
      <c r="AK274" s="20" t="n"/>
      <c r="AL274" s="20" t="n">
        <v>82.86</v>
      </c>
      <c r="AM274" s="20" t="n">
        <v>83.23999999999999</v>
      </c>
      <c r="AN274" s="20" t="n">
        <v>58.89</v>
      </c>
      <c r="AO274" s="20" t="n">
        <v>70.28</v>
      </c>
      <c r="AP274" s="20" t="n"/>
      <c r="AQ274" s="92" t="n">
        <v>0.655</v>
      </c>
      <c r="AR274" s="20" t="n">
        <v>46.06134</v>
      </c>
      <c r="AS274" s="20" t="n">
        <v>70.31999999999999</v>
      </c>
      <c r="AT274" s="49" t="n">
        <v>117</v>
      </c>
      <c r="AU274" s="50">
        <f>IF(I274="","管理人规模；","")&amp;IF(J274="","产品规模标识；","")&amp;IF(AND(F274&lt;3,O274=""),"R_incep；","")&amp;IF(N274="","近三年收益；","")&amp;IF(U274="","近三年胜率；","")&amp;IF(AND(V274&lt;&gt;"",OR(V274&lt;0,V274&gt;1)),"胜率窗口口径不一致；","")&amp;IF(AA274="","近三年回撤；","")&amp;IF(AD274="","短期卡玛；","")&amp;IF(AND(P274&lt;&gt;"",AE274=""),"DD_long不可识别；","")</f>
        <v/>
      </c>
      <c r="AV274" s="51" t="n"/>
      <c r="AW274" s="22" t="inlineStr">
        <is>
          <t>5-10亿元</t>
        </is>
      </c>
      <c r="AX274" s="22" t="inlineStr">
        <is>
          <t>2026-01-05</t>
        </is>
      </c>
      <c r="AY274" s="22" t="inlineStr">
        <is>
          <t>深圳市博益安盈私募证券投资基金管理有限公司 深圳市博益安盈私募证券投资基金管理有限公司</t>
        </is>
      </c>
      <c r="AZ274" s="22" t="inlineStr">
        <is>
          <t>2026-01-05</t>
        </is>
      </c>
      <c r="BA274" s="22" t="inlineStr">
        <is>
          <t>https://gs.amac.org.cn/amac-infodisc/res/pof/manager/101000052138.html</t>
        </is>
      </c>
      <c r="BB274" s="22" t="n"/>
      <c r="BC274" s="22" t="n"/>
      <c r="BD274" s="22" t="inlineStr">
        <is>
          <t>产品未匹配，管理人已按名称补录</t>
        </is>
      </c>
      <c r="BF274" t="inlineStr">
        <is>
          <t>未核验</t>
        </is>
      </c>
    </row>
    <row r="275" hidden="1" ht="28" customHeight="1" s="73">
      <c r="A275" s="2" t="n">
        <v>287</v>
      </c>
      <c r="B275" s="18" t="inlineStr">
        <is>
          <t>东宏启航稳健1号</t>
        </is>
      </c>
      <c r="C275" s="18">
        <f>'sheet4-原始数据'!B288</f>
        <v/>
      </c>
      <c r="D275" s="18" t="inlineStr">
        <is>
          <t>北京东宏世家资管</t>
        </is>
      </c>
      <c r="E275" s="90" t="inlineStr">
        <is>
          <t>2023-08-21</t>
        </is>
      </c>
      <c r="F275" s="20" t="n">
        <v>3.0691</v>
      </c>
      <c r="G275" s="2">
        <f>IF(F275="","",IF(F275&lt;1,"不入池","入池"))</f>
        <v/>
      </c>
      <c r="H275" s="42" t="inlineStr">
        <is>
          <t>5-10亿元</t>
        </is>
      </c>
      <c r="I275" s="20" t="n">
        <v>70</v>
      </c>
      <c r="J275" s="43" t="inlineStr">
        <is>
          <t>无低于1000万元标识</t>
        </is>
      </c>
      <c r="K275" s="20" t="n">
        <v>100</v>
      </c>
      <c r="L275" s="20" t="n">
        <v>100</v>
      </c>
      <c r="M275" s="44" t="n">
        <v>0.174</v>
      </c>
      <c r="N275" s="44" t="n">
        <v>0.08539999999999999</v>
      </c>
      <c r="O275" s="45" t="n"/>
      <c r="P275" s="46" t="n">
        <v>0.04363990697020759</v>
      </c>
      <c r="Q275" s="20" t="n">
        <v>88.89</v>
      </c>
      <c r="R275" s="20" t="n">
        <v>31.5</v>
      </c>
      <c r="S275" s="20" t="n">
        <v>65.93000000000001</v>
      </c>
      <c r="T275" s="44" t="n">
        <v>0.8462000000000001</v>
      </c>
      <c r="U275" s="44" t="n">
        <v>0.7568</v>
      </c>
      <c r="V275" s="46" t="n">
        <v>0.7083749999999999</v>
      </c>
      <c r="W275" s="20" t="n">
        <v>84.62</v>
      </c>
      <c r="X275" s="20" t="n">
        <v>70.83749999999999</v>
      </c>
      <c r="Y275" s="20" t="n">
        <v>79.11</v>
      </c>
      <c r="Z275" s="46" t="n">
        <v>0.01149812659833872</v>
      </c>
      <c r="AA275" s="44" t="n">
        <v>0.067</v>
      </c>
      <c r="AB275" s="46" t="n">
        <v>0.067</v>
      </c>
      <c r="AC275" s="20" t="n">
        <v>35.89</v>
      </c>
      <c r="AD275" s="91" t="n">
        <v>15.1329</v>
      </c>
      <c r="AE275" s="46" t="n">
        <v>0.067</v>
      </c>
      <c r="AF275" s="20" t="n">
        <v>0.6513418950777251</v>
      </c>
      <c r="AG275" s="20" t="n">
        <v>86.70999999999999</v>
      </c>
      <c r="AH275" s="20" t="n">
        <v>23.53</v>
      </c>
      <c r="AI275" s="20" t="n">
        <v>61.44</v>
      </c>
      <c r="AJ275" s="46" t="n">
        <v>0.08539999999999999</v>
      </c>
      <c r="AK275" s="20" t="n">
        <v>100</v>
      </c>
      <c r="AL275" s="20" t="n">
        <v>88</v>
      </c>
      <c r="AM275" s="20" t="n">
        <v>69.89</v>
      </c>
      <c r="AN275" s="20" t="n">
        <v>35.89</v>
      </c>
      <c r="AO275" s="20" t="n">
        <v>61.44</v>
      </c>
      <c r="AP275" s="20" t="n">
        <v>100</v>
      </c>
      <c r="AQ275" s="92" t="n">
        <v>1</v>
      </c>
      <c r="AR275" s="20" t="n">
        <v>64.58108</v>
      </c>
      <c r="AS275" s="20" t="n">
        <v>64.58</v>
      </c>
      <c r="AT275" s="49" t="n">
        <v>148</v>
      </c>
      <c r="AU275" s="50">
        <f>IF(I275="","管理人规模；","")&amp;IF(J275="","产品规模标识；","")&amp;IF(AND(F275&lt;3,O275=""),"R_incep；","")&amp;IF(N275="","近三年收益；","")&amp;IF(U275="","近三年胜率；","")&amp;IF(AND(V275&lt;&gt;"",OR(V275&lt;0,V275&gt;1)),"胜率窗口口径不一致；","")&amp;IF(AA275="","近三年回撤；","")&amp;IF(AD275="","短期卡玛；","")&amp;IF(AND(P275&lt;&gt;"",AE275=""),"DD_long不可识别；","")</f>
        <v/>
      </c>
      <c r="AV275" s="51" t="n">
        <v>64.58108</v>
      </c>
      <c r="AW275" s="22" t="inlineStr">
        <is>
          <t>5-10亿元</t>
        </is>
      </c>
      <c r="AX275" s="22" t="inlineStr">
        <is>
          <t>2026-05-29</t>
        </is>
      </c>
      <c r="AY275" s="22" t="inlineStr">
        <is>
          <t>北京东宏世家资产管理有限公司</t>
        </is>
      </c>
      <c r="AZ275" s="22" t="inlineStr">
        <is>
          <t>2026-05-29</t>
        </is>
      </c>
      <c r="BA275" s="22" t="inlineStr">
        <is>
          <t>https://gs.amac.org.cn/amac-infodisc/res/pof/manager/101000028582.html</t>
        </is>
      </c>
      <c r="BB275" s="22" t="inlineStr">
        <is>
          <t>东宏启航稳健1号私募证券投资基金</t>
        </is>
      </c>
      <c r="BC275" s="22" t="inlineStr">
        <is>
          <t>2026-07-20</t>
        </is>
      </c>
      <c r="BD275" s="22" t="inlineStr">
        <is>
          <t>已匹配</t>
        </is>
      </c>
      <c r="BE275" t="inlineStr">
        <is>
          <t>https://gs.amac.org.cn/amac-infodisc/res/pof/fund/2308251717100782.html</t>
        </is>
      </c>
      <c r="BF275" t="inlineStr">
        <is>
          <t>已核验</t>
        </is>
      </c>
    </row>
    <row r="276" hidden="1" ht="28" customHeight="1" s="73">
      <c r="A276" s="2" t="n">
        <v>288</v>
      </c>
      <c r="B276" s="18" t="inlineStr">
        <is>
          <t>慕途基本面量化2号</t>
        </is>
      </c>
      <c r="C276" s="18">
        <f>'sheet4-原始数据'!B289</f>
        <v/>
      </c>
      <c r="D276" s="18" t="inlineStr">
        <is>
          <t>慕途基金</t>
        </is>
      </c>
      <c r="E276" s="90" t="inlineStr">
        <is>
          <t>2023-08-28</t>
        </is>
      </c>
      <c r="F276" s="20" t="n">
        <v>3.05</v>
      </c>
      <c r="G276" s="2">
        <f>IF(F276="","",IF(F276&lt;1,"不入池","入池"))</f>
        <v/>
      </c>
      <c r="H276" s="42" t="inlineStr">
        <is>
          <t>10-20亿元</t>
        </is>
      </c>
      <c r="I276" s="20" t="n">
        <v>80</v>
      </c>
      <c r="J276" s="43" t="inlineStr">
        <is>
          <t>无低于1000万元标识</t>
        </is>
      </c>
      <c r="K276" s="20" t="n">
        <v>100</v>
      </c>
      <c r="L276" s="20" t="n">
        <v>100</v>
      </c>
      <c r="M276" s="44" t="n">
        <v>0.1126</v>
      </c>
      <c r="N276" s="44" t="n">
        <v>0.0953</v>
      </c>
      <c r="O276" s="45" t="n"/>
      <c r="P276" s="46" t="n">
        <v>0.08675113815936264</v>
      </c>
      <c r="Q276" s="20" t="n">
        <v>80.56</v>
      </c>
      <c r="R276" s="20" t="n">
        <v>69.5</v>
      </c>
      <c r="S276" s="20" t="n">
        <v>76.14</v>
      </c>
      <c r="T276" s="44" t="n">
        <v>0.6923</v>
      </c>
      <c r="U276" s="44" t="n">
        <v>0.7837999999999999</v>
      </c>
      <c r="V276" s="46" t="n">
        <v>0.8333624999999999</v>
      </c>
      <c r="W276" s="20" t="n">
        <v>69.23</v>
      </c>
      <c r="X276" s="20" t="n">
        <v>83.33624999999999</v>
      </c>
      <c r="Y276" s="20" t="n">
        <v>74.87</v>
      </c>
      <c r="Z276" s="46" t="n">
        <v>0.03746340165025286</v>
      </c>
      <c r="AA276" s="44" t="n">
        <v>0.0375</v>
      </c>
      <c r="AB276" s="46" t="n">
        <v>0.0375</v>
      </c>
      <c r="AC276" s="20" t="n">
        <v>53.31</v>
      </c>
      <c r="AD276" s="91" t="n">
        <v>3.0056</v>
      </c>
      <c r="AE276" s="46" t="n"/>
      <c r="AF276" s="20" t="n"/>
      <c r="AG276" s="20" t="n">
        <v>54.55</v>
      </c>
      <c r="AH276" s="20" t="n"/>
      <c r="AI276" s="20" t="n">
        <v>54.55</v>
      </c>
      <c r="AJ276" s="46" t="n">
        <v>0.0953</v>
      </c>
      <c r="AK276" s="20" t="n">
        <v>100</v>
      </c>
      <c r="AL276" s="20" t="n">
        <v>92</v>
      </c>
      <c r="AM276" s="20" t="n">
        <v>75.76000000000001</v>
      </c>
      <c r="AN276" s="20" t="n">
        <v>53.31</v>
      </c>
      <c r="AO276" s="20" t="n">
        <v>54.55</v>
      </c>
      <c r="AP276" s="20" t="n">
        <v>100</v>
      </c>
      <c r="AQ276" s="92" t="n">
        <v>0.88</v>
      </c>
      <c r="AR276" s="20" t="n">
        <v>62.09789</v>
      </c>
      <c r="AS276" s="20" t="n">
        <v>70.56999999999999</v>
      </c>
      <c r="AT276" s="49" t="n">
        <v>115</v>
      </c>
      <c r="AU276" s="50">
        <f>IF(I276="","管理人规模；","")&amp;IF(J276="","产品规模标识；","")&amp;IF(AND(F276&lt;3,O276=""),"R_incep；","")&amp;IF(N276="","近三年收益；","")&amp;IF(U276="","近三年胜率；","")&amp;IF(AND(V276&lt;&gt;"",OR(V276&lt;0,V276&gt;1)),"胜率窗口口径不一致；","")&amp;IF(AA276="","近三年回撤；","")&amp;IF(AD276="","短期卡玛；","")&amp;IF(AND(P276&lt;&gt;"",AE276=""),"DD_long不可识别；","")</f>
        <v/>
      </c>
      <c r="AV276" s="51" t="n"/>
      <c r="AW276" s="22" t="inlineStr">
        <is>
          <t>10-20亿元</t>
        </is>
      </c>
      <c r="AX276" s="22" t="inlineStr">
        <is>
          <t>2026-06-12</t>
        </is>
      </c>
      <c r="AY276" s="22" t="inlineStr">
        <is>
          <t>上海慕途私募基金管理有限公司</t>
        </is>
      </c>
      <c r="AZ276" s="22" t="inlineStr">
        <is>
          <t>2026-06-12</t>
        </is>
      </c>
      <c r="BA276" s="22" t="inlineStr">
        <is>
          <t>https://gs.amac.org.cn/amac-infodisc/res/pof/manager/2106221238106983.html</t>
        </is>
      </c>
      <c r="BB276" s="22" t="inlineStr">
        <is>
          <t>慕途基本面量化2号私募证券投资基金</t>
        </is>
      </c>
      <c r="BC276" s="22" t="inlineStr">
        <is>
          <t>2026-07-22</t>
        </is>
      </c>
      <c r="BD276" s="22" t="inlineStr">
        <is>
          <t>已匹配</t>
        </is>
      </c>
      <c r="BE276" t="inlineStr">
        <is>
          <t>https://gs.amac.org.cn/amac-infodisc/res/pof/fund/2309061045105511.html</t>
        </is>
      </c>
      <c r="BF276" t="inlineStr">
        <is>
          <t>已核验</t>
        </is>
      </c>
    </row>
    <row r="277" hidden="1" ht="28" customHeight="1" s="73">
      <c r="A277" s="2" t="n">
        <v>289</v>
      </c>
      <c r="B277" s="18" t="inlineStr">
        <is>
          <t>金和至信稳健13号</t>
        </is>
      </c>
      <c r="C277" s="18">
        <f>'sheet4-原始数据'!B290</f>
        <v/>
      </c>
      <c r="D277" s="18" t="inlineStr">
        <is>
          <t>上海金和晟</t>
        </is>
      </c>
      <c r="E277" s="90" t="inlineStr">
        <is>
          <t>2023-09-12</t>
        </is>
      </c>
      <c r="F277" s="20" t="n">
        <v>3.0089</v>
      </c>
      <c r="G277" s="2">
        <f>IF(F277="","",IF(F277&lt;1,"不入池","入池"))</f>
        <v/>
      </c>
      <c r="H277" s="42" t="inlineStr">
        <is>
          <t>20-50亿元</t>
        </is>
      </c>
      <c r="I277" s="20" t="n">
        <v>90</v>
      </c>
      <c r="J277" s="43" t="inlineStr">
        <is>
          <t>无低于1000万元标识</t>
        </is>
      </c>
      <c r="K277" s="20" t="n">
        <v>100</v>
      </c>
      <c r="L277" s="20" t="n">
        <v>100</v>
      </c>
      <c r="M277" s="44" t="n">
        <v>0.08500000000000001</v>
      </c>
      <c r="N277" s="44" t="n"/>
      <c r="O277" s="45" t="n"/>
      <c r="P277" s="46" t="n"/>
      <c r="Q277" s="20" t="n">
        <v>68.23</v>
      </c>
      <c r="R277" s="20" t="n"/>
      <c r="S277" s="20" t="n">
        <v>68.23</v>
      </c>
      <c r="T277" s="44" t="n">
        <v>0.6923</v>
      </c>
      <c r="U277" s="44" t="n"/>
      <c r="V277" s="46" t="n"/>
      <c r="W277" s="20" t="n">
        <v>69.23</v>
      </c>
      <c r="X277" s="20" t="n"/>
      <c r="Y277" s="20" t="n">
        <v>69.23</v>
      </c>
      <c r="Z277" s="46" t="n">
        <v>0.02944334753541862</v>
      </c>
      <c r="AA277" s="44" t="n"/>
      <c r="AB277" s="46" t="n">
        <v>0.02944334753541862</v>
      </c>
      <c r="AC277" s="20" t="n">
        <v>59.23</v>
      </c>
      <c r="AD277" s="91" t="n">
        <v>2.8869</v>
      </c>
      <c r="AE277" s="46" t="n"/>
      <c r="AF277" s="20" t="n"/>
      <c r="AG277" s="20" t="n">
        <v>53.85</v>
      </c>
      <c r="AH277" s="20" t="n"/>
      <c r="AI277" s="20" t="n">
        <v>53.85</v>
      </c>
      <c r="AJ277" s="46" t="n"/>
      <c r="AK277" s="20" t="n"/>
      <c r="AL277" s="20" t="n">
        <v>96</v>
      </c>
      <c r="AM277" s="20" t="n">
        <v>68.53</v>
      </c>
      <c r="AN277" s="20" t="n">
        <v>59.23</v>
      </c>
      <c r="AO277" s="20" t="n">
        <v>53.85</v>
      </c>
      <c r="AP277" s="20" t="n"/>
      <c r="AQ277" s="92" t="n">
        <v>0.7</v>
      </c>
      <c r="AR277" s="20" t="n">
        <v>47.1241</v>
      </c>
      <c r="AS277" s="20" t="n">
        <v>67.31999999999999</v>
      </c>
      <c r="AT277" s="49" t="n">
        <v>135</v>
      </c>
      <c r="AU277" s="50">
        <f>IF(I277="","管理人规模；","")&amp;IF(J277="","产品规模标识；","")&amp;IF(AND(F277&lt;3,O277=""),"R_incep；","")&amp;IF(N277="","近三年收益；","")&amp;IF(U277="","近三年胜率；","")&amp;IF(AND(V277&lt;&gt;"",OR(V277&lt;0,V277&gt;1)),"胜率窗口口径不一致；","")&amp;IF(AA277="","近三年回撤；","")&amp;IF(AD277="","短期卡玛；","")&amp;IF(AND(P277&lt;&gt;"",AE277=""),"DD_long不可识别；","")</f>
        <v/>
      </c>
      <c r="AV277" s="51" t="n"/>
      <c r="AW277" s="22" t="inlineStr">
        <is>
          <t>20-50亿元</t>
        </is>
      </c>
      <c r="AX277" s="22" t="inlineStr">
        <is>
          <t>2026-03-27</t>
        </is>
      </c>
      <c r="AY277" s="22" t="inlineStr">
        <is>
          <t>上海金和晟私募基金管理有限公司</t>
        </is>
      </c>
      <c r="AZ277" s="22" t="inlineStr">
        <is>
          <t>2026-03-27</t>
        </is>
      </c>
      <c r="BA277" s="22" t="inlineStr">
        <is>
          <t>https://gs.amac.org.cn/amac-infodisc/res/pof/manager/2010280957108370.html</t>
        </is>
      </c>
      <c r="BB277" s="22" t="inlineStr">
        <is>
          <t>金和至信稳健13号私募证券投资基金</t>
        </is>
      </c>
      <c r="BC277" s="22" t="inlineStr">
        <is>
          <t>2026-09-14</t>
        </is>
      </c>
      <c r="BD277" s="22" t="inlineStr">
        <is>
          <t>已匹配</t>
        </is>
      </c>
      <c r="BE277" t="inlineStr">
        <is>
          <t>https://gs.amac.org.cn/amac-infodisc/res/pof/fund/2309201921101838.html</t>
        </is>
      </c>
      <c r="BF277" t="inlineStr">
        <is>
          <t>已核验</t>
        </is>
      </c>
    </row>
    <row r="278" hidden="1" ht="28" customHeight="1" s="73">
      <c r="A278" s="2" t="n">
        <v>290</v>
      </c>
      <c r="B278" s="18" t="inlineStr">
        <is>
          <t>量宇进取1号</t>
        </is>
      </c>
      <c r="C278" s="18">
        <f>'sheet4-原始数据'!B291</f>
        <v/>
      </c>
      <c r="D278" s="18" t="inlineStr">
        <is>
          <t>上海量宇</t>
        </is>
      </c>
      <c r="E278" s="90" t="inlineStr">
        <is>
          <t>2023-12-13</t>
        </is>
      </c>
      <c r="F278" s="20" t="n">
        <v>2.757</v>
      </c>
      <c r="G278" s="2">
        <f>IF(F278="","",IF(F278&lt;1,"不入池","入池"))</f>
        <v/>
      </c>
      <c r="H278" s="42" t="inlineStr">
        <is>
          <t>20-50亿元</t>
        </is>
      </c>
      <c r="I278" s="20" t="n">
        <v>90</v>
      </c>
      <c r="J278" s="43" t="inlineStr">
        <is>
          <t>无低于1000万元标识</t>
        </is>
      </c>
      <c r="K278" s="20" t="n">
        <v>100</v>
      </c>
      <c r="L278" s="20" t="n">
        <v>70</v>
      </c>
      <c r="M278" s="44" t="n">
        <v>-0.0183</v>
      </c>
      <c r="N278" s="44" t="n"/>
      <c r="O278" s="45" t="n"/>
      <c r="P278" s="46" t="n"/>
      <c r="Q278" s="20" t="n">
        <v>11.81</v>
      </c>
      <c r="R278" s="20" t="n"/>
      <c r="S278" s="20" t="n">
        <v>11.81</v>
      </c>
      <c r="T278" s="44" t="n">
        <v>0.6923</v>
      </c>
      <c r="U278" s="44" t="n"/>
      <c r="V278" s="46" t="n"/>
      <c r="W278" s="20" t="n">
        <v>69.23</v>
      </c>
      <c r="X278" s="20" t="n"/>
      <c r="Y278" s="20" t="n">
        <v>69.23</v>
      </c>
      <c r="Z278" s="46" t="n">
        <v>0.2828438948995364</v>
      </c>
      <c r="AA278" s="44" t="n"/>
      <c r="AB278" s="46" t="n">
        <v>0.2828438948995364</v>
      </c>
      <c r="AC278" s="20" t="n">
        <v>5.23</v>
      </c>
      <c r="AD278" s="91" t="n">
        <v>-0.06469999999999999</v>
      </c>
      <c r="AE278" s="46" t="n"/>
      <c r="AF278" s="20" t="n"/>
      <c r="AG278" s="20" t="n">
        <v>15.73</v>
      </c>
      <c r="AH278" s="20" t="n"/>
      <c r="AI278" s="20" t="n">
        <v>15.73</v>
      </c>
      <c r="AJ278" s="46" t="n"/>
      <c r="AK278" s="20" t="n"/>
      <c r="AL278" s="20" t="n">
        <v>87</v>
      </c>
      <c r="AM278" s="20" t="n">
        <v>29.04</v>
      </c>
      <c r="AN278" s="20" t="n">
        <v>5.23</v>
      </c>
      <c r="AO278" s="20" t="n">
        <v>15.73</v>
      </c>
      <c r="AP278" s="20" t="n"/>
      <c r="AQ278" s="92" t="n">
        <v>0.7</v>
      </c>
      <c r="AR278" s="20" t="n">
        <v>20.67322</v>
      </c>
      <c r="AS278" s="20" t="n">
        <v>29.53</v>
      </c>
      <c r="AT278" s="49" t="n">
        <v>297</v>
      </c>
      <c r="AU278" s="50">
        <f>IF(I278="","管理人规模；","")&amp;IF(J278="","产品规模标识；","")&amp;IF(AND(F278&lt;3,O278=""),"R_incep；","")&amp;IF(N278="","近三年收益；","")&amp;IF(U278="","近三年胜率；","")&amp;IF(AND(V278&lt;&gt;"",OR(V278&lt;0,V278&gt;1)),"胜率窗口口径不一致；","")&amp;IF(AA278="","近三年回撤；","")&amp;IF(AD278="","短期卡玛；","")&amp;IF(AND(P278&lt;&gt;"",AE278=""),"DD_long不可识别；","")</f>
        <v/>
      </c>
      <c r="AV278" s="51" t="n"/>
      <c r="AW278" s="22" t="inlineStr">
        <is>
          <t>20-50亿元</t>
        </is>
      </c>
      <c r="AX278" s="22" t="inlineStr">
        <is>
          <t>2025-10-28</t>
        </is>
      </c>
      <c r="AY278" s="22" t="inlineStr">
        <is>
          <t>上海量宇私募基金管理有限公司</t>
        </is>
      </c>
      <c r="AZ278" s="22" t="inlineStr">
        <is>
          <t>2025-10-28</t>
        </is>
      </c>
      <c r="BA278" s="22" t="inlineStr">
        <is>
          <t>https://gs.amac.org.cn/amac-infodisc/res/pof/manager/1706281152106855.html</t>
        </is>
      </c>
      <c r="BB278" s="22" t="inlineStr">
        <is>
          <t>量宇进取1号私募证券投资基金</t>
        </is>
      </c>
      <c r="BC278" s="22" t="inlineStr">
        <is>
          <t>2026-04-23</t>
        </is>
      </c>
      <c r="BD278" s="22" t="inlineStr">
        <is>
          <t>已匹配</t>
        </is>
      </c>
      <c r="BE278" t="inlineStr">
        <is>
          <t>https://gs.amac.org.cn/amac-infodisc/res/pof/fund/2312121626109681.html</t>
        </is>
      </c>
      <c r="BF278" t="inlineStr">
        <is>
          <t>已核验</t>
        </is>
      </c>
    </row>
    <row r="279" hidden="1" ht="28" customHeight="1" s="73">
      <c r="A279" s="2" t="n">
        <v>291</v>
      </c>
      <c r="B279" s="18" t="inlineStr">
        <is>
          <t>野牛稳进2号</t>
        </is>
      </c>
      <c r="C279" s="18">
        <f>'sheet4-原始数据'!B292</f>
        <v/>
      </c>
      <c r="D279" s="18" t="inlineStr">
        <is>
          <t>福建野牛资管</t>
        </is>
      </c>
      <c r="E279" s="90" t="inlineStr">
        <is>
          <t>2024-01-23</t>
        </is>
      </c>
      <c r="F279" s="20" t="n">
        <v>2.6448</v>
      </c>
      <c r="G279" s="2">
        <f>IF(F279="","",IF(F279&lt;1,"不入池","入池"))</f>
        <v/>
      </c>
      <c r="H279" s="42" t="inlineStr">
        <is>
          <t>0-5亿元</t>
        </is>
      </c>
      <c r="I279" s="20" t="n">
        <v>60</v>
      </c>
      <c r="J279" s="43" t="inlineStr">
        <is>
          <t>无低于1000万元标识</t>
        </is>
      </c>
      <c r="K279" s="20" t="n">
        <v>100</v>
      </c>
      <c r="L279" s="20" t="n">
        <v>70</v>
      </c>
      <c r="M279" s="44" t="n">
        <v>0.0453</v>
      </c>
      <c r="N279" s="44" t="n"/>
      <c r="O279" s="45" t="n"/>
      <c r="P279" s="46" t="n"/>
      <c r="Q279" s="20" t="n">
        <v>42.19</v>
      </c>
      <c r="R279" s="20" t="n"/>
      <c r="S279" s="20" t="n">
        <v>42.19</v>
      </c>
      <c r="T279" s="44" t="n">
        <v>0.6153999999999999</v>
      </c>
      <c r="U279" s="44" t="n"/>
      <c r="V279" s="46" t="n"/>
      <c r="W279" s="20" t="n">
        <v>61.53999999999999</v>
      </c>
      <c r="X279" s="20" t="n"/>
      <c r="Y279" s="20" t="n">
        <v>61.53999999999999</v>
      </c>
      <c r="Z279" s="46" t="n">
        <v>0.02701735551977098</v>
      </c>
      <c r="AA279" s="44" t="n"/>
      <c r="AB279" s="46" t="n">
        <v>0.02701735551977098</v>
      </c>
      <c r="AC279" s="20" t="n">
        <v>62.72</v>
      </c>
      <c r="AD279" s="91" t="n">
        <v>1.6767</v>
      </c>
      <c r="AE279" s="46" t="n"/>
      <c r="AF279" s="20" t="n"/>
      <c r="AG279" s="20" t="n">
        <v>43.01</v>
      </c>
      <c r="AH279" s="20" t="n"/>
      <c r="AI279" s="20" t="n">
        <v>43.01</v>
      </c>
      <c r="AJ279" s="46" t="n"/>
      <c r="AK279" s="20" t="n"/>
      <c r="AL279" s="20" t="n">
        <v>75</v>
      </c>
      <c r="AM279" s="20" t="n">
        <v>48</v>
      </c>
      <c r="AN279" s="20" t="n">
        <v>62.72</v>
      </c>
      <c r="AO279" s="20" t="n">
        <v>43.01</v>
      </c>
      <c r="AP279" s="20" t="n"/>
      <c r="AQ279" s="92" t="n">
        <v>0.7</v>
      </c>
      <c r="AR279" s="20" t="n">
        <v>40.4312</v>
      </c>
      <c r="AS279" s="20" t="n">
        <v>57.76</v>
      </c>
      <c r="AT279" s="49" t="n">
        <v>184</v>
      </c>
      <c r="AU279" s="50">
        <f>IF(I279="","管理人规模；","")&amp;IF(J279="","产品规模标识；","")&amp;IF(AND(F279&lt;3,O279=""),"R_incep；","")&amp;IF(N279="","近三年收益；","")&amp;IF(U279="","近三年胜率；","")&amp;IF(AND(V279&lt;&gt;"",OR(V279&lt;0,V279&gt;1)),"胜率窗口口径不一致；","")&amp;IF(AA279="","近三年回撤；","")&amp;IF(AD279="","短期卡玛；","")&amp;IF(AND(P279&lt;&gt;"",AE279=""),"DD_long不可识别；","")</f>
        <v/>
      </c>
      <c r="AV279" s="51" t="n"/>
      <c r="AW279" s="22" t="inlineStr">
        <is>
          <t>0-5亿元</t>
        </is>
      </c>
      <c r="AX279" s="22" t="inlineStr">
        <is>
          <t>2026-03-06</t>
        </is>
      </c>
      <c r="AY279" s="22" t="inlineStr">
        <is>
          <t>福建野牛资产管理有限公司</t>
        </is>
      </c>
      <c r="AZ279" s="22" t="inlineStr">
        <is>
          <t>2026-03-06</t>
        </is>
      </c>
      <c r="BA279" s="22" t="inlineStr">
        <is>
          <t>https://gs.amac.org.cn/amac-infodisc/res/pof/manager/101000032872.html</t>
        </is>
      </c>
      <c r="BB279" s="22" t="inlineStr">
        <is>
          <t>野牛稳进2号私募证券投资基金</t>
        </is>
      </c>
      <c r="BC279" s="22" t="inlineStr">
        <is>
          <t>2025-04-23</t>
        </is>
      </c>
      <c r="BD279" s="22" t="inlineStr">
        <is>
          <t>已匹配</t>
        </is>
      </c>
      <c r="BE279" t="inlineStr">
        <is>
          <t>https://gs.amac.org.cn/amac-infodisc/res/pof/fund/2401261627102833.html</t>
        </is>
      </c>
      <c r="BF279" t="inlineStr">
        <is>
          <t>已核验</t>
        </is>
      </c>
    </row>
    <row r="280" hidden="1" ht="28" customHeight="1" s="73">
      <c r="A280" s="2" t="n">
        <v>292</v>
      </c>
      <c r="B280" s="18" t="inlineStr">
        <is>
          <t>毅远稳健套利3号</t>
        </is>
      </c>
      <c r="C280" s="18">
        <f>'sheet4-原始数据'!B293</f>
        <v/>
      </c>
      <c r="D280" s="18" t="inlineStr">
        <is>
          <t>上海毅远</t>
        </is>
      </c>
      <c r="E280" s="90" t="inlineStr">
        <is>
          <t>2024-01-23</t>
        </is>
      </c>
      <c r="F280" s="20" t="n">
        <v>2.6448</v>
      </c>
      <c r="G280" s="2">
        <f>IF(F280="","",IF(F280&lt;1,"不入池","入池"))</f>
        <v/>
      </c>
      <c r="H280" s="42" t="inlineStr">
        <is>
          <t>10-20亿元</t>
        </is>
      </c>
      <c r="I280" s="20" t="n">
        <v>80</v>
      </c>
      <c r="J280" s="43" t="inlineStr">
        <is>
          <t>无低于1000万元标识</t>
        </is>
      </c>
      <c r="K280" s="20" t="n">
        <v>100</v>
      </c>
      <c r="L280" s="20" t="n">
        <v>70</v>
      </c>
      <c r="M280" s="44" t="n">
        <v>-0.0983</v>
      </c>
      <c r="N280" s="44" t="n"/>
      <c r="O280" s="45" t="n"/>
      <c r="P280" s="46" t="n"/>
      <c r="Q280" s="20" t="n">
        <v>4.17</v>
      </c>
      <c r="R280" s="20" t="n"/>
      <c r="S280" s="20" t="n">
        <v>4.17</v>
      </c>
      <c r="T280" s="44" t="n">
        <v>0.3846</v>
      </c>
      <c r="U280" s="44" t="n"/>
      <c r="V280" s="46" t="n"/>
      <c r="W280" s="20" t="n">
        <v>38.46</v>
      </c>
      <c r="X280" s="20" t="n"/>
      <c r="Y280" s="20" t="n">
        <v>38.46</v>
      </c>
      <c r="Z280" s="46" t="n">
        <v>0.2594352071786751</v>
      </c>
      <c r="AA280" s="44" t="n"/>
      <c r="AB280" s="46" t="n">
        <v>0.2594352071786751</v>
      </c>
      <c r="AC280" s="20" t="n">
        <v>6.62</v>
      </c>
      <c r="AD280" s="91" t="n">
        <v>-0.3789</v>
      </c>
      <c r="AE280" s="46" t="n"/>
      <c r="AF280" s="20" t="n"/>
      <c r="AG280" s="20" t="n">
        <v>8.039999999999999</v>
      </c>
      <c r="AH280" s="20" t="n"/>
      <c r="AI280" s="20" t="n">
        <v>8.039999999999999</v>
      </c>
      <c r="AJ280" s="46" t="n"/>
      <c r="AK280" s="20" t="n"/>
      <c r="AL280" s="20" t="n">
        <v>83</v>
      </c>
      <c r="AM280" s="20" t="n">
        <v>14.46</v>
      </c>
      <c r="AN280" s="20" t="n">
        <v>6.62</v>
      </c>
      <c r="AO280" s="20" t="n">
        <v>8.039999999999999</v>
      </c>
      <c r="AP280" s="20" t="n"/>
      <c r="AQ280" s="92" t="n">
        <v>0.7</v>
      </c>
      <c r="AR280" s="20" t="n">
        <v>17.28704</v>
      </c>
      <c r="AS280" s="20" t="n">
        <v>24.7</v>
      </c>
      <c r="AT280" s="49" t="n">
        <v>308</v>
      </c>
      <c r="AU280" s="50">
        <f>IF(I280="","管理人规模；","")&amp;IF(J280="","产品规模标识；","")&amp;IF(AND(F280&lt;3,O280=""),"R_incep；","")&amp;IF(N280="","近三年收益；","")&amp;IF(U280="","近三年胜率；","")&amp;IF(AND(V280&lt;&gt;"",OR(V280&lt;0,V280&gt;1)),"胜率窗口口径不一致；","")&amp;IF(AA280="","近三年回撤；","")&amp;IF(AD280="","短期卡玛；","")&amp;IF(AND(P280&lt;&gt;"",AE280=""),"DD_long不可识别；","")</f>
        <v/>
      </c>
      <c r="AV280" s="51" t="n"/>
      <c r="AW280" s="22" t="inlineStr">
        <is>
          <t>10-20亿元</t>
        </is>
      </c>
      <c r="AX280" s="22" t="inlineStr">
        <is>
          <t>2025-12-01</t>
        </is>
      </c>
      <c r="AY280" s="22" t="inlineStr">
        <is>
          <t>上海毅远私募基金管理有限公司</t>
        </is>
      </c>
      <c r="AZ280" s="22" t="inlineStr">
        <is>
          <t>2025-12-01</t>
        </is>
      </c>
      <c r="BA280" s="22" t="inlineStr">
        <is>
          <t>https://gs.amac.org.cn/amac-infodisc/res/pof/manager/2112091706105909.html</t>
        </is>
      </c>
      <c r="BB280" s="22" t="inlineStr">
        <is>
          <t>毅远稳健套利3号私募证券投资基金</t>
        </is>
      </c>
      <c r="BC280" s="22" t="inlineStr">
        <is>
          <t>2024-01-26</t>
        </is>
      </c>
      <c r="BD280" s="22" t="inlineStr">
        <is>
          <t>已匹配</t>
        </is>
      </c>
      <c r="BE280" t="inlineStr">
        <is>
          <t>https://gs.amac.org.cn/amac-infodisc/res/pof/fund/2401261627102402.html</t>
        </is>
      </c>
      <c r="BF280" t="inlineStr">
        <is>
          <t>已核验</t>
        </is>
      </c>
    </row>
    <row r="281" hidden="1" ht="28" customHeight="1" s="73">
      <c r="A281" s="2" t="n">
        <v>293</v>
      </c>
      <c r="B281" s="18" t="inlineStr">
        <is>
          <t>翎涵容克套利二号</t>
        </is>
      </c>
      <c r="C281" s="18">
        <f>'sheet4-原始数据'!B294</f>
        <v/>
      </c>
      <c r="D281" s="18" t="inlineStr">
        <is>
          <t>上海翎涵</t>
        </is>
      </c>
      <c r="E281" s="90" t="inlineStr">
        <is>
          <t>2024-01-24</t>
        </is>
      </c>
      <c r="F281" s="20" t="n">
        <v>2.642</v>
      </c>
      <c r="G281" s="2">
        <f>IF(F281="","",IF(F281&lt;1,"不入池","入池"))</f>
        <v/>
      </c>
      <c r="H281" s="42" t="inlineStr">
        <is>
          <t>0-5亿元</t>
        </is>
      </c>
      <c r="I281" s="20" t="n">
        <v>60</v>
      </c>
      <c r="J281" s="43" t="inlineStr">
        <is>
          <t>无低于1000万元标识</t>
        </is>
      </c>
      <c r="K281" s="20" t="n">
        <v>100</v>
      </c>
      <c r="L281" s="20" t="n">
        <v>70</v>
      </c>
      <c r="M281" s="44" t="n">
        <v>0.0578</v>
      </c>
      <c r="N281" s="44" t="n"/>
      <c r="O281" s="45" t="n"/>
      <c r="P281" s="46" t="n"/>
      <c r="Q281" s="20" t="n">
        <v>49.31</v>
      </c>
      <c r="R281" s="20" t="n"/>
      <c r="S281" s="20" t="n">
        <v>49.31</v>
      </c>
      <c r="T281" s="44" t="n">
        <v>0.6923</v>
      </c>
      <c r="U281" s="44" t="n"/>
      <c r="V281" s="46" t="n"/>
      <c r="W281" s="20" t="n">
        <v>69.23</v>
      </c>
      <c r="X281" s="20" t="n"/>
      <c r="Y281" s="20" t="n">
        <v>69.23</v>
      </c>
      <c r="Z281" s="46" t="n">
        <v>0.01108065103617507</v>
      </c>
      <c r="AA281" s="44" t="n"/>
      <c r="AB281" s="46" t="n">
        <v>0.01108065103617507</v>
      </c>
      <c r="AC281" s="20" t="n">
        <v>84.31999999999999</v>
      </c>
      <c r="AD281" s="91" t="n">
        <v>5.2163</v>
      </c>
      <c r="AE281" s="46" t="n"/>
      <c r="AF281" s="20" t="n"/>
      <c r="AG281" s="20" t="n">
        <v>66.43000000000001</v>
      </c>
      <c r="AH281" s="20" t="n"/>
      <c r="AI281" s="20" t="n">
        <v>66.43000000000001</v>
      </c>
      <c r="AJ281" s="46" t="n"/>
      <c r="AK281" s="20" t="n"/>
      <c r="AL281" s="20" t="n">
        <v>75</v>
      </c>
      <c r="AM281" s="20" t="n">
        <v>55.29</v>
      </c>
      <c r="AN281" s="20" t="n">
        <v>84.31999999999999</v>
      </c>
      <c r="AO281" s="20" t="n">
        <v>66.43000000000001</v>
      </c>
      <c r="AP281" s="20" t="n"/>
      <c r="AQ281" s="92" t="n">
        <v>0.7</v>
      </c>
      <c r="AR281" s="20" t="n">
        <v>50.92172</v>
      </c>
      <c r="AS281" s="20" t="n">
        <v>72.75</v>
      </c>
      <c r="AT281" s="49" t="n">
        <v>101</v>
      </c>
      <c r="AU281" s="50">
        <f>IF(I281="","管理人规模；","")&amp;IF(J281="","产品规模标识；","")&amp;IF(AND(F281&lt;3,O281=""),"R_incep；","")&amp;IF(N281="","近三年收益；","")&amp;IF(U281="","近三年胜率；","")&amp;IF(AND(V281&lt;&gt;"",OR(V281&lt;0,V281&gt;1)),"胜率窗口口径不一致；","")&amp;IF(AA281="","近三年回撤；","")&amp;IF(AD281="","短期卡玛；","")&amp;IF(AND(P281&lt;&gt;"",AE281=""),"DD_long不可识别；","")</f>
        <v/>
      </c>
      <c r="AV281" s="51" t="n"/>
      <c r="AW281" s="22" t="inlineStr">
        <is>
          <t>0-5亿元</t>
        </is>
      </c>
      <c r="AX281" s="22" t="inlineStr">
        <is>
          <t>2026-05-21</t>
        </is>
      </c>
      <c r="AY281" s="22" t="inlineStr">
        <is>
          <t>上海翎涵私募基金管理有限公司</t>
        </is>
      </c>
      <c r="AZ281" s="22" t="inlineStr">
        <is>
          <t>2026-05-21</t>
        </is>
      </c>
      <c r="BA281" s="22" t="inlineStr">
        <is>
          <t>https://gs.amac.org.cn/amac-infodisc/res/pof/manager/2204201120100789.html</t>
        </is>
      </c>
      <c r="BB281" s="22" t="inlineStr">
        <is>
          <t>翎涵容克套利二号私募证券投资基金</t>
        </is>
      </c>
      <c r="BC281" s="22" t="inlineStr">
        <is>
          <t>2026-07-10</t>
        </is>
      </c>
      <c r="BD281" s="22" t="inlineStr">
        <is>
          <t>已匹配</t>
        </is>
      </c>
      <c r="BE281" t="inlineStr">
        <is>
          <t>https://gs.amac.org.cn/amac-infodisc/res/pof/fund/2402021439101587.html</t>
        </is>
      </c>
      <c r="BF281" t="inlineStr">
        <is>
          <t>已核验</t>
        </is>
      </c>
    </row>
    <row r="282" hidden="1" ht="28" customHeight="1" s="73">
      <c r="A282" s="2" t="n">
        <v>294</v>
      </c>
      <c r="B282" s="18" t="inlineStr">
        <is>
          <t>兆信股指期货期权套利1号A类</t>
        </is>
      </c>
      <c r="C282" s="18">
        <f>'sheet4-原始数据'!B295</f>
        <v/>
      </c>
      <c r="D282" s="18" t="inlineStr">
        <is>
          <t>江苏兆信</t>
        </is>
      </c>
      <c r="E282" s="90" t="inlineStr">
        <is>
          <t>2022-10-13</t>
        </is>
      </c>
      <c r="F282" s="20" t="n">
        <v>3.9233</v>
      </c>
      <c r="G282" s="2">
        <f>IF(F282="","",IF(F282&lt;1,"不入池","入池"))</f>
        <v/>
      </c>
      <c r="H282" s="42" t="inlineStr">
        <is>
          <t>20-50亿元</t>
        </is>
      </c>
      <c r="I282" s="20" t="n">
        <v>90</v>
      </c>
      <c r="J282" s="43" t="inlineStr">
        <is>
          <t>无低于1000万元标识</t>
        </is>
      </c>
      <c r="K282" s="20" t="n"/>
      <c r="L282" s="20" t="n">
        <v>100</v>
      </c>
      <c r="M282" s="44" t="n">
        <v>0.04019999999999999</v>
      </c>
      <c r="N282" s="44" t="n">
        <v>0.08259999999999999</v>
      </c>
      <c r="O282" s="45" t="n"/>
      <c r="P282" s="46" t="n">
        <v>0.1044437691436146</v>
      </c>
      <c r="Q282" s="20" t="n">
        <v>38.54</v>
      </c>
      <c r="R282" s="20" t="n">
        <v>74.5</v>
      </c>
      <c r="S282" s="20" t="n">
        <v>52.92</v>
      </c>
      <c r="T282" s="44" t="n">
        <v>0.3846</v>
      </c>
      <c r="U282" s="44" t="n">
        <v>0.7027</v>
      </c>
      <c r="V282" s="46" t="n">
        <v>0.8750041666666667</v>
      </c>
      <c r="W282" s="20" t="n">
        <v>38.46</v>
      </c>
      <c r="X282" s="20" t="n">
        <v>87.50041666666667</v>
      </c>
      <c r="Y282" s="20" t="n">
        <v>58.08</v>
      </c>
      <c r="Z282" s="46" t="n">
        <v>0.03715685368333486</v>
      </c>
      <c r="AA282" s="44" t="n">
        <v>0.0405</v>
      </c>
      <c r="AB282" s="46" t="n">
        <v>0.0405</v>
      </c>
      <c r="AC282" s="20" t="n">
        <v>51.57</v>
      </c>
      <c r="AD282" s="91" t="n">
        <v>1.0819</v>
      </c>
      <c r="AE282" s="46" t="n">
        <v>0.0405</v>
      </c>
      <c r="AF282" s="20" t="n">
        <v>2.578858497373201</v>
      </c>
      <c r="AG282" s="20" t="n">
        <v>35.66</v>
      </c>
      <c r="AH282" s="20" t="n">
        <v>72.06</v>
      </c>
      <c r="AI282" s="20" t="n">
        <v>50.22</v>
      </c>
      <c r="AJ282" s="46" t="n">
        <v>0.08259999999999999</v>
      </c>
      <c r="AK282" s="20" t="n">
        <v>80</v>
      </c>
      <c r="AL282" s="20" t="n">
        <v>94.29000000000001</v>
      </c>
      <c r="AM282" s="20" t="n">
        <v>54.47</v>
      </c>
      <c r="AN282" s="20" t="n">
        <v>51.57</v>
      </c>
      <c r="AO282" s="20" t="n">
        <v>50.22</v>
      </c>
      <c r="AP282" s="20" t="n">
        <v>80</v>
      </c>
      <c r="AQ282" s="92" t="n">
        <v>0.955</v>
      </c>
      <c r="AR282" s="20" t="n">
        <v>56.75243</v>
      </c>
      <c r="AS282" s="20" t="n">
        <v>59.43</v>
      </c>
      <c r="AT282" s="49" t="n">
        <v>174</v>
      </c>
      <c r="AU282" s="50">
        <f>IF(I282="","管理人规模；","")&amp;IF(J282="","产品规模标识；","")&amp;IF(AND(F282&lt;3,O282=""),"R_incep；","")&amp;IF(N282="","近三年收益；","")&amp;IF(U282="","近三年胜率；","")&amp;IF(AND(V282&lt;&gt;"",OR(V282&lt;0,V282&gt;1)),"胜率窗口口径不一致；","")&amp;IF(AA282="","近三年回撤；","")&amp;IF(AD282="","短期卡玛；","")&amp;IF(AND(P282&lt;&gt;"",AE282=""),"DD_long不可识别；","")</f>
        <v/>
      </c>
      <c r="AV282" s="51" t="n"/>
      <c r="AW282" s="22" t="inlineStr">
        <is>
          <t>20-50亿元</t>
        </is>
      </c>
      <c r="AX282" s="22" t="inlineStr">
        <is>
          <t>2026-04-17</t>
        </is>
      </c>
      <c r="AY282" s="22" t="inlineStr">
        <is>
          <t>江苏兆信私募基金管理有限公司 江苏兆信私募基金管理有限公司</t>
        </is>
      </c>
      <c r="AZ282" s="22" t="inlineStr">
        <is>
          <t>2026-04-17</t>
        </is>
      </c>
      <c r="BA282" s="22" t="inlineStr">
        <is>
          <t>https://gs.amac.org.cn/amac-infodisc/res/pof/manager/101000002312.html</t>
        </is>
      </c>
      <c r="BB282" s="22" t="n"/>
      <c r="BC282" s="22" t="n"/>
      <c r="BD282" s="22" t="inlineStr">
        <is>
          <t>产品未匹配，管理人已按名称补录</t>
        </is>
      </c>
      <c r="BF282" t="inlineStr">
        <is>
          <t>未核验</t>
        </is>
      </c>
    </row>
    <row r="283" hidden="1" ht="28" customHeight="1" s="73">
      <c r="A283" s="2" t="n">
        <v>295</v>
      </c>
      <c r="B283" s="18" t="inlineStr">
        <is>
          <t>巨量边界周周开2号</t>
        </is>
      </c>
      <c r="C283" s="18">
        <f>'sheet4-原始数据'!B296</f>
        <v/>
      </c>
      <c r="D283" s="18" t="inlineStr">
        <is>
          <t>北京巨量边界</t>
        </is>
      </c>
      <c r="E283" s="90" t="inlineStr">
        <is>
          <t>2024-04-02</t>
        </is>
      </c>
      <c r="F283" s="20" t="n">
        <v>2.4531</v>
      </c>
      <c r="G283" s="2">
        <f>IF(F283="","",IF(F283&lt;1,"不入池","入池"))</f>
        <v/>
      </c>
      <c r="H283" s="42" t="inlineStr">
        <is>
          <t>20-50亿元</t>
        </is>
      </c>
      <c r="I283" s="20" t="n">
        <v>90</v>
      </c>
      <c r="J283" s="43" t="inlineStr">
        <is>
          <t>无低于1000万元标识</t>
        </is>
      </c>
      <c r="K283" s="20" t="n">
        <v>100</v>
      </c>
      <c r="L283" s="20" t="n">
        <v>70</v>
      </c>
      <c r="M283" s="44" t="n">
        <v>0.1637</v>
      </c>
      <c r="N283" s="44" t="n"/>
      <c r="O283" s="45" t="n"/>
      <c r="P283" s="46" t="n"/>
      <c r="Q283" s="20" t="n">
        <v>88.19</v>
      </c>
      <c r="R283" s="20" t="n"/>
      <c r="S283" s="20" t="n">
        <v>88.19</v>
      </c>
      <c r="T283" s="44" t="n">
        <v>0.5385</v>
      </c>
      <c r="U283" s="44" t="n"/>
      <c r="V283" s="46" t="n"/>
      <c r="W283" s="20" t="n">
        <v>53.84999999999999</v>
      </c>
      <c r="X283" s="20" t="n"/>
      <c r="Y283" s="20" t="n">
        <v>53.84999999999999</v>
      </c>
      <c r="Z283" s="46" t="n">
        <v>0.3561018055253427</v>
      </c>
      <c r="AA283" s="44" t="n"/>
      <c r="AB283" s="46" t="n">
        <v>0.3561018055253427</v>
      </c>
      <c r="AC283" s="20" t="n">
        <v>1.39</v>
      </c>
      <c r="AD283" s="91" t="n">
        <v>0.4597</v>
      </c>
      <c r="AE283" s="46" t="n"/>
      <c r="AF283" s="20" t="n"/>
      <c r="AG283" s="20" t="n">
        <v>24.48</v>
      </c>
      <c r="AH283" s="20" t="n"/>
      <c r="AI283" s="20" t="n">
        <v>24.48</v>
      </c>
      <c r="AJ283" s="46" t="n"/>
      <c r="AK283" s="20" t="n"/>
      <c r="AL283" s="20" t="n">
        <v>87</v>
      </c>
      <c r="AM283" s="20" t="n">
        <v>77.89</v>
      </c>
      <c r="AN283" s="20" t="n">
        <v>1.39</v>
      </c>
      <c r="AO283" s="20" t="n">
        <v>24.48</v>
      </c>
      <c r="AP283" s="20" t="n"/>
      <c r="AQ283" s="92" t="n">
        <v>0.7</v>
      </c>
      <c r="AR283" s="20" t="n">
        <v>27.15046</v>
      </c>
      <c r="AS283" s="20" t="n">
        <v>38.79</v>
      </c>
      <c r="AT283" s="49" t="n">
        <v>275</v>
      </c>
      <c r="AU283" s="50">
        <f>IF(I283="","管理人规模；","")&amp;IF(J283="","产品规模标识；","")&amp;IF(AND(F283&lt;3,O283=""),"R_incep；","")&amp;IF(N283="","近三年收益；","")&amp;IF(U283="","近三年胜率；","")&amp;IF(AND(V283&lt;&gt;"",OR(V283&lt;0,V283&gt;1)),"胜率窗口口径不一致；","")&amp;IF(AA283="","近三年回撤；","")&amp;IF(AD283="","短期卡玛；","")&amp;IF(AND(P283&lt;&gt;"",AE283=""),"DD_long不可识别；","")</f>
        <v/>
      </c>
      <c r="AV283" s="51" t="n"/>
      <c r="AW283" s="22" t="inlineStr">
        <is>
          <t>20-50亿元</t>
        </is>
      </c>
      <c r="AX283" s="22" t="inlineStr">
        <is>
          <t>2025-05-07</t>
        </is>
      </c>
      <c r="AY283" s="22" t="inlineStr">
        <is>
          <t>北京巨量边界私募基金管理有限公司</t>
        </is>
      </c>
      <c r="AZ283" s="22" t="inlineStr">
        <is>
          <t>2025-05-07</t>
        </is>
      </c>
      <c r="BA283" s="22" t="inlineStr">
        <is>
          <t>https://gs.amac.org.cn/amac-infodisc/res/pof/manager/2107271706122405.html</t>
        </is>
      </c>
      <c r="BB283" s="22" t="inlineStr">
        <is>
          <t>巨量边界周周开2号私募证券投资基金</t>
        </is>
      </c>
      <c r="BC283" s="22" t="inlineStr">
        <is>
          <t>2024-12-16</t>
        </is>
      </c>
      <c r="BD283" s="22" t="inlineStr">
        <is>
          <t>已匹配</t>
        </is>
      </c>
      <c r="BE283" t="inlineStr">
        <is>
          <t>https://gs.amac.org.cn/amac-infodisc/res/pof/fund/2404091602104237.html</t>
        </is>
      </c>
      <c r="BF283" t="inlineStr">
        <is>
          <t>已核验</t>
        </is>
      </c>
    </row>
    <row r="284" hidden="1" ht="28" customHeight="1" s="73">
      <c r="A284" s="2" t="n">
        <v>296</v>
      </c>
      <c r="B284" s="18" t="inlineStr">
        <is>
          <t>展弘-朝熠稳健1号</t>
        </is>
      </c>
      <c r="C284" s="18">
        <f>'sheet4-原始数据'!B297</f>
        <v/>
      </c>
      <c r="D284" s="18" t="inlineStr">
        <is>
          <t>上海展弘投资</t>
        </is>
      </c>
      <c r="E284" s="90" t="inlineStr">
        <is>
          <t>2024-06-03</t>
        </is>
      </c>
      <c r="F284" s="20" t="n">
        <v>2.2834</v>
      </c>
      <c r="G284" s="2">
        <f>IF(F284="","",IF(F284&lt;1,"不入池","入池"))</f>
        <v/>
      </c>
      <c r="H284" s="42" t="inlineStr">
        <is>
          <t>100亿元以上</t>
        </is>
      </c>
      <c r="I284" s="20" t="n">
        <v>100</v>
      </c>
      <c r="J284" s="43" t="inlineStr">
        <is>
          <t>无低于1000万元标识</t>
        </is>
      </c>
      <c r="K284" s="20" t="n">
        <v>100</v>
      </c>
      <c r="L284" s="20" t="n">
        <v>70</v>
      </c>
      <c r="M284" s="44" t="n">
        <v>0.0245</v>
      </c>
      <c r="N284" s="44" t="n"/>
      <c r="O284" s="45" t="n"/>
      <c r="P284" s="46" t="n"/>
      <c r="Q284" s="20" t="n">
        <v>26.39</v>
      </c>
      <c r="R284" s="20" t="n"/>
      <c r="S284" s="20" t="n">
        <v>26.39</v>
      </c>
      <c r="T284" s="44" t="n">
        <v>0.3846</v>
      </c>
      <c r="U284" s="44" t="n"/>
      <c r="V284" s="46" t="n"/>
      <c r="W284" s="20" t="n">
        <v>38.46</v>
      </c>
      <c r="X284" s="20" t="n"/>
      <c r="Y284" s="20" t="n">
        <v>38.46</v>
      </c>
      <c r="Z284" s="46" t="n">
        <v>0.01153103967618958</v>
      </c>
      <c r="AA284" s="44" t="n"/>
      <c r="AB284" s="46" t="n">
        <v>0.01153103967618958</v>
      </c>
      <c r="AC284" s="20" t="n">
        <v>83.97</v>
      </c>
      <c r="AD284" s="91" t="n">
        <v>2.1247</v>
      </c>
      <c r="AE284" s="46" t="n"/>
      <c r="AF284" s="20" t="n"/>
      <c r="AG284" s="20" t="n">
        <v>48.6</v>
      </c>
      <c r="AH284" s="20" t="n"/>
      <c r="AI284" s="20" t="n">
        <v>48.6</v>
      </c>
      <c r="AJ284" s="46" t="n"/>
      <c r="AK284" s="20" t="n"/>
      <c r="AL284" s="20" t="n">
        <v>91</v>
      </c>
      <c r="AM284" s="20" t="n">
        <v>30.01</v>
      </c>
      <c r="AN284" s="20" t="n">
        <v>83.97</v>
      </c>
      <c r="AO284" s="20" t="n">
        <v>48.6</v>
      </c>
      <c r="AP284" s="20" t="n"/>
      <c r="AQ284" s="92" t="n">
        <v>0.7</v>
      </c>
      <c r="AR284" s="20" t="n">
        <v>46.99182</v>
      </c>
      <c r="AS284" s="20" t="n">
        <v>67.13</v>
      </c>
      <c r="AT284" s="49" t="n">
        <v>136</v>
      </c>
      <c r="AU284" s="50">
        <f>IF(I284="","管理人规模；","")&amp;IF(J284="","产品规模标识；","")&amp;IF(AND(F284&lt;3,O284=""),"R_incep；","")&amp;IF(N284="","近三年收益；","")&amp;IF(U284="","近三年胜率；","")&amp;IF(AND(V284&lt;&gt;"",OR(V284&lt;0,V284&gt;1)),"胜率窗口口径不一致；","")&amp;IF(AA284="","近三年回撤；","")&amp;IF(AD284="","短期卡玛；","")&amp;IF(AND(P284&lt;&gt;"",AE284=""),"DD_long不可识别；","")</f>
        <v/>
      </c>
      <c r="AV284" s="51" t="n"/>
      <c r="AW284" s="22" t="inlineStr">
        <is>
          <t>100亿元以上</t>
        </is>
      </c>
      <c r="AX284" s="22" t="inlineStr">
        <is>
          <t>2025-10-24</t>
        </is>
      </c>
      <c r="AY284" s="22" t="inlineStr">
        <is>
          <t>上海展弘投资管理有限公司</t>
        </is>
      </c>
      <c r="AZ284" s="22" t="inlineStr">
        <is>
          <t>2025-10-24</t>
        </is>
      </c>
      <c r="BA284" s="22" t="inlineStr">
        <is>
          <t>https://gs.amac.org.cn/amac-infodisc/res/pof/manager/101000019470.html</t>
        </is>
      </c>
      <c r="BB284" s="22" t="inlineStr">
        <is>
          <t>展弘-朝熠稳健1号私募证券投资基金</t>
        </is>
      </c>
      <c r="BC284" s="22" t="inlineStr">
        <is>
          <t>2024-11-29</t>
        </is>
      </c>
      <c r="BD284" s="22" t="inlineStr">
        <is>
          <t>已匹配</t>
        </is>
      </c>
      <c r="BE284" t="inlineStr">
        <is>
          <t>https://gs.amac.org.cn/amac-infodisc/res/pof/fund/2406041456102076.html</t>
        </is>
      </c>
      <c r="BF284" t="inlineStr">
        <is>
          <t>已核验</t>
        </is>
      </c>
    </row>
    <row r="285" hidden="1" ht="28" customHeight="1" s="73">
      <c r="A285" s="2" t="n">
        <v>297</v>
      </c>
      <c r="B285" s="18" t="inlineStr">
        <is>
          <t>英旷专享2号</t>
        </is>
      </c>
      <c r="C285" s="18">
        <f>'sheet4-原始数据'!B298</f>
        <v/>
      </c>
      <c r="D285" s="18" t="inlineStr">
        <is>
          <t>上海英旷资管</t>
        </is>
      </c>
      <c r="E285" s="90" t="inlineStr">
        <is>
          <t>2024-05-29</t>
        </is>
      </c>
      <c r="F285" s="20" t="n">
        <v>2.2971</v>
      </c>
      <c r="G285" s="2">
        <f>IF(F285="","",IF(F285&lt;1,"不入池","入池"))</f>
        <v/>
      </c>
      <c r="H285" s="42" t="inlineStr">
        <is>
          <t>10-20亿元</t>
        </is>
      </c>
      <c r="I285" s="20" t="n">
        <v>80</v>
      </c>
      <c r="J285" s="43" t="inlineStr">
        <is>
          <t>无低于1000万元标识</t>
        </is>
      </c>
      <c r="K285" s="20" t="n">
        <v>100</v>
      </c>
      <c r="L285" s="20" t="n">
        <v>70</v>
      </c>
      <c r="M285" s="44" t="n">
        <v>0.0788</v>
      </c>
      <c r="N285" s="44" t="n"/>
      <c r="O285" s="45" t="n"/>
      <c r="P285" s="46" t="n"/>
      <c r="Q285" s="20" t="n">
        <v>65.45</v>
      </c>
      <c r="R285" s="20" t="n"/>
      <c r="S285" s="20" t="n">
        <v>65.45</v>
      </c>
      <c r="T285" s="44" t="n">
        <v>0.8462000000000001</v>
      </c>
      <c r="U285" s="44" t="n"/>
      <c r="V285" s="46" t="n"/>
      <c r="W285" s="20" t="n">
        <v>84.62</v>
      </c>
      <c r="X285" s="20" t="n"/>
      <c r="Y285" s="20" t="n">
        <v>84.62</v>
      </c>
      <c r="Z285" s="46" t="n">
        <v>0.004846725385031737</v>
      </c>
      <c r="AA285" s="44" t="n"/>
      <c r="AB285" s="46" t="n">
        <v>0.004846725385031737</v>
      </c>
      <c r="AC285" s="20" t="n">
        <v>93.73</v>
      </c>
      <c r="AD285" s="91" t="n">
        <v>16.2584</v>
      </c>
      <c r="AE285" s="46" t="n"/>
      <c r="AF285" s="20" t="n"/>
      <c r="AG285" s="20" t="n">
        <v>88.11</v>
      </c>
      <c r="AH285" s="20" t="n"/>
      <c r="AI285" s="20" t="n">
        <v>88.11</v>
      </c>
      <c r="AJ285" s="46" t="n"/>
      <c r="AK285" s="20" t="n"/>
      <c r="AL285" s="20" t="n">
        <v>83</v>
      </c>
      <c r="AM285" s="20" t="n">
        <v>71.2</v>
      </c>
      <c r="AN285" s="20" t="n">
        <v>93.73</v>
      </c>
      <c r="AO285" s="20" t="n">
        <v>88.11</v>
      </c>
      <c r="AP285" s="20" t="n"/>
      <c r="AQ285" s="92" t="n">
        <v>0.7</v>
      </c>
      <c r="AR285" s="20" t="n">
        <v>60.28642</v>
      </c>
      <c r="AS285" s="20" t="n">
        <v>86.12</v>
      </c>
      <c r="AT285" s="49" t="n">
        <v>26</v>
      </c>
      <c r="AU285" s="50">
        <f>IF(I285="","管理人规模；","")&amp;IF(J285="","产品规模标识；","")&amp;IF(AND(F285&lt;3,O285=""),"R_incep；","")&amp;IF(N285="","近三年收益；","")&amp;IF(U285="","近三年胜率；","")&amp;IF(AND(V285&lt;&gt;"",OR(V285&lt;0,V285&gt;1)),"胜率窗口口径不一致；","")&amp;IF(AA285="","近三年回撤；","")&amp;IF(AD285="","短期卡玛；","")&amp;IF(AND(P285&lt;&gt;"",AE285=""),"DD_long不可识别；","")</f>
        <v/>
      </c>
      <c r="AV285" s="51" t="n"/>
      <c r="AW285" s="22" t="inlineStr">
        <is>
          <t>10-20亿元</t>
        </is>
      </c>
      <c r="AX285" s="22" t="inlineStr">
        <is>
          <t>2026-01-06</t>
        </is>
      </c>
      <c r="AY285" s="22" t="inlineStr">
        <is>
          <t>英旷资产管理（上海）有限公司</t>
        </is>
      </c>
      <c r="AZ285" s="22" t="inlineStr">
        <is>
          <t>2026-01-06</t>
        </is>
      </c>
      <c r="BA285" s="22" t="inlineStr">
        <is>
          <t>https://gs.amac.org.cn/amac-infodisc/res/pof/manager/2009261701109105.html</t>
        </is>
      </c>
      <c r="BB285" s="22" t="inlineStr">
        <is>
          <t>英旷专享2号私募证券投资基金</t>
        </is>
      </c>
      <c r="BC285" s="22" t="inlineStr">
        <is>
          <t>2024-06-11</t>
        </is>
      </c>
      <c r="BD285" s="22" t="inlineStr">
        <is>
          <t>已匹配</t>
        </is>
      </c>
      <c r="BE285" t="inlineStr">
        <is>
          <t>https://gs.amac.org.cn/amac-infodisc/res/pof/fund/2406111146106143.html</t>
        </is>
      </c>
      <c r="BF285" t="inlineStr">
        <is>
          <t>已核验</t>
        </is>
      </c>
    </row>
    <row r="286" hidden="1" ht="28" customHeight="1" s="73">
      <c r="A286" s="2" t="n">
        <v>298</v>
      </c>
      <c r="B286" s="18" t="inlineStr">
        <is>
          <t>英旷专享2号A类</t>
        </is>
      </c>
      <c r="C286" s="18">
        <f>'sheet4-原始数据'!B299</f>
        <v/>
      </c>
      <c r="D286" s="18" t="inlineStr">
        <is>
          <t>上海英旷资管</t>
        </is>
      </c>
      <c r="E286" s="90" t="inlineStr">
        <is>
          <t>2024-05-29</t>
        </is>
      </c>
      <c r="F286" s="20" t="n">
        <v>2.2971</v>
      </c>
      <c r="G286" s="2">
        <f>IF(F286="","",IF(F286&lt;1,"不入池","入池"))</f>
        <v/>
      </c>
      <c r="H286" s="42" t="inlineStr">
        <is>
          <t>10-20亿元</t>
        </is>
      </c>
      <c r="I286" s="20" t="n">
        <v>80</v>
      </c>
      <c r="J286" s="43" t="inlineStr">
        <is>
          <t>无低于1000万元标识</t>
        </is>
      </c>
      <c r="K286" s="20" t="n"/>
      <c r="L286" s="20" t="n">
        <v>70</v>
      </c>
      <c r="M286" s="44" t="n">
        <v>0.0788</v>
      </c>
      <c r="N286" s="44" t="n"/>
      <c r="O286" s="45" t="n"/>
      <c r="P286" s="46" t="n"/>
      <c r="Q286" s="20" t="n">
        <v>65.45</v>
      </c>
      <c r="R286" s="20" t="n"/>
      <c r="S286" s="20" t="n">
        <v>65.45</v>
      </c>
      <c r="T286" s="44" t="n">
        <v>0.8462000000000001</v>
      </c>
      <c r="U286" s="44" t="n"/>
      <c r="V286" s="46" t="n"/>
      <c r="W286" s="20" t="n">
        <v>84.62</v>
      </c>
      <c r="X286" s="20" t="n"/>
      <c r="Y286" s="20" t="n">
        <v>84.62</v>
      </c>
      <c r="Z286" s="46" t="n">
        <v>0.004757333719715767</v>
      </c>
      <c r="AA286" s="44" t="n"/>
      <c r="AB286" s="46" t="n">
        <v>0.004757333719715767</v>
      </c>
      <c r="AC286" s="20" t="n">
        <v>94.08</v>
      </c>
      <c r="AD286" s="91" t="n">
        <v>16.5639</v>
      </c>
      <c r="AE286" s="46" t="n"/>
      <c r="AF286" s="20" t="n"/>
      <c r="AG286" s="20" t="n">
        <v>89.51000000000001</v>
      </c>
      <c r="AH286" s="20" t="n"/>
      <c r="AI286" s="20" t="n">
        <v>89.51000000000001</v>
      </c>
      <c r="AJ286" s="46" t="n"/>
      <c r="AK286" s="20" t="n"/>
      <c r="AL286" s="20" t="n">
        <v>75.70999999999999</v>
      </c>
      <c r="AM286" s="20" t="n">
        <v>71.2</v>
      </c>
      <c r="AN286" s="20" t="n">
        <v>94.08</v>
      </c>
      <c r="AO286" s="20" t="n">
        <v>89.51000000000001</v>
      </c>
      <c r="AP286" s="20" t="n"/>
      <c r="AQ286" s="92" t="n">
        <v>0.655</v>
      </c>
      <c r="AR286" s="20" t="n">
        <v>56.12592</v>
      </c>
      <c r="AS286" s="20" t="n">
        <v>85.69</v>
      </c>
      <c r="AT286" s="49" t="n">
        <v>27</v>
      </c>
      <c r="AU286" s="50">
        <f>IF(I286="","管理人规模；","")&amp;IF(J286="","产品规模标识；","")&amp;IF(AND(F286&lt;3,O286=""),"R_incep；","")&amp;IF(N286="","近三年收益；","")&amp;IF(U286="","近三年胜率；","")&amp;IF(AND(V286&lt;&gt;"",OR(V286&lt;0,V286&gt;1)),"胜率窗口口径不一致；","")&amp;IF(AA286="","近三年回撤；","")&amp;IF(AD286="","短期卡玛；","")&amp;IF(AND(P286&lt;&gt;"",AE286=""),"DD_long不可识别；","")</f>
        <v/>
      </c>
      <c r="AV286" s="51" t="n"/>
      <c r="AW286" s="22" t="inlineStr">
        <is>
          <t>10-20亿元</t>
        </is>
      </c>
      <c r="AX286" s="22" t="inlineStr">
        <is>
          <t>2026-01-06</t>
        </is>
      </c>
      <c r="AY286" s="22" t="inlineStr">
        <is>
          <t>英旷资产管理（上海）有限公司 英旷资产管理（上海）有限公司</t>
        </is>
      </c>
      <c r="AZ286" s="22" t="inlineStr">
        <is>
          <t>2026-01-06</t>
        </is>
      </c>
      <c r="BA286" s="22" t="inlineStr">
        <is>
          <t>https://gs.amac.org.cn/amac-infodisc/res/pof/manager/2009261701109105.html</t>
        </is>
      </c>
      <c r="BB286" s="22" t="n"/>
      <c r="BC286" s="22" t="n"/>
      <c r="BD286" s="22" t="inlineStr">
        <is>
          <t>产品未匹配，管理人已按名称补录</t>
        </is>
      </c>
      <c r="BF286" t="inlineStr">
        <is>
          <t>未核验</t>
        </is>
      </c>
    </row>
    <row r="287" hidden="1" ht="28" customHeight="1" s="73">
      <c r="A287" s="2" t="n">
        <v>299</v>
      </c>
      <c r="B287" s="18" t="inlineStr">
        <is>
          <t>毅远稳健套利8号</t>
        </is>
      </c>
      <c r="C287" s="18">
        <f>'sheet4-原始数据'!B300</f>
        <v/>
      </c>
      <c r="D287" s="18" t="inlineStr">
        <is>
          <t>上海毅远</t>
        </is>
      </c>
      <c r="E287" s="90" t="inlineStr">
        <is>
          <t>2024-07-03</t>
        </is>
      </c>
      <c r="F287" s="20" t="n">
        <v>2.2012</v>
      </c>
      <c r="G287" s="2">
        <f>IF(F287="","",IF(F287&lt;1,"不入池","入池"))</f>
        <v/>
      </c>
      <c r="H287" s="42" t="inlineStr">
        <is>
          <t>10-20亿元</t>
        </is>
      </c>
      <c r="I287" s="20" t="n">
        <v>80</v>
      </c>
      <c r="J287" s="43" t="inlineStr">
        <is>
          <t>无低于1000万元标识</t>
        </is>
      </c>
      <c r="K287" s="20" t="n">
        <v>100</v>
      </c>
      <c r="L287" s="20" t="n">
        <v>70</v>
      </c>
      <c r="M287" s="44" t="n">
        <v>-0.0365</v>
      </c>
      <c r="N287" s="44" t="n"/>
      <c r="O287" s="45" t="n"/>
      <c r="P287" s="46" t="n"/>
      <c r="Q287" s="20" t="n">
        <v>9.720000000000001</v>
      </c>
      <c r="R287" s="20" t="n"/>
      <c r="S287" s="20" t="n">
        <v>9.720000000000001</v>
      </c>
      <c r="T287" s="44" t="n">
        <v>0.4615</v>
      </c>
      <c r="U287" s="44" t="n"/>
      <c r="V287" s="46" t="n"/>
      <c r="W287" s="20" t="n">
        <v>46.15</v>
      </c>
      <c r="X287" s="20" t="n"/>
      <c r="Y287" s="20" t="n">
        <v>46.15</v>
      </c>
      <c r="Z287" s="46" t="n">
        <v>0.2200120554550934</v>
      </c>
      <c r="AA287" s="44" t="n"/>
      <c r="AB287" s="46" t="n">
        <v>0.2200120554550934</v>
      </c>
      <c r="AC287" s="20" t="n">
        <v>9.06</v>
      </c>
      <c r="AD287" s="91" t="n">
        <v>-0.1659</v>
      </c>
      <c r="AE287" s="46" t="n"/>
      <c r="AF287" s="20" t="n"/>
      <c r="AG287" s="20" t="n">
        <v>12.94</v>
      </c>
      <c r="AH287" s="20" t="n"/>
      <c r="AI287" s="20" t="n">
        <v>12.94</v>
      </c>
      <c r="AJ287" s="46" t="n"/>
      <c r="AK287" s="20" t="n"/>
      <c r="AL287" s="20" t="n">
        <v>83</v>
      </c>
      <c r="AM287" s="20" t="n">
        <v>20.65</v>
      </c>
      <c r="AN287" s="20" t="n">
        <v>9.06</v>
      </c>
      <c r="AO287" s="20" t="n">
        <v>12.94</v>
      </c>
      <c r="AP287" s="20" t="n"/>
      <c r="AQ287" s="92" t="n">
        <v>0.7</v>
      </c>
      <c r="AR287" s="20" t="n">
        <v>19.52208</v>
      </c>
      <c r="AS287" s="20" t="n">
        <v>27.89</v>
      </c>
      <c r="AT287" s="49" t="n">
        <v>304</v>
      </c>
      <c r="AU287" s="50">
        <f>IF(I287="","管理人规模；","")&amp;IF(J287="","产品规模标识；","")&amp;IF(AND(F287&lt;3,O287=""),"R_incep；","")&amp;IF(N287="","近三年收益；","")&amp;IF(U287="","近三年胜率；","")&amp;IF(AND(V287&lt;&gt;"",OR(V287&lt;0,V287&gt;1)),"胜率窗口口径不一致；","")&amp;IF(AA287="","近三年回撤；","")&amp;IF(AD287="","短期卡玛；","")&amp;IF(AND(P287&lt;&gt;"",AE287=""),"DD_long不可识别；","")</f>
        <v/>
      </c>
      <c r="AV287" s="51" t="n"/>
      <c r="AW287" s="22" t="inlineStr">
        <is>
          <t>10-20亿元</t>
        </is>
      </c>
      <c r="AX287" s="22" t="inlineStr">
        <is>
          <t>2025-12-01</t>
        </is>
      </c>
      <c r="AY287" s="22" t="inlineStr">
        <is>
          <t>上海毅远私募基金管理有限公司</t>
        </is>
      </c>
      <c r="AZ287" s="22" t="inlineStr">
        <is>
          <t>2025-12-01</t>
        </is>
      </c>
      <c r="BA287" s="22" t="inlineStr">
        <is>
          <t>https://gs.amac.org.cn/amac-infodisc/res/pof/manager/2112091706105909.html</t>
        </is>
      </c>
      <c r="BB287" s="22" t="inlineStr">
        <is>
          <t>毅远稳健套利8号私募证券投资基金</t>
        </is>
      </c>
      <c r="BC287" s="22" t="inlineStr">
        <is>
          <t>2025-10-29</t>
        </is>
      </c>
      <c r="BD287" s="22" t="inlineStr">
        <is>
          <t>已匹配</t>
        </is>
      </c>
      <c r="BE287" t="inlineStr">
        <is>
          <t>https://gs.amac.org.cn/amac-infodisc/res/pof/fund/2407181355107082.html</t>
        </is>
      </c>
      <c r="BF287" t="inlineStr">
        <is>
          <t>已核验</t>
        </is>
      </c>
    </row>
    <row r="288" hidden="1" ht="28" customHeight="1" s="73">
      <c r="A288" s="2" t="n">
        <v>300</v>
      </c>
      <c r="B288" s="18" t="inlineStr">
        <is>
          <t>鑫翰启明贵金属套利1号</t>
        </is>
      </c>
      <c r="C288" s="18">
        <f>'sheet4-原始数据'!B301</f>
        <v/>
      </c>
      <c r="D288" s="18" t="inlineStr">
        <is>
          <t>北京鑫翰资管</t>
        </is>
      </c>
      <c r="E288" s="90" t="inlineStr">
        <is>
          <t>2024-07-12</t>
        </is>
      </c>
      <c r="F288" s="20" t="n">
        <v>2.1766</v>
      </c>
      <c r="G288" s="2">
        <f>IF(F288="","",IF(F288&lt;1,"不入池","入池"))</f>
        <v/>
      </c>
      <c r="H288" s="42" t="inlineStr">
        <is>
          <t>0-5亿元</t>
        </is>
      </c>
      <c r="I288" s="20" t="n">
        <v>60</v>
      </c>
      <c r="J288" s="43" t="inlineStr">
        <is>
          <t>无低于1000万元标识</t>
        </is>
      </c>
      <c r="K288" s="20" t="n">
        <v>100</v>
      </c>
      <c r="L288" s="20" t="n">
        <v>70</v>
      </c>
      <c r="M288" s="44" t="n">
        <v>0.0323</v>
      </c>
      <c r="N288" s="44" t="n"/>
      <c r="O288" s="45" t="n"/>
      <c r="P288" s="46" t="n"/>
      <c r="Q288" s="20" t="n">
        <v>32.29</v>
      </c>
      <c r="R288" s="20" t="n"/>
      <c r="S288" s="20" t="n">
        <v>32.29</v>
      </c>
      <c r="T288" s="44" t="n">
        <v>0.5385</v>
      </c>
      <c r="U288" s="44" t="n"/>
      <c r="V288" s="46" t="n"/>
      <c r="W288" s="20" t="n">
        <v>53.84999999999999</v>
      </c>
      <c r="X288" s="20" t="n"/>
      <c r="Y288" s="20" t="n">
        <v>53.84999999999999</v>
      </c>
      <c r="Z288" s="46" t="n">
        <v>0.0412094922174024</v>
      </c>
      <c r="AA288" s="44" t="n"/>
      <c r="AB288" s="46" t="n">
        <v>0.0412094922174024</v>
      </c>
      <c r="AC288" s="20" t="n">
        <v>50.52</v>
      </c>
      <c r="AD288" s="91" t="n">
        <v>0.7838000000000001</v>
      </c>
      <c r="AE288" s="46" t="n"/>
      <c r="AF288" s="20" t="n"/>
      <c r="AG288" s="20" t="n">
        <v>30.77</v>
      </c>
      <c r="AH288" s="20" t="n"/>
      <c r="AI288" s="20" t="n">
        <v>30.77</v>
      </c>
      <c r="AJ288" s="46" t="n"/>
      <c r="AK288" s="20" t="n"/>
      <c r="AL288" s="20" t="n">
        <v>75</v>
      </c>
      <c r="AM288" s="20" t="n">
        <v>38.76</v>
      </c>
      <c r="AN288" s="20" t="n">
        <v>50.52</v>
      </c>
      <c r="AO288" s="20" t="n">
        <v>30.77</v>
      </c>
      <c r="AP288" s="20" t="n"/>
      <c r="AQ288" s="92" t="n">
        <v>0.7</v>
      </c>
      <c r="AR288" s="20" t="n">
        <v>34.06956</v>
      </c>
      <c r="AS288" s="20" t="n">
        <v>48.67</v>
      </c>
      <c r="AT288" s="49" t="n">
        <v>229</v>
      </c>
      <c r="AU288" s="50">
        <f>IF(I288="","管理人规模；","")&amp;IF(J288="","产品规模标识；","")&amp;IF(AND(F288&lt;3,O288=""),"R_incep；","")&amp;IF(N288="","近三年收益；","")&amp;IF(U288="","近三年胜率；","")&amp;IF(AND(V288&lt;&gt;"",OR(V288&lt;0,V288&gt;1)),"胜率窗口口径不一致；","")&amp;IF(AA288="","近三年回撤；","")&amp;IF(AD288="","短期卡玛；","")&amp;IF(AND(P288&lt;&gt;"",AE288=""),"DD_long不可识别；","")</f>
        <v/>
      </c>
      <c r="AV288" s="51" t="n"/>
      <c r="AW288" s="22" t="inlineStr">
        <is>
          <t>0-5亿元</t>
        </is>
      </c>
      <c r="AX288" s="22" t="inlineStr">
        <is>
          <t>2026-04-10</t>
        </is>
      </c>
      <c r="AY288" s="22" t="inlineStr">
        <is>
          <t>北京鑫翰资本管理有限公司</t>
        </is>
      </c>
      <c r="AZ288" s="22" t="inlineStr">
        <is>
          <t>2026-04-10</t>
        </is>
      </c>
      <c r="BA288" s="22" t="inlineStr">
        <is>
          <t>https://gs.amac.org.cn/amac-infodisc/res/pof/manager/1906200947105473.html</t>
        </is>
      </c>
      <c r="BB288" s="22" t="inlineStr">
        <is>
          <t>鑫翰启明贵金属套利1号私募证券投资基金</t>
        </is>
      </c>
      <c r="BC288" s="22" t="inlineStr">
        <is>
          <t>2025-06-06</t>
        </is>
      </c>
      <c r="BD288" s="22" t="inlineStr">
        <is>
          <t>已匹配</t>
        </is>
      </c>
      <c r="BE288" t="inlineStr">
        <is>
          <t>https://gs.amac.org.cn/amac-infodisc/res/pof/fund/2407221752101616.html</t>
        </is>
      </c>
      <c r="BF288" t="inlineStr">
        <is>
          <t>已核验</t>
        </is>
      </c>
    </row>
    <row r="289" hidden="1" ht="28" customHeight="1" s="73">
      <c r="A289" s="2" t="n">
        <v>301</v>
      </c>
      <c r="B289" s="18" t="inlineStr">
        <is>
          <t>朔方常青树1号</t>
        </is>
      </c>
      <c r="C289" s="18">
        <f>'sheet4-原始数据'!B302</f>
        <v/>
      </c>
      <c r="D289" s="18" t="inlineStr">
        <is>
          <t>青岛朔方投资</t>
        </is>
      </c>
      <c r="E289" s="90" t="inlineStr">
        <is>
          <t>2024-06-26</t>
        </is>
      </c>
      <c r="F289" s="20" t="n">
        <v>2.2204</v>
      </c>
      <c r="G289" s="2">
        <f>IF(F289="","",IF(F289&lt;1,"不入池","入池"))</f>
        <v/>
      </c>
      <c r="H289" s="42" t="inlineStr">
        <is>
          <t>0-5亿元</t>
        </is>
      </c>
      <c r="I289" s="20" t="n">
        <v>60</v>
      </c>
      <c r="J289" s="43" t="inlineStr">
        <is>
          <t>无低于1000万元标识</t>
        </is>
      </c>
      <c r="K289" s="20" t="n">
        <v>100</v>
      </c>
      <c r="L289" s="20" t="n">
        <v>70</v>
      </c>
      <c r="M289" s="44" t="n">
        <v>0.05860000000000001</v>
      </c>
      <c r="N289" s="44" t="n"/>
      <c r="O289" s="45" t="n"/>
      <c r="P289" s="46" t="n"/>
      <c r="Q289" s="20" t="n">
        <v>49.65</v>
      </c>
      <c r="R289" s="20" t="n"/>
      <c r="S289" s="20" t="n">
        <v>49.65</v>
      </c>
      <c r="T289" s="44" t="n">
        <v>1</v>
      </c>
      <c r="U289" s="44" t="n"/>
      <c r="V289" s="46" t="n"/>
      <c r="W289" s="20" t="n">
        <v>100</v>
      </c>
      <c r="X289" s="20" t="n"/>
      <c r="Y289" s="20" t="n">
        <v>100</v>
      </c>
      <c r="Z289" s="46" t="n">
        <v>0.003386872113789656</v>
      </c>
      <c r="AA289" s="44" t="n"/>
      <c r="AB289" s="46" t="n">
        <v>0.003386872113789656</v>
      </c>
      <c r="AC289" s="20" t="n">
        <v>97.20999999999999</v>
      </c>
      <c r="AD289" s="91" t="n">
        <v>17.3021</v>
      </c>
      <c r="AE289" s="46" t="n"/>
      <c r="AF289" s="20" t="n"/>
      <c r="AG289" s="20" t="n">
        <v>90.20999999999999</v>
      </c>
      <c r="AH289" s="20" t="n"/>
      <c r="AI289" s="20" t="n">
        <v>90.20999999999999</v>
      </c>
      <c r="AJ289" s="46" t="n"/>
      <c r="AK289" s="20" t="n"/>
      <c r="AL289" s="20" t="n">
        <v>75</v>
      </c>
      <c r="AM289" s="20" t="n">
        <v>64.76000000000001</v>
      </c>
      <c r="AN289" s="20" t="n">
        <v>97.20999999999999</v>
      </c>
      <c r="AO289" s="20" t="n">
        <v>90.20999999999999</v>
      </c>
      <c r="AP289" s="20" t="n"/>
      <c r="AQ289" s="92" t="n">
        <v>0.7</v>
      </c>
      <c r="AR289" s="20" t="n">
        <v>59.5609</v>
      </c>
      <c r="AS289" s="20" t="n">
        <v>85.09</v>
      </c>
      <c r="AT289" s="49" t="n">
        <v>29</v>
      </c>
      <c r="AU289" s="50">
        <f>IF(I289="","管理人规模；","")&amp;IF(J289="","产品规模标识；","")&amp;IF(AND(F289&lt;3,O289=""),"R_incep；","")&amp;IF(N289="","近三年收益；","")&amp;IF(U289="","近三年胜率；","")&amp;IF(AND(V289&lt;&gt;"",OR(V289&lt;0,V289&gt;1)),"胜率窗口口径不一致；","")&amp;IF(AA289="","近三年回撤；","")&amp;IF(AD289="","短期卡玛；","")&amp;IF(AND(P289&lt;&gt;"",AE289=""),"DD_long不可识别；","")</f>
        <v/>
      </c>
      <c r="AV289" s="51" t="n"/>
      <c r="AW289" s="22" t="inlineStr">
        <is>
          <t>0-5亿元</t>
        </is>
      </c>
      <c r="AX289" s="22" t="inlineStr">
        <is>
          <t>2026-02-28</t>
        </is>
      </c>
      <c r="AY289" s="22" t="inlineStr">
        <is>
          <t>青岛朔方投资管理有限公司</t>
        </is>
      </c>
      <c r="AZ289" s="22" t="inlineStr">
        <is>
          <t>2026-02-28</t>
        </is>
      </c>
      <c r="BA289" s="22" t="inlineStr">
        <is>
          <t>https://gs.amac.org.cn/amac-infodisc/res/pof/manager/1811281032106554.html</t>
        </is>
      </c>
      <c r="BB289" s="22" t="inlineStr">
        <is>
          <t>朔方常青树1号私募证券投资基金</t>
        </is>
      </c>
      <c r="BC289" s="22" t="inlineStr">
        <is>
          <t>2025-01-15</t>
        </is>
      </c>
      <c r="BD289" s="22" t="inlineStr">
        <is>
          <t>已匹配</t>
        </is>
      </c>
      <c r="BE289" t="inlineStr">
        <is>
          <t>https://gs.amac.org.cn/amac-infodisc/res/pof/fund/2407311648101116.html</t>
        </is>
      </c>
      <c r="BF289" t="inlineStr">
        <is>
          <t>已核验</t>
        </is>
      </c>
    </row>
    <row r="290" hidden="1" ht="28" customHeight="1" s="73">
      <c r="A290" s="2" t="n">
        <v>302</v>
      </c>
      <c r="B290" s="18" t="inlineStr">
        <is>
          <t>九招真格量化套利一号B类</t>
        </is>
      </c>
      <c r="C290" s="18">
        <f>'sheet4-原始数据'!B303</f>
        <v/>
      </c>
      <c r="D290" s="18" t="inlineStr">
        <is>
          <t>武汉九招</t>
        </is>
      </c>
      <c r="E290" s="90" t="inlineStr">
        <is>
          <t>2021-03-16</t>
        </is>
      </c>
      <c r="F290" s="20" t="n">
        <v>5.5003</v>
      </c>
      <c r="G290" s="2">
        <f>IF(F290="","",IF(F290&lt;1,"不入池","入池"))</f>
        <v/>
      </c>
      <c r="H290" s="42" t="inlineStr">
        <is>
          <t>5-10亿元</t>
        </is>
      </c>
      <c r="I290" s="20" t="n">
        <v>70</v>
      </c>
      <c r="J290" s="43" t="inlineStr">
        <is>
          <t>无低于1000万元标识</t>
        </is>
      </c>
      <c r="K290" s="20" t="n"/>
      <c r="L290" s="20" t="n">
        <v>100</v>
      </c>
      <c r="M290" s="44" t="n">
        <v>0.1446</v>
      </c>
      <c r="N290" s="44" t="n"/>
      <c r="O290" s="45" t="n"/>
      <c r="P290" s="46" t="n"/>
      <c r="Q290" s="20" t="n">
        <v>86.81</v>
      </c>
      <c r="R290" s="20" t="n"/>
      <c r="S290" s="20" t="n">
        <v>86.81</v>
      </c>
      <c r="T290" s="44" t="n">
        <v>1</v>
      </c>
      <c r="U290" s="44" t="n"/>
      <c r="V290" s="46" t="n"/>
      <c r="W290" s="20" t="n">
        <v>100</v>
      </c>
      <c r="X290" s="20" t="n"/>
      <c r="Y290" s="20" t="n">
        <v>100</v>
      </c>
      <c r="Z290" s="46" t="n">
        <v>0.003595959395003457</v>
      </c>
      <c r="AA290" s="44" t="n"/>
      <c r="AB290" s="46" t="n">
        <v>0.003595959395003457</v>
      </c>
      <c r="AC290" s="20" t="n">
        <v>96.52</v>
      </c>
      <c r="AD290" s="91" t="n">
        <v>40.2118</v>
      </c>
      <c r="AE290" s="46" t="n"/>
      <c r="AF290" s="20" t="n"/>
      <c r="AG290" s="20" t="n">
        <v>96.5</v>
      </c>
      <c r="AH290" s="20" t="n"/>
      <c r="AI290" s="20" t="n">
        <v>96.5</v>
      </c>
      <c r="AJ290" s="46" t="n"/>
      <c r="AK290" s="20" t="n"/>
      <c r="AL290" s="20" t="n">
        <v>82.86</v>
      </c>
      <c r="AM290" s="20" t="n">
        <v>90.77</v>
      </c>
      <c r="AN290" s="20" t="n">
        <v>96.52</v>
      </c>
      <c r="AO290" s="20" t="n">
        <v>96.5</v>
      </c>
      <c r="AP290" s="20" t="n"/>
      <c r="AQ290" s="92" t="n">
        <v>0.655</v>
      </c>
      <c r="AR290" s="20" t="n">
        <v>61.09204</v>
      </c>
      <c r="AS290" s="20" t="n">
        <v>93.27</v>
      </c>
      <c r="AT290" s="49" t="n">
        <v>4</v>
      </c>
      <c r="AU290" s="50">
        <f>IF(I290="","管理人规模；","")&amp;IF(J290="","产品规模标识；","")&amp;IF(AND(F290&lt;3,O290=""),"R_incep；","")&amp;IF(N290="","近三年收益；","")&amp;IF(U290="","近三年胜率；","")&amp;IF(AND(V290&lt;&gt;"",OR(V290&lt;0,V290&gt;1)),"胜率窗口口径不一致；","")&amp;IF(AA290="","近三年回撤；","")&amp;IF(AD290="","短期卡玛；","")&amp;IF(AND(P290&lt;&gt;"",AE290=""),"DD_long不可识别；","")</f>
        <v/>
      </c>
      <c r="AV290" s="51" t="n"/>
      <c r="AW290" s="22" t="inlineStr">
        <is>
          <t>5-10亿元</t>
        </is>
      </c>
      <c r="AX290" s="22" t="inlineStr">
        <is>
          <t>2026-07-21</t>
        </is>
      </c>
      <c r="AY290" s="22" t="inlineStr">
        <is>
          <t>武汉九招私募基金管理有限公司 武汉九招私募基金管理有限公司</t>
        </is>
      </c>
      <c r="AZ290" s="22" t="inlineStr">
        <is>
          <t>2026-07-21</t>
        </is>
      </c>
      <c r="BA290" s="22" t="inlineStr">
        <is>
          <t>https://gs.amac.org.cn/amac-infodisc/res/pof/manager/2301051740101642.html</t>
        </is>
      </c>
      <c r="BB290" s="22" t="n"/>
      <c r="BC290" s="22" t="n"/>
      <c r="BD290" s="22" t="inlineStr">
        <is>
          <t>产品未匹配，管理人已按名称补录</t>
        </is>
      </c>
      <c r="BF290" t="inlineStr">
        <is>
          <t>未核验</t>
        </is>
      </c>
    </row>
    <row r="291" hidden="1" ht="28" customHeight="1" s="73">
      <c r="A291" s="2" t="n">
        <v>303</v>
      </c>
      <c r="B291" s="18" t="inlineStr">
        <is>
          <t>溋沣鸿运来星选1号B类</t>
        </is>
      </c>
      <c r="C291" s="18">
        <f>'sheet4-原始数据'!B304</f>
        <v/>
      </c>
      <c r="D291" s="18" t="inlineStr">
        <is>
          <t>深圳前海溋沣资管</t>
        </is>
      </c>
      <c r="E291" s="90" t="inlineStr">
        <is>
          <t>2023-05-15</t>
        </is>
      </c>
      <c r="F291" s="20" t="n">
        <v>3.3374</v>
      </c>
      <c r="G291" s="2">
        <f>IF(F291="","",IF(F291&lt;1,"不入池","入池"))</f>
        <v/>
      </c>
      <c r="H291" s="42" t="inlineStr">
        <is>
          <t>0-5亿元</t>
        </is>
      </c>
      <c r="I291" s="20" t="n">
        <v>60</v>
      </c>
      <c r="J291" s="43" t="inlineStr">
        <is>
          <t>无低于1000万元标识</t>
        </is>
      </c>
      <c r="K291" s="20" t="n"/>
      <c r="L291" s="20" t="n">
        <v>100</v>
      </c>
      <c r="M291" s="44" t="n">
        <v>0.0785</v>
      </c>
      <c r="N291" s="44" t="n">
        <v>0.0441</v>
      </c>
      <c r="O291" s="45" t="n"/>
      <c r="P291" s="46" t="n">
        <v>0.02731367428331977</v>
      </c>
      <c r="Q291" s="20" t="n">
        <v>64.58</v>
      </c>
      <c r="R291" s="20" t="n">
        <v>14</v>
      </c>
      <c r="S291" s="20" t="n">
        <v>44.35</v>
      </c>
      <c r="T291" s="44" t="n">
        <v>0.7692</v>
      </c>
      <c r="U291" s="44" t="n">
        <v>0.8108</v>
      </c>
      <c r="V291" s="46" t="n">
        <v>0.8333333333333334</v>
      </c>
      <c r="W291" s="20" t="n">
        <v>76.92</v>
      </c>
      <c r="X291" s="20" t="n">
        <v>83.33333333333334</v>
      </c>
      <c r="Y291" s="20" t="n">
        <v>79.48999999999999</v>
      </c>
      <c r="Z291" s="46" t="n">
        <v>0.02359412100628175</v>
      </c>
      <c r="AA291" s="44" t="n">
        <v>0.0258</v>
      </c>
      <c r="AB291" s="46" t="n">
        <v>0.0258</v>
      </c>
      <c r="AC291" s="20" t="n">
        <v>63.76</v>
      </c>
      <c r="AD291" s="91" t="n">
        <v>3.3271</v>
      </c>
      <c r="AE291" s="46" t="n">
        <v>0.0258</v>
      </c>
      <c r="AF291" s="20" t="n">
        <v>1.058669545865107</v>
      </c>
      <c r="AG291" s="20" t="n">
        <v>56.99</v>
      </c>
      <c r="AH291" s="20" t="n">
        <v>42.65</v>
      </c>
      <c r="AI291" s="20" t="n">
        <v>51.25</v>
      </c>
      <c r="AJ291" s="46" t="n">
        <v>0.0441</v>
      </c>
      <c r="AK291" s="20" t="n">
        <v>100</v>
      </c>
      <c r="AL291" s="20" t="n">
        <v>77.14</v>
      </c>
      <c r="AM291" s="20" t="n">
        <v>54.89</v>
      </c>
      <c r="AN291" s="20" t="n">
        <v>63.76</v>
      </c>
      <c r="AO291" s="20" t="n">
        <v>51.25</v>
      </c>
      <c r="AP291" s="20" t="n">
        <v>100</v>
      </c>
      <c r="AQ291" s="92" t="n">
        <v>0.955</v>
      </c>
      <c r="AR291" s="20" t="n">
        <v>60.39404</v>
      </c>
      <c r="AS291" s="20" t="n">
        <v>63.24</v>
      </c>
      <c r="AT291" s="49" t="n">
        <v>153</v>
      </c>
      <c r="AU291" s="50">
        <f>IF(I291="","管理人规模；","")&amp;IF(J291="","产品规模标识；","")&amp;IF(AND(F291&lt;3,O291=""),"R_incep；","")&amp;IF(N291="","近三年收益；","")&amp;IF(U291="","近三年胜率；","")&amp;IF(AND(V291&lt;&gt;"",OR(V291&lt;0,V291&gt;1)),"胜率窗口口径不一致；","")&amp;IF(AA291="","近三年回撤；","")&amp;IF(AD291="","短期卡玛；","")&amp;IF(AND(P291&lt;&gt;"",AE291=""),"DD_long不可识别；","")</f>
        <v/>
      </c>
      <c r="AV291" s="51" t="n"/>
      <c r="AW291" s="22" t="inlineStr">
        <is>
          <t>0-5亿元</t>
        </is>
      </c>
      <c r="AX291" s="22" t="inlineStr">
        <is>
          <t>2026-01-06</t>
        </is>
      </c>
      <c r="AY291" s="22" t="inlineStr">
        <is>
          <t>深圳前海溋沣资本管理有限公司 深圳前海溋沣资本管理有限公司</t>
        </is>
      </c>
      <c r="AZ291" s="22" t="inlineStr">
        <is>
          <t>2026-01-06</t>
        </is>
      </c>
      <c r="BA291" s="22" t="inlineStr">
        <is>
          <t>https://gs.amac.org.cn/amac-infodisc/res/pof/manager/1610131040102006.html</t>
        </is>
      </c>
      <c r="BB291" s="22" t="n"/>
      <c r="BC291" s="22" t="n"/>
      <c r="BD291" s="22" t="inlineStr">
        <is>
          <t>产品未匹配，管理人已按名称补录</t>
        </is>
      </c>
      <c r="BF291" t="inlineStr">
        <is>
          <t>未核验</t>
        </is>
      </c>
    </row>
    <row r="292" hidden="1" ht="28" customHeight="1" s="73">
      <c r="A292" s="2" t="n">
        <v>304</v>
      </c>
      <c r="B292" s="18" t="inlineStr">
        <is>
          <t>殊馥馥源套利1号B类</t>
        </is>
      </c>
      <c r="C292" s="18">
        <f>'sheet4-原始数据'!B305</f>
        <v/>
      </c>
      <c r="D292" s="18" t="inlineStr">
        <is>
          <t>上海殊馥投资</t>
        </is>
      </c>
      <c r="E292" s="90" t="inlineStr">
        <is>
          <t>2019-04-30</t>
        </is>
      </c>
      <c r="F292" s="20" t="n">
        <v>7.3785</v>
      </c>
      <c r="G292" s="2">
        <f>IF(F292="","",IF(F292&lt;1,"不入池","入池"))</f>
        <v/>
      </c>
      <c r="H292" s="42" t="inlineStr">
        <is>
          <t>10-20亿元</t>
        </is>
      </c>
      <c r="I292" s="20" t="n">
        <v>80</v>
      </c>
      <c r="J292" s="43" t="inlineStr">
        <is>
          <t>无低于1000万元标识</t>
        </is>
      </c>
      <c r="K292" s="20" t="n"/>
      <c r="L292" s="20" t="n">
        <v>100</v>
      </c>
      <c r="M292" s="44" t="n">
        <v>0.08800000000000001</v>
      </c>
      <c r="N292" s="44" t="n"/>
      <c r="O292" s="45" t="n"/>
      <c r="P292" s="46" t="n"/>
      <c r="Q292" s="20" t="n">
        <v>70.66</v>
      </c>
      <c r="R292" s="20" t="n"/>
      <c r="S292" s="20" t="n">
        <v>70.66</v>
      </c>
      <c r="T292" s="44" t="n">
        <v>0.9231</v>
      </c>
      <c r="U292" s="44" t="n"/>
      <c r="V292" s="46" t="n"/>
      <c r="W292" s="20" t="n">
        <v>92.31</v>
      </c>
      <c r="X292" s="20" t="n"/>
      <c r="Y292" s="20" t="n">
        <v>92.31</v>
      </c>
      <c r="Z292" s="46" t="n">
        <v>0.008867124129661539</v>
      </c>
      <c r="AA292" s="44" t="n"/>
      <c r="AB292" s="46" t="n">
        <v>0.008867124129661539</v>
      </c>
      <c r="AC292" s="20" t="n">
        <v>86.41</v>
      </c>
      <c r="AD292" s="91" t="n">
        <v>9.924300000000001</v>
      </c>
      <c r="AE292" s="46" t="n"/>
      <c r="AF292" s="20" t="n"/>
      <c r="AG292" s="20" t="n">
        <v>80.42</v>
      </c>
      <c r="AH292" s="20" t="n"/>
      <c r="AI292" s="20" t="n">
        <v>80.42</v>
      </c>
      <c r="AJ292" s="46" t="n"/>
      <c r="AK292" s="20" t="n"/>
      <c r="AL292" s="20" t="n">
        <v>88.56999999999999</v>
      </c>
      <c r="AM292" s="20" t="n">
        <v>77.16</v>
      </c>
      <c r="AN292" s="20" t="n">
        <v>86.41</v>
      </c>
      <c r="AO292" s="20" t="n">
        <v>80.42</v>
      </c>
      <c r="AP292" s="20" t="n"/>
      <c r="AQ292" s="92" t="n">
        <v>0.655</v>
      </c>
      <c r="AR292" s="20" t="n">
        <v>54.6367</v>
      </c>
      <c r="AS292" s="20" t="n">
        <v>83.41</v>
      </c>
      <c r="AT292" s="49" t="n">
        <v>44</v>
      </c>
      <c r="AU292" s="50">
        <f>IF(I292="","管理人规模；","")&amp;IF(J292="","产品规模标识；","")&amp;IF(AND(F292&lt;3,O292=""),"R_incep；","")&amp;IF(N292="","近三年收益；","")&amp;IF(U292="","近三年胜率；","")&amp;IF(AND(V292&lt;&gt;"",OR(V292&lt;0,V292&gt;1)),"胜率窗口口径不一致；","")&amp;IF(AA292="","近三年回撤；","")&amp;IF(AD292="","短期卡玛；","")&amp;IF(AND(P292&lt;&gt;"",AE292=""),"DD_long不可识别；","")</f>
        <v/>
      </c>
      <c r="AV292" s="51" t="n"/>
      <c r="AW292" s="22" t="inlineStr">
        <is>
          <t>10-20亿元</t>
        </is>
      </c>
      <c r="AX292" s="22" t="inlineStr">
        <is>
          <t>2026-06-29</t>
        </is>
      </c>
      <c r="AY292" s="22" t="inlineStr">
        <is>
          <t>上海殊馥投资管理有限公司 上海殊馥投资管理有限公司</t>
        </is>
      </c>
      <c r="AZ292" s="22" t="inlineStr">
        <is>
          <t>2026-06-29</t>
        </is>
      </c>
      <c r="BA292" s="22" t="inlineStr">
        <is>
          <t>https://gs.amac.org.cn/amac-infodisc/res/pof/manager/101000042776.html</t>
        </is>
      </c>
      <c r="BB292" s="22" t="n"/>
      <c r="BC292" s="22" t="n"/>
      <c r="BD292" s="22" t="inlineStr">
        <is>
          <t>产品未匹配，管理人已按名称补录</t>
        </is>
      </c>
      <c r="BF292" t="inlineStr">
        <is>
          <t>未核验</t>
        </is>
      </c>
    </row>
    <row r="293" hidden="1" ht="28" customHeight="1" s="73">
      <c r="A293" s="2" t="n">
        <v>305</v>
      </c>
      <c r="B293" s="18" t="inlineStr">
        <is>
          <t>韵之盛沅</t>
        </is>
      </c>
      <c r="C293" s="18">
        <f>'sheet4-原始数据'!B306</f>
        <v/>
      </c>
      <c r="D293" s="18" t="inlineStr">
        <is>
          <t>北京韵之</t>
        </is>
      </c>
      <c r="E293" s="90" t="inlineStr">
        <is>
          <t>2024-12-17</t>
        </is>
      </c>
      <c r="F293" s="20" t="n">
        <v>1.744</v>
      </c>
      <c r="G293" s="2">
        <f>IF(F293="","",IF(F293&lt;1,"不入池","入池"))</f>
        <v/>
      </c>
      <c r="H293" s="42" t="inlineStr">
        <is>
          <t>5-10亿元</t>
        </is>
      </c>
      <c r="I293" s="20" t="n">
        <v>70</v>
      </c>
      <c r="J293" s="43" t="inlineStr">
        <is>
          <t>无低于1000万元标识</t>
        </is>
      </c>
      <c r="K293" s="20" t="n">
        <v>100</v>
      </c>
      <c r="L293" s="20" t="n">
        <v>70</v>
      </c>
      <c r="M293" s="44" t="n">
        <v>-0.051</v>
      </c>
      <c r="N293" s="44" t="n"/>
      <c r="O293" s="45" t="n"/>
      <c r="P293" s="46" t="n"/>
      <c r="Q293" s="20" t="n">
        <v>7.29</v>
      </c>
      <c r="R293" s="20" t="n"/>
      <c r="S293" s="20" t="n">
        <v>7.29</v>
      </c>
      <c r="T293" s="44" t="n">
        <v>0.5385</v>
      </c>
      <c r="U293" s="44" t="n"/>
      <c r="V293" s="46" t="n"/>
      <c r="W293" s="20" t="n">
        <v>53.84999999999999</v>
      </c>
      <c r="X293" s="20" t="n"/>
      <c r="Y293" s="20" t="n">
        <v>53.84999999999999</v>
      </c>
      <c r="Z293" s="46" t="n">
        <v>0.1672679567071171</v>
      </c>
      <c r="AA293" s="44" t="n"/>
      <c r="AB293" s="46" t="n">
        <v>0.1672679567071171</v>
      </c>
      <c r="AC293" s="20" t="n">
        <v>14.63</v>
      </c>
      <c r="AD293" s="91" t="n">
        <v>-0.3049</v>
      </c>
      <c r="AE293" s="46" t="n"/>
      <c r="AF293" s="20" t="n"/>
      <c r="AG293" s="20" t="n">
        <v>10.14</v>
      </c>
      <c r="AH293" s="20" t="n"/>
      <c r="AI293" s="20" t="n">
        <v>10.14</v>
      </c>
      <c r="AJ293" s="46" t="n"/>
      <c r="AK293" s="20" t="n"/>
      <c r="AL293" s="20" t="n">
        <v>79</v>
      </c>
      <c r="AM293" s="20" t="n">
        <v>21.26</v>
      </c>
      <c r="AN293" s="20" t="n">
        <v>14.63</v>
      </c>
      <c r="AO293" s="20" t="n">
        <v>10.14</v>
      </c>
      <c r="AP293" s="20" t="n"/>
      <c r="AQ293" s="92" t="n">
        <v>0.7</v>
      </c>
      <c r="AR293" s="20" t="n">
        <v>19.88366</v>
      </c>
      <c r="AS293" s="20" t="n">
        <v>28.41</v>
      </c>
      <c r="AT293" s="49" t="n">
        <v>301</v>
      </c>
      <c r="AU293" s="50">
        <f>IF(I293="","管理人规模；","")&amp;IF(J293="","产品规模标识；","")&amp;IF(AND(F293&lt;3,O293=""),"R_incep；","")&amp;IF(N293="","近三年收益；","")&amp;IF(U293="","近三年胜率；","")&amp;IF(AND(V293&lt;&gt;"",OR(V293&lt;0,V293&gt;1)),"胜率窗口口径不一致；","")&amp;IF(AA293="","近三年回撤；","")&amp;IF(AD293="","短期卡玛；","")&amp;IF(AND(P293&lt;&gt;"",AE293=""),"DD_long不可识别；","")</f>
        <v/>
      </c>
      <c r="AV293" s="51" t="n"/>
      <c r="AW293" s="22" t="inlineStr">
        <is>
          <t>5-10亿元</t>
        </is>
      </c>
      <c r="AX293" s="22" t="inlineStr">
        <is>
          <t>2026-05-08</t>
        </is>
      </c>
      <c r="AY293" s="22" t="inlineStr">
        <is>
          <t>北京韵之私募基金管理有限公司</t>
        </is>
      </c>
      <c r="AZ293" s="22" t="inlineStr">
        <is>
          <t>2026-05-08</t>
        </is>
      </c>
      <c r="BA293" s="22" t="inlineStr">
        <is>
          <t>https://gs.amac.org.cn/amac-infodisc/res/pof/manager/1609291216100602.html</t>
        </is>
      </c>
      <c r="BB293" s="22" t="inlineStr">
        <is>
          <t>韵之盛沅私募证券投资基金</t>
        </is>
      </c>
      <c r="BC293" s="22" t="inlineStr">
        <is>
          <t>2025-08-07</t>
        </is>
      </c>
      <c r="BD293" s="22" t="inlineStr">
        <is>
          <t>已匹配</t>
        </is>
      </c>
      <c r="BE293" t="inlineStr">
        <is>
          <t>https://gs.amac.org.cn/amac-infodisc/res/pof/fund/2501021745130893.html</t>
        </is>
      </c>
      <c r="BF293" t="inlineStr">
        <is>
          <t>已核验</t>
        </is>
      </c>
    </row>
    <row r="294" hidden="1" ht="28" customHeight="1" s="73">
      <c r="A294" s="2" t="n">
        <v>306</v>
      </c>
      <c r="B294" s="18" t="inlineStr">
        <is>
          <t>智领泽临套利三号</t>
        </is>
      </c>
      <c r="C294" s="18">
        <f>'sheet4-原始数据'!B307</f>
        <v/>
      </c>
      <c r="D294" s="18" t="inlineStr">
        <is>
          <t>福州智领三联</t>
        </is>
      </c>
      <c r="E294" s="90" t="inlineStr">
        <is>
          <t>2025-01-20</t>
        </is>
      </c>
      <c r="F294" s="20" t="n">
        <v>1.6509</v>
      </c>
      <c r="G294" s="2">
        <f>IF(F294="","",IF(F294&lt;1,"不入池","入池"))</f>
        <v/>
      </c>
      <c r="H294" s="42" t="inlineStr">
        <is>
          <t>20-50亿元</t>
        </is>
      </c>
      <c r="I294" s="20" t="n">
        <v>90</v>
      </c>
      <c r="J294" s="43" t="inlineStr">
        <is>
          <t>无低于1000万元标识</t>
        </is>
      </c>
      <c r="K294" s="20" t="n">
        <v>100</v>
      </c>
      <c r="L294" s="20" t="n">
        <v>70</v>
      </c>
      <c r="M294" s="44" t="n">
        <v>0.1012</v>
      </c>
      <c r="N294" s="44" t="n"/>
      <c r="O294" s="45" t="n"/>
      <c r="P294" s="46" t="n"/>
      <c r="Q294" s="20" t="n">
        <v>76.73999999999999</v>
      </c>
      <c r="R294" s="20" t="n"/>
      <c r="S294" s="20" t="n">
        <v>76.73999999999999</v>
      </c>
      <c r="T294" s="44" t="n">
        <v>0.9231</v>
      </c>
      <c r="U294" s="44" t="n"/>
      <c r="V294" s="46" t="n"/>
      <c r="W294" s="20" t="n">
        <v>92.31</v>
      </c>
      <c r="X294" s="20" t="n"/>
      <c r="Y294" s="20" t="n">
        <v>92.31</v>
      </c>
      <c r="Z294" s="46" t="n">
        <v>0.003087248322147651</v>
      </c>
      <c r="AA294" s="44" t="n"/>
      <c r="AB294" s="46" t="n">
        <v>0.003087248322147651</v>
      </c>
      <c r="AC294" s="20" t="n">
        <v>98.26000000000001</v>
      </c>
      <c r="AD294" s="91" t="n">
        <v>32.78</v>
      </c>
      <c r="AE294" s="46" t="n"/>
      <c r="AF294" s="20" t="n"/>
      <c r="AG294" s="20" t="n">
        <v>95.09999999999999</v>
      </c>
      <c r="AH294" s="20" t="n"/>
      <c r="AI294" s="20" t="n">
        <v>95.09999999999999</v>
      </c>
      <c r="AJ294" s="46" t="n"/>
      <c r="AK294" s="20" t="n"/>
      <c r="AL294" s="20" t="n">
        <v>87</v>
      </c>
      <c r="AM294" s="20" t="n">
        <v>81.41</v>
      </c>
      <c r="AN294" s="20" t="n">
        <v>98.26000000000001</v>
      </c>
      <c r="AO294" s="20" t="n">
        <v>95.09999999999999</v>
      </c>
      <c r="AP294" s="20" t="n"/>
      <c r="AQ294" s="92" t="n">
        <v>0.7</v>
      </c>
      <c r="AR294" s="20" t="n">
        <v>64.50232</v>
      </c>
      <c r="AS294" s="20" t="n">
        <v>92.15000000000001</v>
      </c>
      <c r="AT294" s="49" t="n">
        <v>6</v>
      </c>
      <c r="AU294" s="50">
        <f>IF(I294="","管理人规模；","")&amp;IF(J294="","产品规模标识；","")&amp;IF(AND(F294&lt;3,O294=""),"R_incep；","")&amp;IF(N294="","近三年收益；","")&amp;IF(U294="","近三年胜率；","")&amp;IF(AND(V294&lt;&gt;"",OR(V294&lt;0,V294&gt;1)),"胜率窗口口径不一致；","")&amp;IF(AA294="","近三年回撤；","")&amp;IF(AD294="","短期卡玛；","")&amp;IF(AND(P294&lt;&gt;"",AE294=""),"DD_long不可识别；","")</f>
        <v/>
      </c>
      <c r="AV294" s="51" t="n"/>
      <c r="AW294" s="22" t="inlineStr">
        <is>
          <t>20-50亿元</t>
        </is>
      </c>
      <c r="AX294" s="22" t="inlineStr">
        <is>
          <t>2025-07-16</t>
        </is>
      </c>
      <c r="AY294" s="22" t="inlineStr">
        <is>
          <t>福州高新区智领三联私募基金管理有限公司</t>
        </is>
      </c>
      <c r="AZ294" s="22" t="inlineStr">
        <is>
          <t>2025-07-16</t>
        </is>
      </c>
      <c r="BA294" s="22" t="inlineStr">
        <is>
          <t>https://gs.amac.org.cn/amac-infodisc/res/pof/manager/101000074295.html</t>
        </is>
      </c>
      <c r="BB294" s="22" t="inlineStr">
        <is>
          <t>智领泽临套利三号私募证券投资基金</t>
        </is>
      </c>
      <c r="BC294" s="22" t="inlineStr">
        <is>
          <t>2026-08-06</t>
        </is>
      </c>
      <c r="BD294" s="22" t="inlineStr">
        <is>
          <t>已匹配</t>
        </is>
      </c>
      <c r="BE294" t="inlineStr">
        <is>
          <t>https://gs.amac.org.cn/amac-infodisc/res/pof/fund/2501231608106383.html</t>
        </is>
      </c>
      <c r="BF294" t="inlineStr">
        <is>
          <t>已核验</t>
        </is>
      </c>
    </row>
    <row r="295" hidden="1" ht="28" customHeight="1" s="73">
      <c r="A295" s="2" t="n">
        <v>307</v>
      </c>
      <c r="B295" s="18" t="inlineStr">
        <is>
          <t>岳鑫遥3号A类</t>
        </is>
      </c>
      <c r="C295" s="18">
        <f>'sheet4-原始数据'!B308</f>
        <v/>
      </c>
      <c r="D295" s="18" t="inlineStr">
        <is>
          <t>北京岳鑫遥</t>
        </is>
      </c>
      <c r="E295" s="90" t="inlineStr">
        <is>
          <t>2022-12-12</t>
        </is>
      </c>
      <c r="F295" s="20" t="n">
        <v>3.7591</v>
      </c>
      <c r="G295" s="2">
        <f>IF(F295="","",IF(F295&lt;1,"不入池","入池"))</f>
        <v/>
      </c>
      <c r="H295" s="42" t="inlineStr">
        <is>
          <t>5-10亿元</t>
        </is>
      </c>
      <c r="I295" s="20" t="n">
        <v>70</v>
      </c>
      <c r="J295" s="43" t="inlineStr">
        <is>
          <t>无低于1000万元标识</t>
        </is>
      </c>
      <c r="K295" s="20" t="n"/>
      <c r="L295" s="20" t="n">
        <v>100</v>
      </c>
      <c r="M295" s="44" t="n">
        <v>-0.1536</v>
      </c>
      <c r="N295" s="44" t="n">
        <v>0.1068</v>
      </c>
      <c r="O295" s="45" t="n"/>
      <c r="P295" s="46" t="n">
        <v>0.2656566296577429</v>
      </c>
      <c r="Q295" s="20" t="n">
        <v>1.91</v>
      </c>
      <c r="R295" s="20" t="n">
        <v>97.75</v>
      </c>
      <c r="S295" s="20" t="n">
        <v>40.25</v>
      </c>
      <c r="T295" s="44" t="n">
        <v>0.5385</v>
      </c>
      <c r="U295" s="44" t="n">
        <v>0.7297</v>
      </c>
      <c r="V295" s="46" t="n">
        <v>0.8332666666666667</v>
      </c>
      <c r="W295" s="20" t="n">
        <v>53.84999999999999</v>
      </c>
      <c r="X295" s="20" t="n">
        <v>83.32666666666667</v>
      </c>
      <c r="Y295" s="20" t="n">
        <v>65.64</v>
      </c>
      <c r="Z295" s="46" t="n">
        <v>0.3235727828101959</v>
      </c>
      <c r="AA295" s="44" t="n">
        <v>0.3236</v>
      </c>
      <c r="AB295" s="46" t="n">
        <v>0.3236</v>
      </c>
      <c r="AC295" s="20" t="n">
        <v>2.61</v>
      </c>
      <c r="AD295" s="91" t="n">
        <v>-0.4747</v>
      </c>
      <c r="AE295" s="46" t="n"/>
      <c r="AF295" s="20" t="n"/>
      <c r="AG295" s="20" t="n">
        <v>6.82</v>
      </c>
      <c r="AH295" s="20" t="n"/>
      <c r="AI295" s="20" t="n">
        <v>6.82</v>
      </c>
      <c r="AJ295" s="46" t="n">
        <v>0.1068</v>
      </c>
      <c r="AK295" s="20" t="n">
        <v>60</v>
      </c>
      <c r="AL295" s="20" t="n">
        <v>82.86</v>
      </c>
      <c r="AM295" s="20" t="n">
        <v>47.86</v>
      </c>
      <c r="AN295" s="20" t="n">
        <v>2.61</v>
      </c>
      <c r="AO295" s="20" t="n">
        <v>6.82</v>
      </c>
      <c r="AP295" s="20" t="n">
        <v>60</v>
      </c>
      <c r="AQ295" s="92" t="n">
        <v>0.835</v>
      </c>
      <c r="AR295" s="20" t="n">
        <v>26.15298</v>
      </c>
      <c r="AS295" s="20" t="n">
        <v>31.32</v>
      </c>
      <c r="AT295" s="49" t="n">
        <v>291</v>
      </c>
      <c r="AU295" s="50">
        <f>IF(I295="","管理人规模；","")&amp;IF(J295="","产品规模标识；","")&amp;IF(AND(F295&lt;3,O295=""),"R_incep；","")&amp;IF(N295="","近三年收益；","")&amp;IF(U295="","近三年胜率；","")&amp;IF(AND(V295&lt;&gt;"",OR(V295&lt;0,V295&gt;1)),"胜率窗口口径不一致；","")&amp;IF(AA295="","近三年回撤；","")&amp;IF(AD295="","短期卡玛；","")&amp;IF(AND(P295&lt;&gt;"",AE295=""),"DD_long不可识别；","")</f>
        <v/>
      </c>
      <c r="AV295" s="51" t="n"/>
      <c r="AW295" s="22" t="inlineStr">
        <is>
          <t>5-10亿元</t>
        </is>
      </c>
      <c r="AX295" s="22" t="inlineStr">
        <is>
          <t>2026-05-07</t>
        </is>
      </c>
      <c r="AY295" s="22" t="inlineStr">
        <is>
          <t>岳鑫遥（北京）私募基金管理有限公司 岳鑫遥（北京）私募基金管理有限公司</t>
        </is>
      </c>
      <c r="AZ295" s="22" t="inlineStr">
        <is>
          <t>2026-05-07</t>
        </is>
      </c>
      <c r="BA295" s="22" t="inlineStr">
        <is>
          <t>https://gs.amac.org.cn/amac-infodisc/res/pof/manager/2207041830121644.html</t>
        </is>
      </c>
      <c r="BB295" s="22" t="n"/>
      <c r="BC295" s="22" t="n"/>
      <c r="BD295" s="22" t="inlineStr">
        <is>
          <t>产品未匹配，管理人已按名称补录</t>
        </is>
      </c>
      <c r="BF295" t="inlineStr">
        <is>
          <t>未核验</t>
        </is>
      </c>
    </row>
    <row r="296" hidden="1" ht="28" customHeight="1" s="73">
      <c r="A296" s="2" t="n">
        <v>308</v>
      </c>
      <c r="B296" s="18" t="inlineStr">
        <is>
          <t>惠隆金选套利1号B类</t>
        </is>
      </c>
      <c r="C296" s="18">
        <f>'sheet4-原始数据'!B309</f>
        <v/>
      </c>
      <c r="D296" s="18" t="inlineStr">
        <is>
          <t>北京惠隆资管</t>
        </is>
      </c>
      <c r="E296" s="90" t="inlineStr">
        <is>
          <t>2021-09-23</t>
        </is>
      </c>
      <c r="F296" s="20" t="n">
        <v>4.9774</v>
      </c>
      <c r="G296" s="2">
        <f>IF(F296="","",IF(F296&lt;1,"不入池","入池"))</f>
        <v/>
      </c>
      <c r="H296" s="42" t="inlineStr">
        <is>
          <t>10-20亿元</t>
        </is>
      </c>
      <c r="I296" s="20" t="n">
        <v>80</v>
      </c>
      <c r="J296" s="43" t="inlineStr">
        <is>
          <t>无低于1000万元标识</t>
        </is>
      </c>
      <c r="K296" s="20" t="n"/>
      <c r="L296" s="20" t="n">
        <v>100</v>
      </c>
      <c r="M296" s="44" t="n">
        <v>0.1337</v>
      </c>
      <c r="N296" s="44" t="n">
        <v>0.1664</v>
      </c>
      <c r="O296" s="45" t="n"/>
      <c r="P296" s="46" t="n">
        <v>0.1831020125851857</v>
      </c>
      <c r="Q296" s="20" t="n">
        <v>84.90000000000001</v>
      </c>
      <c r="R296" s="20" t="n">
        <v>92.25</v>
      </c>
      <c r="S296" s="20" t="n">
        <v>87.84</v>
      </c>
      <c r="T296" s="44" t="n">
        <v>1</v>
      </c>
      <c r="U296" s="44" t="n">
        <v>1</v>
      </c>
      <c r="V296" s="46" t="n">
        <v>1</v>
      </c>
      <c r="W296" s="20" t="n">
        <v>100</v>
      </c>
      <c r="X296" s="20" t="n">
        <v>100</v>
      </c>
      <c r="Y296" s="20" t="n">
        <v>100</v>
      </c>
      <c r="Z296" s="46" t="n">
        <v>0.002721949868890372</v>
      </c>
      <c r="AA296" s="44" t="n">
        <v>0.0027</v>
      </c>
      <c r="AB296" s="46" t="n">
        <v>0.002721949868890372</v>
      </c>
      <c r="AC296" s="20" t="n">
        <v>98.78</v>
      </c>
      <c r="AD296" s="91" t="n">
        <v>49.1192</v>
      </c>
      <c r="AE296" s="46" t="n"/>
      <c r="AF296" s="20" t="n"/>
      <c r="AG296" s="20" t="n">
        <v>97.73</v>
      </c>
      <c r="AH296" s="20" t="n"/>
      <c r="AI296" s="20" t="n">
        <v>97.73</v>
      </c>
      <c r="AJ296" s="46" t="n">
        <v>0.1664</v>
      </c>
      <c r="AK296" s="20" t="n">
        <v>80</v>
      </c>
      <c r="AL296" s="20" t="n">
        <v>88.56999999999999</v>
      </c>
      <c r="AM296" s="20" t="n">
        <v>91.48999999999999</v>
      </c>
      <c r="AN296" s="20" t="n">
        <v>98.78</v>
      </c>
      <c r="AO296" s="20" t="n">
        <v>97.73</v>
      </c>
      <c r="AP296" s="20" t="n">
        <v>80</v>
      </c>
      <c r="AQ296" s="92" t="n">
        <v>0.835</v>
      </c>
      <c r="AR296" s="20" t="n">
        <v>77.884</v>
      </c>
      <c r="AS296" s="20" t="n">
        <v>93.27</v>
      </c>
      <c r="AT296" s="49" t="n">
        <v>3</v>
      </c>
      <c r="AU296" s="50">
        <f>IF(I296="","管理人规模；","")&amp;IF(J296="","产品规模标识；","")&amp;IF(AND(F296&lt;3,O296=""),"R_incep；","")&amp;IF(N296="","近三年收益；","")&amp;IF(U296="","近三年胜率；","")&amp;IF(AND(V296&lt;&gt;"",OR(V296&lt;0,V296&gt;1)),"胜率窗口口径不一致；","")&amp;IF(AA296="","近三年回撤；","")&amp;IF(AD296="","短期卡玛；","")&amp;IF(AND(P296&lt;&gt;"",AE296=""),"DD_long不可识别；","")</f>
        <v/>
      </c>
      <c r="AV296" s="51" t="n"/>
      <c r="AW296" s="22" t="inlineStr">
        <is>
          <t>10-20亿元</t>
        </is>
      </c>
      <c r="AX296" s="22" t="inlineStr">
        <is>
          <t>2026-08-14</t>
        </is>
      </c>
      <c r="AY296" s="22" t="inlineStr">
        <is>
          <t>北京惠隆资本管理有限责任公司 北京惠隆资本管理有限责任公司</t>
        </is>
      </c>
      <c r="AZ296" s="22" t="inlineStr">
        <is>
          <t>2026-08-14</t>
        </is>
      </c>
      <c r="BA296" s="22" t="inlineStr">
        <is>
          <t>https://gs.amac.org.cn/amac-infodisc/res/pof/manager/1705031716108118.html</t>
        </is>
      </c>
      <c r="BB296" s="22" t="n"/>
      <c r="BC296" s="22" t="n"/>
      <c r="BD296" s="22" t="inlineStr">
        <is>
          <t>产品未匹配，管理人已按名称补录</t>
        </is>
      </c>
      <c r="BF296" t="inlineStr">
        <is>
          <t>未核验</t>
        </is>
      </c>
    </row>
    <row r="297" hidden="1" ht="28" customHeight="1" s="73">
      <c r="A297" s="2" t="n">
        <v>309</v>
      </c>
      <c r="B297" s="18" t="inlineStr">
        <is>
          <t>庄贤亨贞期权对冲A类</t>
        </is>
      </c>
      <c r="C297" s="18">
        <f>'sheet4-原始数据'!B310</f>
        <v/>
      </c>
      <c r="D297" s="18" t="inlineStr">
        <is>
          <t>杭州庄贤投资</t>
        </is>
      </c>
      <c r="E297" s="90" t="inlineStr">
        <is>
          <t>2022-01-28</t>
        </is>
      </c>
      <c r="F297" s="20" t="n">
        <v>4.6297</v>
      </c>
      <c r="G297" s="2">
        <f>IF(F297="","",IF(F297&lt;1,"不入池","入池"))</f>
        <v/>
      </c>
      <c r="H297" s="42" t="inlineStr">
        <is>
          <t>20-50亿元</t>
        </is>
      </c>
      <c r="I297" s="20" t="n">
        <v>90</v>
      </c>
      <c r="J297" s="43" t="inlineStr">
        <is>
          <t>无低于1000万元标识</t>
        </is>
      </c>
      <c r="K297" s="20" t="n"/>
      <c r="L297" s="20" t="n">
        <v>100</v>
      </c>
      <c r="M297" s="44" t="n">
        <v>0.0405</v>
      </c>
      <c r="N297" s="44" t="n">
        <v>0.04650000000000001</v>
      </c>
      <c r="O297" s="45" t="n"/>
      <c r="P297" s="46" t="n">
        <v>0.04951296208884615</v>
      </c>
      <c r="Q297" s="20" t="n">
        <v>39.93</v>
      </c>
      <c r="R297" s="20" t="n">
        <v>36.25</v>
      </c>
      <c r="S297" s="20" t="n">
        <v>38.46</v>
      </c>
      <c r="T297" s="44" t="n">
        <v>0.6923</v>
      </c>
      <c r="U297" s="44" t="n">
        <v>0.7568</v>
      </c>
      <c r="V297" s="46" t="n">
        <v>0.7917375</v>
      </c>
      <c r="W297" s="20" t="n">
        <v>69.23</v>
      </c>
      <c r="X297" s="20" t="n">
        <v>79.17375</v>
      </c>
      <c r="Y297" s="20" t="n">
        <v>73.20999999999999</v>
      </c>
      <c r="Z297" s="46" t="n">
        <v>0.004283810369994289</v>
      </c>
      <c r="AA297" s="44" t="n">
        <v>0.013</v>
      </c>
      <c r="AB297" s="46" t="n">
        <v>0.013</v>
      </c>
      <c r="AC297" s="20" t="n">
        <v>81.53</v>
      </c>
      <c r="AD297" s="91" t="n">
        <v>9.4542</v>
      </c>
      <c r="AE297" s="46" t="n">
        <v>0.013</v>
      </c>
      <c r="AF297" s="20" t="n">
        <v>3.808689391449703</v>
      </c>
      <c r="AG297" s="20" t="n">
        <v>78.5</v>
      </c>
      <c r="AH297" s="20" t="n">
        <v>81.25</v>
      </c>
      <c r="AI297" s="20" t="n">
        <v>79.59999999999999</v>
      </c>
      <c r="AJ297" s="46" t="n">
        <v>0.04650000000000001</v>
      </c>
      <c r="AK297" s="20" t="n">
        <v>80</v>
      </c>
      <c r="AL297" s="20" t="n">
        <v>94.29000000000001</v>
      </c>
      <c r="AM297" s="20" t="n">
        <v>48.88</v>
      </c>
      <c r="AN297" s="20" t="n">
        <v>81.53</v>
      </c>
      <c r="AO297" s="20" t="n">
        <v>79.59999999999999</v>
      </c>
      <c r="AP297" s="20" t="n">
        <v>80</v>
      </c>
      <c r="AQ297" s="92" t="n">
        <v>0.955</v>
      </c>
      <c r="AR297" s="20" t="n">
        <v>71.93907</v>
      </c>
      <c r="AS297" s="20" t="n">
        <v>75.33</v>
      </c>
      <c r="AT297" s="49" t="n">
        <v>86</v>
      </c>
      <c r="AU297" s="50">
        <f>IF(I297="","管理人规模；","")&amp;IF(J297="","产品规模标识；","")&amp;IF(AND(F297&lt;3,O297=""),"R_incep；","")&amp;IF(N297="","近三年收益；","")&amp;IF(U297="","近三年胜率；","")&amp;IF(AND(V297&lt;&gt;"",OR(V297&lt;0,V297&gt;1)),"胜率窗口口径不一致；","")&amp;IF(AA297="","近三年回撤；","")&amp;IF(AD297="","短期卡玛；","")&amp;IF(AND(P297&lt;&gt;"",AE297=""),"DD_long不可识别；","")</f>
        <v/>
      </c>
      <c r="AV297" s="51" t="n"/>
      <c r="AW297" s="22" t="inlineStr">
        <is>
          <t>20-50亿元</t>
        </is>
      </c>
      <c r="AX297" s="22" t="inlineStr">
        <is>
          <t>2026-08-10</t>
        </is>
      </c>
      <c r="AY297" s="22" t="inlineStr">
        <is>
          <t>杭州庄贤投资管理合伙企业（有限合伙） 杭州庄贤投资管理合伙企业（有限合伙）</t>
        </is>
      </c>
      <c r="AZ297" s="22" t="inlineStr">
        <is>
          <t>2026-08-10</t>
        </is>
      </c>
      <c r="BA297" s="22" t="inlineStr">
        <is>
          <t>https://gs.amac.org.cn/amac-infodisc/res/pof/manager/1703280912100590.html</t>
        </is>
      </c>
      <c r="BB297" s="22" t="n"/>
      <c r="BC297" s="22" t="n"/>
      <c r="BD297" s="22" t="inlineStr">
        <is>
          <t>产品未匹配，管理人已按名称补录</t>
        </is>
      </c>
      <c r="BF297" t="inlineStr">
        <is>
          <t>未核验</t>
        </is>
      </c>
    </row>
    <row r="298" hidden="1" ht="28" customHeight="1" s="73">
      <c r="A298" s="2" t="n">
        <v>310</v>
      </c>
      <c r="B298" s="18" t="inlineStr">
        <is>
          <t>鑫翰启明贵金属套利1号B类</t>
        </is>
      </c>
      <c r="C298" s="18">
        <f>'sheet4-原始数据'!B311</f>
        <v/>
      </c>
      <c r="D298" s="18" t="inlineStr">
        <is>
          <t>北京鑫翰资管</t>
        </is>
      </c>
      <c r="E298" s="90" t="inlineStr">
        <is>
          <t>2024-07-12</t>
        </is>
      </c>
      <c r="F298" s="20" t="n">
        <v>2.1766</v>
      </c>
      <c r="G298" s="2">
        <f>IF(F298="","",IF(F298&lt;1,"不入池","入池"))</f>
        <v/>
      </c>
      <c r="H298" s="42" t="inlineStr">
        <is>
          <t>0-5亿元</t>
        </is>
      </c>
      <c r="I298" s="20" t="n">
        <v>60</v>
      </c>
      <c r="J298" s="43" t="inlineStr">
        <is>
          <t>无低于1000万元标识</t>
        </is>
      </c>
      <c r="K298" s="20" t="n"/>
      <c r="L298" s="20" t="n">
        <v>70</v>
      </c>
      <c r="M298" s="44" t="n">
        <v>0.0329</v>
      </c>
      <c r="N298" s="44" t="n"/>
      <c r="O298" s="45" t="n"/>
      <c r="P298" s="46" t="n"/>
      <c r="Q298" s="20" t="n">
        <v>32.99</v>
      </c>
      <c r="R298" s="20" t="n"/>
      <c r="S298" s="20" t="n">
        <v>32.99</v>
      </c>
      <c r="T298" s="44" t="n">
        <v>0.5385</v>
      </c>
      <c r="U298" s="44" t="n"/>
      <c r="V298" s="46" t="n"/>
      <c r="W298" s="20" t="n">
        <v>53.84999999999999</v>
      </c>
      <c r="X298" s="20" t="n"/>
      <c r="Y298" s="20" t="n">
        <v>53.84999999999999</v>
      </c>
      <c r="Z298" s="46" t="n">
        <v>0.04120225422667501</v>
      </c>
      <c r="AA298" s="44" t="n"/>
      <c r="AB298" s="46" t="n">
        <v>0.04120225422667501</v>
      </c>
      <c r="AC298" s="20" t="n">
        <v>50.87</v>
      </c>
      <c r="AD298" s="91" t="n">
        <v>0.7985</v>
      </c>
      <c r="AE298" s="46" t="n"/>
      <c r="AF298" s="20" t="n"/>
      <c r="AG298" s="20" t="n">
        <v>31.12</v>
      </c>
      <c r="AH298" s="20" t="n"/>
      <c r="AI298" s="20" t="n">
        <v>31.12</v>
      </c>
      <c r="AJ298" s="46" t="n"/>
      <c r="AK298" s="20" t="n"/>
      <c r="AL298" s="20" t="n">
        <v>64.29000000000001</v>
      </c>
      <c r="AM298" s="20" t="n">
        <v>39.25</v>
      </c>
      <c r="AN298" s="20" t="n">
        <v>50.87</v>
      </c>
      <c r="AO298" s="20" t="n">
        <v>31.12</v>
      </c>
      <c r="AP298" s="20" t="n"/>
      <c r="AQ298" s="92" t="n">
        <v>0.655</v>
      </c>
      <c r="AR298" s="20" t="n">
        <v>29.77886</v>
      </c>
      <c r="AS298" s="20" t="n">
        <v>45.46</v>
      </c>
      <c r="AT298" s="49" t="n">
        <v>239</v>
      </c>
      <c r="AU298" s="50">
        <f>IF(I298="","管理人规模；","")&amp;IF(J298="","产品规模标识；","")&amp;IF(AND(F298&lt;3,O298=""),"R_incep；","")&amp;IF(N298="","近三年收益；","")&amp;IF(U298="","近三年胜率；","")&amp;IF(AND(V298&lt;&gt;"",OR(V298&lt;0,V298&gt;1)),"胜率窗口口径不一致；","")&amp;IF(AA298="","近三年回撤；","")&amp;IF(AD298="","短期卡玛；","")&amp;IF(AND(P298&lt;&gt;"",AE298=""),"DD_long不可识别；","")</f>
        <v/>
      </c>
      <c r="AV298" s="51" t="n"/>
      <c r="AW298" s="22" t="inlineStr">
        <is>
          <t>0-5亿元</t>
        </is>
      </c>
      <c r="AX298" s="22" t="inlineStr">
        <is>
          <t>2026-04-10</t>
        </is>
      </c>
      <c r="AY298" s="22" t="inlineStr">
        <is>
          <t>北京鑫翰资本管理有限公司 北京鑫翰资本管理有限公司</t>
        </is>
      </c>
      <c r="AZ298" s="22" t="inlineStr">
        <is>
          <t>2026-04-10</t>
        </is>
      </c>
      <c r="BA298" s="22" t="inlineStr">
        <is>
          <t>https://gs.amac.org.cn/amac-infodisc/res/pof/manager/1906200947105473.html</t>
        </is>
      </c>
      <c r="BB298" s="22" t="n"/>
      <c r="BC298" s="22" t="n"/>
      <c r="BD298" s="22" t="inlineStr">
        <is>
          <t>产品未匹配，管理人已按名称补录</t>
        </is>
      </c>
      <c r="BF298" t="inlineStr">
        <is>
          <t>未核验</t>
        </is>
      </c>
    </row>
    <row r="299" hidden="1" ht="28" customHeight="1" s="73">
      <c r="A299" s="2" t="n">
        <v>311</v>
      </c>
      <c r="B299" s="18" t="inlineStr">
        <is>
          <t>灵涛卧龙A类</t>
        </is>
      </c>
      <c r="C299" s="18">
        <f>'sheet4-原始数据'!B312</f>
        <v/>
      </c>
      <c r="D299" s="18" t="inlineStr">
        <is>
          <t>灵涛基金</t>
        </is>
      </c>
      <c r="E299" s="90" t="inlineStr">
        <is>
          <t>2018-12-13</t>
        </is>
      </c>
      <c r="F299" s="20" t="n">
        <v>7.7563</v>
      </c>
      <c r="G299" s="2">
        <f>IF(F299="","",IF(F299&lt;1,"不入池","入池"))</f>
        <v/>
      </c>
      <c r="H299" s="42" t="inlineStr">
        <is>
          <t>5-10亿元</t>
        </is>
      </c>
      <c r="I299" s="20" t="n">
        <v>70</v>
      </c>
      <c r="J299" s="43" t="inlineStr">
        <is>
          <t>无低于1000万元标识</t>
        </is>
      </c>
      <c r="K299" s="20" t="n"/>
      <c r="L299" s="20" t="n">
        <v>100</v>
      </c>
      <c r="M299" s="44" t="n">
        <v>0.0384</v>
      </c>
      <c r="N299" s="44" t="n"/>
      <c r="O299" s="45" t="n"/>
      <c r="P299" s="46" t="n"/>
      <c r="Q299" s="20" t="n">
        <v>35.24</v>
      </c>
      <c r="R299" s="20" t="n"/>
      <c r="S299" s="20" t="n">
        <v>35.24</v>
      </c>
      <c r="T299" s="44" t="n">
        <v>0.6923</v>
      </c>
      <c r="U299" s="44" t="n"/>
      <c r="V299" s="46" t="n"/>
      <c r="W299" s="20" t="n">
        <v>69.23</v>
      </c>
      <c r="X299" s="20" t="n"/>
      <c r="Y299" s="20" t="n">
        <v>69.23</v>
      </c>
      <c r="Z299" s="46" t="n">
        <v>0.05660377358490565</v>
      </c>
      <c r="AA299" s="44" t="n"/>
      <c r="AB299" s="46" t="n">
        <v>0.05660377358490565</v>
      </c>
      <c r="AC299" s="20" t="n">
        <v>40.42</v>
      </c>
      <c r="AD299" s="91" t="n">
        <v>0.6784</v>
      </c>
      <c r="AE299" s="46" t="n"/>
      <c r="AF299" s="20" t="n"/>
      <c r="AG299" s="20" t="n">
        <v>29.02</v>
      </c>
      <c r="AH299" s="20" t="n"/>
      <c r="AI299" s="20" t="n">
        <v>29.02</v>
      </c>
      <c r="AJ299" s="46" t="n"/>
      <c r="AK299" s="20" t="n"/>
      <c r="AL299" s="20" t="n">
        <v>82.86</v>
      </c>
      <c r="AM299" s="20" t="n">
        <v>45.44</v>
      </c>
      <c r="AN299" s="20" t="n">
        <v>40.42</v>
      </c>
      <c r="AO299" s="20" t="n">
        <v>29.02</v>
      </c>
      <c r="AP299" s="20" t="n"/>
      <c r="AQ299" s="92" t="n">
        <v>0.655</v>
      </c>
      <c r="AR299" s="20" t="n">
        <v>29.48104</v>
      </c>
      <c r="AS299" s="20" t="n">
        <v>45.01</v>
      </c>
      <c r="AT299" s="49" t="n">
        <v>242</v>
      </c>
      <c r="AU299" s="50">
        <f>IF(I299="","管理人规模；","")&amp;IF(J299="","产品规模标识；","")&amp;IF(AND(F299&lt;3,O299=""),"R_incep；","")&amp;IF(N299="","近三年收益；","")&amp;IF(U299="","近三年胜率；","")&amp;IF(AND(V299&lt;&gt;"",OR(V299&lt;0,V299&gt;1)),"胜率窗口口径不一致；","")&amp;IF(AA299="","近三年回撤；","")&amp;IF(AD299="","短期卡玛；","")&amp;IF(AND(P299&lt;&gt;"",AE299=""),"DD_long不可识别；","")</f>
        <v/>
      </c>
      <c r="AV299" s="51" t="n"/>
      <c r="AW299" s="22" t="inlineStr">
        <is>
          <t>5-10亿元</t>
        </is>
      </c>
      <c r="AX299" s="22" t="inlineStr">
        <is>
          <t>2026-08-20</t>
        </is>
      </c>
      <c r="AY299" s="22" t="inlineStr">
        <is>
          <t>灵涛私募基金管理（上海）有限公司 灵涛私募基金管理（上海）有限公司</t>
        </is>
      </c>
      <c r="AZ299" s="22" t="inlineStr">
        <is>
          <t>2026-08-20</t>
        </is>
      </c>
      <c r="BA299" s="22" t="inlineStr">
        <is>
          <t>https://gs.amac.org.cn/amac-infodisc/res/pof/manager/101000034805.html</t>
        </is>
      </c>
      <c r="BB299" s="22" t="n"/>
      <c r="BC299" s="22" t="n"/>
      <c r="BD299" s="22" t="inlineStr">
        <is>
          <t>产品未匹配，管理人已按名称补录</t>
        </is>
      </c>
      <c r="BF299" t="inlineStr">
        <is>
          <t>未核验</t>
        </is>
      </c>
    </row>
    <row r="300" hidden="1" ht="28" customHeight="1" s="73">
      <c r="A300" s="2" t="n">
        <v>312</v>
      </c>
      <c r="B300" s="18" t="inlineStr">
        <is>
          <t>泰创稳增1号A类</t>
        </is>
      </c>
      <c r="C300" s="18">
        <f>'sheet4-原始数据'!B313</f>
        <v/>
      </c>
      <c r="D300" s="18" t="inlineStr">
        <is>
          <t>北京泰创投资</t>
        </is>
      </c>
      <c r="E300" s="90" t="inlineStr">
        <is>
          <t>2023-04-10</t>
        </is>
      </c>
      <c r="F300" s="20" t="n">
        <v>3.4333</v>
      </c>
      <c r="G300" s="2">
        <f>IF(F300="","",IF(F300&lt;1,"不入池","入池"))</f>
        <v/>
      </c>
      <c r="H300" s="42" t="inlineStr">
        <is>
          <t>5-10亿元</t>
        </is>
      </c>
      <c r="I300" s="20" t="n">
        <v>70</v>
      </c>
      <c r="J300" s="43" t="inlineStr">
        <is>
          <t>无低于1000万元标识</t>
        </is>
      </c>
      <c r="K300" s="20" t="n"/>
      <c r="L300" s="20" t="n">
        <v>100</v>
      </c>
      <c r="M300" s="44" t="n">
        <v>0.048</v>
      </c>
      <c r="N300" s="44" t="n"/>
      <c r="O300" s="45" t="n"/>
      <c r="P300" s="46" t="n"/>
      <c r="Q300" s="20" t="n">
        <v>44.1</v>
      </c>
      <c r="R300" s="20" t="n"/>
      <c r="S300" s="20" t="n">
        <v>44.1</v>
      </c>
      <c r="T300" s="44" t="n">
        <v>0.6153999999999999</v>
      </c>
      <c r="U300" s="44" t="n"/>
      <c r="V300" s="46" t="n"/>
      <c r="W300" s="20" t="n">
        <v>61.53999999999999</v>
      </c>
      <c r="X300" s="20" t="n"/>
      <c r="Y300" s="20" t="n">
        <v>61.53999999999999</v>
      </c>
      <c r="Z300" s="46" t="n">
        <v>0.01606855918585967</v>
      </c>
      <c r="AA300" s="44" t="n"/>
      <c r="AB300" s="46" t="n">
        <v>0.01606855918585967</v>
      </c>
      <c r="AC300" s="20" t="n">
        <v>77.34999999999999</v>
      </c>
      <c r="AD300" s="91" t="n">
        <v>2.9872</v>
      </c>
      <c r="AE300" s="46" t="n"/>
      <c r="AF300" s="20" t="n"/>
      <c r="AG300" s="20" t="n">
        <v>54.2</v>
      </c>
      <c r="AH300" s="20" t="n"/>
      <c r="AI300" s="20" t="n">
        <v>54.2</v>
      </c>
      <c r="AJ300" s="46" t="n"/>
      <c r="AK300" s="20" t="n"/>
      <c r="AL300" s="20" t="n">
        <v>82.86</v>
      </c>
      <c r="AM300" s="20" t="n">
        <v>49.33</v>
      </c>
      <c r="AN300" s="20" t="n">
        <v>77.34999999999999</v>
      </c>
      <c r="AO300" s="20" t="n">
        <v>54.2</v>
      </c>
      <c r="AP300" s="20" t="n"/>
      <c r="AQ300" s="92" t="n">
        <v>0.655</v>
      </c>
      <c r="AR300" s="20" t="n">
        <v>43.71334</v>
      </c>
      <c r="AS300" s="20" t="n">
        <v>66.73999999999999</v>
      </c>
      <c r="AT300" s="49" t="n">
        <v>138</v>
      </c>
      <c r="AU300" s="50">
        <f>IF(I300="","管理人规模；","")&amp;IF(J300="","产品规模标识；","")&amp;IF(AND(F300&lt;3,O300=""),"R_incep；","")&amp;IF(N300="","近三年收益；","")&amp;IF(U300="","近三年胜率；","")&amp;IF(AND(V300&lt;&gt;"",OR(V300&lt;0,V300&gt;1)),"胜率窗口口径不一致；","")&amp;IF(AA300="","近三年回撤；","")&amp;IF(AD300="","短期卡玛；","")&amp;IF(AND(P300&lt;&gt;"",AE300=""),"DD_long不可识别；","")</f>
        <v/>
      </c>
      <c r="AV300" s="51" t="n"/>
      <c r="AW300" s="22" t="inlineStr">
        <is>
          <t>5-10亿元</t>
        </is>
      </c>
      <c r="AX300" s="22" t="inlineStr">
        <is>
          <t>2026-05-12</t>
        </is>
      </c>
      <c r="AY300" s="22" t="inlineStr">
        <is>
          <t>北京泰创投资管理有限公司 北京泰创投资管理有限公司</t>
        </is>
      </c>
      <c r="AZ300" s="22" t="inlineStr">
        <is>
          <t>2026-05-12</t>
        </is>
      </c>
      <c r="BA300" s="22" t="inlineStr">
        <is>
          <t>https://gs.amac.org.cn/amac-infodisc/res/pof/manager/101000008864.html</t>
        </is>
      </c>
      <c r="BB300" s="22" t="n"/>
      <c r="BC300" s="22" t="n"/>
      <c r="BD300" s="22" t="inlineStr">
        <is>
          <t>产品未匹配，管理人已按名称补录</t>
        </is>
      </c>
      <c r="BF300" t="inlineStr">
        <is>
          <t>未核验</t>
        </is>
      </c>
    </row>
    <row r="301" hidden="1" ht="28" customHeight="1" s="73">
      <c r="A301" s="2" t="n">
        <v>313</v>
      </c>
      <c r="B301" s="18" t="inlineStr">
        <is>
          <t>星汇天权1号</t>
        </is>
      </c>
      <c r="C301" s="18">
        <f>'sheet4-原始数据'!B314</f>
        <v/>
      </c>
      <c r="D301" s="18" t="inlineStr">
        <is>
          <t>上海思达星汇</t>
        </is>
      </c>
      <c r="E301" s="90" t="inlineStr">
        <is>
          <t>2025-03-10</t>
        </is>
      </c>
      <c r="F301" s="20" t="n">
        <v>1.5168</v>
      </c>
      <c r="G301" s="2">
        <f>IF(F301="","",IF(F301&lt;1,"不入池","入池"))</f>
        <v/>
      </c>
      <c r="H301" s="42" t="inlineStr">
        <is>
          <t>20-50亿元</t>
        </is>
      </c>
      <c r="I301" s="20" t="n">
        <v>90</v>
      </c>
      <c r="J301" s="43" t="inlineStr">
        <is>
          <t>无低于1000万元标识</t>
        </is>
      </c>
      <c r="K301" s="20" t="n">
        <v>100</v>
      </c>
      <c r="L301" s="20" t="n">
        <v>70</v>
      </c>
      <c r="M301" s="44" t="n">
        <v>0.1077</v>
      </c>
      <c r="N301" s="44" t="n"/>
      <c r="O301" s="45" t="n"/>
      <c r="P301" s="46" t="n"/>
      <c r="Q301" s="20" t="n">
        <v>78.81999999999999</v>
      </c>
      <c r="R301" s="20" t="n"/>
      <c r="S301" s="20" t="n">
        <v>78.81999999999999</v>
      </c>
      <c r="T301" s="44" t="n">
        <v>0.6153999999999999</v>
      </c>
      <c r="U301" s="44" t="n"/>
      <c r="V301" s="46" t="n"/>
      <c r="W301" s="20" t="n">
        <v>61.53999999999999</v>
      </c>
      <c r="X301" s="20" t="n"/>
      <c r="Y301" s="20" t="n">
        <v>61.53999999999999</v>
      </c>
      <c r="Z301" s="46" t="n">
        <v>0.04133722269133338</v>
      </c>
      <c r="AA301" s="44" t="n"/>
      <c r="AB301" s="46" t="n">
        <v>0.04133722269133338</v>
      </c>
      <c r="AC301" s="20" t="n">
        <v>50.17</v>
      </c>
      <c r="AD301" s="91" t="n">
        <v>2.6054</v>
      </c>
      <c r="AE301" s="46" t="n"/>
      <c r="AF301" s="20" t="n"/>
      <c r="AG301" s="20" t="n">
        <v>52.1</v>
      </c>
      <c r="AH301" s="20" t="n"/>
      <c r="AI301" s="20" t="n">
        <v>52.1</v>
      </c>
      <c r="AJ301" s="46" t="n"/>
      <c r="AK301" s="20" t="n"/>
      <c r="AL301" s="20" t="n">
        <v>87</v>
      </c>
      <c r="AM301" s="20" t="n">
        <v>73.64</v>
      </c>
      <c r="AN301" s="20" t="n">
        <v>50.17</v>
      </c>
      <c r="AO301" s="20" t="n">
        <v>52.1</v>
      </c>
      <c r="AP301" s="20" t="n"/>
      <c r="AQ301" s="92" t="n">
        <v>0.7</v>
      </c>
      <c r="AR301" s="20" t="n">
        <v>43.80682</v>
      </c>
      <c r="AS301" s="20" t="n">
        <v>62.58</v>
      </c>
      <c r="AT301" s="49" t="n">
        <v>154</v>
      </c>
      <c r="AU301" s="50">
        <f>IF(I301="","管理人规模；","")&amp;IF(J301="","产品规模标识；","")&amp;IF(AND(F301&lt;3,O301=""),"R_incep；","")&amp;IF(N301="","近三年收益；","")&amp;IF(U301="","近三年胜率；","")&amp;IF(AND(V301&lt;&gt;"",OR(V301&lt;0,V301&gt;1)),"胜率窗口口径不一致；","")&amp;IF(AA301="","近三年回撤；","")&amp;IF(AD301="","短期卡玛；","")&amp;IF(AND(P301&lt;&gt;"",AE301=""),"DD_long不可识别；","")</f>
        <v/>
      </c>
      <c r="AV301" s="51" t="n"/>
      <c r="AW301" s="22" t="inlineStr">
        <is>
          <t>20-50亿元</t>
        </is>
      </c>
      <c r="AX301" s="22" t="inlineStr">
        <is>
          <t>2026-05-07</t>
        </is>
      </c>
      <c r="AY301" s="22" t="inlineStr">
        <is>
          <t>上海思达星汇私募基金管理有限公司</t>
        </is>
      </c>
      <c r="AZ301" s="22" t="inlineStr">
        <is>
          <t>2026-05-07</t>
        </is>
      </c>
      <c r="BA301" s="22" t="inlineStr">
        <is>
          <t>https://gs.amac.org.cn/amac-infodisc/res/pof/manager/2111041536100174.html</t>
        </is>
      </c>
      <c r="BB301" s="22" t="inlineStr">
        <is>
          <t>星汇天权1号私募证券投资基金</t>
        </is>
      </c>
      <c r="BC301" s="22" t="inlineStr">
        <is>
          <t>2025-03-19</t>
        </is>
      </c>
      <c r="BD301" s="22" t="inlineStr">
        <is>
          <t>已匹配</t>
        </is>
      </c>
      <c r="BE301" t="inlineStr">
        <is>
          <t>https://gs.amac.org.cn/amac-infodisc/res/pof/fund/2503191736101571.html</t>
        </is>
      </c>
      <c r="BF301" t="inlineStr">
        <is>
          <t>已核验</t>
        </is>
      </c>
    </row>
    <row r="302" hidden="1" ht="28" customHeight="1" s="73">
      <c r="A302" s="2" t="n">
        <v>314</v>
      </c>
      <c r="B302" s="18" t="inlineStr">
        <is>
          <t>盛冠达泽众9号</t>
        </is>
      </c>
      <c r="C302" s="18">
        <f>'sheet4-原始数据'!B315</f>
        <v/>
      </c>
      <c r="D302" s="18" t="inlineStr">
        <is>
          <t>海南盛冠达</t>
        </is>
      </c>
      <c r="E302" s="90" t="inlineStr">
        <is>
          <t>2025-04-11</t>
        </is>
      </c>
      <c r="F302" s="20" t="n">
        <v>1.4292</v>
      </c>
      <c r="G302" s="2">
        <f>IF(F302="","",IF(F302&lt;1,"不入池","入池"))</f>
        <v/>
      </c>
      <c r="H302" s="42" t="inlineStr">
        <is>
          <t>20-50亿元</t>
        </is>
      </c>
      <c r="I302" s="20" t="n">
        <v>90</v>
      </c>
      <c r="J302" s="43" t="inlineStr">
        <is>
          <t>无低于1000万元标识</t>
        </is>
      </c>
      <c r="K302" s="20" t="n">
        <v>100</v>
      </c>
      <c r="L302" s="20" t="n">
        <v>70</v>
      </c>
      <c r="M302" s="44" t="n">
        <v>0.0654</v>
      </c>
      <c r="N302" s="44" t="n"/>
      <c r="O302" s="45" t="n"/>
      <c r="P302" s="46" t="n"/>
      <c r="Q302" s="20" t="n">
        <v>55.21</v>
      </c>
      <c r="R302" s="20" t="n"/>
      <c r="S302" s="20" t="n">
        <v>55.21</v>
      </c>
      <c r="T302" s="44" t="n">
        <v>0.7692</v>
      </c>
      <c r="U302" s="44" t="n"/>
      <c r="V302" s="46" t="n"/>
      <c r="W302" s="20" t="n">
        <v>76.92</v>
      </c>
      <c r="X302" s="20" t="n">
        <v>100</v>
      </c>
      <c r="Y302" s="20" t="n">
        <v>86.15000000000001</v>
      </c>
      <c r="Z302" s="46" t="n">
        <v>0.01733460559796438</v>
      </c>
      <c r="AA302" s="44" t="n"/>
      <c r="AB302" s="46" t="n">
        <v>0.01733460559796438</v>
      </c>
      <c r="AC302" s="20" t="n">
        <v>74.91</v>
      </c>
      <c r="AD302" s="91" t="n">
        <v>3.7728</v>
      </c>
      <c r="AE302" s="46" t="n"/>
      <c r="AF302" s="20" t="n"/>
      <c r="AG302" s="20" t="n">
        <v>60.84</v>
      </c>
      <c r="AH302" s="20" t="n"/>
      <c r="AI302" s="20" t="n">
        <v>60.84</v>
      </c>
      <c r="AJ302" s="46" t="n"/>
      <c r="AK302" s="20" t="n"/>
      <c r="AL302" s="20" t="n">
        <v>87</v>
      </c>
      <c r="AM302" s="20" t="n">
        <v>68.09999999999999</v>
      </c>
      <c r="AN302" s="20" t="n">
        <v>74.91</v>
      </c>
      <c r="AO302" s="20" t="n">
        <v>60.84</v>
      </c>
      <c r="AP302" s="20" t="n"/>
      <c r="AQ302" s="92" t="n">
        <v>0.724</v>
      </c>
      <c r="AR302" s="20" t="n">
        <v>52.53546</v>
      </c>
      <c r="AS302" s="20" t="n">
        <v>72.56</v>
      </c>
      <c r="AT302" s="49" t="n">
        <v>102</v>
      </c>
      <c r="AU302" s="50">
        <f>IF(I302="","管理人规模；","")&amp;IF(J302="","产品规模标识；","")&amp;IF(AND(F302&lt;3,O302=""),"R_incep；","")&amp;IF(N302="","近三年收益；","")&amp;IF(U302="","近三年胜率；","")&amp;IF(AND(V302&lt;&gt;"",OR(V302&lt;0,V302&gt;1)),"胜率窗口口径不一致；","")&amp;IF(AA302="","近三年回撤；","")&amp;IF(AD302="","短期卡玛；","")&amp;IF(AND(P302&lt;&gt;"",AE302=""),"DD_long不可识别；","")</f>
        <v/>
      </c>
      <c r="AV302" s="51" t="n"/>
      <c r="AW302" s="22" t="inlineStr">
        <is>
          <t>20-50亿元</t>
        </is>
      </c>
      <c r="AX302" s="22" t="inlineStr">
        <is>
          <t>2026-01-05</t>
        </is>
      </c>
      <c r="AY302" s="22" t="inlineStr">
        <is>
          <t>海南盛冠达私募基金管理有限公司</t>
        </is>
      </c>
      <c r="AZ302" s="22" t="inlineStr">
        <is>
          <t>2026-01-05</t>
        </is>
      </c>
      <c r="BA302" s="22" t="inlineStr">
        <is>
          <t>https://gs.amac.org.cn/amac-infodisc/res/pof/manager/101000001663.html</t>
        </is>
      </c>
      <c r="BB302" s="22" t="inlineStr">
        <is>
          <t>盛冠达泽众9号私募证券投资基金</t>
        </is>
      </c>
      <c r="BC302" s="22" t="inlineStr">
        <is>
          <t>2025-04-17</t>
        </is>
      </c>
      <c r="BD302" s="22" t="inlineStr">
        <is>
          <t>已匹配</t>
        </is>
      </c>
      <c r="BE302" t="inlineStr">
        <is>
          <t>https://gs.amac.org.cn/amac-infodisc/res/pof/fund/2504171743100735.html</t>
        </is>
      </c>
      <c r="BF302" t="inlineStr">
        <is>
          <t>已核验</t>
        </is>
      </c>
    </row>
    <row r="303" hidden="1" ht="28" customHeight="1" s="73">
      <c r="A303" s="2" t="n">
        <v>315</v>
      </c>
      <c r="B303" s="18" t="inlineStr">
        <is>
          <t>金藏元金权一号</t>
        </is>
      </c>
      <c r="C303" s="18">
        <f>'sheet4-原始数据'!B316</f>
        <v/>
      </c>
      <c r="D303" s="18" t="inlineStr">
        <is>
          <t>浙江金藏元投资</t>
        </is>
      </c>
      <c r="E303" s="90" t="inlineStr">
        <is>
          <t>2025-04-21</t>
        </is>
      </c>
      <c r="F303" s="20" t="n">
        <v>1.4018</v>
      </c>
      <c r="G303" s="2">
        <f>IF(F303="","",IF(F303&lt;1,"不入池","入池"))</f>
        <v/>
      </c>
      <c r="H303" s="42" t="inlineStr">
        <is>
          <t>0-5亿元</t>
        </is>
      </c>
      <c r="I303" s="20" t="n">
        <v>60</v>
      </c>
      <c r="J303" s="43" t="inlineStr">
        <is>
          <t>无低于1000万元标识</t>
        </is>
      </c>
      <c r="K303" s="20" t="n">
        <v>100</v>
      </c>
      <c r="L303" s="20" t="n">
        <v>70</v>
      </c>
      <c r="M303" s="44" t="n">
        <v>0.0737</v>
      </c>
      <c r="N303" s="44" t="n"/>
      <c r="O303" s="45" t="n"/>
      <c r="P303" s="46" t="n"/>
      <c r="Q303" s="20" t="n">
        <v>62.15</v>
      </c>
      <c r="R303" s="20" t="n"/>
      <c r="S303" s="20" t="n">
        <v>62.15</v>
      </c>
      <c r="T303" s="44" t="n">
        <v>0.6923</v>
      </c>
      <c r="U303" s="44" t="n"/>
      <c r="V303" s="46" t="n"/>
      <c r="W303" s="20" t="n">
        <v>69.23</v>
      </c>
      <c r="X303" s="20" t="n">
        <v>100</v>
      </c>
      <c r="Y303" s="20" t="n">
        <v>81.54000000000001</v>
      </c>
      <c r="Z303" s="46" t="n">
        <v>0.04510679968174307</v>
      </c>
      <c r="AA303" s="44" t="n"/>
      <c r="AB303" s="46" t="n">
        <v>0.04510679968174307</v>
      </c>
      <c r="AC303" s="20" t="n">
        <v>47.39</v>
      </c>
      <c r="AD303" s="91" t="n">
        <v>1.6339</v>
      </c>
      <c r="AE303" s="46" t="n"/>
      <c r="AF303" s="20" t="n"/>
      <c r="AG303" s="20" t="n">
        <v>41.96</v>
      </c>
      <c r="AH303" s="20" t="n"/>
      <c r="AI303" s="20" t="n">
        <v>41.96</v>
      </c>
      <c r="AJ303" s="46" t="n"/>
      <c r="AK303" s="20" t="n"/>
      <c r="AL303" s="20" t="n">
        <v>75</v>
      </c>
      <c r="AM303" s="20" t="n">
        <v>70.23</v>
      </c>
      <c r="AN303" s="20" t="n">
        <v>47.39</v>
      </c>
      <c r="AO303" s="20" t="n">
        <v>41.96</v>
      </c>
      <c r="AP303" s="20" t="n"/>
      <c r="AQ303" s="92" t="n">
        <v>0.724</v>
      </c>
      <c r="AR303" s="20" t="n">
        <v>40.76318</v>
      </c>
      <c r="AS303" s="20" t="n">
        <v>56.3</v>
      </c>
      <c r="AT303" s="49" t="n">
        <v>190</v>
      </c>
      <c r="AU303" s="50">
        <f>IF(I303="","管理人规模；","")&amp;IF(J303="","产品规模标识；","")&amp;IF(AND(F303&lt;3,O303=""),"R_incep；","")&amp;IF(N303="","近三年收益；","")&amp;IF(U303="","近三年胜率；","")&amp;IF(AND(V303&lt;&gt;"",OR(V303&lt;0,V303&gt;1)),"胜率窗口口径不一致；","")&amp;IF(AA303="","近三年回撤；","")&amp;IF(AD303="","短期卡玛；","")&amp;IF(AND(P303&lt;&gt;"",AE303=""),"DD_long不可识别；","")</f>
        <v/>
      </c>
      <c r="AV303" s="51" t="n"/>
      <c r="AW303" s="22" t="inlineStr">
        <is>
          <t>0-5亿元</t>
        </is>
      </c>
      <c r="AX303" s="22" t="inlineStr">
        <is>
          <t>2026-01-14</t>
        </is>
      </c>
      <c r="AY303" s="22" t="inlineStr">
        <is>
          <t>浙江金藏元投资管理有限公司</t>
        </is>
      </c>
      <c r="AZ303" s="22" t="inlineStr">
        <is>
          <t>2026-09-11</t>
        </is>
      </c>
      <c r="BA303" s="22" t="inlineStr">
        <is>
          <t>https://gs.amac.org.cn/amac-infodisc/res/pof/manager/101000046762.html</t>
        </is>
      </c>
      <c r="BB303" s="22" t="inlineStr">
        <is>
          <t>金藏元金权一号私募证券投资基金</t>
        </is>
      </c>
      <c r="BC303" s="22" t="inlineStr">
        <is>
          <t>2025-10-24</t>
        </is>
      </c>
      <c r="BD303" s="22" t="inlineStr">
        <is>
          <t>已匹配</t>
        </is>
      </c>
      <c r="BE303" t="inlineStr">
        <is>
          <t>https://gs.amac.org.cn/amac-infodisc/res/pof/fund/2504281741101651.html</t>
        </is>
      </c>
      <c r="BF303" t="inlineStr">
        <is>
          <t>已核验</t>
        </is>
      </c>
    </row>
    <row r="304" hidden="1" ht="28" customHeight="1" s="73">
      <c r="A304" s="2" t="n">
        <v>316</v>
      </c>
      <c r="B304" s="18" t="inlineStr">
        <is>
          <t>巨量边界ETF对冲1号B类</t>
        </is>
      </c>
      <c r="C304" s="18">
        <f>'sheet4-原始数据'!B317</f>
        <v/>
      </c>
      <c r="D304" s="18" t="inlineStr">
        <is>
          <t>北京巨量边界</t>
        </is>
      </c>
      <c r="E304" s="90" t="inlineStr">
        <is>
          <t>2024-03-28</t>
        </is>
      </c>
      <c r="F304" s="20" t="n">
        <v>2.4668</v>
      </c>
      <c r="G304" s="2">
        <f>IF(F304="","",IF(F304&lt;1,"不入池","入池"))</f>
        <v/>
      </c>
      <c r="H304" s="42" t="inlineStr">
        <is>
          <t>20-50亿元</t>
        </is>
      </c>
      <c r="I304" s="20" t="n">
        <v>90</v>
      </c>
      <c r="J304" s="43" t="inlineStr">
        <is>
          <t>无低于1000万元标识</t>
        </is>
      </c>
      <c r="K304" s="20" t="n"/>
      <c r="L304" s="20" t="n">
        <v>70</v>
      </c>
      <c r="M304" s="44" t="n">
        <v>0.0868</v>
      </c>
      <c r="N304" s="44" t="n"/>
      <c r="O304" s="45" t="n"/>
      <c r="P304" s="46" t="n"/>
      <c r="Q304" s="20" t="n">
        <v>69.62</v>
      </c>
      <c r="R304" s="20" t="n"/>
      <c r="S304" s="20" t="n">
        <v>69.62</v>
      </c>
      <c r="T304" s="44" t="n">
        <v>0.7692</v>
      </c>
      <c r="U304" s="44" t="n"/>
      <c r="V304" s="46" t="n"/>
      <c r="W304" s="20" t="n">
        <v>76.92</v>
      </c>
      <c r="X304" s="20" t="n"/>
      <c r="Y304" s="20" t="n">
        <v>76.92</v>
      </c>
      <c r="Z304" s="46" t="n">
        <v>0.004675162391873404</v>
      </c>
      <c r="AA304" s="44" t="n"/>
      <c r="AB304" s="46" t="n">
        <v>0.004675162391873404</v>
      </c>
      <c r="AC304" s="20" t="n">
        <v>95.12</v>
      </c>
      <c r="AD304" s="91" t="n">
        <v>18.5662</v>
      </c>
      <c r="AE304" s="46" t="n"/>
      <c r="AF304" s="20" t="n"/>
      <c r="AG304" s="20" t="n">
        <v>90.56</v>
      </c>
      <c r="AH304" s="20" t="n"/>
      <c r="AI304" s="20" t="n">
        <v>90.56</v>
      </c>
      <c r="AJ304" s="46" t="n"/>
      <c r="AK304" s="20" t="n"/>
      <c r="AL304" s="20" t="n">
        <v>81.43000000000001</v>
      </c>
      <c r="AM304" s="20" t="n">
        <v>71.81</v>
      </c>
      <c r="AN304" s="20" t="n">
        <v>95.12</v>
      </c>
      <c r="AO304" s="20" t="n">
        <v>90.56</v>
      </c>
      <c r="AP304" s="20" t="n"/>
      <c r="AQ304" s="92" t="n">
        <v>0.655</v>
      </c>
      <c r="AR304" s="20" t="n">
        <v>57.248</v>
      </c>
      <c r="AS304" s="20" t="n">
        <v>87.40000000000001</v>
      </c>
      <c r="AT304" s="49" t="n">
        <v>21</v>
      </c>
      <c r="AU304" s="50">
        <f>IF(I304="","管理人规模；","")&amp;IF(J304="","产品规模标识；","")&amp;IF(AND(F304&lt;3,O304=""),"R_incep；","")&amp;IF(N304="","近三年收益；","")&amp;IF(U304="","近三年胜率；","")&amp;IF(AND(V304&lt;&gt;"",OR(V304&lt;0,V304&gt;1)),"胜率窗口口径不一致；","")&amp;IF(AA304="","近三年回撤；","")&amp;IF(AD304="","短期卡玛；","")&amp;IF(AND(P304&lt;&gt;"",AE304=""),"DD_long不可识别；","")</f>
        <v/>
      </c>
      <c r="AV304" s="51" t="n"/>
      <c r="AW304" s="22" t="inlineStr">
        <is>
          <t>20-50亿元</t>
        </is>
      </c>
      <c r="AX304" s="22" t="inlineStr">
        <is>
          <t>2025-05-07</t>
        </is>
      </c>
      <c r="AY304" s="22" t="inlineStr">
        <is>
          <t>北京巨量边界私募基金管理有限公司 北京巨量边界私募基金管理有限公司</t>
        </is>
      </c>
      <c r="AZ304" s="22" t="inlineStr">
        <is>
          <t>2025-05-07</t>
        </is>
      </c>
      <c r="BA304" s="22" t="inlineStr">
        <is>
          <t>https://gs.amac.org.cn/amac-infodisc/res/pof/manager/2107271706122405.html</t>
        </is>
      </c>
      <c r="BB304" s="22" t="n"/>
      <c r="BC304" s="22" t="n"/>
      <c r="BD304" s="22" t="inlineStr">
        <is>
          <t>产品未匹配，管理人已按名称补录</t>
        </is>
      </c>
      <c r="BF304" t="inlineStr">
        <is>
          <t>未核验</t>
        </is>
      </c>
    </row>
    <row r="305" hidden="1" ht="28" customHeight="1" s="73">
      <c r="A305" s="2" t="n">
        <v>317</v>
      </c>
      <c r="B305" s="18" t="inlineStr">
        <is>
          <t>博时资本荣享增利1号</t>
        </is>
      </c>
      <c r="C305" s="18">
        <f>'sheet4-原始数据'!B318</f>
        <v/>
      </c>
      <c r="D305" s="18" t="inlineStr">
        <is>
          <t>博时资本</t>
        </is>
      </c>
      <c r="E305" s="90" t="inlineStr">
        <is>
          <t>2025-05-08</t>
        </is>
      </c>
      <c r="F305" s="20" t="n">
        <v>1.3552</v>
      </c>
      <c r="G305" s="2">
        <f>IF(F305="","",IF(F305&lt;1,"不入池","入池"))</f>
        <v/>
      </c>
      <c r="H305" s="42" t="inlineStr">
        <is>
          <t>0-5亿元</t>
        </is>
      </c>
      <c r="I305" s="20" t="n">
        <v>60</v>
      </c>
      <c r="J305" s="43" t="inlineStr">
        <is>
          <t>无低于1000万元标识</t>
        </is>
      </c>
      <c r="K305" s="20" t="n"/>
      <c r="L305" s="20" t="n">
        <v>70</v>
      </c>
      <c r="M305" s="44" t="n">
        <v>0.0717</v>
      </c>
      <c r="N305" s="44" t="n"/>
      <c r="O305" s="45" t="n"/>
      <c r="P305" s="46" t="n"/>
      <c r="Q305" s="20" t="n">
        <v>60.07</v>
      </c>
      <c r="R305" s="20" t="n"/>
      <c r="S305" s="20" t="n">
        <v>60.07</v>
      </c>
      <c r="T305" s="44" t="n">
        <v>0.6153999999999999</v>
      </c>
      <c r="U305" s="44" t="n"/>
      <c r="V305" s="46" t="n"/>
      <c r="W305" s="20" t="n">
        <v>61.53999999999999</v>
      </c>
      <c r="X305" s="20" t="n">
        <v>100</v>
      </c>
      <c r="Y305" s="20" t="n">
        <v>76.92</v>
      </c>
      <c r="Z305" s="46" t="n">
        <v>0.1174639580602883</v>
      </c>
      <c r="AA305" s="44" t="n"/>
      <c r="AB305" s="46" t="n">
        <v>0.1174639580602883</v>
      </c>
      <c r="AC305" s="20" t="n">
        <v>22.65</v>
      </c>
      <c r="AD305" s="91" t="n">
        <v>0.6104000000000001</v>
      </c>
      <c r="AE305" s="46" t="n"/>
      <c r="AF305" s="20" t="n"/>
      <c r="AG305" s="20" t="n">
        <v>27.97</v>
      </c>
      <c r="AH305" s="20" t="n"/>
      <c r="AI305" s="20" t="n">
        <v>27.97</v>
      </c>
      <c r="AJ305" s="46" t="n"/>
      <c r="AK305" s="20" t="n"/>
      <c r="AL305" s="20" t="n">
        <v>64.29000000000001</v>
      </c>
      <c r="AM305" s="20" t="n">
        <v>67.09</v>
      </c>
      <c r="AN305" s="20" t="n">
        <v>22.65</v>
      </c>
      <c r="AO305" s="20" t="n">
        <v>27.97</v>
      </c>
      <c r="AP305" s="20" t="n"/>
      <c r="AQ305" s="92" t="n">
        <v>0.679</v>
      </c>
      <c r="AR305" s="20" t="n">
        <v>27.10842</v>
      </c>
      <c r="AS305" s="20" t="n">
        <v>39.92</v>
      </c>
      <c r="AT305" s="49" t="n">
        <v>268</v>
      </c>
      <c r="AU305" s="50">
        <f>IF(I305="","管理人规模；","")&amp;IF(J305="","产品规模标识；","")&amp;IF(AND(F305&lt;3,O305=""),"R_incep；","")&amp;IF(N305="","近三年收益；","")&amp;IF(U305="","近三年胜率；","")&amp;IF(AND(V305&lt;&gt;"",OR(V305&lt;0,V305&gt;1)),"胜率窗口口径不一致；","")&amp;IF(AA305="","近三年回撤；","")&amp;IF(AD305="","短期卡玛；","")&amp;IF(AND(P305&lt;&gt;"",AE305=""),"DD_long不可识别；","")</f>
        <v/>
      </c>
      <c r="AV305" s="51" t="n"/>
      <c r="AW305" s="22" t="inlineStr">
        <is>
          <t>0-5亿元</t>
        </is>
      </c>
      <c r="AX305" s="22" t="inlineStr">
        <is>
          <t>2026-01-19</t>
        </is>
      </c>
      <c r="AY305" s="22" t="inlineStr">
        <is>
          <t>珠海和谐博时资本管理有限公司 珠海和谐博时资本管理有限公司</t>
        </is>
      </c>
      <c r="AZ305" s="22" t="inlineStr">
        <is>
          <t>2026-01-19</t>
        </is>
      </c>
      <c r="BA305" s="22" t="inlineStr">
        <is>
          <t>https://gs.amac.org.cn/amac-infodisc/res/pof/manager/101000031397.html</t>
        </is>
      </c>
      <c r="BB305" s="22" t="n"/>
      <c r="BC305" s="22" t="n"/>
      <c r="BD305" s="22" t="inlineStr">
        <is>
          <t>产品未匹配，管理人已按名称补录</t>
        </is>
      </c>
      <c r="BF305" t="inlineStr">
        <is>
          <t>未核验</t>
        </is>
      </c>
    </row>
    <row r="306" hidden="1" ht="28" customHeight="1" s="73">
      <c r="A306" s="2" t="n">
        <v>318</v>
      </c>
      <c r="B306" s="18" t="inlineStr">
        <is>
          <t>展弘优选套利运作1号A类</t>
        </is>
      </c>
      <c r="C306" s="18">
        <f>'sheet4-原始数据'!B319</f>
        <v/>
      </c>
      <c r="D306" s="18" t="inlineStr">
        <is>
          <t>上海展弘投资</t>
        </is>
      </c>
      <c r="E306" s="90" t="inlineStr">
        <is>
          <t>2023-07-12</t>
        </is>
      </c>
      <c r="F306" s="20" t="n">
        <v>3.1786</v>
      </c>
      <c r="G306" s="2">
        <f>IF(F306="","",IF(F306&lt;1,"不入池","入池"))</f>
        <v/>
      </c>
      <c r="H306" s="42" t="inlineStr">
        <is>
          <t>100亿元以上</t>
        </is>
      </c>
      <c r="I306" s="20" t="n">
        <v>100</v>
      </c>
      <c r="J306" s="43" t="inlineStr">
        <is>
          <t>无低于1000万元标识</t>
        </is>
      </c>
      <c r="K306" s="20" t="n"/>
      <c r="L306" s="20" t="n">
        <v>100</v>
      </c>
      <c r="M306" s="44" t="n">
        <v>0.0298</v>
      </c>
      <c r="N306" s="44" t="n">
        <v>0.0525</v>
      </c>
      <c r="O306" s="45" t="n"/>
      <c r="P306" s="46" t="n">
        <v>0.0640369582851974</v>
      </c>
      <c r="Q306" s="20" t="n">
        <v>30.21</v>
      </c>
      <c r="R306" s="20" t="n">
        <v>50.5</v>
      </c>
      <c r="S306" s="20" t="n">
        <v>38.33</v>
      </c>
      <c r="T306" s="44" t="n">
        <v>0.4615</v>
      </c>
      <c r="U306" s="44" t="n">
        <v>0.6757</v>
      </c>
      <c r="V306" s="46" t="n">
        <v>0.7917249999999999</v>
      </c>
      <c r="W306" s="20" t="n">
        <v>46.15</v>
      </c>
      <c r="X306" s="20" t="n">
        <v>79.17249999999999</v>
      </c>
      <c r="Y306" s="20" t="n">
        <v>59.36</v>
      </c>
      <c r="Z306" s="46" t="n">
        <v>0.01537985136251032</v>
      </c>
      <c r="AA306" s="44" t="n">
        <v>0.05429999999999999</v>
      </c>
      <c r="AB306" s="46" t="n">
        <v>0.05429999999999999</v>
      </c>
      <c r="AC306" s="20" t="n">
        <v>41.99</v>
      </c>
      <c r="AD306" s="91" t="n">
        <v>1.9376</v>
      </c>
      <c r="AE306" s="46" t="n">
        <v>0.05429999999999999</v>
      </c>
      <c r="AF306" s="20" t="n">
        <v>1.179317832139915</v>
      </c>
      <c r="AG306" s="20" t="n">
        <v>46.85</v>
      </c>
      <c r="AH306" s="20" t="n">
        <v>48.53</v>
      </c>
      <c r="AI306" s="20" t="n">
        <v>47.52</v>
      </c>
      <c r="AJ306" s="46" t="n">
        <v>0.0525</v>
      </c>
      <c r="AK306" s="20" t="n">
        <v>80</v>
      </c>
      <c r="AL306" s="20" t="n">
        <v>100</v>
      </c>
      <c r="AM306" s="20" t="n">
        <v>44.64</v>
      </c>
      <c r="AN306" s="20" t="n">
        <v>41.99</v>
      </c>
      <c r="AO306" s="20" t="n">
        <v>47.52</v>
      </c>
      <c r="AP306" s="20" t="n">
        <v>80</v>
      </c>
      <c r="AQ306" s="92" t="n">
        <v>0.955</v>
      </c>
      <c r="AR306" s="20" t="n">
        <v>52.18128</v>
      </c>
      <c r="AS306" s="20" t="n">
        <v>54.64</v>
      </c>
      <c r="AT306" s="49" t="n">
        <v>198</v>
      </c>
      <c r="AU306" s="50">
        <f>IF(I306="","管理人规模；","")&amp;IF(J306="","产品规模标识；","")&amp;IF(AND(F306&lt;3,O306=""),"R_incep；","")&amp;IF(N306="","近三年收益；","")&amp;IF(U306="","近三年胜率；","")&amp;IF(AND(V306&lt;&gt;"",OR(V306&lt;0,V306&gt;1)),"胜率窗口口径不一致；","")&amp;IF(AA306="","近三年回撤；","")&amp;IF(AD306="","短期卡玛；","")&amp;IF(AND(P306&lt;&gt;"",AE306=""),"DD_long不可识别；","")</f>
        <v/>
      </c>
      <c r="AV306" s="51" t="n"/>
      <c r="AW306" s="22" t="inlineStr">
        <is>
          <t>100亿元以上</t>
        </is>
      </c>
      <c r="AX306" s="22" t="inlineStr">
        <is>
          <t>2025-10-24</t>
        </is>
      </c>
      <c r="AY306" s="22" t="inlineStr">
        <is>
          <t>上海展弘投资管理有限公司 上海展弘投资管理有限公司</t>
        </is>
      </c>
      <c r="AZ306" s="22" t="inlineStr">
        <is>
          <t>2025-10-24</t>
        </is>
      </c>
      <c r="BA306" s="22" t="inlineStr">
        <is>
          <t>https://gs.amac.org.cn/amac-infodisc/res/pof/manager/101000019470.html</t>
        </is>
      </c>
      <c r="BB306" s="22" t="n"/>
      <c r="BC306" s="22" t="n"/>
      <c r="BD306" s="22" t="inlineStr">
        <is>
          <t>产品未匹配，管理人已按名称补录</t>
        </is>
      </c>
      <c r="BF306" t="inlineStr">
        <is>
          <t>未核验</t>
        </is>
      </c>
    </row>
    <row r="307" hidden="1" ht="28" customHeight="1" s="73">
      <c r="A307" s="2" t="n">
        <v>319</v>
      </c>
      <c r="B307" s="18" t="inlineStr">
        <is>
          <t>智领泽临套利六号</t>
        </is>
      </c>
      <c r="C307" s="18">
        <f>'sheet4-原始数据'!B320</f>
        <v/>
      </c>
      <c r="D307" s="18" t="inlineStr">
        <is>
          <t>福州智领三联</t>
        </is>
      </c>
      <c r="E307" s="90" t="inlineStr">
        <is>
          <t>2025-05-23</t>
        </is>
      </c>
      <c r="F307" s="20" t="n">
        <v>1.3142</v>
      </c>
      <c r="G307" s="2">
        <f>IF(F307="","",IF(F307&lt;1,"不入池","入池"))</f>
        <v/>
      </c>
      <c r="H307" s="42" t="inlineStr">
        <is>
          <t>20-50亿元</t>
        </is>
      </c>
      <c r="I307" s="20" t="n">
        <v>90</v>
      </c>
      <c r="J307" s="43" t="inlineStr">
        <is>
          <t>无低于1000万元标识</t>
        </is>
      </c>
      <c r="K307" s="20" t="n">
        <v>100</v>
      </c>
      <c r="L307" s="20" t="n">
        <v>70</v>
      </c>
      <c r="M307" s="44" t="n"/>
      <c r="N307" s="44" t="n"/>
      <c r="O307" s="45" t="n"/>
      <c r="P307" s="46" t="n"/>
      <c r="Q307" s="20" t="n"/>
      <c r="R307" s="20" t="n"/>
      <c r="S307" s="20" t="n"/>
      <c r="T307" s="44" t="n"/>
      <c r="U307" s="44" t="n"/>
      <c r="V307" s="46" t="n"/>
      <c r="W307" s="20" t="n"/>
      <c r="X307" s="20" t="n">
        <v>100</v>
      </c>
      <c r="Y307" s="20" t="n"/>
      <c r="Z307" s="46" t="n"/>
      <c r="AA307" s="44" t="n"/>
      <c r="AB307" s="46" t="n"/>
      <c r="AC307" s="20" t="n"/>
      <c r="AD307" s="91" t="n"/>
      <c r="AE307" s="46" t="n"/>
      <c r="AF307" s="20" t="n"/>
      <c r="AG307" s="20" t="n"/>
      <c r="AH307" s="20" t="n"/>
      <c r="AI307" s="20" t="n"/>
      <c r="AJ307" s="46" t="n"/>
      <c r="AK307" s="20" t="n"/>
      <c r="AL307" s="20" t="n">
        <v>87</v>
      </c>
      <c r="AM307" s="20" t="n">
        <v>100</v>
      </c>
      <c r="AN307" s="20" t="n"/>
      <c r="AO307" s="20" t="n"/>
      <c r="AP307" s="20" t="n"/>
      <c r="AQ307" s="92" t="n">
        <v>0.174</v>
      </c>
      <c r="AR307" s="20" t="n">
        <v>15.45</v>
      </c>
      <c r="AS307" s="20" t="n">
        <v>88.79000000000001</v>
      </c>
      <c r="AT307" s="49" t="n">
        <v>14</v>
      </c>
      <c r="AU307" s="50">
        <f>IF(I307="","管理人规模；","")&amp;IF(J307="","产品规模标识；","")&amp;IF(AND(F307&lt;3,O307=""),"R_incep；","")&amp;IF(N307="","近三年收益；","")&amp;IF(U307="","近三年胜率；","")&amp;IF(AND(V307&lt;&gt;"",OR(V307&lt;0,V307&gt;1)),"胜率窗口口径不一致；","")&amp;IF(AA307="","近三年回撤；","")&amp;IF(AD307="","短期卡玛；","")&amp;IF(AND(P307&lt;&gt;"",AE307=""),"DD_long不可识别；","")</f>
        <v/>
      </c>
      <c r="AV307" s="51" t="n"/>
      <c r="AW307" s="22" t="inlineStr">
        <is>
          <t>20-50亿元</t>
        </is>
      </c>
      <c r="AX307" s="22" t="inlineStr">
        <is>
          <t>2025-07-16</t>
        </is>
      </c>
      <c r="AY307" s="22" t="inlineStr">
        <is>
          <t>福州高新区智领三联私募基金管理有限公司</t>
        </is>
      </c>
      <c r="AZ307" s="22" t="inlineStr">
        <is>
          <t>2025-07-16</t>
        </is>
      </c>
      <c r="BA307" s="22" t="inlineStr">
        <is>
          <t>https://gs.amac.org.cn/amac-infodisc/res/pof/manager/101000074295.html</t>
        </is>
      </c>
      <c r="BB307" s="22" t="inlineStr">
        <is>
          <t>智领泽临套利六号私募证券投资基金</t>
        </is>
      </c>
      <c r="BC307" s="22" t="inlineStr">
        <is>
          <t>2025-05-30</t>
        </is>
      </c>
      <c r="BD307" s="22" t="inlineStr">
        <is>
          <t>已匹配</t>
        </is>
      </c>
      <c r="BE307" t="inlineStr">
        <is>
          <t>https://gs.amac.org.cn/amac-infodisc/res/pof/fund/2505301433104256.html</t>
        </is>
      </c>
      <c r="BF307" t="inlineStr">
        <is>
          <t>已核验</t>
        </is>
      </c>
    </row>
    <row r="308" hidden="1" ht="28" customHeight="1" s="73">
      <c r="A308" s="2" t="n">
        <v>320</v>
      </c>
      <c r="B308" s="18" t="inlineStr">
        <is>
          <t>中益仁梅香千寒</t>
        </is>
      </c>
      <c r="C308" s="18">
        <f>'sheet4-原始数据'!B321</f>
        <v/>
      </c>
      <c r="D308" s="18" t="inlineStr">
        <is>
          <t>日照中益仁</t>
        </is>
      </c>
      <c r="E308" s="90" t="inlineStr">
        <is>
          <t>2025-06-18</t>
        </is>
      </c>
      <c r="F308" s="20" t="n">
        <v>1.243</v>
      </c>
      <c r="G308" s="2">
        <f>IF(F308="","",IF(F308&lt;1,"不入池","入池"))</f>
        <v/>
      </c>
      <c r="H308" s="42" t="inlineStr">
        <is>
          <t>10-20亿元</t>
        </is>
      </c>
      <c r="I308" s="20" t="n">
        <v>80</v>
      </c>
      <c r="J308" s="43" t="inlineStr">
        <is>
          <t>低于1000万元</t>
        </is>
      </c>
      <c r="K308" s="20" t="n">
        <v>0</v>
      </c>
      <c r="L308" s="20" t="n">
        <v>70</v>
      </c>
      <c r="M308" s="44" t="n">
        <v>0.3276</v>
      </c>
      <c r="N308" s="44" t="n"/>
      <c r="O308" s="45" t="n"/>
      <c r="P308" s="46" t="n"/>
      <c r="Q308" s="20" t="n">
        <v>97.92</v>
      </c>
      <c r="R308" s="20" t="n"/>
      <c r="S308" s="20" t="n">
        <v>97.92</v>
      </c>
      <c r="T308" s="44" t="n">
        <v>0.8462000000000001</v>
      </c>
      <c r="U308" s="44" t="n"/>
      <c r="V308" s="46" t="n"/>
      <c r="W308" s="20" t="n">
        <v>84.62</v>
      </c>
      <c r="X308" s="20" t="n">
        <v>100</v>
      </c>
      <c r="Y308" s="20" t="n">
        <v>90.77</v>
      </c>
      <c r="Z308" s="46" t="n">
        <v>0.06684213747934138</v>
      </c>
      <c r="AA308" s="44" t="n"/>
      <c r="AB308" s="46" t="n">
        <v>0.06684213747934138</v>
      </c>
      <c r="AC308" s="20" t="n">
        <v>36.24</v>
      </c>
      <c r="AD308" s="91" t="n">
        <v>4.9011</v>
      </c>
      <c r="AE308" s="46" t="n"/>
      <c r="AF308" s="20" t="n"/>
      <c r="AG308" s="20" t="n">
        <v>66.08</v>
      </c>
      <c r="AH308" s="20" t="n"/>
      <c r="AI308" s="20" t="n">
        <v>66.08</v>
      </c>
      <c r="AJ308" s="46" t="n"/>
      <c r="AK308" s="20" t="n"/>
      <c r="AL308" s="20" t="n">
        <v>53</v>
      </c>
      <c r="AM308" s="20" t="n">
        <v>94.94</v>
      </c>
      <c r="AN308" s="20" t="n">
        <v>36.24</v>
      </c>
      <c r="AO308" s="20" t="n">
        <v>66.08</v>
      </c>
      <c r="AP308" s="20" t="n"/>
      <c r="AQ308" s="92" t="n">
        <v>0.724</v>
      </c>
      <c r="AR308" s="20" t="n">
        <v>42.576</v>
      </c>
      <c r="AS308" s="20" t="n">
        <v>58.81</v>
      </c>
      <c r="AT308" s="49" t="n">
        <v>176</v>
      </c>
      <c r="AU308" s="50">
        <f>IF(I308="","管理人规模；","")&amp;IF(J308="","产品规模标识；","")&amp;IF(AND(F308&lt;3,O308=""),"R_incep；","")&amp;IF(N308="","近三年收益；","")&amp;IF(U308="","近三年胜率；","")&amp;IF(AND(V308&lt;&gt;"",OR(V308&lt;0,V308&gt;1)),"胜率窗口口径不一致；","")&amp;IF(AA308="","近三年回撤；","")&amp;IF(AD308="","短期卡玛；","")&amp;IF(AND(P308&lt;&gt;"",AE308=""),"DD_long不可识别；","")</f>
        <v/>
      </c>
      <c r="AV308" s="51" t="n"/>
      <c r="AW308" s="22" t="inlineStr">
        <is>
          <t>10-20亿元</t>
        </is>
      </c>
      <c r="AX308" s="22" t="inlineStr">
        <is>
          <t>2026-01-08</t>
        </is>
      </c>
      <c r="AY308" s="22" t="inlineStr">
        <is>
          <t>日照中益仁私募基金管理有限公司</t>
        </is>
      </c>
      <c r="AZ308" s="22" t="inlineStr">
        <is>
          <t>2026-01-08</t>
        </is>
      </c>
      <c r="BA308" s="22" t="inlineStr">
        <is>
          <t>https://gs.amac.org.cn/amac-infodisc/res/pof/manager/1708291806108811.html</t>
        </is>
      </c>
      <c r="BB308" s="22" t="inlineStr">
        <is>
          <t>中益仁梅香千寒私募证券投资基金</t>
        </is>
      </c>
      <c r="BC308" s="22" t="inlineStr">
        <is>
          <t>2025-06-23</t>
        </is>
      </c>
      <c r="BD308" s="22" t="inlineStr">
        <is>
          <t>已匹配</t>
        </is>
      </c>
      <c r="BE308" t="inlineStr">
        <is>
          <t>https://gs.amac.org.cn/amac-infodisc/res/pof/fund/2506231616104006.html</t>
        </is>
      </c>
      <c r="BF308" t="inlineStr">
        <is>
          <t>已核验</t>
        </is>
      </c>
    </row>
    <row r="309" hidden="1" ht="28" customHeight="1" s="73">
      <c r="A309" s="2" t="n">
        <v>321</v>
      </c>
      <c r="B309" s="18" t="inlineStr">
        <is>
          <t>鑫泰禾安赢3号</t>
        </is>
      </c>
      <c r="C309" s="18">
        <f>'sheet4-原始数据'!B322</f>
        <v/>
      </c>
      <c r="D309" s="18" t="inlineStr">
        <is>
          <t>深圳鑫泰禾</t>
        </is>
      </c>
      <c r="E309" s="90" t="inlineStr">
        <is>
          <t>2025-06-24</t>
        </is>
      </c>
      <c r="F309" s="20" t="n">
        <v>1.2266</v>
      </c>
      <c r="G309" s="2">
        <f>IF(F309="","",IF(F309&lt;1,"不入池","入池"))</f>
        <v/>
      </c>
      <c r="H309" s="42" t="inlineStr">
        <is>
          <t>0-5亿元</t>
        </is>
      </c>
      <c r="I309" s="20" t="n">
        <v>60</v>
      </c>
      <c r="J309" s="43" t="inlineStr">
        <is>
          <t>无低于1000万元标识</t>
        </is>
      </c>
      <c r="K309" s="20" t="n">
        <v>100</v>
      </c>
      <c r="L309" s="20" t="n">
        <v>70</v>
      </c>
      <c r="M309" s="44" t="n"/>
      <c r="N309" s="44" t="n"/>
      <c r="O309" s="45" t="n"/>
      <c r="P309" s="46" t="n"/>
      <c r="Q309" s="20" t="n"/>
      <c r="R309" s="20" t="n"/>
      <c r="S309" s="20" t="n"/>
      <c r="T309" s="44" t="n"/>
      <c r="U309" s="44" t="n"/>
      <c r="V309" s="46" t="n"/>
      <c r="W309" s="20" t="n"/>
      <c r="X309" s="20" t="n">
        <v>100</v>
      </c>
      <c r="Y309" s="20" t="n"/>
      <c r="Z309" s="46" t="n"/>
      <c r="AA309" s="44" t="n"/>
      <c r="AB309" s="46" t="n"/>
      <c r="AC309" s="20" t="n"/>
      <c r="AD309" s="91" t="n"/>
      <c r="AE309" s="46" t="n"/>
      <c r="AF309" s="20" t="n"/>
      <c r="AG309" s="20" t="n"/>
      <c r="AH309" s="20" t="n"/>
      <c r="AI309" s="20" t="n"/>
      <c r="AJ309" s="46" t="n"/>
      <c r="AK309" s="20" t="n"/>
      <c r="AL309" s="20" t="n">
        <v>75</v>
      </c>
      <c r="AM309" s="20" t="n">
        <v>100</v>
      </c>
      <c r="AN309" s="20" t="n"/>
      <c r="AO309" s="20" t="n"/>
      <c r="AP309" s="20" t="n"/>
      <c r="AQ309" s="92" t="n">
        <v>0.174</v>
      </c>
      <c r="AR309" s="20" t="n">
        <v>13.65</v>
      </c>
      <c r="AS309" s="20" t="n">
        <v>78.45</v>
      </c>
      <c r="AT309" s="49" t="n">
        <v>74</v>
      </c>
      <c r="AU309" s="50">
        <f>IF(I309="","管理人规模；","")&amp;IF(J309="","产品规模标识；","")&amp;IF(AND(F309&lt;3,O309=""),"R_incep；","")&amp;IF(N309="","近三年收益；","")&amp;IF(U309="","近三年胜率；","")&amp;IF(AND(V309&lt;&gt;"",OR(V309&lt;0,V309&gt;1)),"胜率窗口口径不一致；","")&amp;IF(AA309="","近三年回撤；","")&amp;IF(AD309="","短期卡玛；","")&amp;IF(AND(P309&lt;&gt;"",AE309=""),"DD_long不可识别；","")</f>
        <v/>
      </c>
      <c r="AV309" s="51" t="n"/>
      <c r="AW309" s="22" t="inlineStr">
        <is>
          <t>0-5亿元</t>
        </is>
      </c>
      <c r="AX309" s="22" t="inlineStr">
        <is>
          <t>2026-08-24</t>
        </is>
      </c>
      <c r="AY309" s="22" t="inlineStr">
        <is>
          <t>深圳鑫泰禾私募证券投资基金管理有限公司</t>
        </is>
      </c>
      <c r="AZ309" s="22" t="inlineStr">
        <is>
          <t>2026-08-24</t>
        </is>
      </c>
      <c r="BA309" s="22" t="inlineStr">
        <is>
          <t>https://gs.amac.org.cn/amac-infodisc/res/pof/manager/101000041857.html</t>
        </is>
      </c>
      <c r="BB309" s="22" t="inlineStr">
        <is>
          <t>鑫泰禾安赢3号私募证券投资基金</t>
        </is>
      </c>
      <c r="BC309" s="22" t="inlineStr">
        <is>
          <t>2025-06-27</t>
        </is>
      </c>
      <c r="BD309" s="22" t="inlineStr">
        <is>
          <t>已匹配</t>
        </is>
      </c>
      <c r="BE309" t="inlineStr">
        <is>
          <t>https://gs.amac.org.cn/amac-infodisc/res/pof/fund/2506261732108978.html</t>
        </is>
      </c>
      <c r="BF309" t="inlineStr">
        <is>
          <t>已核验</t>
        </is>
      </c>
    </row>
    <row r="310" hidden="1" ht="28" customHeight="1" s="73">
      <c r="A310" s="2" t="n">
        <v>322</v>
      </c>
      <c r="B310" s="18" t="inlineStr">
        <is>
          <t>炽浪马拉松17号</t>
        </is>
      </c>
      <c r="C310" s="18">
        <f>'sheet4-原始数据'!B323</f>
        <v/>
      </c>
      <c r="D310" s="18" t="inlineStr">
        <is>
          <t>海南炽浪</t>
        </is>
      </c>
      <c r="E310" s="90" t="inlineStr">
        <is>
          <t>2025-06-23</t>
        </is>
      </c>
      <c r="F310" s="20" t="n">
        <v>1.2293</v>
      </c>
      <c r="G310" s="2">
        <f>IF(F310="","",IF(F310&lt;1,"不入池","入池"))</f>
        <v/>
      </c>
      <c r="H310" s="42" t="inlineStr">
        <is>
          <t>0-5亿元</t>
        </is>
      </c>
      <c r="I310" s="20" t="n">
        <v>60</v>
      </c>
      <c r="J310" s="43" t="inlineStr">
        <is>
          <t>无低于1000万元标识</t>
        </is>
      </c>
      <c r="K310" s="20" t="n">
        <v>100</v>
      </c>
      <c r="L310" s="20" t="n">
        <v>70</v>
      </c>
      <c r="M310" s="44" t="n">
        <v>1.0216</v>
      </c>
      <c r="N310" s="44" t="n"/>
      <c r="O310" s="45" t="n"/>
      <c r="P310" s="46" t="n"/>
      <c r="Q310" s="20" t="n">
        <v>100</v>
      </c>
      <c r="R310" s="20" t="n"/>
      <c r="S310" s="20" t="n">
        <v>100</v>
      </c>
      <c r="T310" s="44" t="n">
        <v>0.6923</v>
      </c>
      <c r="U310" s="44" t="n"/>
      <c r="V310" s="46" t="n"/>
      <c r="W310" s="20" t="n">
        <v>69.23</v>
      </c>
      <c r="X310" s="20" t="n">
        <v>100</v>
      </c>
      <c r="Y310" s="20" t="n">
        <v>81.54000000000001</v>
      </c>
      <c r="Z310" s="46" t="n">
        <v>0.1832860884854139</v>
      </c>
      <c r="AA310" s="44" t="n"/>
      <c r="AB310" s="46" t="n">
        <v>0.1832860884854139</v>
      </c>
      <c r="AC310" s="20" t="n">
        <v>12.2</v>
      </c>
      <c r="AD310" s="91" t="n">
        <v>5.5738</v>
      </c>
      <c r="AE310" s="46" t="n"/>
      <c r="AF310" s="20" t="n"/>
      <c r="AG310" s="20" t="n">
        <v>68.88</v>
      </c>
      <c r="AH310" s="20" t="n"/>
      <c r="AI310" s="20" t="n">
        <v>68.88</v>
      </c>
      <c r="AJ310" s="46" t="n"/>
      <c r="AK310" s="20" t="n"/>
      <c r="AL310" s="20" t="n">
        <v>75</v>
      </c>
      <c r="AM310" s="20" t="n">
        <v>92.31</v>
      </c>
      <c r="AN310" s="20" t="n">
        <v>12.2</v>
      </c>
      <c r="AO310" s="20" t="n">
        <v>68.88</v>
      </c>
      <c r="AP310" s="20" t="n"/>
      <c r="AQ310" s="92" t="n">
        <v>0.724</v>
      </c>
      <c r="AR310" s="20" t="n">
        <v>39.99068</v>
      </c>
      <c r="AS310" s="20" t="n">
        <v>55.24</v>
      </c>
      <c r="AT310" s="49" t="n">
        <v>193</v>
      </c>
      <c r="AU310" s="50">
        <f>IF(I310="","管理人规模；","")&amp;IF(J310="","产品规模标识；","")&amp;IF(AND(F310&lt;3,O310=""),"R_incep；","")&amp;IF(N310="","近三年收益；","")&amp;IF(U310="","近三年胜率；","")&amp;IF(AND(V310&lt;&gt;"",OR(V310&lt;0,V310&gt;1)),"胜率窗口口径不一致；","")&amp;IF(AA310="","近三年回撤；","")&amp;IF(AD310="","短期卡玛；","")&amp;IF(AND(P310&lt;&gt;"",AE310=""),"DD_long不可识别；","")</f>
        <v/>
      </c>
      <c r="AV310" s="51" t="n"/>
      <c r="AW310" s="22" t="inlineStr">
        <is>
          <t>0-5亿元</t>
        </is>
      </c>
      <c r="AX310" s="22" t="inlineStr">
        <is>
          <t>2026-02-10</t>
        </is>
      </c>
      <c r="AY310" s="22" t="inlineStr">
        <is>
          <t>炽浪私募基金（海南）合伙企业（有限合伙）</t>
        </is>
      </c>
      <c r="AZ310" s="22" t="inlineStr">
        <is>
          <t>2026-02-10</t>
        </is>
      </c>
      <c r="BA310" s="22" t="inlineStr">
        <is>
          <t>https://gs.amac.org.cn/amac-infodisc/res/pof/manager/2005090837103499.html</t>
        </is>
      </c>
      <c r="BB310" s="22" t="inlineStr">
        <is>
          <t>炽浪马拉松17号私募证券投资基金</t>
        </is>
      </c>
      <c r="BC310" s="22" t="inlineStr">
        <is>
          <t>2025-06-26</t>
        </is>
      </c>
      <c r="BD310" s="22" t="inlineStr">
        <is>
          <t>已匹配</t>
        </is>
      </c>
      <c r="BE310" t="inlineStr">
        <is>
          <t>https://gs.amac.org.cn/amac-infodisc/res/pof/fund/2506261612100007.html</t>
        </is>
      </c>
      <c r="BF310" t="inlineStr">
        <is>
          <t>已核验</t>
        </is>
      </c>
    </row>
    <row r="311" hidden="1" ht="28" customHeight="1" s="73">
      <c r="A311" s="2" t="n">
        <v>323</v>
      </c>
      <c r="B311" s="18" t="inlineStr">
        <is>
          <t>六妙星滚雪粒1号A类</t>
        </is>
      </c>
      <c r="C311" s="18">
        <f>'sheet4-原始数据'!B324</f>
        <v/>
      </c>
      <c r="D311" s="18" t="inlineStr">
        <is>
          <t>北京六妙星</t>
        </is>
      </c>
      <c r="E311" s="90" t="inlineStr">
        <is>
          <t>2024-12-16</t>
        </is>
      </c>
      <c r="F311" s="20" t="n">
        <v>1.7467</v>
      </c>
      <c r="G311" s="2">
        <f>IF(F311="","",IF(F311&lt;1,"不入池","入池"))</f>
        <v/>
      </c>
      <c r="H311" s="42" t="inlineStr">
        <is>
          <t>20-50亿元</t>
        </is>
      </c>
      <c r="I311" s="20" t="n">
        <v>90</v>
      </c>
      <c r="J311" s="43" t="inlineStr">
        <is>
          <t>无低于1000万元标识</t>
        </is>
      </c>
      <c r="K311" s="20" t="n"/>
      <c r="L311" s="20" t="n">
        <v>70</v>
      </c>
      <c r="M311" s="44" t="n">
        <v>0.0919</v>
      </c>
      <c r="N311" s="44" t="n"/>
      <c r="O311" s="45" t="n"/>
      <c r="P311" s="46" t="n"/>
      <c r="Q311" s="20" t="n">
        <v>73.95999999999999</v>
      </c>
      <c r="R311" s="20" t="n"/>
      <c r="S311" s="20" t="n">
        <v>73.95999999999999</v>
      </c>
      <c r="T311" s="44" t="n">
        <v>0.6153999999999999</v>
      </c>
      <c r="U311" s="44" t="n"/>
      <c r="V311" s="46" t="n"/>
      <c r="W311" s="20" t="n">
        <v>61.53999999999999</v>
      </c>
      <c r="X311" s="20" t="n"/>
      <c r="Y311" s="20" t="n">
        <v>61.53999999999999</v>
      </c>
      <c r="Z311" s="46" t="n">
        <v>0.08288239538239538</v>
      </c>
      <c r="AA311" s="44" t="n"/>
      <c r="AB311" s="46" t="n">
        <v>0.08288239538239538</v>
      </c>
      <c r="AC311" s="20" t="n">
        <v>31.71</v>
      </c>
      <c r="AD311" s="91" t="n">
        <v>1.1088</v>
      </c>
      <c r="AE311" s="46" t="n"/>
      <c r="AF311" s="20" t="n"/>
      <c r="AG311" s="20" t="n">
        <v>36.71</v>
      </c>
      <c r="AH311" s="20" t="n"/>
      <c r="AI311" s="20" t="n">
        <v>36.71</v>
      </c>
      <c r="AJ311" s="46" t="n"/>
      <c r="AK311" s="20" t="n"/>
      <c r="AL311" s="20" t="n">
        <v>81.43000000000001</v>
      </c>
      <c r="AM311" s="20" t="n">
        <v>70.23</v>
      </c>
      <c r="AN311" s="20" t="n">
        <v>31.71</v>
      </c>
      <c r="AO311" s="20" t="n">
        <v>36.71</v>
      </c>
      <c r="AP311" s="20" t="n"/>
      <c r="AQ311" s="92" t="n">
        <v>0.655</v>
      </c>
      <c r="AR311" s="20" t="n">
        <v>31.51338</v>
      </c>
      <c r="AS311" s="20" t="n">
        <v>48.11</v>
      </c>
      <c r="AT311" s="49" t="n">
        <v>231</v>
      </c>
      <c r="AU311" s="50">
        <f>IF(I311="","管理人规模；","")&amp;IF(J311="","产品规模标识；","")&amp;IF(AND(F311&lt;3,O311=""),"R_incep；","")&amp;IF(N311="","近三年收益；","")&amp;IF(U311="","近三年胜率；","")&amp;IF(AND(V311&lt;&gt;"",OR(V311&lt;0,V311&gt;1)),"胜率窗口口径不一致；","")&amp;IF(AA311="","近三年回撤；","")&amp;IF(AD311="","短期卡玛；","")&amp;IF(AND(P311&lt;&gt;"",AE311=""),"DD_long不可识别；","")</f>
        <v/>
      </c>
      <c r="AV311" s="51" t="n"/>
      <c r="AW311" s="22" t="inlineStr">
        <is>
          <t>20-50亿元</t>
        </is>
      </c>
      <c r="AX311" s="22" t="inlineStr">
        <is>
          <t>2026-04-24</t>
        </is>
      </c>
      <c r="AY311" s="22" t="inlineStr">
        <is>
          <t>六妙星（北京）私募基金管理有限公司 六妙星（北京）私募基金管理有限公司</t>
        </is>
      </c>
      <c r="AZ311" s="22" t="inlineStr">
        <is>
          <t>2026-04-24</t>
        </is>
      </c>
      <c r="BA311" s="22" t="inlineStr">
        <is>
          <t>https://gs.amac.org.cn/amac-infodisc/res/pof/manager/2012211324102340.html</t>
        </is>
      </c>
      <c r="BB311" s="22" t="n"/>
      <c r="BC311" s="22" t="n"/>
      <c r="BD311" s="22" t="inlineStr">
        <is>
          <t>产品未匹配，管理人已按名称补录</t>
        </is>
      </c>
      <c r="BF311" t="inlineStr">
        <is>
          <t>未核验</t>
        </is>
      </c>
    </row>
    <row r="312" hidden="1" ht="28" customHeight="1" s="73">
      <c r="A312" s="2" t="n">
        <v>324</v>
      </c>
      <c r="B312" s="18" t="inlineStr">
        <is>
          <t>瑞桐悠光一号</t>
        </is>
      </c>
      <c r="C312" s="18">
        <f>'sheet4-原始数据'!B325</f>
        <v/>
      </c>
      <c r="D312" s="18" t="inlineStr">
        <is>
          <t>杭州瑞桐</t>
        </is>
      </c>
      <c r="E312" s="90" t="inlineStr">
        <is>
          <t>2025-07-14</t>
        </is>
      </c>
      <c r="F312" s="20" t="n">
        <v>1.1718</v>
      </c>
      <c r="G312" s="2">
        <f>IF(F312="","",IF(F312&lt;1,"不入池","入池"))</f>
        <v/>
      </c>
      <c r="H312" s="42" t="inlineStr">
        <is>
          <t>0-5亿元</t>
        </is>
      </c>
      <c r="I312" s="20" t="n">
        <v>60</v>
      </c>
      <c r="J312" s="43" t="inlineStr">
        <is>
          <t>无低于1000万元标识</t>
        </is>
      </c>
      <c r="K312" s="20" t="n">
        <v>100</v>
      </c>
      <c r="L312" s="20" t="n">
        <v>70</v>
      </c>
      <c r="M312" s="44" t="n">
        <v>0.1099</v>
      </c>
      <c r="N312" s="44" t="n"/>
      <c r="O312" s="45" t="n"/>
      <c r="P312" s="46" t="n"/>
      <c r="Q312" s="20" t="n">
        <v>79.86</v>
      </c>
      <c r="R312" s="20" t="n"/>
      <c r="S312" s="20" t="n">
        <v>79.86</v>
      </c>
      <c r="T312" s="44" t="n">
        <v>0.5385</v>
      </c>
      <c r="U312" s="44" t="n"/>
      <c r="V312" s="46" t="n"/>
      <c r="W312" s="20" t="n">
        <v>53.84999999999999</v>
      </c>
      <c r="X312" s="20" t="n">
        <v>100</v>
      </c>
      <c r="Y312" s="20" t="n">
        <v>72.31</v>
      </c>
      <c r="Z312" s="46" t="n">
        <v>0.3090551181102362</v>
      </c>
      <c r="AA312" s="44" t="n"/>
      <c r="AB312" s="46" t="n">
        <v>0.3090551181102362</v>
      </c>
      <c r="AC312" s="20" t="n">
        <v>3.83</v>
      </c>
      <c r="AD312" s="91" t="n">
        <v>0.3556</v>
      </c>
      <c r="AE312" s="46" t="n"/>
      <c r="AF312" s="20" t="n"/>
      <c r="AG312" s="20" t="n">
        <v>23.08</v>
      </c>
      <c r="AH312" s="20" t="n"/>
      <c r="AI312" s="20" t="n">
        <v>23.08</v>
      </c>
      <c r="AJ312" s="46" t="n"/>
      <c r="AK312" s="20" t="n"/>
      <c r="AL312" s="20" t="n">
        <v>75</v>
      </c>
      <c r="AM312" s="20" t="n">
        <v>76.70999999999999</v>
      </c>
      <c r="AN312" s="20" t="n">
        <v>3.83</v>
      </c>
      <c r="AO312" s="20" t="n">
        <v>23.08</v>
      </c>
      <c r="AP312" s="20" t="n"/>
      <c r="AQ312" s="92" t="n">
        <v>0.724</v>
      </c>
      <c r="AR312" s="20" t="n">
        <v>27.40874</v>
      </c>
      <c r="AS312" s="20" t="n">
        <v>37.86</v>
      </c>
      <c r="AT312" s="49" t="n">
        <v>278</v>
      </c>
      <c r="AU312" s="50">
        <f>IF(I312="","管理人规模；","")&amp;IF(J312="","产品规模标识；","")&amp;IF(AND(F312&lt;3,O312=""),"R_incep；","")&amp;IF(N312="","近三年收益；","")&amp;IF(U312="","近三年胜率；","")&amp;IF(AND(V312&lt;&gt;"",OR(V312&lt;0,V312&gt;1)),"胜率窗口口径不一致；","")&amp;IF(AA312="","近三年回撤；","")&amp;IF(AD312="","短期卡玛；","")&amp;IF(AND(P312&lt;&gt;"",AE312=""),"DD_long不可识别；","")</f>
        <v/>
      </c>
      <c r="AV312" s="51" t="n"/>
      <c r="AW312" s="22" t="inlineStr">
        <is>
          <t>0-5亿元</t>
        </is>
      </c>
      <c r="AX312" s="22" t="inlineStr">
        <is>
          <t>2025-08-01</t>
        </is>
      </c>
      <c r="AY312" s="22" t="inlineStr">
        <is>
          <t>瑞桐（杭州）私募基金管理有限公司</t>
        </is>
      </c>
      <c r="AZ312" s="22" t="inlineStr">
        <is>
          <t>2025-08-01</t>
        </is>
      </c>
      <c r="BA312" s="22" t="inlineStr">
        <is>
          <t>https://gs.amac.org.cn/amac-infodisc/res/pof/manager/1807030904107580.html</t>
        </is>
      </c>
      <c r="BB312" s="22" t="inlineStr">
        <is>
          <t>瑞桐悠光一号私募证券投资基金</t>
        </is>
      </c>
      <c r="BC312" s="22" t="inlineStr">
        <is>
          <t>2025-07-22</t>
        </is>
      </c>
      <c r="BD312" s="22" t="inlineStr">
        <is>
          <t>已匹配</t>
        </is>
      </c>
      <c r="BE312" t="inlineStr">
        <is>
          <t>https://gs.amac.org.cn/amac-infodisc/res/pof/fund/2507221114106658.html</t>
        </is>
      </c>
      <c r="BF312" t="inlineStr">
        <is>
          <t>已核验</t>
        </is>
      </c>
    </row>
    <row r="313" hidden="1" ht="28" customHeight="1" s="73">
      <c r="A313" s="2" t="n">
        <v>325</v>
      </c>
      <c r="B313" s="18" t="inlineStr">
        <is>
          <t>骏远高价值成长6号</t>
        </is>
      </c>
      <c r="C313" s="18">
        <f>'sheet4-原始数据'!B326</f>
        <v/>
      </c>
      <c r="D313" s="18" t="inlineStr">
        <is>
          <t>北京骏远资管</t>
        </is>
      </c>
      <c r="E313" s="90" t="inlineStr">
        <is>
          <t>2025-07-25</t>
        </is>
      </c>
      <c r="F313" s="20" t="n">
        <v>1.1417</v>
      </c>
      <c r="G313" s="2">
        <f>IF(F313="","",IF(F313&lt;1,"不入池","入池"))</f>
        <v/>
      </c>
      <c r="H313" s="42" t="inlineStr">
        <is>
          <t>5-10亿元</t>
        </is>
      </c>
      <c r="I313" s="20" t="n">
        <v>70</v>
      </c>
      <c r="J313" s="43" t="inlineStr">
        <is>
          <t>无低于1000万元标识</t>
        </is>
      </c>
      <c r="K313" s="20" t="n">
        <v>100</v>
      </c>
      <c r="L313" s="20" t="n">
        <v>70</v>
      </c>
      <c r="M313" s="44" t="n">
        <v>0.2012</v>
      </c>
      <c r="N313" s="44" t="n"/>
      <c r="O313" s="45" t="n"/>
      <c r="P313" s="46" t="n"/>
      <c r="Q313" s="20" t="n">
        <v>91.15000000000001</v>
      </c>
      <c r="R313" s="20" t="n"/>
      <c r="S313" s="20" t="n">
        <v>91.15000000000001</v>
      </c>
      <c r="T313" s="44" t="n">
        <v>0.6153999999999999</v>
      </c>
      <c r="U313" s="44" t="n"/>
      <c r="V313" s="46" t="n"/>
      <c r="W313" s="20" t="n">
        <v>61.53999999999999</v>
      </c>
      <c r="X313" s="20" t="n">
        <v>100</v>
      </c>
      <c r="Y313" s="20" t="n">
        <v>76.92</v>
      </c>
      <c r="Z313" s="46" t="n">
        <v>0.2424972881764493</v>
      </c>
      <c r="AA313" s="44" t="n"/>
      <c r="AB313" s="46" t="n">
        <v>0.2424972881764493</v>
      </c>
      <c r="AC313" s="20" t="n">
        <v>7.49</v>
      </c>
      <c r="AD313" s="91" t="n">
        <v>0.8297</v>
      </c>
      <c r="AE313" s="46" t="n"/>
      <c r="AF313" s="20" t="n"/>
      <c r="AG313" s="20" t="n">
        <v>31.64</v>
      </c>
      <c r="AH313" s="20" t="n"/>
      <c r="AI313" s="20" t="n">
        <v>31.64</v>
      </c>
      <c r="AJ313" s="46" t="n"/>
      <c r="AK313" s="20" t="n"/>
      <c r="AL313" s="20" t="n">
        <v>79</v>
      </c>
      <c r="AM313" s="20" t="n">
        <v>85.22</v>
      </c>
      <c r="AN313" s="20" t="n">
        <v>7.49</v>
      </c>
      <c r="AO313" s="20" t="n">
        <v>31.64</v>
      </c>
      <c r="AP313" s="20" t="n"/>
      <c r="AQ313" s="92" t="n">
        <v>0.724</v>
      </c>
      <c r="AR313" s="20" t="n">
        <v>31.68974</v>
      </c>
      <c r="AS313" s="20" t="n">
        <v>43.77</v>
      </c>
      <c r="AT313" s="49" t="n">
        <v>246</v>
      </c>
      <c r="AU313" s="50">
        <f>IF(I313="","管理人规模；","")&amp;IF(J313="","产品规模标识；","")&amp;IF(AND(F313&lt;3,O313=""),"R_incep；","")&amp;IF(N313="","近三年收益；","")&amp;IF(U313="","近三年胜率；","")&amp;IF(AND(V313&lt;&gt;"",OR(V313&lt;0,V313&gt;1)),"胜率窗口口径不一致；","")&amp;IF(AA313="","近三年回撤；","")&amp;IF(AD313="","短期卡玛；","")&amp;IF(AND(P313&lt;&gt;"",AE313=""),"DD_long不可识别；","")</f>
        <v/>
      </c>
      <c r="AV313" s="51" t="n"/>
      <c r="AW313" s="22" t="inlineStr">
        <is>
          <t>5-10亿元</t>
        </is>
      </c>
      <c r="AX313" s="22" t="inlineStr">
        <is>
          <t>2025-06-26</t>
        </is>
      </c>
      <c r="AY313" s="22" t="inlineStr">
        <is>
          <t>北京骏远资产管理有限公司</t>
        </is>
      </c>
      <c r="AZ313" s="22" t="inlineStr">
        <is>
          <t>2025-06-26</t>
        </is>
      </c>
      <c r="BA313" s="22" t="inlineStr">
        <is>
          <t>https://gs.amac.org.cn/amac-infodisc/res/pof/manager/101000036043.html</t>
        </is>
      </c>
      <c r="BB313" s="22" t="inlineStr">
        <is>
          <t>骏远高价值成长6号私募证券投资基金</t>
        </is>
      </c>
      <c r="BC313" s="22" t="inlineStr">
        <is>
          <t>2025-07-30</t>
        </is>
      </c>
      <c r="BD313" s="22" t="inlineStr">
        <is>
          <t>已匹配</t>
        </is>
      </c>
      <c r="BE313" t="inlineStr">
        <is>
          <t>https://gs.amac.org.cn/amac-infodisc/res/pof/fund/2507301304102059.html</t>
        </is>
      </c>
      <c r="BF313" t="inlineStr">
        <is>
          <t>已核验</t>
        </is>
      </c>
    </row>
    <row r="314" hidden="1" ht="28" customHeight="1" s="73">
      <c r="A314" s="2" t="n">
        <v>326</v>
      </c>
      <c r="B314" s="18" t="inlineStr">
        <is>
          <t>盛冠达泽众9号A类</t>
        </is>
      </c>
      <c r="C314" s="18">
        <f>'sheet4-原始数据'!B327</f>
        <v/>
      </c>
      <c r="D314" s="18" t="inlineStr">
        <is>
          <t>海南盛冠达</t>
        </is>
      </c>
      <c r="E314" s="90" t="inlineStr">
        <is>
          <t>2025-04-11</t>
        </is>
      </c>
      <c r="F314" s="20" t="n">
        <v>1.4292</v>
      </c>
      <c r="G314" s="2">
        <f>IF(F314="","",IF(F314&lt;1,"不入池","入池"))</f>
        <v/>
      </c>
      <c r="H314" s="42" t="inlineStr">
        <is>
          <t>20-50亿元</t>
        </is>
      </c>
      <c r="I314" s="20" t="n">
        <v>90</v>
      </c>
      <c r="J314" s="43" t="inlineStr">
        <is>
          <t>无低于1000万元标识</t>
        </is>
      </c>
      <c r="K314" s="20" t="n"/>
      <c r="L314" s="20" t="n">
        <v>70</v>
      </c>
      <c r="M314" s="44" t="n">
        <v>0.06559999999999999</v>
      </c>
      <c r="N314" s="44" t="n"/>
      <c r="O314" s="45" t="n"/>
      <c r="P314" s="46" t="n"/>
      <c r="Q314" s="20" t="n">
        <v>55.56</v>
      </c>
      <c r="R314" s="20" t="n"/>
      <c r="S314" s="20" t="n">
        <v>55.56</v>
      </c>
      <c r="T314" s="44" t="n">
        <v>0.7692</v>
      </c>
      <c r="U314" s="44" t="n"/>
      <c r="V314" s="46" t="n"/>
      <c r="W314" s="20" t="n">
        <v>76.92</v>
      </c>
      <c r="X314" s="20" t="n">
        <v>100</v>
      </c>
      <c r="Y314" s="20" t="n">
        <v>86.15000000000001</v>
      </c>
      <c r="Z314" s="46" t="n">
        <v>0.01733523598118493</v>
      </c>
      <c r="AA314" s="44" t="n"/>
      <c r="AB314" s="46" t="n">
        <v>0.01733523598118493</v>
      </c>
      <c r="AC314" s="20" t="n">
        <v>74.56</v>
      </c>
      <c r="AD314" s="91" t="n">
        <v>3.7842</v>
      </c>
      <c r="AE314" s="46" t="n"/>
      <c r="AF314" s="20" t="n"/>
      <c r="AG314" s="20" t="n">
        <v>61.54</v>
      </c>
      <c r="AH314" s="20" t="n"/>
      <c r="AI314" s="20" t="n">
        <v>61.54</v>
      </c>
      <c r="AJ314" s="46" t="n"/>
      <c r="AK314" s="20" t="n"/>
      <c r="AL314" s="20" t="n">
        <v>81.43000000000001</v>
      </c>
      <c r="AM314" s="20" t="n">
        <v>68.31</v>
      </c>
      <c r="AN314" s="20" t="n">
        <v>74.56</v>
      </c>
      <c r="AO314" s="20" t="n">
        <v>61.54</v>
      </c>
      <c r="AP314" s="20" t="n"/>
      <c r="AQ314" s="92" t="n">
        <v>0.679</v>
      </c>
      <c r="AR314" s="20" t="n">
        <v>48.10336</v>
      </c>
      <c r="AS314" s="20" t="n">
        <v>70.84</v>
      </c>
      <c r="AT314" s="49" t="n">
        <v>112</v>
      </c>
      <c r="AU314" s="50">
        <f>IF(I314="","管理人规模；","")&amp;IF(J314="","产品规模标识；","")&amp;IF(AND(F314&lt;3,O314=""),"R_incep；","")&amp;IF(N314="","近三年收益；","")&amp;IF(U314="","近三年胜率；","")&amp;IF(AND(V314&lt;&gt;"",OR(V314&lt;0,V314&gt;1)),"胜率窗口口径不一致；","")&amp;IF(AA314="","近三年回撤；","")&amp;IF(AD314="","短期卡玛；","")&amp;IF(AND(P314&lt;&gt;"",AE314=""),"DD_long不可识别；","")</f>
        <v/>
      </c>
      <c r="AV314" s="51" t="n"/>
      <c r="AW314" s="22" t="inlineStr">
        <is>
          <t>20-50亿元</t>
        </is>
      </c>
      <c r="AX314" s="22" t="inlineStr">
        <is>
          <t>2026-01-05</t>
        </is>
      </c>
      <c r="AY314" s="22" t="inlineStr">
        <is>
          <t>海南盛冠达私募基金管理有限公司 海南盛冠达私募基金管理有限公司</t>
        </is>
      </c>
      <c r="AZ314" s="22" t="inlineStr">
        <is>
          <t>2026-01-05</t>
        </is>
      </c>
      <c r="BA314" s="22" t="inlineStr">
        <is>
          <t>https://gs.amac.org.cn/amac-infodisc/res/pof/manager/101000001663.html</t>
        </is>
      </c>
      <c r="BB314" s="22" t="n"/>
      <c r="BC314" s="22" t="n"/>
      <c r="BD314" s="22" t="inlineStr">
        <is>
          <t>产品未匹配，管理人已按名称补录</t>
        </is>
      </c>
      <c r="BF314" t="inlineStr">
        <is>
          <t>未核验</t>
        </is>
      </c>
    </row>
    <row r="315" hidden="1" ht="28" customHeight="1" s="73">
      <c r="A315" s="2" t="n">
        <v>327</v>
      </c>
      <c r="B315" s="18" t="inlineStr">
        <is>
          <t>鸿熵天然1号A类</t>
        </is>
      </c>
      <c r="C315" s="18">
        <f>'sheet4-原始数据'!B328</f>
        <v/>
      </c>
      <c r="D315" s="18" t="inlineStr">
        <is>
          <t>北京鸿熵</t>
        </is>
      </c>
      <c r="E315" s="90" t="inlineStr">
        <is>
          <t>2022-11-18</t>
        </is>
      </c>
      <c r="F315" s="20" t="n">
        <v>3.8248</v>
      </c>
      <c r="G315" s="2">
        <f>IF(F315="","",IF(F315&lt;1,"不入池","入池"))</f>
        <v/>
      </c>
      <c r="H315" s="42" t="inlineStr">
        <is>
          <t>0-5亿元</t>
        </is>
      </c>
      <c r="I315" s="20" t="n">
        <v>60</v>
      </c>
      <c r="J315" s="43" t="inlineStr">
        <is>
          <t>无低于1000万元标识</t>
        </is>
      </c>
      <c r="K315" s="20" t="n"/>
      <c r="L315" s="20" t="n">
        <v>100</v>
      </c>
      <c r="M315" s="44" t="n">
        <v>0.0389</v>
      </c>
      <c r="N315" s="44" t="n">
        <v>0.04940000000000001</v>
      </c>
      <c r="O315" s="45" t="n"/>
      <c r="P315" s="46" t="n">
        <v>0.05468972891534629</v>
      </c>
      <c r="Q315" s="20" t="n">
        <v>36.46</v>
      </c>
      <c r="R315" s="20" t="n">
        <v>41</v>
      </c>
      <c r="S315" s="20" t="n">
        <v>38.28</v>
      </c>
      <c r="T315" s="44" t="n">
        <v>0.5385</v>
      </c>
      <c r="U315" s="44" t="n">
        <v>0.5405</v>
      </c>
      <c r="V315" s="46" t="n">
        <v>0.5415833333333334</v>
      </c>
      <c r="W315" s="20" t="n">
        <v>53.84999999999999</v>
      </c>
      <c r="X315" s="20" t="n">
        <v>54.15833333333334</v>
      </c>
      <c r="Y315" s="20" t="n">
        <v>53.97</v>
      </c>
      <c r="Z315" s="46" t="n">
        <v>0.1549800796812749</v>
      </c>
      <c r="AA315" s="44" t="n">
        <v>0.1551</v>
      </c>
      <c r="AB315" s="46" t="n">
        <v>0.1551</v>
      </c>
      <c r="AC315" s="20" t="n">
        <v>14.98</v>
      </c>
      <c r="AD315" s="91" t="n">
        <v>0.251</v>
      </c>
      <c r="AE315" s="46" t="n">
        <v>0.1551</v>
      </c>
      <c r="AF315" s="20" t="n">
        <v>0.3526094707630322</v>
      </c>
      <c r="AG315" s="20" t="n">
        <v>19.93</v>
      </c>
      <c r="AH315" s="20" t="n">
        <v>14.71</v>
      </c>
      <c r="AI315" s="20" t="n">
        <v>17.84</v>
      </c>
      <c r="AJ315" s="46" t="n">
        <v>0.04940000000000001</v>
      </c>
      <c r="AK315" s="20" t="n">
        <v>80</v>
      </c>
      <c r="AL315" s="20" t="n">
        <v>77.14</v>
      </c>
      <c r="AM315" s="20" t="n">
        <v>42.99</v>
      </c>
      <c r="AN315" s="20" t="n">
        <v>14.98</v>
      </c>
      <c r="AO315" s="20" t="n">
        <v>17.84</v>
      </c>
      <c r="AP315" s="20" t="n">
        <v>80</v>
      </c>
      <c r="AQ315" s="92" t="n">
        <v>0.955</v>
      </c>
      <c r="AR315" s="20" t="n">
        <v>33.79464</v>
      </c>
      <c r="AS315" s="20" t="n">
        <v>35.39</v>
      </c>
      <c r="AT315" s="49" t="n">
        <v>284</v>
      </c>
      <c r="AU315" s="50">
        <f>IF(I315="","管理人规模；","")&amp;IF(J315="","产品规模标识；","")&amp;IF(AND(F315&lt;3,O315=""),"R_incep；","")&amp;IF(N315="","近三年收益；","")&amp;IF(U315="","近三年胜率；","")&amp;IF(AND(V315&lt;&gt;"",OR(V315&lt;0,V315&gt;1)),"胜率窗口口径不一致；","")&amp;IF(AA315="","近三年回撤；","")&amp;IF(AD315="","短期卡玛；","")&amp;IF(AND(P315&lt;&gt;"",AE315=""),"DD_long不可识别；","")</f>
        <v/>
      </c>
      <c r="AV315" s="51" t="n"/>
      <c r="AW315" s="22" t="inlineStr">
        <is>
          <t>0-5亿元</t>
        </is>
      </c>
      <c r="AX315" s="22" t="inlineStr">
        <is>
          <t>2025-05-13</t>
        </is>
      </c>
      <c r="AY315" s="22" t="inlineStr">
        <is>
          <t>北京鸿熵私募基金管理有限公司 北京鸿熵私募基金管理有限公司</t>
        </is>
      </c>
      <c r="AZ315" s="22" t="inlineStr">
        <is>
          <t>2025-05-13</t>
        </is>
      </c>
      <c r="BA315" s="22" t="inlineStr">
        <is>
          <t>https://gs.amac.org.cn/amac-infodisc/res/pof/manager/101000011345.html</t>
        </is>
      </c>
      <c r="BB315" s="22" t="n"/>
      <c r="BC315" s="22" t="n"/>
      <c r="BD315" s="22" t="inlineStr">
        <is>
          <t>产品未匹配，管理人已按名称补录</t>
        </is>
      </c>
      <c r="BF315" t="inlineStr">
        <is>
          <t>未核验</t>
        </is>
      </c>
    </row>
    <row r="316" hidden="1" ht="28" customHeight="1" s="73">
      <c r="A316" s="2" t="n">
        <v>328</v>
      </c>
      <c r="B316" s="18" t="inlineStr">
        <is>
          <t>锐耐复利倍增2号A类</t>
        </is>
      </c>
      <c r="C316" s="18">
        <f>'sheet4-原始数据'!B329</f>
        <v/>
      </c>
      <c r="D316" s="18" t="inlineStr">
        <is>
          <t>上海锐耐</t>
        </is>
      </c>
      <c r="E316" s="90" t="inlineStr">
        <is>
          <t>2022-11-28</t>
        </is>
      </c>
      <c r="F316" s="20" t="n">
        <v>3.7974</v>
      </c>
      <c r="G316" s="2">
        <f>IF(F316="","",IF(F316&lt;1,"不入池","入池"))</f>
        <v/>
      </c>
      <c r="H316" s="42" t="inlineStr">
        <is>
          <t>20-50亿元</t>
        </is>
      </c>
      <c r="I316" s="20" t="n">
        <v>90</v>
      </c>
      <c r="J316" s="43" t="inlineStr">
        <is>
          <t>无低于1000万元标识</t>
        </is>
      </c>
      <c r="K316" s="20" t="n"/>
      <c r="L316" s="20" t="n">
        <v>100</v>
      </c>
      <c r="M316" s="44" t="n">
        <v>0.0175</v>
      </c>
      <c r="N316" s="44" t="n"/>
      <c r="O316" s="45" t="n"/>
      <c r="P316" s="46" t="n"/>
      <c r="Q316" s="20" t="n">
        <v>22.92</v>
      </c>
      <c r="R316" s="20" t="n"/>
      <c r="S316" s="20" t="n">
        <v>22.92</v>
      </c>
      <c r="T316" s="44" t="n">
        <v>0.4615</v>
      </c>
      <c r="U316" s="44" t="n"/>
      <c r="V316" s="46" t="n"/>
      <c r="W316" s="20" t="n">
        <v>46.15</v>
      </c>
      <c r="X316" s="20" t="n"/>
      <c r="Y316" s="20" t="n">
        <v>46.15</v>
      </c>
      <c r="Z316" s="46" t="n">
        <v>0.05168340224453633</v>
      </c>
      <c r="AA316" s="44" t="n"/>
      <c r="AB316" s="46" t="n">
        <v>0.05168340224453633</v>
      </c>
      <c r="AC316" s="20" t="n">
        <v>43.55</v>
      </c>
      <c r="AD316" s="91" t="n">
        <v>0.3386</v>
      </c>
      <c r="AE316" s="46" t="n"/>
      <c r="AF316" s="20" t="n"/>
      <c r="AG316" s="20" t="n">
        <v>22.03</v>
      </c>
      <c r="AH316" s="20" t="n"/>
      <c r="AI316" s="20" t="n">
        <v>22.03</v>
      </c>
      <c r="AJ316" s="46" t="n"/>
      <c r="AK316" s="20" t="n"/>
      <c r="AL316" s="20" t="n">
        <v>94.29000000000001</v>
      </c>
      <c r="AM316" s="20" t="n">
        <v>29.89</v>
      </c>
      <c r="AN316" s="20" t="n">
        <v>43.55</v>
      </c>
      <c r="AO316" s="20" t="n">
        <v>22.03</v>
      </c>
      <c r="AP316" s="20" t="n"/>
      <c r="AQ316" s="92" t="n">
        <v>0.655</v>
      </c>
      <c r="AR316" s="20" t="n">
        <v>28.33958</v>
      </c>
      <c r="AS316" s="20" t="n">
        <v>43.27</v>
      </c>
      <c r="AT316" s="49" t="n">
        <v>251</v>
      </c>
      <c r="AU316" s="50">
        <f>IF(I316="","管理人规模；","")&amp;IF(J316="","产品规模标识；","")&amp;IF(AND(F316&lt;3,O316=""),"R_incep；","")&amp;IF(N316="","近三年收益；","")&amp;IF(U316="","近三年胜率；","")&amp;IF(AND(V316&lt;&gt;"",OR(V316&lt;0,V316&gt;1)),"胜率窗口口径不一致；","")&amp;IF(AA316="","近三年回撤；","")&amp;IF(AD316="","短期卡玛；","")&amp;IF(AND(P316&lt;&gt;"",AE316=""),"DD_long不可识别；","")</f>
        <v/>
      </c>
      <c r="AV316" s="51" t="n"/>
      <c r="AW316" s="22" t="inlineStr">
        <is>
          <t>20-50亿元</t>
        </is>
      </c>
      <c r="AX316" s="22" t="inlineStr">
        <is>
          <t>2026-05-14</t>
        </is>
      </c>
      <c r="AY316" s="22" t="inlineStr">
        <is>
          <t>上海锐耐私募基金管理有限公司 上海锐耐私募基金管理有限公司</t>
        </is>
      </c>
      <c r="AZ316" s="22" t="inlineStr">
        <is>
          <t>2026-05-14</t>
        </is>
      </c>
      <c r="BA316" s="22" t="inlineStr">
        <is>
          <t>https://gs.amac.org.cn/amac-infodisc/res/pof/manager/2011201413105709.html</t>
        </is>
      </c>
      <c r="BB316" s="22" t="n"/>
      <c r="BC316" s="22" t="n"/>
      <c r="BD316" s="22" t="inlineStr">
        <is>
          <t>产品未匹配，管理人已按名称补录</t>
        </is>
      </c>
      <c r="BF316" t="inlineStr">
        <is>
          <t>未核验</t>
        </is>
      </c>
    </row>
    <row r="317" hidden="1" ht="28" customHeight="1" s="73">
      <c r="A317" s="2" t="n">
        <v>329</v>
      </c>
      <c r="B317" s="18" t="inlineStr">
        <is>
          <t>瑞倍稳聚1号D类</t>
        </is>
      </c>
      <c r="C317" s="18">
        <f>'sheet4-原始数据'!B330</f>
        <v/>
      </c>
      <c r="D317" s="18" t="inlineStr">
        <is>
          <t>宁波瑞倍</t>
        </is>
      </c>
      <c r="E317" s="90" t="inlineStr">
        <is>
          <t>2023-01-16</t>
        </is>
      </c>
      <c r="F317" s="20" t="n">
        <v>3.6632</v>
      </c>
      <c r="G317" s="2">
        <f>IF(F317="","",IF(F317&lt;1,"不入池","入池"))</f>
        <v/>
      </c>
      <c r="H317" s="42" t="inlineStr">
        <is>
          <t>10-20亿元</t>
        </is>
      </c>
      <c r="I317" s="20" t="n">
        <v>80</v>
      </c>
      <c r="J317" s="43" t="inlineStr">
        <is>
          <t>无低于1000万元标识</t>
        </is>
      </c>
      <c r="K317" s="20" t="n"/>
      <c r="L317" s="20" t="n">
        <v>100</v>
      </c>
      <c r="M317" s="44" t="n">
        <v>0.0229</v>
      </c>
      <c r="N317" s="44" t="n"/>
      <c r="O317" s="45" t="n"/>
      <c r="P317" s="46" t="n"/>
      <c r="Q317" s="20" t="n">
        <v>25.35</v>
      </c>
      <c r="R317" s="20" t="n"/>
      <c r="S317" s="20" t="n">
        <v>25.35</v>
      </c>
      <c r="T317" s="44" t="n">
        <v>0.8462000000000001</v>
      </c>
      <c r="U317" s="44" t="n"/>
      <c r="V317" s="46" t="n"/>
      <c r="W317" s="20" t="n">
        <v>84.62</v>
      </c>
      <c r="X317" s="20" t="n"/>
      <c r="Y317" s="20" t="n">
        <v>84.62</v>
      </c>
      <c r="Z317" s="46" t="n">
        <v>0.005593005080109417</v>
      </c>
      <c r="AA317" s="44" t="n"/>
      <c r="AB317" s="46" t="n">
        <v>0.005593005080109417</v>
      </c>
      <c r="AC317" s="20" t="n">
        <v>92.68000000000001</v>
      </c>
      <c r="AD317" s="91" t="n">
        <v>4.0944</v>
      </c>
      <c r="AE317" s="46" t="n"/>
      <c r="AF317" s="20" t="n"/>
      <c r="AG317" s="20" t="n">
        <v>62.94</v>
      </c>
      <c r="AH317" s="20" t="n"/>
      <c r="AI317" s="20" t="n">
        <v>62.94</v>
      </c>
      <c r="AJ317" s="46" t="n"/>
      <c r="AK317" s="20" t="n"/>
      <c r="AL317" s="20" t="n">
        <v>88.56999999999999</v>
      </c>
      <c r="AM317" s="20" t="n">
        <v>43.13</v>
      </c>
      <c r="AN317" s="20" t="n">
        <v>92.68000000000001</v>
      </c>
      <c r="AO317" s="20" t="n">
        <v>62.94</v>
      </c>
      <c r="AP317" s="20" t="n"/>
      <c r="AQ317" s="92" t="n">
        <v>0.655</v>
      </c>
      <c r="AR317" s="20" t="n">
        <v>48.97492</v>
      </c>
      <c r="AS317" s="20" t="n">
        <v>74.77</v>
      </c>
      <c r="AT317" s="49" t="n">
        <v>91</v>
      </c>
      <c r="AU317" s="50">
        <f>IF(I317="","管理人规模；","")&amp;IF(J317="","产品规模标识；","")&amp;IF(AND(F317&lt;3,O317=""),"R_incep；","")&amp;IF(N317="","近三年收益；","")&amp;IF(U317="","近三年胜率；","")&amp;IF(AND(V317&lt;&gt;"",OR(V317&lt;0,V317&gt;1)),"胜率窗口口径不一致；","")&amp;IF(AA317="","近三年回撤；","")&amp;IF(AD317="","短期卡玛；","")&amp;IF(AND(P317&lt;&gt;"",AE317=""),"DD_long不可识别；","")</f>
        <v/>
      </c>
      <c r="AV317" s="51" t="n"/>
      <c r="AW317" s="22" t="inlineStr">
        <is>
          <t>10-20亿元</t>
        </is>
      </c>
      <c r="AX317" s="22" t="inlineStr">
        <is>
          <t>2026-01-16</t>
        </is>
      </c>
      <c r="AY317" s="22" t="inlineStr">
        <is>
          <t>宁波瑞倍私募基金管理有限公司 宁波瑞倍私募基金管理有限公司</t>
        </is>
      </c>
      <c r="AZ317" s="22" t="inlineStr">
        <is>
          <t>2026-01-16</t>
        </is>
      </c>
      <c r="BA317" s="22" t="inlineStr">
        <is>
          <t>https://gs.amac.org.cn/amac-infodisc/res/pof/manager/101000014169.html</t>
        </is>
      </c>
      <c r="BB317" s="22" t="n"/>
      <c r="BC317" s="22" t="n"/>
      <c r="BD317" s="22" t="inlineStr">
        <is>
          <t>产品未匹配，管理人已按名称补录</t>
        </is>
      </c>
      <c r="BF317" t="inlineStr">
        <is>
          <t>未核验</t>
        </is>
      </c>
    </row>
    <row r="318" hidden="1" ht="28" customHeight="1" s="73">
      <c r="A318" s="2" t="n">
        <v>330</v>
      </c>
      <c r="B318" s="18" t="inlineStr">
        <is>
          <t>朔方常青树1号A类</t>
        </is>
      </c>
      <c r="C318" s="18">
        <f>'sheet4-原始数据'!B331</f>
        <v/>
      </c>
      <c r="D318" s="18" t="inlineStr">
        <is>
          <t>青岛朔方投资</t>
        </is>
      </c>
      <c r="E318" s="90" t="inlineStr">
        <is>
          <t>2024-06-26</t>
        </is>
      </c>
      <c r="F318" s="20" t="n">
        <v>2.2204</v>
      </c>
      <c r="G318" s="2">
        <f>IF(F318="","",IF(F318&lt;1,"不入池","入池"))</f>
        <v/>
      </c>
      <c r="H318" s="42" t="inlineStr">
        <is>
          <t>0-5亿元</t>
        </is>
      </c>
      <c r="I318" s="20" t="n">
        <v>60</v>
      </c>
      <c r="J318" s="43" t="inlineStr">
        <is>
          <t>无低于1000万元标识</t>
        </is>
      </c>
      <c r="K318" s="20" t="n"/>
      <c r="L318" s="20" t="n">
        <v>70</v>
      </c>
      <c r="M318" s="44" t="n">
        <v>0.0549</v>
      </c>
      <c r="N318" s="44" t="n"/>
      <c r="O318" s="45" t="n"/>
      <c r="P318" s="46" t="n"/>
      <c r="Q318" s="20" t="n">
        <v>47.57</v>
      </c>
      <c r="R318" s="20" t="n"/>
      <c r="S318" s="20" t="n">
        <v>47.57</v>
      </c>
      <c r="T318" s="44" t="n">
        <v>0.8462000000000001</v>
      </c>
      <c r="U318" s="44" t="n"/>
      <c r="V318" s="46" t="n"/>
      <c r="W318" s="20" t="n">
        <v>84.62</v>
      </c>
      <c r="X318" s="20" t="n"/>
      <c r="Y318" s="20" t="n">
        <v>84.62</v>
      </c>
      <c r="Z318" s="46" t="n">
        <v>0.003487840207364489</v>
      </c>
      <c r="AA318" s="44" t="n"/>
      <c r="AB318" s="46" t="n">
        <v>0.003487840207364489</v>
      </c>
      <c r="AC318" s="20" t="n">
        <v>96.86</v>
      </c>
      <c r="AD318" s="91" t="n">
        <v>15.7404</v>
      </c>
      <c r="AE318" s="46" t="n"/>
      <c r="AF318" s="20" t="n"/>
      <c r="AG318" s="20" t="n">
        <v>87.41</v>
      </c>
      <c r="AH318" s="20" t="n"/>
      <c r="AI318" s="20" t="n">
        <v>87.41</v>
      </c>
      <c r="AJ318" s="46" t="n"/>
      <c r="AK318" s="20" t="n"/>
      <c r="AL318" s="20" t="n">
        <v>64.29000000000001</v>
      </c>
      <c r="AM318" s="20" t="n">
        <v>58.69</v>
      </c>
      <c r="AN318" s="20" t="n">
        <v>96.86</v>
      </c>
      <c r="AO318" s="20" t="n">
        <v>87.41</v>
      </c>
      <c r="AP318" s="20" t="n"/>
      <c r="AQ318" s="92" t="n">
        <v>0.655</v>
      </c>
      <c r="AR318" s="20" t="n">
        <v>53.741</v>
      </c>
      <c r="AS318" s="20" t="n">
        <v>82.05</v>
      </c>
      <c r="AT318" s="49" t="n">
        <v>49</v>
      </c>
      <c r="AU318" s="50">
        <f>IF(I318="","管理人规模；","")&amp;IF(J318="","产品规模标识；","")&amp;IF(AND(F318&lt;3,O318=""),"R_incep；","")&amp;IF(N318="","近三年收益；","")&amp;IF(U318="","近三年胜率；","")&amp;IF(AND(V318&lt;&gt;"",OR(V318&lt;0,V318&gt;1)),"胜率窗口口径不一致；","")&amp;IF(AA318="","近三年回撤；","")&amp;IF(AD318="","短期卡玛；","")&amp;IF(AND(P318&lt;&gt;"",AE318=""),"DD_long不可识别；","")</f>
        <v/>
      </c>
      <c r="AV318" s="51" t="n"/>
      <c r="AW318" s="22" t="inlineStr">
        <is>
          <t>0-5亿元</t>
        </is>
      </c>
      <c r="AX318" s="22" t="inlineStr">
        <is>
          <t>2026-02-28</t>
        </is>
      </c>
      <c r="AY318" s="22" t="inlineStr">
        <is>
          <t>青岛朔方投资管理有限公司 青岛朔方投资管理有限公司</t>
        </is>
      </c>
      <c r="AZ318" s="22" t="inlineStr">
        <is>
          <t>2026-02-28</t>
        </is>
      </c>
      <c r="BA318" s="22" t="inlineStr">
        <is>
          <t>https://gs.amac.org.cn/amac-infodisc/res/pof/manager/1811281032106554.html</t>
        </is>
      </c>
      <c r="BB318" s="22" t="n"/>
      <c r="BC318" s="22" t="n"/>
      <c r="BD318" s="22" t="inlineStr">
        <is>
          <t>产品未匹配，管理人已按名称补录</t>
        </is>
      </c>
      <c r="BF318" t="inlineStr">
        <is>
          <t>未核验</t>
        </is>
      </c>
    </row>
    <row r="319" hidden="1" ht="28" customHeight="1" s="73">
      <c r="A319" s="2" t="n">
        <v>331</v>
      </c>
      <c r="B319" s="18" t="inlineStr">
        <is>
          <t>星汇天权1号C类</t>
        </is>
      </c>
      <c r="C319" s="18">
        <f>'sheet4-原始数据'!B332</f>
        <v/>
      </c>
      <c r="D319" s="18" t="inlineStr">
        <is>
          <t>上海思达星汇</t>
        </is>
      </c>
      <c r="E319" s="90" t="inlineStr">
        <is>
          <t>2025-03-10</t>
        </is>
      </c>
      <c r="F319" s="20" t="n">
        <v>1.5168</v>
      </c>
      <c r="G319" s="2">
        <f>IF(F319="","",IF(F319&lt;1,"不入池","入池"))</f>
        <v/>
      </c>
      <c r="H319" s="42" t="inlineStr">
        <is>
          <t>20-50亿元</t>
        </is>
      </c>
      <c r="I319" s="20" t="n">
        <v>90</v>
      </c>
      <c r="J319" s="43" t="inlineStr">
        <is>
          <t>无低于1000万元标识</t>
        </is>
      </c>
      <c r="K319" s="20" t="n"/>
      <c r="L319" s="20" t="n">
        <v>70</v>
      </c>
      <c r="M319" s="44" t="n">
        <v>0.1027</v>
      </c>
      <c r="N319" s="44" t="n"/>
      <c r="O319" s="45" t="n"/>
      <c r="P319" s="46" t="n"/>
      <c r="Q319" s="20" t="n">
        <v>77.43000000000001</v>
      </c>
      <c r="R319" s="20" t="n"/>
      <c r="S319" s="20" t="n">
        <v>77.43000000000001</v>
      </c>
      <c r="T319" s="44" t="n">
        <v>0.6153999999999999</v>
      </c>
      <c r="U319" s="44" t="n"/>
      <c r="V319" s="46" t="n"/>
      <c r="W319" s="20" t="n">
        <v>61.53999999999999</v>
      </c>
      <c r="X319" s="20" t="n"/>
      <c r="Y319" s="20" t="n">
        <v>61.53999999999999</v>
      </c>
      <c r="Z319" s="46" t="n">
        <v>0.04365382980532177</v>
      </c>
      <c r="AA319" s="44" t="n"/>
      <c r="AB319" s="46" t="n">
        <v>0.04365382980532177</v>
      </c>
      <c r="AC319" s="20" t="n">
        <v>48.43</v>
      </c>
      <c r="AD319" s="91" t="n">
        <v>2.3526</v>
      </c>
      <c r="AE319" s="46" t="n"/>
      <c r="AF319" s="20" t="n"/>
      <c r="AG319" s="20" t="n">
        <v>51.05</v>
      </c>
      <c r="AH319" s="20" t="n"/>
      <c r="AI319" s="20" t="n">
        <v>51.05</v>
      </c>
      <c r="AJ319" s="46" t="n"/>
      <c r="AK319" s="20" t="n"/>
      <c r="AL319" s="20" t="n">
        <v>81.43000000000001</v>
      </c>
      <c r="AM319" s="20" t="n">
        <v>72.66</v>
      </c>
      <c r="AN319" s="20" t="n">
        <v>48.43</v>
      </c>
      <c r="AO319" s="20" t="n">
        <v>51.05</v>
      </c>
      <c r="AP319" s="20" t="n"/>
      <c r="AQ319" s="92" t="n">
        <v>0.655</v>
      </c>
      <c r="AR319" s="20" t="n">
        <v>38.56606</v>
      </c>
      <c r="AS319" s="20" t="n">
        <v>58.88</v>
      </c>
      <c r="AT319" s="49" t="n">
        <v>175</v>
      </c>
      <c r="AU319" s="50">
        <f>IF(I319="","管理人规模；","")&amp;IF(J319="","产品规模标识；","")&amp;IF(AND(F319&lt;3,O319=""),"R_incep；","")&amp;IF(N319="","近三年收益；","")&amp;IF(U319="","近三年胜率；","")&amp;IF(AND(V319&lt;&gt;"",OR(V319&lt;0,V319&gt;1)),"胜率窗口口径不一致；","")&amp;IF(AA319="","近三年回撤；","")&amp;IF(AD319="","短期卡玛；","")&amp;IF(AND(P319&lt;&gt;"",AE319=""),"DD_long不可识别；","")</f>
        <v/>
      </c>
      <c r="AV319" s="51" t="n"/>
      <c r="AW319" s="22" t="inlineStr">
        <is>
          <t>20-50亿元</t>
        </is>
      </c>
      <c r="AX319" s="22" t="inlineStr">
        <is>
          <t>2026-05-07</t>
        </is>
      </c>
      <c r="AY319" s="22" t="inlineStr">
        <is>
          <t>上海思达星汇私募基金管理有限公司 上海思达星汇私募基金管理有限公司</t>
        </is>
      </c>
      <c r="AZ319" s="22" t="inlineStr">
        <is>
          <t>2026-05-07</t>
        </is>
      </c>
      <c r="BA319" s="22" t="inlineStr">
        <is>
          <t>https://gs.amac.org.cn/amac-infodisc/res/pof/manager/2111041536100174.html</t>
        </is>
      </c>
      <c r="BB319" s="22" t="n"/>
      <c r="BC319" s="22" t="n"/>
      <c r="BD319" s="22" t="inlineStr">
        <is>
          <t>产品未匹配，管理人已按名称补录</t>
        </is>
      </c>
      <c r="BF319" t="inlineStr">
        <is>
          <t>未核验</t>
        </is>
      </c>
    </row>
    <row r="320" hidden="1" ht="28" customHeight="1" s="73">
      <c r="A320" s="2" t="n">
        <v>332</v>
      </c>
      <c r="B320" s="18" t="inlineStr">
        <is>
          <t>乘舟紫荆1号B类</t>
        </is>
      </c>
      <c r="C320" s="18">
        <f>'sheet4-原始数据'!B333</f>
        <v/>
      </c>
      <c r="D320" s="18" t="inlineStr">
        <is>
          <t>上海乘舟投资</t>
        </is>
      </c>
      <c r="E320" s="90" t="inlineStr">
        <is>
          <t>2022-12-01</t>
        </is>
      </c>
      <c r="F320" s="20" t="n">
        <v>3.7892</v>
      </c>
      <c r="G320" s="2">
        <f>IF(F320="","",IF(F320&lt;1,"不入池","入池"))</f>
        <v/>
      </c>
      <c r="H320" s="42" t="inlineStr">
        <is>
          <t>5-10亿元</t>
        </is>
      </c>
      <c r="I320" s="20" t="n">
        <v>70</v>
      </c>
      <c r="J320" s="43" t="inlineStr">
        <is>
          <t>无低于1000万元标识</t>
        </is>
      </c>
      <c r="K320" s="20" t="n"/>
      <c r="L320" s="20" t="n">
        <v>100</v>
      </c>
      <c r="M320" s="44" t="n">
        <v>-0.0127</v>
      </c>
      <c r="N320" s="44" t="n">
        <v>0.06280000000000001</v>
      </c>
      <c r="O320" s="45" t="n"/>
      <c r="P320" s="46" t="n">
        <v>0.1026882582429216</v>
      </c>
      <c r="Q320" s="20" t="n">
        <v>14.24</v>
      </c>
      <c r="R320" s="20" t="n">
        <v>73.5</v>
      </c>
      <c r="S320" s="20" t="n">
        <v>37.94</v>
      </c>
      <c r="T320" s="44" t="n">
        <v>0.7692</v>
      </c>
      <c r="U320" s="44" t="n">
        <v>0.8649</v>
      </c>
      <c r="V320" s="46" t="n">
        <v>0.9167375</v>
      </c>
      <c r="W320" s="20" t="n">
        <v>76.92</v>
      </c>
      <c r="X320" s="20" t="n">
        <v>91.67375</v>
      </c>
      <c r="Y320" s="20" t="n">
        <v>82.81999999999999</v>
      </c>
      <c r="Z320" s="46" t="n">
        <v>0.09906396255850233</v>
      </c>
      <c r="AA320" s="44" t="n">
        <v>0.09910000000000001</v>
      </c>
      <c r="AB320" s="46" t="n">
        <v>0.09910000000000001</v>
      </c>
      <c r="AC320" s="20" t="n">
        <v>27.53</v>
      </c>
      <c r="AD320" s="91" t="n">
        <v>-0.1282</v>
      </c>
      <c r="AE320" s="46" t="n"/>
      <c r="AF320" s="20" t="n"/>
      <c r="AG320" s="20" t="n">
        <v>13.99</v>
      </c>
      <c r="AH320" s="20" t="n"/>
      <c r="AI320" s="20" t="n">
        <v>13.99</v>
      </c>
      <c r="AJ320" s="46" t="n">
        <v>0.06280000000000001</v>
      </c>
      <c r="AK320" s="20" t="n">
        <v>80</v>
      </c>
      <c r="AL320" s="20" t="n">
        <v>82.86</v>
      </c>
      <c r="AM320" s="20" t="n">
        <v>51.41</v>
      </c>
      <c r="AN320" s="20" t="n">
        <v>27.53</v>
      </c>
      <c r="AO320" s="20" t="n">
        <v>13.99</v>
      </c>
      <c r="AP320" s="20" t="n">
        <v>80</v>
      </c>
      <c r="AQ320" s="92" t="n">
        <v>0.835</v>
      </c>
      <c r="AR320" s="20" t="n">
        <v>36.38215</v>
      </c>
      <c r="AS320" s="20" t="n">
        <v>43.57</v>
      </c>
      <c r="AT320" s="49" t="n">
        <v>248</v>
      </c>
      <c r="AU320" s="50">
        <f>IF(I320="","管理人规模；","")&amp;IF(J320="","产品规模标识；","")&amp;IF(AND(F320&lt;3,O320=""),"R_incep；","")&amp;IF(N320="","近三年收益；","")&amp;IF(U320="","近三年胜率；","")&amp;IF(AND(V320&lt;&gt;"",OR(V320&lt;0,V320&gt;1)),"胜率窗口口径不一致；","")&amp;IF(AA320="","近三年回撤；","")&amp;IF(AD320="","短期卡玛；","")&amp;IF(AND(P320&lt;&gt;"",AE320=""),"DD_long不可识别；","")</f>
        <v/>
      </c>
      <c r="AV320" s="51" t="n"/>
      <c r="AW320" s="22" t="inlineStr">
        <is>
          <t>5-10亿元</t>
        </is>
      </c>
      <c r="AX320" s="22" t="inlineStr">
        <is>
          <t>2026-07-21</t>
        </is>
      </c>
      <c r="AY320" s="22" t="inlineStr">
        <is>
          <t>上海乘舟投资管理有限公司 上海乘舟投资管理有限公司</t>
        </is>
      </c>
      <c r="AZ320" s="22" t="inlineStr">
        <is>
          <t>2026-07-21</t>
        </is>
      </c>
      <c r="BA320" s="22" t="inlineStr">
        <is>
          <t>https://gs.amac.org.cn/amac-infodisc/res/pof/manager/2003191500102072.html</t>
        </is>
      </c>
      <c r="BB320" s="22" t="n"/>
      <c r="BC320" s="22" t="n"/>
      <c r="BD320" s="22" t="inlineStr">
        <is>
          <t>产品未匹配，管理人已按名称补录</t>
        </is>
      </c>
      <c r="BF320" t="inlineStr">
        <is>
          <t>未核验</t>
        </is>
      </c>
    </row>
    <row r="321" hidden="1" ht="28" customHeight="1" s="73">
      <c r="A321" s="2" t="n">
        <v>333</v>
      </c>
      <c r="B321" s="18" t="inlineStr">
        <is>
          <t>金藏元金权一号B类</t>
        </is>
      </c>
      <c r="C321" s="18">
        <f>'sheet4-原始数据'!B334</f>
        <v/>
      </c>
      <c r="D321" s="18" t="inlineStr">
        <is>
          <t>浙江金藏元投资</t>
        </is>
      </c>
      <c r="E321" s="90" t="inlineStr">
        <is>
          <t>2025-04-21</t>
        </is>
      </c>
      <c r="F321" s="20" t="n">
        <v>1.4018</v>
      </c>
      <c r="G321" s="2">
        <f>IF(F321="","",IF(F321&lt;1,"不入池","入池"))</f>
        <v/>
      </c>
      <c r="H321" s="42" t="inlineStr">
        <is>
          <t>0-5亿元</t>
        </is>
      </c>
      <c r="I321" s="20" t="n">
        <v>60</v>
      </c>
      <c r="J321" s="43" t="inlineStr">
        <is>
          <t>无低于1000万元标识</t>
        </is>
      </c>
      <c r="K321" s="20" t="n"/>
      <c r="L321" s="20" t="n">
        <v>70</v>
      </c>
      <c r="M321" s="44" t="n">
        <v>0.0738</v>
      </c>
      <c r="N321" s="44" t="n"/>
      <c r="O321" s="45" t="n"/>
      <c r="P321" s="46" t="n"/>
      <c r="Q321" s="20" t="n">
        <v>62.5</v>
      </c>
      <c r="R321" s="20" t="n"/>
      <c r="S321" s="20" t="n">
        <v>62.5</v>
      </c>
      <c r="T321" s="44" t="n">
        <v>0.6923</v>
      </c>
      <c r="U321" s="44" t="n"/>
      <c r="V321" s="46" t="n"/>
      <c r="W321" s="20" t="n">
        <v>69.23</v>
      </c>
      <c r="X321" s="20" t="n">
        <v>100</v>
      </c>
      <c r="Y321" s="20" t="n">
        <v>81.54000000000001</v>
      </c>
      <c r="Z321" s="46" t="n">
        <v>0.04511278195488722</v>
      </c>
      <c r="AA321" s="44" t="n"/>
      <c r="AB321" s="46" t="n">
        <v>0.04511278195488722</v>
      </c>
      <c r="AC321" s="20" t="n">
        <v>47.04</v>
      </c>
      <c r="AD321" s="91" t="n">
        <v>1.6359</v>
      </c>
      <c r="AE321" s="46" t="n"/>
      <c r="AF321" s="20" t="n"/>
      <c r="AG321" s="20" t="n">
        <v>42.31</v>
      </c>
      <c r="AH321" s="20" t="n"/>
      <c r="AI321" s="20" t="n">
        <v>42.31</v>
      </c>
      <c r="AJ321" s="46" t="n"/>
      <c r="AK321" s="20" t="n"/>
      <c r="AL321" s="20" t="n">
        <v>64.29000000000001</v>
      </c>
      <c r="AM321" s="20" t="n">
        <v>70.43000000000001</v>
      </c>
      <c r="AN321" s="20" t="n">
        <v>47.04</v>
      </c>
      <c r="AO321" s="20" t="n">
        <v>42.31</v>
      </c>
      <c r="AP321" s="20" t="n"/>
      <c r="AQ321" s="92" t="n">
        <v>0.679</v>
      </c>
      <c r="AR321" s="20" t="n">
        <v>36.26808</v>
      </c>
      <c r="AS321" s="20" t="n">
        <v>53.41</v>
      </c>
      <c r="AT321" s="49" t="n">
        <v>205</v>
      </c>
      <c r="AU321" s="50">
        <f>IF(I321="","管理人规模；","")&amp;IF(J321="","产品规模标识；","")&amp;IF(AND(F321&lt;3,O321=""),"R_incep；","")&amp;IF(N321="","近三年收益；","")&amp;IF(U321="","近三年胜率；","")&amp;IF(AND(V321&lt;&gt;"",OR(V321&lt;0,V321&gt;1)),"胜率窗口口径不一致；","")&amp;IF(AA321="","近三年回撤；","")&amp;IF(AD321="","短期卡玛；","")&amp;IF(AND(P321&lt;&gt;"",AE321=""),"DD_long不可识别；","")</f>
        <v/>
      </c>
      <c r="AV321" s="51" t="n"/>
      <c r="AW321" s="22" t="inlineStr">
        <is>
          <t>0-5亿元</t>
        </is>
      </c>
      <c r="AX321" s="22" t="inlineStr">
        <is>
          <t>2026-01-14</t>
        </is>
      </c>
      <c r="AY321" s="22" t="inlineStr">
        <is>
          <t>浙江金藏元投资管理有限公司 浙江金藏元投资管理有限公司</t>
        </is>
      </c>
      <c r="AZ321" s="22" t="inlineStr">
        <is>
          <t>2026-09-11</t>
        </is>
      </c>
      <c r="BA321" s="22" t="inlineStr">
        <is>
          <t>https://gs.amac.org.cn/amac-infodisc/res/pof/manager/101000046762.html</t>
        </is>
      </c>
      <c r="BB321" s="22" t="n"/>
      <c r="BC321" s="22" t="n"/>
      <c r="BD321" s="22" t="inlineStr">
        <is>
          <t>产品未匹配，管理人已按名称补录</t>
        </is>
      </c>
      <c r="BF321" t="inlineStr">
        <is>
          <t>未核验</t>
        </is>
      </c>
    </row>
    <row r="322" hidden="1" ht="28" customHeight="1" s="73">
      <c r="A322" s="2" t="n">
        <v>334</v>
      </c>
      <c r="B322" s="18" t="inlineStr">
        <is>
          <t>博普稳增3号A类</t>
        </is>
      </c>
      <c r="C322" s="18">
        <f>'sheet4-原始数据'!B335</f>
        <v/>
      </c>
      <c r="D322" s="18" t="inlineStr">
        <is>
          <t>深圳博普科技</t>
        </is>
      </c>
      <c r="E322" s="90" t="inlineStr">
        <is>
          <t>2017-08-03</t>
        </is>
      </c>
      <c r="F322" s="20" t="n">
        <v>9.117000000000001</v>
      </c>
      <c r="G322" s="2">
        <f>IF(F322="","",IF(F322&lt;1,"不入池","入池"))</f>
        <v/>
      </c>
      <c r="H322" s="42" t="inlineStr">
        <is>
          <t>100亿元以上</t>
        </is>
      </c>
      <c r="I322" s="20" t="n">
        <v>100</v>
      </c>
      <c r="J322" s="43" t="inlineStr">
        <is>
          <t>无低于1000万元标识</t>
        </is>
      </c>
      <c r="K322" s="20" t="n"/>
      <c r="L322" s="20" t="n">
        <v>100</v>
      </c>
      <c r="M322" s="44" t="n">
        <v>0.0634</v>
      </c>
      <c r="N322" s="44" t="n">
        <v>0.0469</v>
      </c>
      <c r="O322" s="45" t="n"/>
      <c r="P322" s="46" t="n">
        <v>0.03874625664590536</v>
      </c>
      <c r="Q322" s="20" t="n">
        <v>54.86</v>
      </c>
      <c r="R322" s="20" t="n">
        <v>25</v>
      </c>
      <c r="S322" s="20" t="n">
        <v>42.92</v>
      </c>
      <c r="T322" s="44" t="n">
        <v>0.9231</v>
      </c>
      <c r="U322" s="44" t="n">
        <v>0.8378</v>
      </c>
      <c r="V322" s="46" t="n">
        <v>0.7915958333333334</v>
      </c>
      <c r="W322" s="20" t="n">
        <v>92.31</v>
      </c>
      <c r="X322" s="20" t="n">
        <v>79.15958333333334</v>
      </c>
      <c r="Y322" s="20" t="n">
        <v>87.05</v>
      </c>
      <c r="Z322" s="46" t="n">
        <v>0.0061784941625899</v>
      </c>
      <c r="AA322" s="44" t="n">
        <v>0.0211</v>
      </c>
      <c r="AB322" s="46" t="n">
        <v>0.0211</v>
      </c>
      <c r="AC322" s="20" t="n">
        <v>72.65000000000001</v>
      </c>
      <c r="AD322" s="91" t="n">
        <v>10.2614</v>
      </c>
      <c r="AE322" s="46" t="n">
        <v>0.0211</v>
      </c>
      <c r="AF322" s="20" t="n">
        <v>1.836315480848596</v>
      </c>
      <c r="AG322" s="20" t="n">
        <v>81.47</v>
      </c>
      <c r="AH322" s="20" t="n">
        <v>62.5</v>
      </c>
      <c r="AI322" s="20" t="n">
        <v>73.88</v>
      </c>
      <c r="AJ322" s="46" t="n">
        <v>0.0469</v>
      </c>
      <c r="AK322" s="20" t="n">
        <v>100</v>
      </c>
      <c r="AL322" s="20" t="n">
        <v>100</v>
      </c>
      <c r="AM322" s="20" t="n">
        <v>56.16</v>
      </c>
      <c r="AN322" s="20" t="n">
        <v>72.65000000000001</v>
      </c>
      <c r="AO322" s="20" t="n">
        <v>73.88</v>
      </c>
      <c r="AP322" s="20" t="n">
        <v>100</v>
      </c>
      <c r="AQ322" s="92" t="n">
        <v>0.955</v>
      </c>
      <c r="AR322" s="20" t="n">
        <v>72.05833</v>
      </c>
      <c r="AS322" s="20" t="n">
        <v>75.45</v>
      </c>
      <c r="AT322" s="49" t="n">
        <v>85</v>
      </c>
      <c r="AU322" s="50">
        <f>IF(I322="","管理人规模；","")&amp;IF(J322="","产品规模标识；","")&amp;IF(AND(F322&lt;3,O322=""),"R_incep；","")&amp;IF(N322="","近三年收益；","")&amp;IF(U322="","近三年胜率；","")&amp;IF(AND(V322&lt;&gt;"",OR(V322&lt;0,V322&gt;1)),"胜率窗口口径不一致；","")&amp;IF(AA322="","近三年回撤；","")&amp;IF(AD322="","短期卡玛；","")&amp;IF(AND(P322&lt;&gt;"",AE322=""),"DD_long不可识别；","")</f>
        <v/>
      </c>
      <c r="AV322" s="51" t="n"/>
      <c r="AW322" s="22" t="inlineStr">
        <is>
          <t>100亿元以上</t>
        </is>
      </c>
      <c r="AX322" s="22" t="inlineStr">
        <is>
          <t>2023-09-25</t>
        </is>
      </c>
      <c r="AY322" s="22" t="inlineStr">
        <is>
          <t>深圳博普科技有限公司 深圳博普科技有限公司</t>
        </is>
      </c>
      <c r="AZ322" s="22" t="inlineStr">
        <is>
          <t>2023-09-25</t>
        </is>
      </c>
      <c r="BA322" s="22" t="inlineStr">
        <is>
          <t>https://gs.amac.org.cn/amac-infodisc/res/pof/manager/101000001136.html</t>
        </is>
      </c>
      <c r="BB322" s="22" t="n"/>
      <c r="BC322" s="22" t="n"/>
      <c r="BD322" s="22" t="inlineStr">
        <is>
          <t>产品未匹配，管理人已按名称补录</t>
        </is>
      </c>
      <c r="BF322" t="inlineStr">
        <is>
          <t>未核验</t>
        </is>
      </c>
    </row>
    <row r="323" hidden="1" ht="28" customHeight="1" s="73">
      <c r="A323" s="2" t="n">
        <v>335</v>
      </c>
      <c r="B323" s="18" t="inlineStr">
        <is>
          <t>聚亿具臻B类</t>
        </is>
      </c>
      <c r="C323" s="18">
        <f>'sheet4-原始数据'!B336</f>
        <v/>
      </c>
      <c r="D323" s="18" t="inlineStr">
        <is>
          <t>珠海聚亿基金</t>
        </is>
      </c>
      <c r="E323" s="90" t="inlineStr">
        <is>
          <t>2020-08-18</t>
        </is>
      </c>
      <c r="F323" s="20" t="n">
        <v>6.0753</v>
      </c>
      <c r="G323" s="2">
        <f>IF(F323="","",IF(F323&lt;1,"不入池","入池"))</f>
        <v/>
      </c>
      <c r="H323" s="42" t="inlineStr">
        <is>
          <t>0-5亿元</t>
        </is>
      </c>
      <c r="I323" s="20" t="n">
        <v>60</v>
      </c>
      <c r="J323" s="43" t="inlineStr">
        <is>
          <t>无低于1000万元标识</t>
        </is>
      </c>
      <c r="K323" s="20" t="n"/>
      <c r="L323" s="20" t="n">
        <v>100</v>
      </c>
      <c r="M323" s="44" t="n">
        <v>0.3219</v>
      </c>
      <c r="N323" s="44" t="n"/>
      <c r="O323" s="45" t="n"/>
      <c r="P323" s="46" t="n"/>
      <c r="Q323" s="20" t="n">
        <v>97.22</v>
      </c>
      <c r="R323" s="20" t="n"/>
      <c r="S323" s="20" t="n">
        <v>97.22</v>
      </c>
      <c r="T323" s="44" t="n">
        <v>0.7692</v>
      </c>
      <c r="U323" s="44" t="n"/>
      <c r="V323" s="46" t="n"/>
      <c r="W323" s="20" t="n">
        <v>76.92</v>
      </c>
      <c r="X323" s="20" t="n"/>
      <c r="Y323" s="20" t="n">
        <v>76.92</v>
      </c>
      <c r="Z323" s="46" t="n">
        <v>0.02564020869011111</v>
      </c>
      <c r="AA323" s="44" t="n"/>
      <c r="AB323" s="46" t="n">
        <v>0.02564020869011111</v>
      </c>
      <c r="AC323" s="20" t="n">
        <v>64.45999999999999</v>
      </c>
      <c r="AD323" s="91" t="n">
        <v>12.5545</v>
      </c>
      <c r="AE323" s="46" t="n"/>
      <c r="AF323" s="20" t="n"/>
      <c r="AG323" s="20" t="n">
        <v>85.31</v>
      </c>
      <c r="AH323" s="20" t="n"/>
      <c r="AI323" s="20" t="n">
        <v>85.31</v>
      </c>
      <c r="AJ323" s="46" t="n"/>
      <c r="AK323" s="20" t="n"/>
      <c r="AL323" s="20" t="n">
        <v>77.14</v>
      </c>
      <c r="AM323" s="20" t="n">
        <v>91.13</v>
      </c>
      <c r="AN323" s="20" t="n">
        <v>64.45999999999999</v>
      </c>
      <c r="AO323" s="20" t="n">
        <v>85.31</v>
      </c>
      <c r="AP323" s="20" t="n"/>
      <c r="AQ323" s="92" t="n">
        <v>0.655</v>
      </c>
      <c r="AR323" s="20" t="n">
        <v>50.5064</v>
      </c>
      <c r="AS323" s="20" t="n">
        <v>77.11</v>
      </c>
      <c r="AT323" s="49" t="n">
        <v>78</v>
      </c>
      <c r="AU323" s="50">
        <f>IF(I323="","管理人规模；","")&amp;IF(J323="","产品规模标识；","")&amp;IF(AND(F323&lt;3,O323=""),"R_incep；","")&amp;IF(N323="","近三年收益；","")&amp;IF(U323="","近三年胜率；","")&amp;IF(AND(V323&lt;&gt;"",OR(V323&lt;0,V323&gt;1)),"胜率窗口口径不一致；","")&amp;IF(AA323="","近三年回撤；","")&amp;IF(AD323="","短期卡玛；","")&amp;IF(AND(P323&lt;&gt;"",AE323=""),"DD_long不可识别；","")</f>
        <v/>
      </c>
      <c r="AV323" s="51" t="n"/>
      <c r="AW323" s="22" t="inlineStr">
        <is>
          <t>0-5亿元</t>
        </is>
      </c>
      <c r="AX323" s="22" t="inlineStr">
        <is>
          <t>2026-06-25</t>
        </is>
      </c>
      <c r="AY323" s="22" t="inlineStr">
        <is>
          <t>珠海聚亿基金管理有限公司 珠海聚亿基金管理有限公司</t>
        </is>
      </c>
      <c r="AZ323" s="22" t="inlineStr">
        <is>
          <t>2026-06-25</t>
        </is>
      </c>
      <c r="BA323" s="22" t="inlineStr">
        <is>
          <t>https://gs.amac.org.cn/amac-infodisc/res/pof/manager/1706231108101144.html</t>
        </is>
      </c>
      <c r="BB323" s="22" t="n"/>
      <c r="BC323" s="22" t="n"/>
      <c r="BD323" s="22" t="inlineStr">
        <is>
          <t>产品未匹配，管理人已按名称补录</t>
        </is>
      </c>
      <c r="BF323" t="inlineStr">
        <is>
          <t>未核验</t>
        </is>
      </c>
    </row>
    <row r="324" hidden="1" ht="28" customHeight="1" s="73">
      <c r="A324" s="2" t="n">
        <v>336</v>
      </c>
      <c r="B324" s="18" t="inlineStr">
        <is>
          <t>守正卓越一号A类</t>
        </is>
      </c>
      <c r="C324" s="18">
        <f>'sheet4-原始数据'!B337</f>
        <v/>
      </c>
      <c r="D324" s="18" t="inlineStr">
        <is>
          <t>山东守正</t>
        </is>
      </c>
      <c r="E324" s="90" t="inlineStr">
        <is>
          <t>2022-07-27</t>
        </is>
      </c>
      <c r="F324" s="20" t="n">
        <v>4.1369</v>
      </c>
      <c r="G324" s="2">
        <f>IF(F324="","",IF(F324&lt;1,"不入池","入池"))</f>
        <v/>
      </c>
      <c r="H324" s="42" t="inlineStr">
        <is>
          <t>0-5亿元</t>
        </is>
      </c>
      <c r="I324" s="20" t="n">
        <v>60</v>
      </c>
      <c r="J324" s="43" t="inlineStr">
        <is>
          <t>无低于1000万元标识</t>
        </is>
      </c>
      <c r="K324" s="20" t="n"/>
      <c r="L324" s="20" t="n">
        <v>100</v>
      </c>
      <c r="M324" s="44" t="n">
        <v>0.0386</v>
      </c>
      <c r="N324" s="44" t="n">
        <v>0.1011</v>
      </c>
      <c r="O324" s="45" t="n"/>
      <c r="P324" s="46" t="n">
        <v>0.133746566494187</v>
      </c>
      <c r="Q324" s="20" t="n">
        <v>35.94</v>
      </c>
      <c r="R324" s="20" t="n">
        <v>85.5</v>
      </c>
      <c r="S324" s="20" t="n">
        <v>55.76</v>
      </c>
      <c r="T324" s="44" t="n">
        <v>1</v>
      </c>
      <c r="U324" s="44" t="n">
        <v>0.7568</v>
      </c>
      <c r="V324" s="46" t="n">
        <v>0.6250666666666667</v>
      </c>
      <c r="W324" s="20" t="n">
        <v>100</v>
      </c>
      <c r="X324" s="20" t="n">
        <v>62.50666666666667</v>
      </c>
      <c r="Y324" s="20" t="n">
        <v>85</v>
      </c>
      <c r="Z324" s="46" t="n">
        <v>0.0006766670815489014</v>
      </c>
      <c r="AA324" s="44" t="n">
        <v>0.1183</v>
      </c>
      <c r="AB324" s="46" t="n">
        <v>0.1183</v>
      </c>
      <c r="AC324" s="20" t="n">
        <v>21.25</v>
      </c>
      <c r="AD324" s="91" t="n">
        <v>57.0443</v>
      </c>
      <c r="AE324" s="46" t="n">
        <v>0.1183</v>
      </c>
      <c r="AF324" s="20" t="n">
        <v>1.130571145343931</v>
      </c>
      <c r="AG324" s="20" t="n">
        <v>98.59999999999999</v>
      </c>
      <c r="AH324" s="20" t="n">
        <v>47.06</v>
      </c>
      <c r="AI324" s="20" t="n">
        <v>77.98</v>
      </c>
      <c r="AJ324" s="46" t="n">
        <v>0.1011</v>
      </c>
      <c r="AK324" s="20" t="n">
        <v>80</v>
      </c>
      <c r="AL324" s="20" t="n">
        <v>77.14</v>
      </c>
      <c r="AM324" s="20" t="n">
        <v>64.54000000000001</v>
      </c>
      <c r="AN324" s="20" t="n">
        <v>21.25</v>
      </c>
      <c r="AO324" s="20" t="n">
        <v>77.98</v>
      </c>
      <c r="AP324" s="20" t="n">
        <v>80</v>
      </c>
      <c r="AQ324" s="92" t="n">
        <v>0.955</v>
      </c>
      <c r="AR324" s="20" t="n">
        <v>57.71482</v>
      </c>
      <c r="AS324" s="20" t="n">
        <v>60.43</v>
      </c>
      <c r="AT324" s="49" t="n">
        <v>166</v>
      </c>
      <c r="AU324" s="50">
        <f>IF(I324="","管理人规模；","")&amp;IF(J324="","产品规模标识；","")&amp;IF(AND(F324&lt;3,O324=""),"R_incep；","")&amp;IF(N324="","近三年收益；","")&amp;IF(U324="","近三年胜率；","")&amp;IF(AND(V324&lt;&gt;"",OR(V324&lt;0,V324&gt;1)),"胜率窗口口径不一致；","")&amp;IF(AA324="","近三年回撤；","")&amp;IF(AD324="","短期卡玛；","")&amp;IF(AND(P324&lt;&gt;"",AE324=""),"DD_long不可识别；","")</f>
        <v/>
      </c>
      <c r="AV324" s="51" t="n"/>
      <c r="AW324" s="22" t="inlineStr">
        <is>
          <t>0-5亿元</t>
        </is>
      </c>
      <c r="AX324" s="22" t="inlineStr">
        <is>
          <t>2023-07-31</t>
        </is>
      </c>
      <c r="AY324" s="22" t="inlineStr">
        <is>
          <t>山东守正私募基金管理有限公司 山东守正私募基金管理有限公司</t>
        </is>
      </c>
      <c r="AZ324" s="22" t="inlineStr">
        <is>
          <t>2023-07-31</t>
        </is>
      </c>
      <c r="BA324" s="22" t="inlineStr">
        <is>
          <t>https://gs.amac.org.cn/amac-infodisc/res/pof/manager/2111241907106834.html</t>
        </is>
      </c>
      <c r="BB324" s="22" t="n"/>
      <c r="BC324" s="22" t="n"/>
      <c r="BD324" s="22" t="inlineStr">
        <is>
          <t>产品未匹配，管理人已按名称补录</t>
        </is>
      </c>
      <c r="BF324" t="inlineStr">
        <is>
          <t>未核验</t>
        </is>
      </c>
    </row>
    <row r="325" hidden="1" ht="28" customHeight="1" s="73">
      <c r="A325" s="2" t="n">
        <v>337</v>
      </c>
      <c r="B325" s="18" t="inlineStr">
        <is>
          <t>雁丰卓衍1号A类</t>
        </is>
      </c>
      <c r="C325" s="18">
        <f>'sheet4-原始数据'!B338</f>
        <v/>
      </c>
      <c r="D325" s="18" t="inlineStr">
        <is>
          <t>上海雁丰投资</t>
        </is>
      </c>
      <c r="E325" s="90" t="inlineStr">
        <is>
          <t>2023-01-04</t>
        </is>
      </c>
      <c r="F325" s="20" t="n">
        <v>3.6961</v>
      </c>
      <c r="G325" s="2">
        <f>IF(F325="","",IF(F325&lt;1,"不入池","入池"))</f>
        <v/>
      </c>
      <c r="H325" s="42" t="inlineStr">
        <is>
          <t>0-5亿元</t>
        </is>
      </c>
      <c r="I325" s="20" t="n">
        <v>60</v>
      </c>
      <c r="J325" s="43" t="inlineStr">
        <is>
          <t>无低于1000万元标识</t>
        </is>
      </c>
      <c r="K325" s="20" t="n"/>
      <c r="L325" s="20" t="n">
        <v>100</v>
      </c>
      <c r="M325" s="44" t="n">
        <v>0.1811</v>
      </c>
      <c r="N325" s="44" t="n"/>
      <c r="O325" s="45" t="n"/>
      <c r="P325" s="46" t="n"/>
      <c r="Q325" s="20" t="n">
        <v>89.93000000000001</v>
      </c>
      <c r="R325" s="20" t="n"/>
      <c r="S325" s="20" t="n">
        <v>89.93000000000001</v>
      </c>
      <c r="T325" s="44" t="n">
        <v>0.7692</v>
      </c>
      <c r="U325" s="44" t="n"/>
      <c r="V325" s="46" t="n"/>
      <c r="W325" s="20" t="n">
        <v>76.92</v>
      </c>
      <c r="X325" s="20" t="n"/>
      <c r="Y325" s="20" t="n">
        <v>76.92</v>
      </c>
      <c r="Z325" s="46" t="n">
        <v>0.02411001943712224</v>
      </c>
      <c r="AA325" s="44" t="n"/>
      <c r="AB325" s="46" t="n">
        <v>0.02411001943712224</v>
      </c>
      <c r="AC325" s="20" t="n">
        <v>69.34</v>
      </c>
      <c r="AD325" s="91" t="n">
        <v>7.5114</v>
      </c>
      <c r="AE325" s="46" t="n"/>
      <c r="AF325" s="20" t="n"/>
      <c r="AG325" s="20" t="n">
        <v>74.48</v>
      </c>
      <c r="AH325" s="20" t="n"/>
      <c r="AI325" s="20" t="n">
        <v>74.48</v>
      </c>
      <c r="AJ325" s="46" t="n"/>
      <c r="AK325" s="20" t="n"/>
      <c r="AL325" s="20" t="n">
        <v>77.14</v>
      </c>
      <c r="AM325" s="20" t="n">
        <v>86.03</v>
      </c>
      <c r="AN325" s="20" t="n">
        <v>69.34</v>
      </c>
      <c r="AO325" s="20" t="n">
        <v>74.48</v>
      </c>
      <c r="AP325" s="20" t="n"/>
      <c r="AQ325" s="92" t="n">
        <v>0.655</v>
      </c>
      <c r="AR325" s="20" t="n">
        <v>49.16464</v>
      </c>
      <c r="AS325" s="20" t="n">
        <v>75.06</v>
      </c>
      <c r="AT325" s="49" t="n">
        <v>89</v>
      </c>
      <c r="AU325" s="50">
        <f>IF(I325="","管理人规模；","")&amp;IF(J325="","产品规模标识；","")&amp;IF(AND(F325&lt;3,O325=""),"R_incep；","")&amp;IF(N325="","近三年收益；","")&amp;IF(U325="","近三年胜率；","")&amp;IF(AND(V325&lt;&gt;"",OR(V325&lt;0,V325&gt;1)),"胜率窗口口径不一致；","")&amp;IF(AA325="","近三年回撤；","")&amp;IF(AD325="","短期卡玛；","")&amp;IF(AND(P325&lt;&gt;"",AE325=""),"DD_long不可识别；","")</f>
        <v/>
      </c>
      <c r="AV325" s="51" t="n"/>
      <c r="AW325" s="22" t="inlineStr">
        <is>
          <t>0-5亿元</t>
        </is>
      </c>
      <c r="AX325" s="22" t="inlineStr">
        <is>
          <t>2026-01-14</t>
        </is>
      </c>
      <c r="AY325" s="22" t="inlineStr">
        <is>
          <t>上海雁丰投资管理有限公司 上海雁丰投资管理有限公司</t>
        </is>
      </c>
      <c r="AZ325" s="22" t="inlineStr">
        <is>
          <t>2026-01-14</t>
        </is>
      </c>
      <c r="BA325" s="22" t="inlineStr">
        <is>
          <t>https://gs.amac.org.cn/amac-infodisc/res/pof/manager/101000007795.html</t>
        </is>
      </c>
      <c r="BB325" s="22" t="n"/>
      <c r="BC325" s="22" t="n"/>
      <c r="BD325" s="22" t="inlineStr">
        <is>
          <t>产品未匹配，管理人已按名称补录</t>
        </is>
      </c>
      <c r="BF325" t="inlineStr">
        <is>
          <t>未核验</t>
        </is>
      </c>
    </row>
    <row r="326" hidden="1" ht="28" customHeight="1" s="73">
      <c r="A326" s="2" t="n">
        <v>338</v>
      </c>
      <c r="B326" s="18" t="inlineStr">
        <is>
          <t>探针稳健一号A类</t>
        </is>
      </c>
      <c r="C326" s="18">
        <f>'sheet4-原始数据'!B339</f>
        <v/>
      </c>
      <c r="D326" s="18" t="inlineStr">
        <is>
          <t>上海探针投资</t>
        </is>
      </c>
      <c r="E326" s="90" t="inlineStr">
        <is>
          <t>2019-09-03</t>
        </is>
      </c>
      <c r="F326" s="20" t="n">
        <v>7.0335</v>
      </c>
      <c r="G326" s="2">
        <f>IF(F326="","",IF(F326&lt;1,"不入池","入池"))</f>
        <v/>
      </c>
      <c r="H326" s="42" t="inlineStr">
        <is>
          <t>10-20亿元</t>
        </is>
      </c>
      <c r="I326" s="20" t="n">
        <v>80</v>
      </c>
      <c r="J326" s="43" t="inlineStr">
        <is>
          <t>无低于1000万元标识</t>
        </is>
      </c>
      <c r="K326" s="20" t="n"/>
      <c r="L326" s="20" t="n">
        <v>100</v>
      </c>
      <c r="M326" s="44" t="n">
        <v>0.1323</v>
      </c>
      <c r="N326" s="44" t="n"/>
      <c r="O326" s="45" t="n"/>
      <c r="P326" s="46" t="n"/>
      <c r="Q326" s="20" t="n">
        <v>84.03</v>
      </c>
      <c r="R326" s="20" t="n"/>
      <c r="S326" s="20" t="n">
        <v>84.03</v>
      </c>
      <c r="T326" s="44" t="n">
        <v>0.6153999999999999</v>
      </c>
      <c r="U326" s="44" t="n"/>
      <c r="V326" s="46" t="n"/>
      <c r="W326" s="20" t="n">
        <v>61.53999999999999</v>
      </c>
      <c r="X326" s="20" t="n"/>
      <c r="Y326" s="20" t="n">
        <v>61.53999999999999</v>
      </c>
      <c r="Z326" s="46" t="n">
        <v>0.2435118718939812</v>
      </c>
      <c r="AA326" s="44" t="n"/>
      <c r="AB326" s="46" t="n">
        <v>0.2435118718939812</v>
      </c>
      <c r="AC326" s="20" t="n">
        <v>6.97</v>
      </c>
      <c r="AD326" s="91" t="n">
        <v>0.5433</v>
      </c>
      <c r="AE326" s="46" t="n"/>
      <c r="AF326" s="20" t="n"/>
      <c r="AG326" s="20" t="n">
        <v>26.22</v>
      </c>
      <c r="AH326" s="20" t="n"/>
      <c r="AI326" s="20" t="n">
        <v>26.22</v>
      </c>
      <c r="AJ326" s="46" t="n"/>
      <c r="AK326" s="20" t="n"/>
      <c r="AL326" s="20" t="n">
        <v>88.56999999999999</v>
      </c>
      <c r="AM326" s="20" t="n">
        <v>77.28</v>
      </c>
      <c r="AN326" s="20" t="n">
        <v>6.97</v>
      </c>
      <c r="AO326" s="20" t="n">
        <v>26.22</v>
      </c>
      <c r="AP326" s="20" t="n"/>
      <c r="AQ326" s="92" t="n">
        <v>0.655</v>
      </c>
      <c r="AR326" s="20" t="n">
        <v>25.03606</v>
      </c>
      <c r="AS326" s="20" t="n">
        <v>38.22</v>
      </c>
      <c r="AT326" s="49" t="n">
        <v>277</v>
      </c>
      <c r="AU326" s="50">
        <f>IF(I326="","管理人规模；","")&amp;IF(J326="","产品规模标识；","")&amp;IF(AND(F326&lt;3,O326=""),"R_incep；","")&amp;IF(N326="","近三年收益；","")&amp;IF(U326="","近三年胜率；","")&amp;IF(AND(V326&lt;&gt;"",OR(V326&lt;0,V326&gt;1)),"胜率窗口口径不一致；","")&amp;IF(AA326="","近三年回撤；","")&amp;IF(AD326="","短期卡玛；","")&amp;IF(AND(P326&lt;&gt;"",AE326=""),"DD_long不可识别；","")</f>
        <v/>
      </c>
      <c r="AV326" s="51" t="n"/>
      <c r="AW326" s="22" t="inlineStr">
        <is>
          <t>10-20亿元</t>
        </is>
      </c>
      <c r="AX326" s="22" t="inlineStr">
        <is>
          <t>2026-04-23</t>
        </is>
      </c>
      <c r="AY326" s="22" t="inlineStr">
        <is>
          <t>上海探针投资有限公司 上海探针投资有限公司</t>
        </is>
      </c>
      <c r="AZ326" s="22" t="inlineStr">
        <is>
          <t>2026-04-23</t>
        </is>
      </c>
      <c r="BA326" s="22" t="inlineStr">
        <is>
          <t>https://gs.amac.org.cn/amac-infodisc/res/pof/manager/1611180856100664.html</t>
        </is>
      </c>
      <c r="BB326" s="22" t="n"/>
      <c r="BC326" s="22" t="n"/>
      <c r="BD326" s="22" t="inlineStr">
        <is>
          <t>产品未匹配，管理人已按名称补录</t>
        </is>
      </c>
      <c r="BF326" t="inlineStr">
        <is>
          <t>未核验</t>
        </is>
      </c>
    </row>
    <row r="327" hidden="1" ht="28" customHeight="1" s="73">
      <c r="A327" s="2" t="n">
        <v>339</v>
      </c>
      <c r="B327" s="18" t="inlineStr">
        <is>
          <t>骏远高价值成长6号A类</t>
        </is>
      </c>
      <c r="C327" s="18">
        <f>'sheet4-原始数据'!B340</f>
        <v/>
      </c>
      <c r="D327" s="18" t="inlineStr">
        <is>
          <t>北京骏远资管</t>
        </is>
      </c>
      <c r="E327" s="90" t="inlineStr">
        <is>
          <t>2025-07-25</t>
        </is>
      </c>
      <c r="F327" s="20" t="n">
        <v>1.1417</v>
      </c>
      <c r="G327" s="2">
        <f>IF(F327="","",IF(F327&lt;1,"不入池","入池"))</f>
        <v/>
      </c>
      <c r="H327" s="42" t="inlineStr">
        <is>
          <t>5-10亿元</t>
        </is>
      </c>
      <c r="I327" s="20" t="n">
        <v>70</v>
      </c>
      <c r="J327" s="43" t="inlineStr">
        <is>
          <t>无低于1000万元标识</t>
        </is>
      </c>
      <c r="K327" s="20" t="n"/>
      <c r="L327" s="20" t="n">
        <v>70</v>
      </c>
      <c r="M327" s="44" t="n">
        <v>0.2012</v>
      </c>
      <c r="N327" s="44" t="n"/>
      <c r="O327" s="45" t="n"/>
      <c r="P327" s="46" t="n"/>
      <c r="Q327" s="20" t="n">
        <v>91.15000000000001</v>
      </c>
      <c r="R327" s="20" t="n"/>
      <c r="S327" s="20" t="n">
        <v>91.15000000000001</v>
      </c>
      <c r="T327" s="44" t="n">
        <v>0.6153999999999999</v>
      </c>
      <c r="U327" s="44" t="n"/>
      <c r="V327" s="46" t="n"/>
      <c r="W327" s="20" t="n">
        <v>61.53999999999999</v>
      </c>
      <c r="X327" s="20" t="n">
        <v>100</v>
      </c>
      <c r="Y327" s="20" t="n">
        <v>76.92</v>
      </c>
      <c r="Z327" s="46" t="n">
        <v>0.2424972881764493</v>
      </c>
      <c r="AA327" s="44" t="n"/>
      <c r="AB327" s="46" t="n">
        <v>0.2424972881764493</v>
      </c>
      <c r="AC327" s="20" t="n">
        <v>7.49</v>
      </c>
      <c r="AD327" s="91" t="n">
        <v>0.8297</v>
      </c>
      <c r="AE327" s="46" t="n"/>
      <c r="AF327" s="20" t="n"/>
      <c r="AG327" s="20" t="n">
        <v>31.64</v>
      </c>
      <c r="AH327" s="20" t="n"/>
      <c r="AI327" s="20" t="n">
        <v>31.64</v>
      </c>
      <c r="AJ327" s="46" t="n"/>
      <c r="AK327" s="20" t="n"/>
      <c r="AL327" s="20" t="n">
        <v>70</v>
      </c>
      <c r="AM327" s="20" t="n">
        <v>85.22</v>
      </c>
      <c r="AN327" s="20" t="n">
        <v>7.49</v>
      </c>
      <c r="AO327" s="20" t="n">
        <v>31.64</v>
      </c>
      <c r="AP327" s="20" t="n"/>
      <c r="AQ327" s="92" t="n">
        <v>0.679</v>
      </c>
      <c r="AR327" s="20" t="n">
        <v>27.18974</v>
      </c>
      <c r="AS327" s="20" t="n">
        <v>40.04</v>
      </c>
      <c r="AT327" s="49" t="n">
        <v>267</v>
      </c>
      <c r="AU327" s="50">
        <f>IF(I327="","管理人规模；","")&amp;IF(J327="","产品规模标识；","")&amp;IF(AND(F327&lt;3,O327=""),"R_incep；","")&amp;IF(N327="","近三年收益；","")&amp;IF(U327="","近三年胜率；","")&amp;IF(AND(V327&lt;&gt;"",OR(V327&lt;0,V327&gt;1)),"胜率窗口口径不一致；","")&amp;IF(AA327="","近三年回撤；","")&amp;IF(AD327="","短期卡玛；","")&amp;IF(AND(P327&lt;&gt;"",AE327=""),"DD_long不可识别；","")</f>
        <v/>
      </c>
      <c r="AV327" s="51" t="n"/>
      <c r="AW327" s="22" t="inlineStr">
        <is>
          <t>5-10亿元</t>
        </is>
      </c>
      <c r="AX327" s="22" t="inlineStr">
        <is>
          <t>2025-06-26</t>
        </is>
      </c>
      <c r="AY327" s="22" t="inlineStr">
        <is>
          <t>北京骏远资产管理有限公司 北京骏远资产管理有限公司</t>
        </is>
      </c>
      <c r="AZ327" s="22" t="inlineStr">
        <is>
          <t>2025-06-26</t>
        </is>
      </c>
      <c r="BA327" s="22" t="inlineStr">
        <is>
          <t>https://gs.amac.org.cn/amac-infodisc/res/pof/manager/101000036043.html</t>
        </is>
      </c>
      <c r="BB327" s="22" t="n"/>
      <c r="BC327" s="22" t="n"/>
      <c r="BD327" s="22" t="inlineStr">
        <is>
          <t>产品未匹配，管理人已按名称补录</t>
        </is>
      </c>
      <c r="BF327" t="inlineStr">
        <is>
          <t>未核验</t>
        </is>
      </c>
    </row>
    <row r="328" hidden="1" ht="28" customHeight="1" s="73">
      <c r="A328" s="2" t="n">
        <v>340</v>
      </c>
      <c r="B328" s="18" t="inlineStr">
        <is>
          <t>中益仁梅香千寒A类</t>
        </is>
      </c>
      <c r="C328" s="18">
        <f>'sheet4-原始数据'!B341</f>
        <v/>
      </c>
      <c r="D328" s="18" t="inlineStr">
        <is>
          <t>日照中益仁</t>
        </is>
      </c>
      <c r="E328" s="90" t="inlineStr">
        <is>
          <t>2025-06-18</t>
        </is>
      </c>
      <c r="F328" s="20" t="n">
        <v>1.243</v>
      </c>
      <c r="G328" s="2">
        <f>IF(F328="","",IF(F328&lt;1,"不入池","入池"))</f>
        <v/>
      </c>
      <c r="H328" s="42" t="inlineStr">
        <is>
          <t>10-20亿元</t>
        </is>
      </c>
      <c r="I328" s="20" t="n">
        <v>80</v>
      </c>
      <c r="J328" s="43" t="inlineStr">
        <is>
          <t>无低于1000万元标识</t>
        </is>
      </c>
      <c r="K328" s="20" t="n"/>
      <c r="L328" s="20" t="n">
        <v>70</v>
      </c>
      <c r="M328" s="44" t="n"/>
      <c r="N328" s="44" t="n"/>
      <c r="O328" s="45" t="n"/>
      <c r="P328" s="46" t="n"/>
      <c r="Q328" s="20" t="n"/>
      <c r="R328" s="20" t="n"/>
      <c r="S328" s="20" t="n"/>
      <c r="T328" s="44" t="n"/>
      <c r="U328" s="44" t="n"/>
      <c r="V328" s="46" t="n"/>
      <c r="W328" s="20" t="n"/>
      <c r="X328" s="20" t="n">
        <v>100</v>
      </c>
      <c r="Y328" s="20" t="n"/>
      <c r="Z328" s="46" t="n"/>
      <c r="AA328" s="44" t="n"/>
      <c r="AB328" s="46" t="n"/>
      <c r="AC328" s="20" t="n"/>
      <c r="AD328" s="91" t="n"/>
      <c r="AE328" s="46" t="n"/>
      <c r="AF328" s="20" t="n"/>
      <c r="AG328" s="20" t="n"/>
      <c r="AH328" s="20" t="n"/>
      <c r="AI328" s="20" t="n"/>
      <c r="AJ328" s="46" t="n"/>
      <c r="AK328" s="20" t="n"/>
      <c r="AL328" s="20" t="n">
        <v>75.70999999999999</v>
      </c>
      <c r="AM328" s="20" t="n">
        <v>100</v>
      </c>
      <c r="AN328" s="20" t="n"/>
      <c r="AO328" s="20" t="n"/>
      <c r="AP328" s="20" t="n"/>
      <c r="AQ328" s="92" t="n">
        <v>0.129</v>
      </c>
      <c r="AR328" s="20" t="n">
        <v>10.35</v>
      </c>
      <c r="AS328" s="20" t="n">
        <v>80.23</v>
      </c>
      <c r="AT328" s="49" t="n">
        <v>61</v>
      </c>
      <c r="AU328" s="50">
        <f>IF(I328="","管理人规模；","")&amp;IF(J328="","产品规模标识；","")&amp;IF(AND(F328&lt;3,O328=""),"R_incep；","")&amp;IF(N328="","近三年收益；","")&amp;IF(U328="","近三年胜率；","")&amp;IF(AND(V328&lt;&gt;"",OR(V328&lt;0,V328&gt;1)),"胜率窗口口径不一致；","")&amp;IF(AA328="","近三年回撤；","")&amp;IF(AD328="","短期卡玛；","")&amp;IF(AND(P328&lt;&gt;"",AE328=""),"DD_long不可识别；","")</f>
        <v/>
      </c>
      <c r="AV328" s="51" t="n"/>
      <c r="AW328" s="22" t="inlineStr">
        <is>
          <t>10-20亿元</t>
        </is>
      </c>
      <c r="AX328" s="22" t="inlineStr">
        <is>
          <t>2026-01-08</t>
        </is>
      </c>
      <c r="AY328" s="22" t="inlineStr">
        <is>
          <t>日照中益仁私募基金管理有限公司 日照中益仁私募基金管理有限公司</t>
        </is>
      </c>
      <c r="AZ328" s="22" t="inlineStr">
        <is>
          <t>2026-01-08</t>
        </is>
      </c>
      <c r="BA328" s="22" t="inlineStr">
        <is>
          <t>https://gs.amac.org.cn/amac-infodisc/res/pof/manager/1708291806108811.html</t>
        </is>
      </c>
      <c r="BB328" s="22" t="n"/>
      <c r="BC328" s="22" t="n"/>
      <c r="BD328" s="22" t="inlineStr">
        <is>
          <t>产品未匹配，管理人已按名称补录</t>
        </is>
      </c>
      <c r="BF328" t="inlineStr">
        <is>
          <t>未核验</t>
        </is>
      </c>
    </row>
    <row r="329" hidden="1" ht="28" customHeight="1" s="73">
      <c r="A329" s="2" t="n">
        <v>341</v>
      </c>
      <c r="B329" s="18" t="inlineStr">
        <is>
          <t>和熙新月1号A类</t>
        </is>
      </c>
      <c r="C329" s="18">
        <f>'sheet4-原始数据'!B342</f>
        <v/>
      </c>
      <c r="D329" s="18" t="inlineStr">
        <is>
          <t>浙江和熙资管</t>
        </is>
      </c>
      <c r="E329" s="90" t="inlineStr">
        <is>
          <t>2019-11-14</t>
        </is>
      </c>
      <c r="F329" s="20" t="n">
        <v>6.8364</v>
      </c>
      <c r="G329" s="2">
        <f>IF(F329="","",IF(F329&lt;1,"不入池","入池"))</f>
        <v/>
      </c>
      <c r="H329" s="42" t="inlineStr">
        <is>
          <t>5-10亿元</t>
        </is>
      </c>
      <c r="I329" s="20" t="n">
        <v>70</v>
      </c>
      <c r="J329" s="43" t="inlineStr">
        <is>
          <t>无低于1000万元标识</t>
        </is>
      </c>
      <c r="K329" s="20" t="n"/>
      <c r="L329" s="20" t="n">
        <v>100</v>
      </c>
      <c r="M329" s="44" t="n">
        <v>-0.0027</v>
      </c>
      <c r="N329" s="44" t="n">
        <v>0.0208</v>
      </c>
      <c r="O329" s="45" t="n"/>
      <c r="P329" s="46" t="n">
        <v>0.0327568460243326</v>
      </c>
      <c r="Q329" s="20" t="n">
        <v>15.97</v>
      </c>
      <c r="R329" s="20" t="n">
        <v>19</v>
      </c>
      <c r="S329" s="20" t="n">
        <v>17.18</v>
      </c>
      <c r="T329" s="44" t="n">
        <v>0.4615</v>
      </c>
      <c r="U329" s="44" t="n">
        <v>0.5135000000000001</v>
      </c>
      <c r="V329" s="46" t="n">
        <v>0.5416666666666667</v>
      </c>
      <c r="W329" s="20" t="n">
        <v>46.15</v>
      </c>
      <c r="X329" s="20" t="n">
        <v>54.16666666666667</v>
      </c>
      <c r="Y329" s="20" t="n">
        <v>49.36</v>
      </c>
      <c r="Z329" s="46" t="n">
        <v>0.08490566037735849</v>
      </c>
      <c r="AA329" s="44" t="n">
        <v>0.08449999999999999</v>
      </c>
      <c r="AB329" s="46" t="n">
        <v>0.08490566037735849</v>
      </c>
      <c r="AC329" s="20" t="n">
        <v>31.01</v>
      </c>
      <c r="AD329" s="91" t="n">
        <v>-0.0318</v>
      </c>
      <c r="AE329" s="46" t="n"/>
      <c r="AF329" s="20" t="n"/>
      <c r="AG329" s="20" t="n">
        <v>16.78</v>
      </c>
      <c r="AH329" s="20" t="n"/>
      <c r="AI329" s="20" t="n">
        <v>16.78</v>
      </c>
      <c r="AJ329" s="46" t="n">
        <v>0.0208</v>
      </c>
      <c r="AK329" s="20" t="n">
        <v>80</v>
      </c>
      <c r="AL329" s="20" t="n">
        <v>82.86</v>
      </c>
      <c r="AM329" s="20" t="n">
        <v>26.83</v>
      </c>
      <c r="AN329" s="20" t="n">
        <v>31.01</v>
      </c>
      <c r="AO329" s="20" t="n">
        <v>16.78</v>
      </c>
      <c r="AP329" s="20" t="n">
        <v>80</v>
      </c>
      <c r="AQ329" s="92" t="n">
        <v>0.835</v>
      </c>
      <c r="AR329" s="20" t="n">
        <v>32.83978</v>
      </c>
      <c r="AS329" s="20" t="n">
        <v>39.33</v>
      </c>
      <c r="AT329" s="49" t="n">
        <v>271</v>
      </c>
      <c r="AU329" s="50">
        <f>IF(I329="","管理人规模；","")&amp;IF(J329="","产品规模标识；","")&amp;IF(AND(F329&lt;3,O329=""),"R_incep；","")&amp;IF(N329="","近三年收益；","")&amp;IF(U329="","近三年胜率；","")&amp;IF(AND(V329&lt;&gt;"",OR(V329&lt;0,V329&gt;1)),"胜率窗口口径不一致；","")&amp;IF(AA329="","近三年回撤；","")&amp;IF(AD329="","短期卡玛；","")&amp;IF(AND(P329&lt;&gt;"",AE329=""),"DD_long不可识别；","")</f>
        <v/>
      </c>
      <c r="AV329" s="51" t="n"/>
      <c r="AW329" s="22" t="inlineStr">
        <is>
          <t>5-10亿元</t>
        </is>
      </c>
      <c r="AX329" s="22" t="inlineStr">
        <is>
          <t>2026-02-10</t>
        </is>
      </c>
      <c r="AY329" s="22" t="inlineStr">
        <is>
          <t>浙江和熙资产管理有限公司 浙江和熙资产管理有限公司</t>
        </is>
      </c>
      <c r="AZ329" s="22" t="inlineStr">
        <is>
          <t>2026-02-10</t>
        </is>
      </c>
      <c r="BA329" s="22" t="inlineStr">
        <is>
          <t>https://gs.amac.org.cn/amac-infodisc/res/pof/manager/101000072213.html</t>
        </is>
      </c>
      <c r="BB329" s="22" t="n"/>
      <c r="BC329" s="22" t="n"/>
      <c r="BD329" s="22" t="inlineStr">
        <is>
          <t>产品未匹配，管理人已按名称补录</t>
        </is>
      </c>
      <c r="BF329" t="inlineStr">
        <is>
          <t>未核验</t>
        </is>
      </c>
    </row>
    <row r="330" hidden="1" ht="28" customHeight="1" s="73">
      <c r="A330" s="2" t="n">
        <v>342</v>
      </c>
      <c r="B330" s="18" t="inlineStr">
        <is>
          <t>量宇进取1号C类</t>
        </is>
      </c>
      <c r="C330" s="18">
        <f>'sheet4-原始数据'!B343</f>
        <v/>
      </c>
      <c r="D330" s="18" t="inlineStr">
        <is>
          <t>上海量宇</t>
        </is>
      </c>
      <c r="E330" s="90" t="inlineStr">
        <is>
          <t>2023-12-13</t>
        </is>
      </c>
      <c r="F330" s="20" t="n">
        <v>2.757</v>
      </c>
      <c r="G330" s="2">
        <f>IF(F330="","",IF(F330&lt;1,"不入池","入池"))</f>
        <v/>
      </c>
      <c r="H330" s="42" t="inlineStr">
        <is>
          <t>20-50亿元</t>
        </is>
      </c>
      <c r="I330" s="20" t="n">
        <v>90</v>
      </c>
      <c r="J330" s="43" t="inlineStr">
        <is>
          <t>无低于1000万元标识</t>
        </is>
      </c>
      <c r="K330" s="20" t="n"/>
      <c r="L330" s="20" t="n">
        <v>70</v>
      </c>
      <c r="M330" s="44" t="n">
        <v>-0.0473</v>
      </c>
      <c r="N330" s="44" t="n"/>
      <c r="O330" s="45" t="n"/>
      <c r="P330" s="46" t="n"/>
      <c r="Q330" s="20" t="n">
        <v>7.64</v>
      </c>
      <c r="R330" s="20" t="n"/>
      <c r="S330" s="20" t="n">
        <v>7.64</v>
      </c>
      <c r="T330" s="44" t="n">
        <v>0.6364</v>
      </c>
      <c r="U330" s="44" t="n"/>
      <c r="V330" s="46" t="n"/>
      <c r="W330" s="20" t="n">
        <v>63.63999999999999</v>
      </c>
      <c r="X330" s="20" t="n"/>
      <c r="Y330" s="20" t="n">
        <v>63.63999999999999</v>
      </c>
      <c r="Z330" s="46" t="n">
        <v>0.2834032354703415</v>
      </c>
      <c r="AA330" s="44" t="n"/>
      <c r="AB330" s="46" t="n">
        <v>0.2834032354703415</v>
      </c>
      <c r="AC330" s="20" t="n">
        <v>4.88</v>
      </c>
      <c r="AD330" s="91" t="n">
        <v>-0.1669</v>
      </c>
      <c r="AE330" s="46" t="n"/>
      <c r="AF330" s="20" t="n"/>
      <c r="AG330" s="20" t="n">
        <v>12.59</v>
      </c>
      <c r="AH330" s="20" t="n"/>
      <c r="AI330" s="20" t="n">
        <v>12.59</v>
      </c>
      <c r="AJ330" s="46" t="n"/>
      <c r="AK330" s="20" t="n"/>
      <c r="AL330" s="20" t="n">
        <v>81.43000000000001</v>
      </c>
      <c r="AM330" s="20" t="n">
        <v>24.44</v>
      </c>
      <c r="AN330" s="20" t="n">
        <v>4.88</v>
      </c>
      <c r="AO330" s="20" t="n">
        <v>12.59</v>
      </c>
      <c r="AP330" s="20" t="n"/>
      <c r="AQ330" s="92" t="n">
        <v>0.655</v>
      </c>
      <c r="AR330" s="20" t="n">
        <v>14.969</v>
      </c>
      <c r="AS330" s="20" t="n">
        <v>22.85</v>
      </c>
      <c r="AT330" s="49" t="n">
        <v>311</v>
      </c>
      <c r="AU330" s="50">
        <f>IF(I330="","管理人规模；","")&amp;IF(J330="","产品规模标识；","")&amp;IF(AND(F330&lt;3,O330=""),"R_incep；","")&amp;IF(N330="","近三年收益；","")&amp;IF(U330="","近三年胜率；","")&amp;IF(AND(V330&lt;&gt;"",OR(V330&lt;0,V330&gt;1)),"胜率窗口口径不一致；","")&amp;IF(AA330="","近三年回撤；","")&amp;IF(AD330="","短期卡玛；","")&amp;IF(AND(P330&lt;&gt;"",AE330=""),"DD_long不可识别；","")</f>
        <v/>
      </c>
      <c r="AV330" s="51" t="n"/>
      <c r="AW330" s="22" t="inlineStr">
        <is>
          <t>20-50亿元</t>
        </is>
      </c>
      <c r="AX330" s="22" t="inlineStr">
        <is>
          <t>2025-10-28</t>
        </is>
      </c>
      <c r="AY330" s="22" t="inlineStr">
        <is>
          <t>上海量宇私募基金管理有限公司 上海量宇私募基金管理有限公司</t>
        </is>
      </c>
      <c r="AZ330" s="22" t="inlineStr">
        <is>
          <t>2025-10-28</t>
        </is>
      </c>
      <c r="BA330" s="22" t="inlineStr">
        <is>
          <t>https://gs.amac.org.cn/amac-infodisc/res/pof/manager/1706281152106855.html</t>
        </is>
      </c>
      <c r="BB330" s="22" t="n"/>
      <c r="BC330" s="22" t="n"/>
      <c r="BD330" s="22" t="inlineStr">
        <is>
          <t>产品未匹配，管理人已按名称补录</t>
        </is>
      </c>
      <c r="BF330" t="inlineStr">
        <is>
          <t>未核验</t>
        </is>
      </c>
    </row>
  </sheetData>
  <mergeCells count="9">
    <mergeCell ref="AV15:BD15"/>
    <mergeCell ref="AD15:AI15"/>
    <mergeCell ref="H15:L15"/>
    <mergeCell ref="AJ15:AK15"/>
    <mergeCell ref="M15:S15"/>
    <mergeCell ref="A15:G15"/>
    <mergeCell ref="T15:Y15"/>
    <mergeCell ref="Z15:AC15"/>
    <mergeCell ref="AL15:AU15"/>
  </mergeCells>
  <conditionalFormatting sqref="G17:G330">
    <cfRule type="containsText" priority="1" operator="between" dxfId="0" text="不入池">
      <formula>NOT(ISERROR(SEARCH("不入池",G17)))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9"/>
  <sheetViews>
    <sheetView showGridLines="0" tabSelected="1" workbookViewId="0">
      <pane xSplit="4" ySplit="5" topLeftCell="E6" activePane="bottomRight" state="frozen"/>
      <selection activeCell="A1" sqref="A1"/>
      <selection pane="topRight" activeCell="A1" sqref="A1"/>
      <selection pane="bottomLeft" activeCell="A1" sqref="A1"/>
      <selection pane="bottomRight" activeCell="D11" sqref="D11"/>
    </sheetView>
  </sheetViews>
  <sheetFormatPr baseColWidth="8" defaultColWidth="9" defaultRowHeight="14.25"/>
  <cols>
    <col width="8" customWidth="1" style="73" min="1" max="1"/>
    <col width="27" customWidth="1" style="73" min="2" max="2"/>
    <col width="13" customWidth="1" style="73" min="3" max="3"/>
    <col width="21" customWidth="1" style="73" min="4" max="4"/>
    <col width="11" customWidth="1" style="73" min="5" max="5"/>
    <col width="14" customWidth="1" style="73" min="6" max="13"/>
    <col width="16" customWidth="1" style="73" min="14" max="14"/>
    <col width="14" customWidth="1" style="73" min="15" max="16"/>
    <col width="17" customWidth="1" style="73" min="17" max="17"/>
    <col width="18" customWidth="1" style="73" min="18" max="18"/>
    <col width="12" customWidth="1" style="73" min="19" max="19"/>
    <col width="18" customWidth="1" style="73" min="20" max="20"/>
    <col width="14" customWidth="1" style="73" min="21" max="21"/>
    <col width="13" customWidth="1" style="73" min="22" max="22"/>
    <col width="50" customWidth="1" style="73" min="23" max="23"/>
    <col width="12" customWidth="1" style="73" min="24" max="24"/>
  </cols>
  <sheetData>
    <row r="1" ht="20.25" customHeight="1" s="73">
      <c r="A1" s="3" t="inlineStr">
        <is>
          <t>私募基金大类指标赋分与排名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>
      <c r="A2" s="4" t="inlineStr">
        <is>
          <t>本版评分范围为模板Sheet2的314只产品；数据截至2026-09-11；协会规模按公示区间分组，5亿元边界已注明。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4" ht="34" customHeight="1" s="73">
      <c r="A4" s="80" t="inlineStr">
        <is>
          <t>基本信息</t>
        </is>
      </c>
      <c r="B4" s="81" t="n"/>
      <c r="C4" s="81" t="n"/>
      <c r="D4" s="81" t="n"/>
      <c r="E4" s="82" t="n"/>
      <c r="F4" s="84" t="inlineStr">
        <is>
          <t>二级指标得分</t>
        </is>
      </c>
      <c r="G4" s="81" t="n"/>
      <c r="H4" s="81" t="n"/>
      <c r="I4" s="81" t="n"/>
      <c r="J4" s="81" t="n"/>
      <c r="K4" s="81" t="n"/>
      <c r="L4" s="81" t="n"/>
      <c r="M4" s="82" t="n"/>
      <c r="N4" s="87" t="inlineStr">
        <is>
          <t>大类指标得分</t>
        </is>
      </c>
      <c r="O4" s="81" t="n"/>
      <c r="P4" s="81" t="n"/>
      <c r="Q4" s="81" t="n"/>
      <c r="R4" s="82" t="n"/>
      <c r="S4" s="89" t="inlineStr">
        <is>
          <t>总分、完整度与追溯</t>
        </is>
      </c>
      <c r="T4" s="81" t="n"/>
      <c r="U4" s="81" t="n"/>
      <c r="V4" s="81" t="n"/>
      <c r="W4" s="81" t="n"/>
      <c r="X4" s="82" t="n"/>
    </row>
    <row r="5" ht="34" customHeight="1" s="73">
      <c r="A5" s="17" t="inlineStr">
        <is>
          <t>排名</t>
        </is>
      </c>
      <c r="B5" s="17" t="inlineStr">
        <is>
          <t>产品名称</t>
        </is>
      </c>
      <c r="C5" s="17" t="inlineStr">
        <is>
          <t>备案号</t>
        </is>
      </c>
      <c r="D5" s="17" t="inlineStr">
        <is>
          <t>管理人</t>
        </is>
      </c>
      <c r="E5" s="17" t="inlineStr">
        <is>
          <t>入池状态</t>
        </is>
      </c>
      <c r="F5" s="17" t="inlineStr">
        <is>
          <t>管理人规模分</t>
        </is>
      </c>
      <c r="G5" s="17" t="inlineStr">
        <is>
          <t>产品规模分</t>
        </is>
      </c>
      <c r="H5" s="17" t="inlineStr">
        <is>
          <t>成立年限分</t>
        </is>
      </c>
      <c r="I5" s="17" t="inlineStr">
        <is>
          <t>年化收益分（可用折算）</t>
        </is>
      </c>
      <c r="J5" s="17" t="inlineStr">
        <is>
          <t>月度胜率分（可用折算）</t>
        </is>
      </c>
      <c r="K5" s="17" t="inlineStr">
        <is>
          <t>最大回撤分</t>
        </is>
      </c>
      <c r="L5" s="17" t="inlineStr">
        <is>
          <t>卡玛比率分（可用折算）</t>
        </is>
      </c>
      <c r="M5" s="17" t="inlineStr">
        <is>
          <t>收益趋势分</t>
        </is>
      </c>
      <c r="N5" s="17" t="inlineStr">
        <is>
          <t>管理人及产品</t>
        </is>
      </c>
      <c r="O5" s="17" t="inlineStr">
        <is>
          <t>收益能力</t>
        </is>
      </c>
      <c r="P5" s="17" t="inlineStr">
        <is>
          <t>风险控制</t>
        </is>
      </c>
      <c r="Q5" s="17" t="inlineStr">
        <is>
          <t>风险调整收益</t>
        </is>
      </c>
      <c r="R5" s="17" t="inlineStr">
        <is>
          <t>业绩一致性/趋势</t>
        </is>
      </c>
      <c r="S5" s="17" t="inlineStr">
        <is>
          <t>有效权重</t>
        </is>
      </c>
      <c r="T5" s="17" t="inlineStr">
        <is>
          <t>加权总分（不补缺）</t>
        </is>
      </c>
      <c r="U5" s="17" t="inlineStr">
        <is>
          <t>可比总分</t>
        </is>
      </c>
      <c r="V5" s="17" t="inlineStr">
        <is>
          <t>严格总分</t>
        </is>
      </c>
      <c r="W5" s="17" t="inlineStr">
        <is>
          <t>数据缺口</t>
        </is>
      </c>
      <c r="X5" s="17" t="inlineStr">
        <is>
          <t>明细相对行</t>
        </is>
      </c>
    </row>
    <row r="6" ht="28" customHeight="1" s="73">
      <c r="A6" s="2" t="n">
        <v>1</v>
      </c>
      <c r="B6" s="18">
        <f>IF($X6="","",INDEX('sheet2-计算明细'!$B$17:$B$330,$X6))</f>
        <v/>
      </c>
      <c r="C6" s="18">
        <f>IF($X6="","",INDEX('sheet2-计算明细'!$C$17:$C$330,$X6))</f>
        <v/>
      </c>
      <c r="D6" s="18">
        <f>IF($X6="","",INDEX('sheet2-计算明细'!$D$17:$D$330,$X6))</f>
        <v/>
      </c>
      <c r="E6" s="18">
        <f>IF($X6="","",INDEX('sheet2-计算明细'!$G$17:$G$330,$X6))</f>
        <v/>
      </c>
      <c r="F6" s="19">
        <f>IF($X6="","",INDEX('sheet2-计算明细'!$I$17:$I$330,$X6))</f>
        <v/>
      </c>
      <c r="G6" s="19">
        <f>IF($X6="","",INDEX('sheet2-计算明细'!$K$17:$K$330,$X6))</f>
        <v/>
      </c>
      <c r="H6" s="19">
        <f>IF($X6="","",INDEX('sheet2-计算明细'!$L$17:$L$330,$X6))</f>
        <v/>
      </c>
      <c r="I6" s="19">
        <f>IF($X6="","",INDEX('sheet2-计算明细'!$S$17:$S$330,$X6))</f>
        <v/>
      </c>
      <c r="J6" s="19">
        <f>IF($X6="","",INDEX('sheet2-计算明细'!$Y$17:$Y$330,$X6))</f>
        <v/>
      </c>
      <c r="K6" s="19">
        <f>IF($X6="","",INDEX('sheet2-计算明细'!$AC$17:$AC$330,$X6))</f>
        <v/>
      </c>
      <c r="L6" s="19">
        <f>IF($X6="","",INDEX('sheet2-计算明细'!$AI$17:$AI$330,$X6))</f>
        <v/>
      </c>
      <c r="M6" s="19">
        <f>IF($X6="","",INDEX('sheet2-计算明细'!$AK$17:$AK$330,$X6))</f>
        <v/>
      </c>
      <c r="N6" s="20">
        <f>IF(COUNT(F6:H6)=0,"",ROUND((IF(ISNUMBER(F6),F6*40%,0)+IF(ISNUMBER(G6),G6*30%,0)+IF(ISNUMBER(H6),H6*30%,0))/(IF(ISNUMBER(F6),40%,0)+IF(ISNUMBER(G6),30%,0)+IF(ISNUMBER(H6),30%,0)),2))</f>
        <v/>
      </c>
      <c r="O6" s="20">
        <f>IF(COUNT(I6:J6)=0,"",ROUND((IF(ISNUMBER(I6),I6*70%,0)+IF(ISNUMBER(J6),J6*30%,0))/(IF(ISNUMBER(I6),70%,0)+IF(ISNUMBER(J6),30%,0)),2))</f>
        <v/>
      </c>
      <c r="P6" s="20">
        <f>K6</f>
        <v/>
      </c>
      <c r="Q6" s="20">
        <f>L6</f>
        <v/>
      </c>
      <c r="R6" s="20">
        <f>M6</f>
        <v/>
      </c>
      <c r="S6" s="93">
        <f>IF($X6="","",INDEX('sheet2-计算明细'!$AQ$17:$AQ$330,$X6))</f>
        <v/>
      </c>
      <c r="T6" s="19">
        <f>IF($X6="","",INDEX('sheet2-计算明细'!$AR$17:$AR$330,$X6))</f>
        <v/>
      </c>
      <c r="U6" s="20">
        <f>IF(S6=0,"",ROUND(T6/S6,2))</f>
        <v/>
      </c>
      <c r="V6" s="20">
        <f>IF(S6=100%,T6,"")</f>
        <v/>
      </c>
      <c r="W6" s="22">
        <f>IF($X6="","",INDEX('sheet2-计算明细'!$AU$17:$AU$330,$X6))</f>
        <v/>
      </c>
      <c r="X6" s="18">
        <f>IF($A6&gt;COUNT('sheet2-计算明细'!$AT$17:$AT$330),"",MATCH($A6,'sheet2-计算明细'!$AT$17:$AT$330,0))</f>
        <v/>
      </c>
    </row>
    <row r="7" ht="28" customHeight="1" s="73">
      <c r="A7" s="2" t="n">
        <v>2</v>
      </c>
      <c r="B7" s="18">
        <f>IF($X7="","",INDEX('sheet2-计算明细'!$B$17:$B$330,$X7))</f>
        <v/>
      </c>
      <c r="C7" s="18">
        <f>IF($X7="","",INDEX('sheet2-计算明细'!$C$17:$C$330,$X7))</f>
        <v/>
      </c>
      <c r="D7" s="18">
        <f>IF($X7="","",INDEX('sheet2-计算明细'!$D$17:$D$330,$X7))</f>
        <v/>
      </c>
      <c r="E7" s="18">
        <f>IF($X7="","",INDEX('sheet2-计算明细'!$G$17:$G$330,$X7))</f>
        <v/>
      </c>
      <c r="F7" s="19">
        <f>IF($X7="","",INDEX('sheet2-计算明细'!$I$17:$I$330,$X7))</f>
        <v/>
      </c>
      <c r="G7" s="19">
        <f>IF($X7="","",INDEX('sheet2-计算明细'!$K$17:$K$330,$X7))</f>
        <v/>
      </c>
      <c r="H7" s="19">
        <f>IF($X7="","",INDEX('sheet2-计算明细'!$L$17:$L$330,$X7))</f>
        <v/>
      </c>
      <c r="I7" s="19">
        <f>IF($X7="","",INDEX('sheet2-计算明细'!$S$17:$S$330,$X7))</f>
        <v/>
      </c>
      <c r="J7" s="19">
        <f>IF($X7="","",INDEX('sheet2-计算明细'!$Y$17:$Y$330,$X7))</f>
        <v/>
      </c>
      <c r="K7" s="19">
        <f>IF($X7="","",INDEX('sheet2-计算明细'!$AC$17:$AC$330,$X7))</f>
        <v/>
      </c>
      <c r="L7" s="19">
        <f>IF($X7="","",INDEX('sheet2-计算明细'!$AI$17:$AI$330,$X7))</f>
        <v/>
      </c>
      <c r="M7" s="19">
        <f>IF($X7="","",INDEX('sheet2-计算明细'!$AK$17:$AK$330,$X7))</f>
        <v/>
      </c>
      <c r="N7" s="20">
        <f>IF(COUNT(F7:H7)=0,"",ROUND((IF(ISNUMBER(F7),F7*40%,0)+IF(ISNUMBER(G7),G7*30%,0)+IF(ISNUMBER(H7),H7*30%,0))/(IF(ISNUMBER(F7),40%,0)+IF(ISNUMBER(G7),30%,0)+IF(ISNUMBER(H7),30%,0)),2))</f>
        <v/>
      </c>
      <c r="O7" s="20">
        <f>IF(COUNT(I7:J7)=0,"",ROUND((IF(ISNUMBER(I7),I7*70%,0)+IF(ISNUMBER(J7),J7*30%,0))/(IF(ISNUMBER(I7),70%,0)+IF(ISNUMBER(J7),30%,0)),2))</f>
        <v/>
      </c>
      <c r="P7" s="20">
        <f>K7</f>
        <v/>
      </c>
      <c r="Q7" s="20">
        <f>L7</f>
        <v/>
      </c>
      <c r="R7" s="20">
        <f>M7</f>
        <v/>
      </c>
      <c r="S7" s="93">
        <f>IF($X7="","",INDEX('sheet2-计算明细'!$AQ$17:$AQ$330,$X7))</f>
        <v/>
      </c>
      <c r="T7" s="19">
        <f>IF($X7="","",INDEX('sheet2-计算明细'!$AR$17:$AR$330,$X7))</f>
        <v/>
      </c>
      <c r="U7" s="20">
        <f>IF(S7=0,"",ROUND(T7/S7,2))</f>
        <v/>
      </c>
      <c r="V7" s="20">
        <f>IF(S7=100%,T7,"")</f>
        <v/>
      </c>
      <c r="W7" s="22">
        <f>IF($X7="","",INDEX('sheet2-计算明细'!$AU$17:$AU$330,$X7))</f>
        <v/>
      </c>
      <c r="X7" s="18">
        <f>IF($A7&gt;COUNT('sheet2-计算明细'!$AT$17:$AT$330),"",MATCH($A7,'sheet2-计算明细'!$AT$17:$AT$330,0))</f>
        <v/>
      </c>
    </row>
    <row r="8" ht="28" customHeight="1" s="73">
      <c r="A8" s="2" t="n">
        <v>3</v>
      </c>
      <c r="B8" s="18">
        <f>IF($X8="","",INDEX('sheet2-计算明细'!$B$17:$B$330,$X8))</f>
        <v/>
      </c>
      <c r="C8" s="18">
        <f>IF($X8="","",INDEX('sheet2-计算明细'!$C$17:$C$330,$X8))</f>
        <v/>
      </c>
      <c r="D8" s="18">
        <f>IF($X8="","",INDEX('sheet2-计算明细'!$D$17:$D$330,$X8))</f>
        <v/>
      </c>
      <c r="E8" s="18">
        <f>IF($X8="","",INDEX('sheet2-计算明细'!$G$17:$G$330,$X8))</f>
        <v/>
      </c>
      <c r="F8" s="19">
        <f>IF($X8="","",INDEX('sheet2-计算明细'!$I$17:$I$330,$X8))</f>
        <v/>
      </c>
      <c r="G8" s="19">
        <f>IF($X8="","",INDEX('sheet2-计算明细'!$K$17:$K$330,$X8))</f>
        <v/>
      </c>
      <c r="H8" s="19">
        <f>IF($X8="","",INDEX('sheet2-计算明细'!$L$17:$L$330,$X8))</f>
        <v/>
      </c>
      <c r="I8" s="19">
        <f>IF($X8="","",INDEX('sheet2-计算明细'!$S$17:$S$330,$X8))</f>
        <v/>
      </c>
      <c r="J8" s="19">
        <f>IF($X8="","",INDEX('sheet2-计算明细'!$Y$17:$Y$330,$X8))</f>
        <v/>
      </c>
      <c r="K8" s="19">
        <f>IF($X8="","",INDEX('sheet2-计算明细'!$AC$17:$AC$330,$X8))</f>
        <v/>
      </c>
      <c r="L8" s="19">
        <f>IF($X8="","",INDEX('sheet2-计算明细'!$AI$17:$AI$330,$X8))</f>
        <v/>
      </c>
      <c r="M8" s="19">
        <f>IF($X8="","",INDEX('sheet2-计算明细'!$AK$17:$AK$330,$X8))</f>
        <v/>
      </c>
      <c r="N8" s="20">
        <f>IF(COUNT(F8:H8)=0,"",ROUND((IF(ISNUMBER(F8),F8*40%,0)+IF(ISNUMBER(G8),G8*30%,0)+IF(ISNUMBER(H8),H8*30%,0))/(IF(ISNUMBER(F8),40%,0)+IF(ISNUMBER(G8),30%,0)+IF(ISNUMBER(H8),30%,0)),2))</f>
        <v/>
      </c>
      <c r="O8" s="20">
        <f>IF(COUNT(I8:J8)=0,"",ROUND((IF(ISNUMBER(I8),I8*70%,0)+IF(ISNUMBER(J8),J8*30%,0))/(IF(ISNUMBER(I8),70%,0)+IF(ISNUMBER(J8),30%,0)),2))</f>
        <v/>
      </c>
      <c r="P8" s="20">
        <f>K8</f>
        <v/>
      </c>
      <c r="Q8" s="20">
        <f>L8</f>
        <v/>
      </c>
      <c r="R8" s="20">
        <f>M8</f>
        <v/>
      </c>
      <c r="S8" s="93">
        <f>IF($X8="","",INDEX('sheet2-计算明细'!$AQ$17:$AQ$330,$X8))</f>
        <v/>
      </c>
      <c r="T8" s="19">
        <f>IF($X8="","",INDEX('sheet2-计算明细'!$AR$17:$AR$330,$X8))</f>
        <v/>
      </c>
      <c r="U8" s="20">
        <f>IF(S8=0,"",ROUND(T8/S8,2))</f>
        <v/>
      </c>
      <c r="V8" s="20">
        <f>IF(S8=100%,T8,"")</f>
        <v/>
      </c>
      <c r="W8" s="22">
        <f>IF($X8="","",INDEX('sheet2-计算明细'!$AU$17:$AU$330,$X8))</f>
        <v/>
      </c>
      <c r="X8" s="18">
        <f>IF($A8&gt;COUNT('sheet2-计算明细'!$AT$17:$AT$330),"",MATCH($A8,'sheet2-计算明细'!$AT$17:$AT$330,0))</f>
        <v/>
      </c>
    </row>
    <row r="9" ht="28" customHeight="1" s="73">
      <c r="A9" s="2" t="n">
        <v>4</v>
      </c>
      <c r="B9" s="18">
        <f>IF($X9="","",INDEX('sheet2-计算明细'!$B$17:$B$330,$X9))</f>
        <v/>
      </c>
      <c r="C9" s="18">
        <f>IF($X9="","",INDEX('sheet2-计算明细'!$C$17:$C$330,$X9))</f>
        <v/>
      </c>
      <c r="D9" s="18">
        <f>IF($X9="","",INDEX('sheet2-计算明细'!$D$17:$D$330,$X9))</f>
        <v/>
      </c>
      <c r="E9" s="18">
        <f>IF($X9="","",INDEX('sheet2-计算明细'!$G$17:$G$330,$X9))</f>
        <v/>
      </c>
      <c r="F9" s="19">
        <f>IF($X9="","",INDEX('sheet2-计算明细'!$I$17:$I$330,$X9))</f>
        <v/>
      </c>
      <c r="G9" s="19">
        <f>IF($X9="","",INDEX('sheet2-计算明细'!$K$17:$K$330,$X9))</f>
        <v/>
      </c>
      <c r="H9" s="19">
        <f>IF($X9="","",INDEX('sheet2-计算明细'!$L$17:$L$330,$X9))</f>
        <v/>
      </c>
      <c r="I9" s="19">
        <f>IF($X9="","",INDEX('sheet2-计算明细'!$S$17:$S$330,$X9))</f>
        <v/>
      </c>
      <c r="J9" s="19">
        <f>IF($X9="","",INDEX('sheet2-计算明细'!$Y$17:$Y$330,$X9))</f>
        <v/>
      </c>
      <c r="K9" s="19">
        <f>IF($X9="","",INDEX('sheet2-计算明细'!$AC$17:$AC$330,$X9))</f>
        <v/>
      </c>
      <c r="L9" s="19">
        <f>IF($X9="","",INDEX('sheet2-计算明细'!$AI$17:$AI$330,$X9))</f>
        <v/>
      </c>
      <c r="M9" s="19">
        <f>IF($X9="","",INDEX('sheet2-计算明细'!$AK$17:$AK$330,$X9))</f>
        <v/>
      </c>
      <c r="N9" s="20">
        <f>IF(COUNT(F9:H9)=0,"",ROUND((IF(ISNUMBER(F9),F9*40%,0)+IF(ISNUMBER(G9),G9*30%,0)+IF(ISNUMBER(H9),H9*30%,0))/(IF(ISNUMBER(F9),40%,0)+IF(ISNUMBER(G9),30%,0)+IF(ISNUMBER(H9),30%,0)),2))</f>
        <v/>
      </c>
      <c r="O9" s="20">
        <f>IF(COUNT(I9:J9)=0,"",ROUND((IF(ISNUMBER(I9),I9*70%,0)+IF(ISNUMBER(J9),J9*30%,0))/(IF(ISNUMBER(I9),70%,0)+IF(ISNUMBER(J9),30%,0)),2))</f>
        <v/>
      </c>
      <c r="P9" s="20">
        <f>K9</f>
        <v/>
      </c>
      <c r="Q9" s="20">
        <f>L9</f>
        <v/>
      </c>
      <c r="R9" s="20">
        <f>M9</f>
        <v/>
      </c>
      <c r="S9" s="93">
        <f>IF($X9="","",INDEX('sheet2-计算明细'!$AQ$17:$AQ$330,$X9))</f>
        <v/>
      </c>
      <c r="T9" s="19">
        <f>IF($X9="","",INDEX('sheet2-计算明细'!$AR$17:$AR$330,$X9))</f>
        <v/>
      </c>
      <c r="U9" s="20">
        <f>IF(S9=0,"",ROUND(T9/S9,2))</f>
        <v/>
      </c>
      <c r="V9" s="20">
        <f>IF(S9=100%,T9,"")</f>
        <v/>
      </c>
      <c r="W9" s="22">
        <f>IF($X9="","",INDEX('sheet2-计算明细'!$AU$17:$AU$330,$X9))</f>
        <v/>
      </c>
      <c r="X9" s="18">
        <f>IF($A9&gt;COUNT('sheet2-计算明细'!$AT$17:$AT$330),"",MATCH($A9,'sheet2-计算明细'!$AT$17:$AT$330,0))</f>
        <v/>
      </c>
    </row>
    <row r="10" ht="28" customHeight="1" s="73">
      <c r="A10" s="2" t="n">
        <v>5</v>
      </c>
      <c r="B10" s="18">
        <f>IF($X10="","",INDEX('sheet2-计算明细'!$B$17:$B$330,$X10))</f>
        <v/>
      </c>
      <c r="C10" s="18">
        <f>IF($X10="","",INDEX('sheet2-计算明细'!$C$17:$C$330,$X10))</f>
        <v/>
      </c>
      <c r="D10" s="18">
        <f>IF($X10="","",INDEX('sheet2-计算明细'!$D$17:$D$330,$X10))</f>
        <v/>
      </c>
      <c r="E10" s="18">
        <f>IF($X10="","",INDEX('sheet2-计算明细'!$G$17:$G$330,$X10))</f>
        <v/>
      </c>
      <c r="F10" s="19">
        <f>IF($X10="","",INDEX('sheet2-计算明细'!$I$17:$I$330,$X10))</f>
        <v/>
      </c>
      <c r="G10" s="19">
        <f>IF($X10="","",INDEX('sheet2-计算明细'!$K$17:$K$330,$X10))</f>
        <v/>
      </c>
      <c r="H10" s="19">
        <f>IF($X10="","",INDEX('sheet2-计算明细'!$L$17:$L$330,$X10))</f>
        <v/>
      </c>
      <c r="I10" s="19">
        <f>IF($X10="","",INDEX('sheet2-计算明细'!$S$17:$S$330,$X10))</f>
        <v/>
      </c>
      <c r="J10" s="19">
        <f>IF($X10="","",INDEX('sheet2-计算明细'!$Y$17:$Y$330,$X10))</f>
        <v/>
      </c>
      <c r="K10" s="19">
        <f>IF($X10="","",INDEX('sheet2-计算明细'!$AC$17:$AC$330,$X10))</f>
        <v/>
      </c>
      <c r="L10" s="19">
        <f>IF($X10="","",INDEX('sheet2-计算明细'!$AI$17:$AI$330,$X10))</f>
        <v/>
      </c>
      <c r="M10" s="19">
        <f>IF($X10="","",INDEX('sheet2-计算明细'!$AK$17:$AK$330,$X10))</f>
        <v/>
      </c>
      <c r="N10" s="20">
        <f>IF(COUNT(F10:H10)=0,"",ROUND((IF(ISNUMBER(F10),F10*40%,0)+IF(ISNUMBER(G10),G10*30%,0)+IF(ISNUMBER(H10),H10*30%,0))/(IF(ISNUMBER(F10),40%,0)+IF(ISNUMBER(G10),30%,0)+IF(ISNUMBER(H10),30%,0)),2))</f>
        <v/>
      </c>
      <c r="O10" s="20">
        <f>IF(COUNT(I10:J10)=0,"",ROUND((IF(ISNUMBER(I10),I10*70%,0)+IF(ISNUMBER(J10),J10*30%,0))/(IF(ISNUMBER(I10),70%,0)+IF(ISNUMBER(J10),30%,0)),2))</f>
        <v/>
      </c>
      <c r="P10" s="20">
        <f>K10</f>
        <v/>
      </c>
      <c r="Q10" s="20">
        <f>L10</f>
        <v/>
      </c>
      <c r="R10" s="20">
        <f>M10</f>
        <v/>
      </c>
      <c r="S10" s="93">
        <f>IF($X10="","",INDEX('sheet2-计算明细'!$AQ$17:$AQ$330,$X10))</f>
        <v/>
      </c>
      <c r="T10" s="19">
        <f>IF($X10="","",INDEX('sheet2-计算明细'!$AR$17:$AR$330,$X10))</f>
        <v/>
      </c>
      <c r="U10" s="20">
        <f>IF(S10=0,"",ROUND(T10/S10,2))</f>
        <v/>
      </c>
      <c r="V10" s="20">
        <f>IF(S10=100%,T10,"")</f>
        <v/>
      </c>
      <c r="W10" s="22">
        <f>IF($X10="","",INDEX('sheet2-计算明细'!$AU$17:$AU$330,$X10))</f>
        <v/>
      </c>
      <c r="X10" s="18">
        <f>IF($A10&gt;COUNT('sheet2-计算明细'!$AT$17:$AT$330),"",MATCH($A10,'sheet2-计算明细'!$AT$17:$AT$330,0))</f>
        <v/>
      </c>
    </row>
    <row r="11" ht="28" customHeight="1" s="73">
      <c r="A11" s="2" t="n">
        <v>6</v>
      </c>
      <c r="B11" s="18">
        <f>IF($X11="","",INDEX('sheet2-计算明细'!$B$17:$B$330,$X11))</f>
        <v/>
      </c>
      <c r="C11" s="18">
        <f>IF($X11="","",INDEX('sheet2-计算明细'!$C$17:$C$330,$X11))</f>
        <v/>
      </c>
      <c r="D11" s="18">
        <f>IF($X11="","",INDEX('sheet2-计算明细'!$D$17:$D$330,$X11))</f>
        <v/>
      </c>
      <c r="E11" s="18">
        <f>IF($X11="","",INDEX('sheet2-计算明细'!$G$17:$G$330,$X11))</f>
        <v/>
      </c>
      <c r="F11" s="19">
        <f>IF($X11="","",INDEX('sheet2-计算明细'!$I$17:$I$330,$X11))</f>
        <v/>
      </c>
      <c r="G11" s="19">
        <f>IF($X11="","",INDEX('sheet2-计算明细'!$K$17:$K$330,$X11))</f>
        <v/>
      </c>
      <c r="H11" s="19">
        <f>IF($X11="","",INDEX('sheet2-计算明细'!$L$17:$L$330,$X11))</f>
        <v/>
      </c>
      <c r="I11" s="19">
        <f>IF($X11="","",INDEX('sheet2-计算明细'!$S$17:$S$330,$X11))</f>
        <v/>
      </c>
      <c r="J11" s="19">
        <f>IF($X11="","",INDEX('sheet2-计算明细'!$Y$17:$Y$330,$X11))</f>
        <v/>
      </c>
      <c r="K11" s="19">
        <f>IF($X11="","",INDEX('sheet2-计算明细'!$AC$17:$AC$330,$X11))</f>
        <v/>
      </c>
      <c r="L11" s="19">
        <f>IF($X11="","",INDEX('sheet2-计算明细'!$AI$17:$AI$330,$X11))</f>
        <v/>
      </c>
      <c r="M11" s="19">
        <f>IF($X11="","",INDEX('sheet2-计算明细'!$AK$17:$AK$330,$X11))</f>
        <v/>
      </c>
      <c r="N11" s="20">
        <f>IF(COUNT(F11:H11)=0,"",ROUND((IF(ISNUMBER(F11),F11*40%,0)+IF(ISNUMBER(G11),G11*30%,0)+IF(ISNUMBER(H11),H11*30%,0))/(IF(ISNUMBER(F11),40%,0)+IF(ISNUMBER(G11),30%,0)+IF(ISNUMBER(H11),30%,0)),2))</f>
        <v/>
      </c>
      <c r="O11" s="20">
        <f>IF(COUNT(I11:J11)=0,"",ROUND((IF(ISNUMBER(I11),I11*70%,0)+IF(ISNUMBER(J11),J11*30%,0))/(IF(ISNUMBER(I11),70%,0)+IF(ISNUMBER(J11),30%,0)),2))</f>
        <v/>
      </c>
      <c r="P11" s="20">
        <f>K11</f>
        <v/>
      </c>
      <c r="Q11" s="20">
        <f>L11</f>
        <v/>
      </c>
      <c r="R11" s="20">
        <f>M11</f>
        <v/>
      </c>
      <c r="S11" s="93">
        <f>IF($X11="","",INDEX('sheet2-计算明细'!$AQ$17:$AQ$330,$X11))</f>
        <v/>
      </c>
      <c r="T11" s="19">
        <f>IF($X11="","",INDEX('sheet2-计算明细'!$AR$17:$AR$330,$X11))</f>
        <v/>
      </c>
      <c r="U11" s="20">
        <f>IF(S11=0,"",ROUND(T11/S11,2))</f>
        <v/>
      </c>
      <c r="V11" s="20">
        <f>IF(S11=100%,T11,"")</f>
        <v/>
      </c>
      <c r="W11" s="22">
        <f>IF($X11="","",INDEX('sheet2-计算明细'!$AU$17:$AU$330,$X11))</f>
        <v/>
      </c>
      <c r="X11" s="18">
        <f>IF($A11&gt;COUNT('sheet2-计算明细'!$AT$17:$AT$330),"",MATCH($A11,'sheet2-计算明细'!$AT$17:$AT$330,0))</f>
        <v/>
      </c>
    </row>
    <row r="12" ht="28" customHeight="1" s="73">
      <c r="A12" s="2" t="n">
        <v>7</v>
      </c>
      <c r="B12" s="18">
        <f>IF($X12="","",INDEX('sheet2-计算明细'!$B$17:$B$330,$X12))</f>
        <v/>
      </c>
      <c r="C12" s="18">
        <f>IF($X12="","",INDEX('sheet2-计算明细'!$C$17:$C$330,$X12))</f>
        <v/>
      </c>
      <c r="D12" s="18">
        <f>IF($X12="","",INDEX('sheet2-计算明细'!$D$17:$D$330,$X12))</f>
        <v/>
      </c>
      <c r="E12" s="18">
        <f>IF($X12="","",INDEX('sheet2-计算明细'!$G$17:$G$330,$X12))</f>
        <v/>
      </c>
      <c r="F12" s="19">
        <f>IF($X12="","",INDEX('sheet2-计算明细'!$I$17:$I$330,$X12))</f>
        <v/>
      </c>
      <c r="G12" s="19">
        <f>IF($X12="","",INDEX('sheet2-计算明细'!$K$17:$K$330,$X12))</f>
        <v/>
      </c>
      <c r="H12" s="19">
        <f>IF($X12="","",INDEX('sheet2-计算明细'!$L$17:$L$330,$X12))</f>
        <v/>
      </c>
      <c r="I12" s="19">
        <f>IF($X12="","",INDEX('sheet2-计算明细'!$S$17:$S$330,$X12))</f>
        <v/>
      </c>
      <c r="J12" s="19">
        <f>IF($X12="","",INDEX('sheet2-计算明细'!$Y$17:$Y$330,$X12))</f>
        <v/>
      </c>
      <c r="K12" s="19">
        <f>IF($X12="","",INDEX('sheet2-计算明细'!$AC$17:$AC$330,$X12))</f>
        <v/>
      </c>
      <c r="L12" s="19">
        <f>IF($X12="","",INDEX('sheet2-计算明细'!$AI$17:$AI$330,$X12))</f>
        <v/>
      </c>
      <c r="M12" s="19">
        <f>IF($X12="","",INDEX('sheet2-计算明细'!$AK$17:$AK$330,$X12))</f>
        <v/>
      </c>
      <c r="N12" s="20">
        <f>IF(COUNT(F12:H12)=0,"",ROUND((IF(ISNUMBER(F12),F12*40%,0)+IF(ISNUMBER(G12),G12*30%,0)+IF(ISNUMBER(H12),H12*30%,0))/(IF(ISNUMBER(F12),40%,0)+IF(ISNUMBER(G12),30%,0)+IF(ISNUMBER(H12),30%,0)),2))</f>
        <v/>
      </c>
      <c r="O12" s="20">
        <f>IF(COUNT(I12:J12)=0,"",ROUND((IF(ISNUMBER(I12),I12*70%,0)+IF(ISNUMBER(J12),J12*30%,0))/(IF(ISNUMBER(I12),70%,0)+IF(ISNUMBER(J12),30%,0)),2))</f>
        <v/>
      </c>
      <c r="P12" s="20">
        <f>K12</f>
        <v/>
      </c>
      <c r="Q12" s="20">
        <f>L12</f>
        <v/>
      </c>
      <c r="R12" s="20">
        <f>M12</f>
        <v/>
      </c>
      <c r="S12" s="93">
        <f>IF($X12="","",INDEX('sheet2-计算明细'!$AQ$17:$AQ$330,$X12))</f>
        <v/>
      </c>
      <c r="T12" s="19">
        <f>IF($X12="","",INDEX('sheet2-计算明细'!$AR$17:$AR$330,$X12))</f>
        <v/>
      </c>
      <c r="U12" s="20">
        <f>IF(S12=0,"",ROUND(T12/S12,2))</f>
        <v/>
      </c>
      <c r="V12" s="20">
        <f>IF(S12=100%,T12,"")</f>
        <v/>
      </c>
      <c r="W12" s="22">
        <f>IF($X12="","",INDEX('sheet2-计算明细'!$AU$17:$AU$330,$X12))</f>
        <v/>
      </c>
      <c r="X12" s="18">
        <f>IF($A12&gt;COUNT('sheet2-计算明细'!$AT$17:$AT$330),"",MATCH($A12,'sheet2-计算明细'!$AT$17:$AT$330,0))</f>
        <v/>
      </c>
    </row>
    <row r="13" ht="28" customHeight="1" s="73">
      <c r="A13" s="2" t="n">
        <v>8</v>
      </c>
      <c r="B13" s="18">
        <f>IF($X13="","",INDEX('sheet2-计算明细'!$B$17:$B$330,$X13))</f>
        <v/>
      </c>
      <c r="C13" s="18">
        <f>IF($X13="","",INDEX('sheet2-计算明细'!$C$17:$C$330,$X13))</f>
        <v/>
      </c>
      <c r="D13" s="18">
        <f>IF($X13="","",INDEX('sheet2-计算明细'!$D$17:$D$330,$X13))</f>
        <v/>
      </c>
      <c r="E13" s="18">
        <f>IF($X13="","",INDEX('sheet2-计算明细'!$G$17:$G$330,$X13))</f>
        <v/>
      </c>
      <c r="F13" s="19">
        <f>IF($X13="","",INDEX('sheet2-计算明细'!$I$17:$I$330,$X13))</f>
        <v/>
      </c>
      <c r="G13" s="19">
        <f>IF($X13="","",INDEX('sheet2-计算明细'!$K$17:$K$330,$X13))</f>
        <v/>
      </c>
      <c r="H13" s="19">
        <f>IF($X13="","",INDEX('sheet2-计算明细'!$L$17:$L$330,$X13))</f>
        <v/>
      </c>
      <c r="I13" s="19">
        <f>IF($X13="","",INDEX('sheet2-计算明细'!$S$17:$S$330,$X13))</f>
        <v/>
      </c>
      <c r="J13" s="19">
        <f>IF($X13="","",INDEX('sheet2-计算明细'!$Y$17:$Y$330,$X13))</f>
        <v/>
      </c>
      <c r="K13" s="19">
        <f>IF($X13="","",INDEX('sheet2-计算明细'!$AC$17:$AC$330,$X13))</f>
        <v/>
      </c>
      <c r="L13" s="19">
        <f>IF($X13="","",INDEX('sheet2-计算明细'!$AI$17:$AI$330,$X13))</f>
        <v/>
      </c>
      <c r="M13" s="19">
        <f>IF($X13="","",INDEX('sheet2-计算明细'!$AK$17:$AK$330,$X13))</f>
        <v/>
      </c>
      <c r="N13" s="20">
        <f>IF(COUNT(F13:H13)=0,"",ROUND((IF(ISNUMBER(F13),F13*40%,0)+IF(ISNUMBER(G13),G13*30%,0)+IF(ISNUMBER(H13),H13*30%,0))/(IF(ISNUMBER(F13),40%,0)+IF(ISNUMBER(G13),30%,0)+IF(ISNUMBER(H13),30%,0)),2))</f>
        <v/>
      </c>
      <c r="O13" s="20">
        <f>IF(COUNT(I13:J13)=0,"",ROUND((IF(ISNUMBER(I13),I13*70%,0)+IF(ISNUMBER(J13),J13*30%,0))/(IF(ISNUMBER(I13),70%,0)+IF(ISNUMBER(J13),30%,0)),2))</f>
        <v/>
      </c>
      <c r="P13" s="20">
        <f>K13</f>
        <v/>
      </c>
      <c r="Q13" s="20">
        <f>L13</f>
        <v/>
      </c>
      <c r="R13" s="20">
        <f>M13</f>
        <v/>
      </c>
      <c r="S13" s="93">
        <f>IF($X13="","",INDEX('sheet2-计算明细'!$AQ$17:$AQ$330,$X13))</f>
        <v/>
      </c>
      <c r="T13" s="19">
        <f>IF($X13="","",INDEX('sheet2-计算明细'!$AR$17:$AR$330,$X13))</f>
        <v/>
      </c>
      <c r="U13" s="20">
        <f>IF(S13=0,"",ROUND(T13/S13,2))</f>
        <v/>
      </c>
      <c r="V13" s="20">
        <f>IF(S13=100%,T13,"")</f>
        <v/>
      </c>
      <c r="W13" s="22">
        <f>IF($X13="","",INDEX('sheet2-计算明细'!$AU$17:$AU$330,$X13))</f>
        <v/>
      </c>
      <c r="X13" s="18">
        <f>IF($A13&gt;COUNT('sheet2-计算明细'!$AT$17:$AT$330),"",MATCH($A13,'sheet2-计算明细'!$AT$17:$AT$330,0))</f>
        <v/>
      </c>
    </row>
    <row r="14" ht="28" customHeight="1" s="73">
      <c r="A14" s="2" t="n">
        <v>9</v>
      </c>
      <c r="B14" s="18">
        <f>IF($X14="","",INDEX('sheet2-计算明细'!$B$17:$B$330,$X14))</f>
        <v/>
      </c>
      <c r="C14" s="18">
        <f>IF($X14="","",INDEX('sheet2-计算明细'!$C$17:$C$330,$X14))</f>
        <v/>
      </c>
      <c r="D14" s="18">
        <f>IF($X14="","",INDEX('sheet2-计算明细'!$D$17:$D$330,$X14))</f>
        <v/>
      </c>
      <c r="E14" s="18">
        <f>IF($X14="","",INDEX('sheet2-计算明细'!$G$17:$G$330,$X14))</f>
        <v/>
      </c>
      <c r="F14" s="19">
        <f>IF($X14="","",INDEX('sheet2-计算明细'!$I$17:$I$330,$X14))</f>
        <v/>
      </c>
      <c r="G14" s="19">
        <f>IF($X14="","",INDEX('sheet2-计算明细'!$K$17:$K$330,$X14))</f>
        <v/>
      </c>
      <c r="H14" s="19">
        <f>IF($X14="","",INDEX('sheet2-计算明细'!$L$17:$L$330,$X14))</f>
        <v/>
      </c>
      <c r="I14" s="19">
        <f>IF($X14="","",INDEX('sheet2-计算明细'!$S$17:$S$330,$X14))</f>
        <v/>
      </c>
      <c r="J14" s="19">
        <f>IF($X14="","",INDEX('sheet2-计算明细'!$Y$17:$Y$330,$X14))</f>
        <v/>
      </c>
      <c r="K14" s="19">
        <f>IF($X14="","",INDEX('sheet2-计算明细'!$AC$17:$AC$330,$X14))</f>
        <v/>
      </c>
      <c r="L14" s="19">
        <f>IF($X14="","",INDEX('sheet2-计算明细'!$AI$17:$AI$330,$X14))</f>
        <v/>
      </c>
      <c r="M14" s="19">
        <f>IF($X14="","",INDEX('sheet2-计算明细'!$AK$17:$AK$330,$X14))</f>
        <v/>
      </c>
      <c r="N14" s="20">
        <f>IF(COUNT(F14:H14)=0,"",ROUND((IF(ISNUMBER(F14),F14*40%,0)+IF(ISNUMBER(G14),G14*30%,0)+IF(ISNUMBER(H14),H14*30%,0))/(IF(ISNUMBER(F14),40%,0)+IF(ISNUMBER(G14),30%,0)+IF(ISNUMBER(H14),30%,0)),2))</f>
        <v/>
      </c>
      <c r="O14" s="20">
        <f>IF(COUNT(I14:J14)=0,"",ROUND((IF(ISNUMBER(I14),I14*70%,0)+IF(ISNUMBER(J14),J14*30%,0))/(IF(ISNUMBER(I14),70%,0)+IF(ISNUMBER(J14),30%,0)),2))</f>
        <v/>
      </c>
      <c r="P14" s="20">
        <f>K14</f>
        <v/>
      </c>
      <c r="Q14" s="20">
        <f>L14</f>
        <v/>
      </c>
      <c r="R14" s="20">
        <f>M14</f>
        <v/>
      </c>
      <c r="S14" s="93">
        <f>IF($X14="","",INDEX('sheet2-计算明细'!$AQ$17:$AQ$330,$X14))</f>
        <v/>
      </c>
      <c r="T14" s="19">
        <f>IF($X14="","",INDEX('sheet2-计算明细'!$AR$17:$AR$330,$X14))</f>
        <v/>
      </c>
      <c r="U14" s="20">
        <f>IF(S14=0,"",ROUND(T14/S14,2))</f>
        <v/>
      </c>
      <c r="V14" s="20">
        <f>IF(S14=100%,T14,"")</f>
        <v/>
      </c>
      <c r="W14" s="22">
        <f>IF($X14="","",INDEX('sheet2-计算明细'!$AU$17:$AU$330,$X14))</f>
        <v/>
      </c>
      <c r="X14" s="18">
        <f>IF($A14&gt;COUNT('sheet2-计算明细'!$AT$17:$AT$330),"",MATCH($A14,'sheet2-计算明细'!$AT$17:$AT$330,0))</f>
        <v/>
      </c>
    </row>
    <row r="15" ht="28" customHeight="1" s="73">
      <c r="A15" s="2" t="n">
        <v>10</v>
      </c>
      <c r="B15" s="18">
        <f>IF($X15="","",INDEX('sheet2-计算明细'!$B$17:$B$330,$X15))</f>
        <v/>
      </c>
      <c r="C15" s="18">
        <f>IF($X15="","",INDEX('sheet2-计算明细'!$C$17:$C$330,$X15))</f>
        <v/>
      </c>
      <c r="D15" s="18">
        <f>IF($X15="","",INDEX('sheet2-计算明细'!$D$17:$D$330,$X15))</f>
        <v/>
      </c>
      <c r="E15" s="18">
        <f>IF($X15="","",INDEX('sheet2-计算明细'!$G$17:$G$330,$X15))</f>
        <v/>
      </c>
      <c r="F15" s="19">
        <f>IF($X15="","",INDEX('sheet2-计算明细'!$I$17:$I$330,$X15))</f>
        <v/>
      </c>
      <c r="G15" s="19">
        <f>IF($X15="","",INDEX('sheet2-计算明细'!$K$17:$K$330,$X15))</f>
        <v/>
      </c>
      <c r="H15" s="19">
        <f>IF($X15="","",INDEX('sheet2-计算明细'!$L$17:$L$330,$X15))</f>
        <v/>
      </c>
      <c r="I15" s="19">
        <f>IF($X15="","",INDEX('sheet2-计算明细'!$S$17:$S$330,$X15))</f>
        <v/>
      </c>
      <c r="J15" s="19">
        <f>IF($X15="","",INDEX('sheet2-计算明细'!$Y$17:$Y$330,$X15))</f>
        <v/>
      </c>
      <c r="K15" s="19">
        <f>IF($X15="","",INDEX('sheet2-计算明细'!$AC$17:$AC$330,$X15))</f>
        <v/>
      </c>
      <c r="L15" s="19">
        <f>IF($X15="","",INDEX('sheet2-计算明细'!$AI$17:$AI$330,$X15))</f>
        <v/>
      </c>
      <c r="M15" s="19">
        <f>IF($X15="","",INDEX('sheet2-计算明细'!$AK$17:$AK$330,$X15))</f>
        <v/>
      </c>
      <c r="N15" s="20">
        <f>IF(COUNT(F15:H15)=0,"",ROUND((IF(ISNUMBER(F15),F15*40%,0)+IF(ISNUMBER(G15),G15*30%,0)+IF(ISNUMBER(H15),H15*30%,0))/(IF(ISNUMBER(F15),40%,0)+IF(ISNUMBER(G15),30%,0)+IF(ISNUMBER(H15),30%,0)),2))</f>
        <v/>
      </c>
      <c r="O15" s="20">
        <f>IF(COUNT(I15:J15)=0,"",ROUND((IF(ISNUMBER(I15),I15*70%,0)+IF(ISNUMBER(J15),J15*30%,0))/(IF(ISNUMBER(I15),70%,0)+IF(ISNUMBER(J15),30%,0)),2))</f>
        <v/>
      </c>
      <c r="P15" s="20">
        <f>K15</f>
        <v/>
      </c>
      <c r="Q15" s="20">
        <f>L15</f>
        <v/>
      </c>
      <c r="R15" s="20">
        <f>M15</f>
        <v/>
      </c>
      <c r="S15" s="93">
        <f>IF($X15="","",INDEX('sheet2-计算明细'!$AQ$17:$AQ$330,$X15))</f>
        <v/>
      </c>
      <c r="T15" s="19">
        <f>IF($X15="","",INDEX('sheet2-计算明细'!$AR$17:$AR$330,$X15))</f>
        <v/>
      </c>
      <c r="U15" s="20">
        <f>IF(S15=0,"",ROUND(T15/S15,2))</f>
        <v/>
      </c>
      <c r="V15" s="20">
        <f>IF(S15=100%,T15,"")</f>
        <v/>
      </c>
      <c r="W15" s="22">
        <f>IF($X15="","",INDEX('sheet2-计算明细'!$AU$17:$AU$330,$X15))</f>
        <v/>
      </c>
      <c r="X15" s="18">
        <f>IF($A15&gt;COUNT('sheet2-计算明细'!$AT$17:$AT$330),"",MATCH($A15,'sheet2-计算明细'!$AT$17:$AT$330,0))</f>
        <v/>
      </c>
    </row>
    <row r="16" ht="28" customHeight="1" s="73">
      <c r="A16" s="2" t="n">
        <v>11</v>
      </c>
      <c r="B16" s="18">
        <f>IF($X16="","",INDEX('sheet2-计算明细'!$B$17:$B$330,$X16))</f>
        <v/>
      </c>
      <c r="C16" s="18">
        <f>IF($X16="","",INDEX('sheet2-计算明细'!$C$17:$C$330,$X16))</f>
        <v/>
      </c>
      <c r="D16" s="18">
        <f>IF($X16="","",INDEX('sheet2-计算明细'!$D$17:$D$330,$X16))</f>
        <v/>
      </c>
      <c r="E16" s="18">
        <f>IF($X16="","",INDEX('sheet2-计算明细'!$G$17:$G$330,$X16))</f>
        <v/>
      </c>
      <c r="F16" s="19">
        <f>IF($X16="","",INDEX('sheet2-计算明细'!$I$17:$I$330,$X16))</f>
        <v/>
      </c>
      <c r="G16" s="19">
        <f>IF($X16="","",INDEX('sheet2-计算明细'!$K$17:$K$330,$X16))</f>
        <v/>
      </c>
      <c r="H16" s="19">
        <f>IF($X16="","",INDEX('sheet2-计算明细'!$L$17:$L$330,$X16))</f>
        <v/>
      </c>
      <c r="I16" s="19">
        <f>IF($X16="","",INDEX('sheet2-计算明细'!$S$17:$S$330,$X16))</f>
        <v/>
      </c>
      <c r="J16" s="19">
        <f>IF($X16="","",INDEX('sheet2-计算明细'!$Y$17:$Y$330,$X16))</f>
        <v/>
      </c>
      <c r="K16" s="19">
        <f>IF($X16="","",INDEX('sheet2-计算明细'!$AC$17:$AC$330,$X16))</f>
        <v/>
      </c>
      <c r="L16" s="19">
        <f>IF($X16="","",INDEX('sheet2-计算明细'!$AI$17:$AI$330,$X16))</f>
        <v/>
      </c>
      <c r="M16" s="19">
        <f>IF($X16="","",INDEX('sheet2-计算明细'!$AK$17:$AK$330,$X16))</f>
        <v/>
      </c>
      <c r="N16" s="20">
        <f>IF(COUNT(F16:H16)=0,"",ROUND((IF(ISNUMBER(F16),F16*40%,0)+IF(ISNUMBER(G16),G16*30%,0)+IF(ISNUMBER(H16),H16*30%,0))/(IF(ISNUMBER(F16),40%,0)+IF(ISNUMBER(G16),30%,0)+IF(ISNUMBER(H16),30%,0)),2))</f>
        <v/>
      </c>
      <c r="O16" s="20">
        <f>IF(COUNT(I16:J16)=0,"",ROUND((IF(ISNUMBER(I16),I16*70%,0)+IF(ISNUMBER(J16),J16*30%,0))/(IF(ISNUMBER(I16),70%,0)+IF(ISNUMBER(J16),30%,0)),2))</f>
        <v/>
      </c>
      <c r="P16" s="20">
        <f>K16</f>
        <v/>
      </c>
      <c r="Q16" s="20">
        <f>L16</f>
        <v/>
      </c>
      <c r="R16" s="20">
        <f>M16</f>
        <v/>
      </c>
      <c r="S16" s="93">
        <f>IF($X16="","",INDEX('sheet2-计算明细'!$AQ$17:$AQ$330,$X16))</f>
        <v/>
      </c>
      <c r="T16" s="19">
        <f>IF($X16="","",INDEX('sheet2-计算明细'!$AR$17:$AR$330,$X16))</f>
        <v/>
      </c>
      <c r="U16" s="20">
        <f>IF(S16=0,"",ROUND(T16/S16,2))</f>
        <v/>
      </c>
      <c r="V16" s="20">
        <f>IF(S16=100%,T16,"")</f>
        <v/>
      </c>
      <c r="W16" s="22">
        <f>IF($X16="","",INDEX('sheet2-计算明细'!$AU$17:$AU$330,$X16))</f>
        <v/>
      </c>
      <c r="X16" s="18">
        <f>IF($A16&gt;COUNT('sheet2-计算明细'!$AT$17:$AT$330),"",MATCH($A16,'sheet2-计算明细'!$AT$17:$AT$330,0))</f>
        <v/>
      </c>
    </row>
    <row r="17" ht="28" customHeight="1" s="73">
      <c r="A17" s="2" t="n">
        <v>12</v>
      </c>
      <c r="B17" s="18">
        <f>IF($X17="","",INDEX('sheet2-计算明细'!$B$17:$B$330,$X17))</f>
        <v/>
      </c>
      <c r="C17" s="18">
        <f>IF($X17="","",INDEX('sheet2-计算明细'!$C$17:$C$330,$X17))</f>
        <v/>
      </c>
      <c r="D17" s="18">
        <f>IF($X17="","",INDEX('sheet2-计算明细'!$D$17:$D$330,$X17))</f>
        <v/>
      </c>
      <c r="E17" s="18">
        <f>IF($X17="","",INDEX('sheet2-计算明细'!$G$17:$G$330,$X17))</f>
        <v/>
      </c>
      <c r="F17" s="19">
        <f>IF($X17="","",INDEX('sheet2-计算明细'!$I$17:$I$330,$X17))</f>
        <v/>
      </c>
      <c r="G17" s="19">
        <f>IF($X17="","",INDEX('sheet2-计算明细'!$K$17:$K$330,$X17))</f>
        <v/>
      </c>
      <c r="H17" s="19">
        <f>IF($X17="","",INDEX('sheet2-计算明细'!$L$17:$L$330,$X17))</f>
        <v/>
      </c>
      <c r="I17" s="19">
        <f>IF($X17="","",INDEX('sheet2-计算明细'!$S$17:$S$330,$X17))</f>
        <v/>
      </c>
      <c r="J17" s="19">
        <f>IF($X17="","",INDEX('sheet2-计算明细'!$Y$17:$Y$330,$X17))</f>
        <v/>
      </c>
      <c r="K17" s="19">
        <f>IF($X17="","",INDEX('sheet2-计算明细'!$AC$17:$AC$330,$X17))</f>
        <v/>
      </c>
      <c r="L17" s="19">
        <f>IF($X17="","",INDEX('sheet2-计算明细'!$AI$17:$AI$330,$X17))</f>
        <v/>
      </c>
      <c r="M17" s="19">
        <f>IF($X17="","",INDEX('sheet2-计算明细'!$AK$17:$AK$330,$X17))</f>
        <v/>
      </c>
      <c r="N17" s="20">
        <f>IF(COUNT(F17:H17)=0,"",ROUND((IF(ISNUMBER(F17),F17*40%,0)+IF(ISNUMBER(G17),G17*30%,0)+IF(ISNUMBER(H17),H17*30%,0))/(IF(ISNUMBER(F17),40%,0)+IF(ISNUMBER(G17),30%,0)+IF(ISNUMBER(H17),30%,0)),2))</f>
        <v/>
      </c>
      <c r="O17" s="20">
        <f>IF(COUNT(I17:J17)=0,"",ROUND((IF(ISNUMBER(I17),I17*70%,0)+IF(ISNUMBER(J17),J17*30%,0))/(IF(ISNUMBER(I17),70%,0)+IF(ISNUMBER(J17),30%,0)),2))</f>
        <v/>
      </c>
      <c r="P17" s="20">
        <f>K17</f>
        <v/>
      </c>
      <c r="Q17" s="20">
        <f>L17</f>
        <v/>
      </c>
      <c r="R17" s="20">
        <f>M17</f>
        <v/>
      </c>
      <c r="S17" s="93">
        <f>IF($X17="","",INDEX('sheet2-计算明细'!$AQ$17:$AQ$330,$X17))</f>
        <v/>
      </c>
      <c r="T17" s="19">
        <f>IF($X17="","",INDEX('sheet2-计算明细'!$AR$17:$AR$330,$X17))</f>
        <v/>
      </c>
      <c r="U17" s="20">
        <f>IF(S17=0,"",ROUND(T17/S17,2))</f>
        <v/>
      </c>
      <c r="V17" s="20">
        <f>IF(S17=100%,T17,"")</f>
        <v/>
      </c>
      <c r="W17" s="22">
        <f>IF($X17="","",INDEX('sheet2-计算明细'!$AU$17:$AU$330,$X17))</f>
        <v/>
      </c>
      <c r="X17" s="18">
        <f>IF($A17&gt;COUNT('sheet2-计算明细'!$AT$17:$AT$330),"",MATCH($A17,'sheet2-计算明细'!$AT$17:$AT$330,0))</f>
        <v/>
      </c>
    </row>
    <row r="18" ht="28" customHeight="1" s="73">
      <c r="A18" s="2" t="n">
        <v>13</v>
      </c>
      <c r="B18" s="18">
        <f>IF($X18="","",INDEX('sheet2-计算明细'!$B$17:$B$330,$X18))</f>
        <v/>
      </c>
      <c r="C18" s="18">
        <f>IF($X18="","",INDEX('sheet2-计算明细'!$C$17:$C$330,$X18))</f>
        <v/>
      </c>
      <c r="D18" s="18">
        <f>IF($X18="","",INDEX('sheet2-计算明细'!$D$17:$D$330,$X18))</f>
        <v/>
      </c>
      <c r="E18" s="18">
        <f>IF($X18="","",INDEX('sheet2-计算明细'!$G$17:$G$330,$X18))</f>
        <v/>
      </c>
      <c r="F18" s="19">
        <f>IF($X18="","",INDEX('sheet2-计算明细'!$I$17:$I$330,$X18))</f>
        <v/>
      </c>
      <c r="G18" s="19">
        <f>IF($X18="","",INDEX('sheet2-计算明细'!$K$17:$K$330,$X18))</f>
        <v/>
      </c>
      <c r="H18" s="19">
        <f>IF($X18="","",INDEX('sheet2-计算明细'!$L$17:$L$330,$X18))</f>
        <v/>
      </c>
      <c r="I18" s="19">
        <f>IF($X18="","",INDEX('sheet2-计算明细'!$S$17:$S$330,$X18))</f>
        <v/>
      </c>
      <c r="J18" s="19">
        <f>IF($X18="","",INDEX('sheet2-计算明细'!$Y$17:$Y$330,$X18))</f>
        <v/>
      </c>
      <c r="K18" s="19">
        <f>IF($X18="","",INDEX('sheet2-计算明细'!$AC$17:$AC$330,$X18))</f>
        <v/>
      </c>
      <c r="L18" s="19">
        <f>IF($X18="","",INDEX('sheet2-计算明细'!$AI$17:$AI$330,$X18))</f>
        <v/>
      </c>
      <c r="M18" s="19">
        <f>IF($X18="","",INDEX('sheet2-计算明细'!$AK$17:$AK$330,$X18))</f>
        <v/>
      </c>
      <c r="N18" s="20">
        <f>IF(COUNT(F18:H18)=0,"",ROUND((IF(ISNUMBER(F18),F18*40%,0)+IF(ISNUMBER(G18),G18*30%,0)+IF(ISNUMBER(H18),H18*30%,0))/(IF(ISNUMBER(F18),40%,0)+IF(ISNUMBER(G18),30%,0)+IF(ISNUMBER(H18),30%,0)),2))</f>
        <v/>
      </c>
      <c r="O18" s="20">
        <f>IF(COUNT(I18:J18)=0,"",ROUND((IF(ISNUMBER(I18),I18*70%,0)+IF(ISNUMBER(J18),J18*30%,0))/(IF(ISNUMBER(I18),70%,0)+IF(ISNUMBER(J18),30%,0)),2))</f>
        <v/>
      </c>
      <c r="P18" s="20">
        <f>K18</f>
        <v/>
      </c>
      <c r="Q18" s="20">
        <f>L18</f>
        <v/>
      </c>
      <c r="R18" s="20">
        <f>M18</f>
        <v/>
      </c>
      <c r="S18" s="93">
        <f>IF($X18="","",INDEX('sheet2-计算明细'!$AQ$17:$AQ$330,$X18))</f>
        <v/>
      </c>
      <c r="T18" s="19">
        <f>IF($X18="","",INDEX('sheet2-计算明细'!$AR$17:$AR$330,$X18))</f>
        <v/>
      </c>
      <c r="U18" s="20">
        <f>IF(S18=0,"",ROUND(T18/S18,2))</f>
        <v/>
      </c>
      <c r="V18" s="20">
        <f>IF(S18=100%,T18,"")</f>
        <v/>
      </c>
      <c r="W18" s="22">
        <f>IF($X18="","",INDEX('sheet2-计算明细'!$AU$17:$AU$330,$X18))</f>
        <v/>
      </c>
      <c r="X18" s="18">
        <f>IF($A18&gt;COUNT('sheet2-计算明细'!$AT$17:$AT$330),"",MATCH($A18,'sheet2-计算明细'!$AT$17:$AT$330,0))</f>
        <v/>
      </c>
    </row>
    <row r="19" ht="28" customHeight="1" s="73">
      <c r="A19" s="2" t="n">
        <v>14</v>
      </c>
      <c r="B19" s="18">
        <f>IF($X19="","",INDEX('sheet2-计算明细'!$B$17:$B$330,$X19))</f>
        <v/>
      </c>
      <c r="C19" s="18">
        <f>IF($X19="","",INDEX('sheet2-计算明细'!$C$17:$C$330,$X19))</f>
        <v/>
      </c>
      <c r="D19" s="18">
        <f>IF($X19="","",INDEX('sheet2-计算明细'!$D$17:$D$330,$X19))</f>
        <v/>
      </c>
      <c r="E19" s="18">
        <f>IF($X19="","",INDEX('sheet2-计算明细'!$G$17:$G$330,$X19))</f>
        <v/>
      </c>
      <c r="F19" s="19">
        <f>IF($X19="","",INDEX('sheet2-计算明细'!$I$17:$I$330,$X19))</f>
        <v/>
      </c>
      <c r="G19" s="19">
        <f>IF($X19="","",INDEX('sheet2-计算明细'!$K$17:$K$330,$X19))</f>
        <v/>
      </c>
      <c r="H19" s="19">
        <f>IF($X19="","",INDEX('sheet2-计算明细'!$L$17:$L$330,$X19))</f>
        <v/>
      </c>
      <c r="I19" s="19">
        <f>IF($X19="","",INDEX('sheet2-计算明细'!$S$17:$S$330,$X19))</f>
        <v/>
      </c>
      <c r="J19" s="19">
        <f>IF($X19="","",INDEX('sheet2-计算明细'!$Y$17:$Y$330,$X19))</f>
        <v/>
      </c>
      <c r="K19" s="19">
        <f>IF($X19="","",INDEX('sheet2-计算明细'!$AC$17:$AC$330,$X19))</f>
        <v/>
      </c>
      <c r="L19" s="19">
        <f>IF($X19="","",INDEX('sheet2-计算明细'!$AI$17:$AI$330,$X19))</f>
        <v/>
      </c>
      <c r="M19" s="19">
        <f>IF($X19="","",INDEX('sheet2-计算明细'!$AK$17:$AK$330,$X19))</f>
        <v/>
      </c>
      <c r="N19" s="20">
        <f>IF(COUNT(F19:H19)=0,"",ROUND((IF(ISNUMBER(F19),F19*40%,0)+IF(ISNUMBER(G19),G19*30%,0)+IF(ISNUMBER(H19),H19*30%,0))/(IF(ISNUMBER(F19),40%,0)+IF(ISNUMBER(G19),30%,0)+IF(ISNUMBER(H19),30%,0)),2))</f>
        <v/>
      </c>
      <c r="O19" s="20">
        <f>IF(COUNT(I19:J19)=0,"",ROUND((IF(ISNUMBER(I19),I19*70%,0)+IF(ISNUMBER(J19),J19*30%,0))/(IF(ISNUMBER(I19),70%,0)+IF(ISNUMBER(J19),30%,0)),2))</f>
        <v/>
      </c>
      <c r="P19" s="20">
        <f>K19</f>
        <v/>
      </c>
      <c r="Q19" s="20">
        <f>L19</f>
        <v/>
      </c>
      <c r="R19" s="20">
        <f>M19</f>
        <v/>
      </c>
      <c r="S19" s="93">
        <f>IF($X19="","",INDEX('sheet2-计算明细'!$AQ$17:$AQ$330,$X19))</f>
        <v/>
      </c>
      <c r="T19" s="19">
        <f>IF($X19="","",INDEX('sheet2-计算明细'!$AR$17:$AR$330,$X19))</f>
        <v/>
      </c>
      <c r="U19" s="20">
        <f>IF(S19=0,"",ROUND(T19/S19,2))</f>
        <v/>
      </c>
      <c r="V19" s="20">
        <f>IF(S19=100%,T19,"")</f>
        <v/>
      </c>
      <c r="W19" s="22">
        <f>IF($X19="","",INDEX('sheet2-计算明细'!$AU$17:$AU$330,$X19))</f>
        <v/>
      </c>
      <c r="X19" s="18">
        <f>IF($A19&gt;COUNT('sheet2-计算明细'!$AT$17:$AT$330),"",MATCH($A19,'sheet2-计算明细'!$AT$17:$AT$330,0))</f>
        <v/>
      </c>
    </row>
    <row r="20" ht="28" customHeight="1" s="73">
      <c r="A20" s="2" t="n">
        <v>15</v>
      </c>
      <c r="B20" s="18">
        <f>IF($X20="","",INDEX('sheet2-计算明细'!$B$17:$B$330,$X20))</f>
        <v/>
      </c>
      <c r="C20" s="18">
        <f>IF($X20="","",INDEX('sheet2-计算明细'!$C$17:$C$330,$X20))</f>
        <v/>
      </c>
      <c r="D20" s="18">
        <f>IF($X20="","",INDEX('sheet2-计算明细'!$D$17:$D$330,$X20))</f>
        <v/>
      </c>
      <c r="E20" s="18">
        <f>IF($X20="","",INDEX('sheet2-计算明细'!$G$17:$G$330,$X20))</f>
        <v/>
      </c>
      <c r="F20" s="19">
        <f>IF($X20="","",INDEX('sheet2-计算明细'!$I$17:$I$330,$X20))</f>
        <v/>
      </c>
      <c r="G20" s="19">
        <f>IF($X20="","",INDEX('sheet2-计算明细'!$K$17:$K$330,$X20))</f>
        <v/>
      </c>
      <c r="H20" s="19">
        <f>IF($X20="","",INDEX('sheet2-计算明细'!$L$17:$L$330,$X20))</f>
        <v/>
      </c>
      <c r="I20" s="19">
        <f>IF($X20="","",INDEX('sheet2-计算明细'!$S$17:$S$330,$X20))</f>
        <v/>
      </c>
      <c r="J20" s="19">
        <f>IF($X20="","",INDEX('sheet2-计算明细'!$Y$17:$Y$330,$X20))</f>
        <v/>
      </c>
      <c r="K20" s="19">
        <f>IF($X20="","",INDEX('sheet2-计算明细'!$AC$17:$AC$330,$X20))</f>
        <v/>
      </c>
      <c r="L20" s="19">
        <f>IF($X20="","",INDEX('sheet2-计算明细'!$AI$17:$AI$330,$X20))</f>
        <v/>
      </c>
      <c r="M20" s="19">
        <f>IF($X20="","",INDEX('sheet2-计算明细'!$AK$17:$AK$330,$X20))</f>
        <v/>
      </c>
      <c r="N20" s="20">
        <f>IF(COUNT(F20:H20)=0,"",ROUND((IF(ISNUMBER(F20),F20*40%,0)+IF(ISNUMBER(G20),G20*30%,0)+IF(ISNUMBER(H20),H20*30%,0))/(IF(ISNUMBER(F20),40%,0)+IF(ISNUMBER(G20),30%,0)+IF(ISNUMBER(H20),30%,0)),2))</f>
        <v/>
      </c>
      <c r="O20" s="20">
        <f>IF(COUNT(I20:J20)=0,"",ROUND((IF(ISNUMBER(I20),I20*70%,0)+IF(ISNUMBER(J20),J20*30%,0))/(IF(ISNUMBER(I20),70%,0)+IF(ISNUMBER(J20),30%,0)),2))</f>
        <v/>
      </c>
      <c r="P20" s="20">
        <f>K20</f>
        <v/>
      </c>
      <c r="Q20" s="20">
        <f>L20</f>
        <v/>
      </c>
      <c r="R20" s="20">
        <f>M20</f>
        <v/>
      </c>
      <c r="S20" s="93">
        <f>IF($X20="","",INDEX('sheet2-计算明细'!$AQ$17:$AQ$330,$X20))</f>
        <v/>
      </c>
      <c r="T20" s="19">
        <f>IF($X20="","",INDEX('sheet2-计算明细'!$AR$17:$AR$330,$X20))</f>
        <v/>
      </c>
      <c r="U20" s="20">
        <f>IF(S20=0,"",ROUND(T20/S20,2))</f>
        <v/>
      </c>
      <c r="V20" s="20">
        <f>IF(S20=100%,T20,"")</f>
        <v/>
      </c>
      <c r="W20" s="22">
        <f>IF($X20="","",INDEX('sheet2-计算明细'!$AU$17:$AU$330,$X20))</f>
        <v/>
      </c>
      <c r="X20" s="18">
        <f>IF($A20&gt;COUNT('sheet2-计算明细'!$AT$17:$AT$330),"",MATCH($A20,'sheet2-计算明细'!$AT$17:$AT$330,0))</f>
        <v/>
      </c>
    </row>
    <row r="21" ht="28" customHeight="1" s="73">
      <c r="A21" s="2" t="n">
        <v>16</v>
      </c>
      <c r="B21" s="18">
        <f>IF($X21="","",INDEX('sheet2-计算明细'!$B$17:$B$330,$X21))</f>
        <v/>
      </c>
      <c r="C21" s="18">
        <f>IF($X21="","",INDEX('sheet2-计算明细'!$C$17:$C$330,$X21))</f>
        <v/>
      </c>
      <c r="D21" s="18">
        <f>IF($X21="","",INDEX('sheet2-计算明细'!$D$17:$D$330,$X21))</f>
        <v/>
      </c>
      <c r="E21" s="18">
        <f>IF($X21="","",INDEX('sheet2-计算明细'!$G$17:$G$330,$X21))</f>
        <v/>
      </c>
      <c r="F21" s="19">
        <f>IF($X21="","",INDEX('sheet2-计算明细'!$I$17:$I$330,$X21))</f>
        <v/>
      </c>
      <c r="G21" s="19">
        <f>IF($X21="","",INDEX('sheet2-计算明细'!$K$17:$K$330,$X21))</f>
        <v/>
      </c>
      <c r="H21" s="19">
        <f>IF($X21="","",INDEX('sheet2-计算明细'!$L$17:$L$330,$X21))</f>
        <v/>
      </c>
      <c r="I21" s="19">
        <f>IF($X21="","",INDEX('sheet2-计算明细'!$S$17:$S$330,$X21))</f>
        <v/>
      </c>
      <c r="J21" s="19">
        <f>IF($X21="","",INDEX('sheet2-计算明细'!$Y$17:$Y$330,$X21))</f>
        <v/>
      </c>
      <c r="K21" s="19">
        <f>IF($X21="","",INDEX('sheet2-计算明细'!$AC$17:$AC$330,$X21))</f>
        <v/>
      </c>
      <c r="L21" s="19">
        <f>IF($X21="","",INDEX('sheet2-计算明细'!$AI$17:$AI$330,$X21))</f>
        <v/>
      </c>
      <c r="M21" s="19">
        <f>IF($X21="","",INDEX('sheet2-计算明细'!$AK$17:$AK$330,$X21))</f>
        <v/>
      </c>
      <c r="N21" s="20">
        <f>IF(COUNT(F21:H21)=0,"",ROUND((IF(ISNUMBER(F21),F21*40%,0)+IF(ISNUMBER(G21),G21*30%,0)+IF(ISNUMBER(H21),H21*30%,0))/(IF(ISNUMBER(F21),40%,0)+IF(ISNUMBER(G21),30%,0)+IF(ISNUMBER(H21),30%,0)),2))</f>
        <v/>
      </c>
      <c r="O21" s="20">
        <f>IF(COUNT(I21:J21)=0,"",ROUND((IF(ISNUMBER(I21),I21*70%,0)+IF(ISNUMBER(J21),J21*30%,0))/(IF(ISNUMBER(I21),70%,0)+IF(ISNUMBER(J21),30%,0)),2))</f>
        <v/>
      </c>
      <c r="P21" s="20">
        <f>K21</f>
        <v/>
      </c>
      <c r="Q21" s="20">
        <f>L21</f>
        <v/>
      </c>
      <c r="R21" s="20">
        <f>M21</f>
        <v/>
      </c>
      <c r="S21" s="93">
        <f>IF($X21="","",INDEX('sheet2-计算明细'!$AQ$17:$AQ$330,$X21))</f>
        <v/>
      </c>
      <c r="T21" s="19">
        <f>IF($X21="","",INDEX('sheet2-计算明细'!$AR$17:$AR$330,$X21))</f>
        <v/>
      </c>
      <c r="U21" s="20">
        <f>IF(S21=0,"",ROUND(T21/S21,2))</f>
        <v/>
      </c>
      <c r="V21" s="20">
        <f>IF(S21=100%,T21,"")</f>
        <v/>
      </c>
      <c r="W21" s="22">
        <f>IF($X21="","",INDEX('sheet2-计算明细'!$AU$17:$AU$330,$X21))</f>
        <v/>
      </c>
      <c r="X21" s="18">
        <f>IF($A21&gt;COUNT('sheet2-计算明细'!$AT$17:$AT$330),"",MATCH($A21,'sheet2-计算明细'!$AT$17:$AT$330,0))</f>
        <v/>
      </c>
    </row>
    <row r="22" ht="28" customHeight="1" s="73">
      <c r="A22" s="2" t="n">
        <v>17</v>
      </c>
      <c r="B22" s="18">
        <f>IF($X22="","",INDEX('sheet2-计算明细'!$B$17:$B$330,$X22))</f>
        <v/>
      </c>
      <c r="C22" s="18">
        <f>IF($X22="","",INDEX('sheet2-计算明细'!$C$17:$C$330,$X22))</f>
        <v/>
      </c>
      <c r="D22" s="18">
        <f>IF($X22="","",INDEX('sheet2-计算明细'!$D$17:$D$330,$X22))</f>
        <v/>
      </c>
      <c r="E22" s="18">
        <f>IF($X22="","",INDEX('sheet2-计算明细'!$G$17:$G$330,$X22))</f>
        <v/>
      </c>
      <c r="F22" s="19">
        <f>IF($X22="","",INDEX('sheet2-计算明细'!$I$17:$I$330,$X22))</f>
        <v/>
      </c>
      <c r="G22" s="19">
        <f>IF($X22="","",INDEX('sheet2-计算明细'!$K$17:$K$330,$X22))</f>
        <v/>
      </c>
      <c r="H22" s="19">
        <f>IF($X22="","",INDEX('sheet2-计算明细'!$L$17:$L$330,$X22))</f>
        <v/>
      </c>
      <c r="I22" s="19">
        <f>IF($X22="","",INDEX('sheet2-计算明细'!$S$17:$S$330,$X22))</f>
        <v/>
      </c>
      <c r="J22" s="19">
        <f>IF($X22="","",INDEX('sheet2-计算明细'!$Y$17:$Y$330,$X22))</f>
        <v/>
      </c>
      <c r="K22" s="19">
        <f>IF($X22="","",INDEX('sheet2-计算明细'!$AC$17:$AC$330,$X22))</f>
        <v/>
      </c>
      <c r="L22" s="19">
        <f>IF($X22="","",INDEX('sheet2-计算明细'!$AI$17:$AI$330,$X22))</f>
        <v/>
      </c>
      <c r="M22" s="19">
        <f>IF($X22="","",INDEX('sheet2-计算明细'!$AK$17:$AK$330,$X22))</f>
        <v/>
      </c>
      <c r="N22" s="20">
        <f>IF(COUNT(F22:H22)=0,"",ROUND((IF(ISNUMBER(F22),F22*40%,0)+IF(ISNUMBER(G22),G22*30%,0)+IF(ISNUMBER(H22),H22*30%,0))/(IF(ISNUMBER(F22),40%,0)+IF(ISNUMBER(G22),30%,0)+IF(ISNUMBER(H22),30%,0)),2))</f>
        <v/>
      </c>
      <c r="O22" s="20">
        <f>IF(COUNT(I22:J22)=0,"",ROUND((IF(ISNUMBER(I22),I22*70%,0)+IF(ISNUMBER(J22),J22*30%,0))/(IF(ISNUMBER(I22),70%,0)+IF(ISNUMBER(J22),30%,0)),2))</f>
        <v/>
      </c>
      <c r="P22" s="20">
        <f>K22</f>
        <v/>
      </c>
      <c r="Q22" s="20">
        <f>L22</f>
        <v/>
      </c>
      <c r="R22" s="20">
        <f>M22</f>
        <v/>
      </c>
      <c r="S22" s="93">
        <f>IF($X22="","",INDEX('sheet2-计算明细'!$AQ$17:$AQ$330,$X22))</f>
        <v/>
      </c>
      <c r="T22" s="19">
        <f>IF($X22="","",INDEX('sheet2-计算明细'!$AR$17:$AR$330,$X22))</f>
        <v/>
      </c>
      <c r="U22" s="20">
        <f>IF(S22=0,"",ROUND(T22/S22,2))</f>
        <v/>
      </c>
      <c r="V22" s="20">
        <f>IF(S22=100%,T22,"")</f>
        <v/>
      </c>
      <c r="W22" s="22">
        <f>IF($X22="","",INDEX('sheet2-计算明细'!$AU$17:$AU$330,$X22))</f>
        <v/>
      </c>
      <c r="X22" s="18">
        <f>IF($A22&gt;COUNT('sheet2-计算明细'!$AT$17:$AT$330),"",MATCH($A22,'sheet2-计算明细'!$AT$17:$AT$330,0))</f>
        <v/>
      </c>
    </row>
    <row r="23" ht="28" customHeight="1" s="73">
      <c r="A23" s="2" t="n">
        <v>18</v>
      </c>
      <c r="B23" s="18">
        <f>IF($X23="","",INDEX('sheet2-计算明细'!$B$17:$B$330,$X23))</f>
        <v/>
      </c>
      <c r="C23" s="18">
        <f>IF($X23="","",INDEX('sheet2-计算明细'!$C$17:$C$330,$X23))</f>
        <v/>
      </c>
      <c r="D23" s="18">
        <f>IF($X23="","",INDEX('sheet2-计算明细'!$D$17:$D$330,$X23))</f>
        <v/>
      </c>
      <c r="E23" s="18">
        <f>IF($X23="","",INDEX('sheet2-计算明细'!$G$17:$G$330,$X23))</f>
        <v/>
      </c>
      <c r="F23" s="19">
        <f>IF($X23="","",INDEX('sheet2-计算明细'!$I$17:$I$330,$X23))</f>
        <v/>
      </c>
      <c r="G23" s="19">
        <f>IF($X23="","",INDEX('sheet2-计算明细'!$K$17:$K$330,$X23))</f>
        <v/>
      </c>
      <c r="H23" s="19">
        <f>IF($X23="","",INDEX('sheet2-计算明细'!$L$17:$L$330,$X23))</f>
        <v/>
      </c>
      <c r="I23" s="19">
        <f>IF($X23="","",INDEX('sheet2-计算明细'!$S$17:$S$330,$X23))</f>
        <v/>
      </c>
      <c r="J23" s="19">
        <f>IF($X23="","",INDEX('sheet2-计算明细'!$Y$17:$Y$330,$X23))</f>
        <v/>
      </c>
      <c r="K23" s="19">
        <f>IF($X23="","",INDEX('sheet2-计算明细'!$AC$17:$AC$330,$X23))</f>
        <v/>
      </c>
      <c r="L23" s="19">
        <f>IF($X23="","",INDEX('sheet2-计算明细'!$AI$17:$AI$330,$X23))</f>
        <v/>
      </c>
      <c r="M23" s="19">
        <f>IF($X23="","",INDEX('sheet2-计算明细'!$AK$17:$AK$330,$X23))</f>
        <v/>
      </c>
      <c r="N23" s="20">
        <f>IF(COUNT(F23:H23)=0,"",ROUND((IF(ISNUMBER(F23),F23*40%,0)+IF(ISNUMBER(G23),G23*30%,0)+IF(ISNUMBER(H23),H23*30%,0))/(IF(ISNUMBER(F23),40%,0)+IF(ISNUMBER(G23),30%,0)+IF(ISNUMBER(H23),30%,0)),2))</f>
        <v/>
      </c>
      <c r="O23" s="20">
        <f>IF(COUNT(I23:J23)=0,"",ROUND((IF(ISNUMBER(I23),I23*70%,0)+IF(ISNUMBER(J23),J23*30%,0))/(IF(ISNUMBER(I23),70%,0)+IF(ISNUMBER(J23),30%,0)),2))</f>
        <v/>
      </c>
      <c r="P23" s="20">
        <f>K23</f>
        <v/>
      </c>
      <c r="Q23" s="20">
        <f>L23</f>
        <v/>
      </c>
      <c r="R23" s="20">
        <f>M23</f>
        <v/>
      </c>
      <c r="S23" s="93">
        <f>IF($X23="","",INDEX('sheet2-计算明细'!$AQ$17:$AQ$330,$X23))</f>
        <v/>
      </c>
      <c r="T23" s="19">
        <f>IF($X23="","",INDEX('sheet2-计算明细'!$AR$17:$AR$330,$X23))</f>
        <v/>
      </c>
      <c r="U23" s="20">
        <f>IF(S23=0,"",ROUND(T23/S23,2))</f>
        <v/>
      </c>
      <c r="V23" s="20">
        <f>IF(S23=100%,T23,"")</f>
        <v/>
      </c>
      <c r="W23" s="22">
        <f>IF($X23="","",INDEX('sheet2-计算明细'!$AU$17:$AU$330,$X23))</f>
        <v/>
      </c>
      <c r="X23" s="18">
        <f>IF($A23&gt;COUNT('sheet2-计算明细'!$AT$17:$AT$330),"",MATCH($A23,'sheet2-计算明细'!$AT$17:$AT$330,0))</f>
        <v/>
      </c>
    </row>
    <row r="24" ht="28" customHeight="1" s="73">
      <c r="A24" s="2" t="n">
        <v>19</v>
      </c>
      <c r="B24" s="18">
        <f>IF($X24="","",INDEX('sheet2-计算明细'!$B$17:$B$330,$X24))</f>
        <v/>
      </c>
      <c r="C24" s="18">
        <f>IF($X24="","",INDEX('sheet2-计算明细'!$C$17:$C$330,$X24))</f>
        <v/>
      </c>
      <c r="D24" s="18">
        <f>IF($X24="","",INDEX('sheet2-计算明细'!$D$17:$D$330,$X24))</f>
        <v/>
      </c>
      <c r="E24" s="18">
        <f>IF($X24="","",INDEX('sheet2-计算明细'!$G$17:$G$330,$X24))</f>
        <v/>
      </c>
      <c r="F24" s="19">
        <f>IF($X24="","",INDEX('sheet2-计算明细'!$I$17:$I$330,$X24))</f>
        <v/>
      </c>
      <c r="G24" s="19">
        <f>IF($X24="","",INDEX('sheet2-计算明细'!$K$17:$K$330,$X24))</f>
        <v/>
      </c>
      <c r="H24" s="19">
        <f>IF($X24="","",INDEX('sheet2-计算明细'!$L$17:$L$330,$X24))</f>
        <v/>
      </c>
      <c r="I24" s="19">
        <f>IF($X24="","",INDEX('sheet2-计算明细'!$S$17:$S$330,$X24))</f>
        <v/>
      </c>
      <c r="J24" s="19">
        <f>IF($X24="","",INDEX('sheet2-计算明细'!$Y$17:$Y$330,$X24))</f>
        <v/>
      </c>
      <c r="K24" s="19">
        <f>IF($X24="","",INDEX('sheet2-计算明细'!$AC$17:$AC$330,$X24))</f>
        <v/>
      </c>
      <c r="L24" s="19">
        <f>IF($X24="","",INDEX('sheet2-计算明细'!$AI$17:$AI$330,$X24))</f>
        <v/>
      </c>
      <c r="M24" s="19">
        <f>IF($X24="","",INDEX('sheet2-计算明细'!$AK$17:$AK$330,$X24))</f>
        <v/>
      </c>
      <c r="N24" s="20">
        <f>IF(COUNT(F24:H24)=0,"",ROUND((IF(ISNUMBER(F24),F24*40%,0)+IF(ISNUMBER(G24),G24*30%,0)+IF(ISNUMBER(H24),H24*30%,0))/(IF(ISNUMBER(F24),40%,0)+IF(ISNUMBER(G24),30%,0)+IF(ISNUMBER(H24),30%,0)),2))</f>
        <v/>
      </c>
      <c r="O24" s="20">
        <f>IF(COUNT(I24:J24)=0,"",ROUND((IF(ISNUMBER(I24),I24*70%,0)+IF(ISNUMBER(J24),J24*30%,0))/(IF(ISNUMBER(I24),70%,0)+IF(ISNUMBER(J24),30%,0)),2))</f>
        <v/>
      </c>
      <c r="P24" s="20">
        <f>K24</f>
        <v/>
      </c>
      <c r="Q24" s="20">
        <f>L24</f>
        <v/>
      </c>
      <c r="R24" s="20">
        <f>M24</f>
        <v/>
      </c>
      <c r="S24" s="93">
        <f>IF($X24="","",INDEX('sheet2-计算明细'!$AQ$17:$AQ$330,$X24))</f>
        <v/>
      </c>
      <c r="T24" s="19">
        <f>IF($X24="","",INDEX('sheet2-计算明细'!$AR$17:$AR$330,$X24))</f>
        <v/>
      </c>
      <c r="U24" s="20">
        <f>IF(S24=0,"",ROUND(T24/S24,2))</f>
        <v/>
      </c>
      <c r="V24" s="20">
        <f>IF(S24=100%,T24,"")</f>
        <v/>
      </c>
      <c r="W24" s="22">
        <f>IF($X24="","",INDEX('sheet2-计算明细'!$AU$17:$AU$330,$X24))</f>
        <v/>
      </c>
      <c r="X24" s="18">
        <f>IF($A24&gt;COUNT('sheet2-计算明细'!$AT$17:$AT$330),"",MATCH($A24,'sheet2-计算明细'!$AT$17:$AT$330,0))</f>
        <v/>
      </c>
    </row>
    <row r="25" ht="28" customHeight="1" s="73">
      <c r="A25" s="2" t="n">
        <v>20</v>
      </c>
      <c r="B25" s="18">
        <f>IF($X25="","",INDEX('sheet2-计算明细'!$B$17:$B$330,$X25))</f>
        <v/>
      </c>
      <c r="C25" s="18">
        <f>IF($X25="","",INDEX('sheet2-计算明细'!$C$17:$C$330,$X25))</f>
        <v/>
      </c>
      <c r="D25" s="18">
        <f>IF($X25="","",INDEX('sheet2-计算明细'!$D$17:$D$330,$X25))</f>
        <v/>
      </c>
      <c r="E25" s="18">
        <f>IF($X25="","",INDEX('sheet2-计算明细'!$G$17:$G$330,$X25))</f>
        <v/>
      </c>
      <c r="F25" s="19">
        <f>IF($X25="","",INDEX('sheet2-计算明细'!$I$17:$I$330,$X25))</f>
        <v/>
      </c>
      <c r="G25" s="19">
        <f>IF($X25="","",INDEX('sheet2-计算明细'!$K$17:$K$330,$X25))</f>
        <v/>
      </c>
      <c r="H25" s="19">
        <f>IF($X25="","",INDEX('sheet2-计算明细'!$L$17:$L$330,$X25))</f>
        <v/>
      </c>
      <c r="I25" s="19">
        <f>IF($X25="","",INDEX('sheet2-计算明细'!$S$17:$S$330,$X25))</f>
        <v/>
      </c>
      <c r="J25" s="19">
        <f>IF($X25="","",INDEX('sheet2-计算明细'!$Y$17:$Y$330,$X25))</f>
        <v/>
      </c>
      <c r="K25" s="19">
        <f>IF($X25="","",INDEX('sheet2-计算明细'!$AC$17:$AC$330,$X25))</f>
        <v/>
      </c>
      <c r="L25" s="19">
        <f>IF($X25="","",INDEX('sheet2-计算明细'!$AI$17:$AI$330,$X25))</f>
        <v/>
      </c>
      <c r="M25" s="19">
        <f>IF($X25="","",INDEX('sheet2-计算明细'!$AK$17:$AK$330,$X25))</f>
        <v/>
      </c>
      <c r="N25" s="20">
        <f>IF(COUNT(F25:H25)=0,"",ROUND((IF(ISNUMBER(F25),F25*40%,0)+IF(ISNUMBER(G25),G25*30%,0)+IF(ISNUMBER(H25),H25*30%,0))/(IF(ISNUMBER(F25),40%,0)+IF(ISNUMBER(G25),30%,0)+IF(ISNUMBER(H25),30%,0)),2))</f>
        <v/>
      </c>
      <c r="O25" s="20">
        <f>IF(COUNT(I25:J25)=0,"",ROUND((IF(ISNUMBER(I25),I25*70%,0)+IF(ISNUMBER(J25),J25*30%,0))/(IF(ISNUMBER(I25),70%,0)+IF(ISNUMBER(J25),30%,0)),2))</f>
        <v/>
      </c>
      <c r="P25" s="20">
        <f>K25</f>
        <v/>
      </c>
      <c r="Q25" s="20">
        <f>L25</f>
        <v/>
      </c>
      <c r="R25" s="20">
        <f>M25</f>
        <v/>
      </c>
      <c r="S25" s="93">
        <f>IF($X25="","",INDEX('sheet2-计算明细'!$AQ$17:$AQ$330,$X25))</f>
        <v/>
      </c>
      <c r="T25" s="19">
        <f>IF($X25="","",INDEX('sheet2-计算明细'!$AR$17:$AR$330,$X25))</f>
        <v/>
      </c>
      <c r="U25" s="20">
        <f>IF(S25=0,"",ROUND(T25/S25,2))</f>
        <v/>
      </c>
      <c r="V25" s="20">
        <f>IF(S25=100%,T25,"")</f>
        <v/>
      </c>
      <c r="W25" s="22">
        <f>IF($X25="","",INDEX('sheet2-计算明细'!$AU$17:$AU$330,$X25))</f>
        <v/>
      </c>
      <c r="X25" s="18">
        <f>IF($A25&gt;COUNT('sheet2-计算明细'!$AT$17:$AT$330),"",MATCH($A25,'sheet2-计算明细'!$AT$17:$AT$330,0))</f>
        <v/>
      </c>
    </row>
    <row r="26" ht="28" customHeight="1" s="73">
      <c r="A26" s="2" t="n">
        <v>21</v>
      </c>
      <c r="B26" s="18">
        <f>IF($X26="","",INDEX('sheet2-计算明细'!$B$17:$B$330,$X26))</f>
        <v/>
      </c>
      <c r="C26" s="18">
        <f>IF($X26="","",INDEX('sheet2-计算明细'!$C$17:$C$330,$X26))</f>
        <v/>
      </c>
      <c r="D26" s="18">
        <f>IF($X26="","",INDEX('sheet2-计算明细'!$D$17:$D$330,$X26))</f>
        <v/>
      </c>
      <c r="E26" s="18">
        <f>IF($X26="","",INDEX('sheet2-计算明细'!$G$17:$G$330,$X26))</f>
        <v/>
      </c>
      <c r="F26" s="19">
        <f>IF($X26="","",INDEX('sheet2-计算明细'!$I$17:$I$330,$X26))</f>
        <v/>
      </c>
      <c r="G26" s="19">
        <f>IF($X26="","",INDEX('sheet2-计算明细'!$K$17:$K$330,$X26))</f>
        <v/>
      </c>
      <c r="H26" s="19">
        <f>IF($X26="","",INDEX('sheet2-计算明细'!$L$17:$L$330,$X26))</f>
        <v/>
      </c>
      <c r="I26" s="19">
        <f>IF($X26="","",INDEX('sheet2-计算明细'!$S$17:$S$330,$X26))</f>
        <v/>
      </c>
      <c r="J26" s="19">
        <f>IF($X26="","",INDEX('sheet2-计算明细'!$Y$17:$Y$330,$X26))</f>
        <v/>
      </c>
      <c r="K26" s="19">
        <f>IF($X26="","",INDEX('sheet2-计算明细'!$AC$17:$AC$330,$X26))</f>
        <v/>
      </c>
      <c r="L26" s="19">
        <f>IF($X26="","",INDEX('sheet2-计算明细'!$AI$17:$AI$330,$X26))</f>
        <v/>
      </c>
      <c r="M26" s="19">
        <f>IF($X26="","",INDEX('sheet2-计算明细'!$AK$17:$AK$330,$X26))</f>
        <v/>
      </c>
      <c r="N26" s="20">
        <f>IF(COUNT(F26:H26)=0,"",ROUND((IF(ISNUMBER(F26),F26*40%,0)+IF(ISNUMBER(G26),G26*30%,0)+IF(ISNUMBER(H26),H26*30%,0))/(IF(ISNUMBER(F26),40%,0)+IF(ISNUMBER(G26),30%,0)+IF(ISNUMBER(H26),30%,0)),2))</f>
        <v/>
      </c>
      <c r="O26" s="20">
        <f>IF(COUNT(I26:J26)=0,"",ROUND((IF(ISNUMBER(I26),I26*70%,0)+IF(ISNUMBER(J26),J26*30%,0))/(IF(ISNUMBER(I26),70%,0)+IF(ISNUMBER(J26),30%,0)),2))</f>
        <v/>
      </c>
      <c r="P26" s="20">
        <f>K26</f>
        <v/>
      </c>
      <c r="Q26" s="20">
        <f>L26</f>
        <v/>
      </c>
      <c r="R26" s="20">
        <f>M26</f>
        <v/>
      </c>
      <c r="S26" s="93">
        <f>IF($X26="","",INDEX('sheet2-计算明细'!$AQ$17:$AQ$330,$X26))</f>
        <v/>
      </c>
      <c r="T26" s="19">
        <f>IF($X26="","",INDEX('sheet2-计算明细'!$AR$17:$AR$330,$X26))</f>
        <v/>
      </c>
      <c r="U26" s="20">
        <f>IF(S26=0,"",ROUND(T26/S26,2))</f>
        <v/>
      </c>
      <c r="V26" s="20">
        <f>IF(S26=100%,T26,"")</f>
        <v/>
      </c>
      <c r="W26" s="22">
        <f>IF($X26="","",INDEX('sheet2-计算明细'!$AU$17:$AU$330,$X26))</f>
        <v/>
      </c>
      <c r="X26" s="18">
        <f>IF($A26&gt;COUNT('sheet2-计算明细'!$AT$17:$AT$330),"",MATCH($A26,'sheet2-计算明细'!$AT$17:$AT$330,0))</f>
        <v/>
      </c>
    </row>
    <row r="27" ht="28" customHeight="1" s="73">
      <c r="A27" s="2" t="n">
        <v>22</v>
      </c>
      <c r="B27" s="18">
        <f>IF($X27="","",INDEX('sheet2-计算明细'!$B$17:$B$330,$X27))</f>
        <v/>
      </c>
      <c r="C27" s="18">
        <f>IF($X27="","",INDEX('sheet2-计算明细'!$C$17:$C$330,$X27))</f>
        <v/>
      </c>
      <c r="D27" s="18">
        <f>IF($X27="","",INDEX('sheet2-计算明细'!$D$17:$D$330,$X27))</f>
        <v/>
      </c>
      <c r="E27" s="18">
        <f>IF($X27="","",INDEX('sheet2-计算明细'!$G$17:$G$330,$X27))</f>
        <v/>
      </c>
      <c r="F27" s="19">
        <f>IF($X27="","",INDEX('sheet2-计算明细'!$I$17:$I$330,$X27))</f>
        <v/>
      </c>
      <c r="G27" s="19">
        <f>IF($X27="","",INDEX('sheet2-计算明细'!$K$17:$K$330,$X27))</f>
        <v/>
      </c>
      <c r="H27" s="19">
        <f>IF($X27="","",INDEX('sheet2-计算明细'!$L$17:$L$330,$X27))</f>
        <v/>
      </c>
      <c r="I27" s="19">
        <f>IF($X27="","",INDEX('sheet2-计算明细'!$S$17:$S$330,$X27))</f>
        <v/>
      </c>
      <c r="J27" s="19">
        <f>IF($X27="","",INDEX('sheet2-计算明细'!$Y$17:$Y$330,$X27))</f>
        <v/>
      </c>
      <c r="K27" s="19">
        <f>IF($X27="","",INDEX('sheet2-计算明细'!$AC$17:$AC$330,$X27))</f>
        <v/>
      </c>
      <c r="L27" s="19">
        <f>IF($X27="","",INDEX('sheet2-计算明细'!$AI$17:$AI$330,$X27))</f>
        <v/>
      </c>
      <c r="M27" s="19">
        <f>IF($X27="","",INDEX('sheet2-计算明细'!$AK$17:$AK$330,$X27))</f>
        <v/>
      </c>
      <c r="N27" s="20">
        <f>IF(COUNT(F27:H27)=0,"",ROUND((IF(ISNUMBER(F27),F27*40%,0)+IF(ISNUMBER(G27),G27*30%,0)+IF(ISNUMBER(H27),H27*30%,0))/(IF(ISNUMBER(F27),40%,0)+IF(ISNUMBER(G27),30%,0)+IF(ISNUMBER(H27),30%,0)),2))</f>
        <v/>
      </c>
      <c r="O27" s="20">
        <f>IF(COUNT(I27:J27)=0,"",ROUND((IF(ISNUMBER(I27),I27*70%,0)+IF(ISNUMBER(J27),J27*30%,0))/(IF(ISNUMBER(I27),70%,0)+IF(ISNUMBER(J27),30%,0)),2))</f>
        <v/>
      </c>
      <c r="P27" s="20">
        <f>K27</f>
        <v/>
      </c>
      <c r="Q27" s="20">
        <f>L27</f>
        <v/>
      </c>
      <c r="R27" s="20">
        <f>M27</f>
        <v/>
      </c>
      <c r="S27" s="93">
        <f>IF($X27="","",INDEX('sheet2-计算明细'!$AQ$17:$AQ$330,$X27))</f>
        <v/>
      </c>
      <c r="T27" s="19">
        <f>IF($X27="","",INDEX('sheet2-计算明细'!$AR$17:$AR$330,$X27))</f>
        <v/>
      </c>
      <c r="U27" s="20">
        <f>IF(S27=0,"",ROUND(T27/S27,2))</f>
        <v/>
      </c>
      <c r="V27" s="20">
        <f>IF(S27=100%,T27,"")</f>
        <v/>
      </c>
      <c r="W27" s="22">
        <f>IF($X27="","",INDEX('sheet2-计算明细'!$AU$17:$AU$330,$X27))</f>
        <v/>
      </c>
      <c r="X27" s="18">
        <f>IF($A27&gt;COUNT('sheet2-计算明细'!$AT$17:$AT$330),"",MATCH($A27,'sheet2-计算明细'!$AT$17:$AT$330,0))</f>
        <v/>
      </c>
    </row>
    <row r="28" ht="28" customHeight="1" s="73">
      <c r="A28" s="2" t="n">
        <v>23</v>
      </c>
      <c r="B28" s="18">
        <f>IF($X28="","",INDEX('sheet2-计算明细'!$B$17:$B$330,$X28))</f>
        <v/>
      </c>
      <c r="C28" s="18">
        <f>IF($X28="","",INDEX('sheet2-计算明细'!$C$17:$C$330,$X28))</f>
        <v/>
      </c>
      <c r="D28" s="18">
        <f>IF($X28="","",INDEX('sheet2-计算明细'!$D$17:$D$330,$X28))</f>
        <v/>
      </c>
      <c r="E28" s="18">
        <f>IF($X28="","",INDEX('sheet2-计算明细'!$G$17:$G$330,$X28))</f>
        <v/>
      </c>
      <c r="F28" s="19">
        <f>IF($X28="","",INDEX('sheet2-计算明细'!$I$17:$I$330,$X28))</f>
        <v/>
      </c>
      <c r="G28" s="19">
        <f>IF($X28="","",INDEX('sheet2-计算明细'!$K$17:$K$330,$X28))</f>
        <v/>
      </c>
      <c r="H28" s="19">
        <f>IF($X28="","",INDEX('sheet2-计算明细'!$L$17:$L$330,$X28))</f>
        <v/>
      </c>
      <c r="I28" s="19">
        <f>IF($X28="","",INDEX('sheet2-计算明细'!$S$17:$S$330,$X28))</f>
        <v/>
      </c>
      <c r="J28" s="19">
        <f>IF($X28="","",INDEX('sheet2-计算明细'!$Y$17:$Y$330,$X28))</f>
        <v/>
      </c>
      <c r="K28" s="19">
        <f>IF($X28="","",INDEX('sheet2-计算明细'!$AC$17:$AC$330,$X28))</f>
        <v/>
      </c>
      <c r="L28" s="19">
        <f>IF($X28="","",INDEX('sheet2-计算明细'!$AI$17:$AI$330,$X28))</f>
        <v/>
      </c>
      <c r="M28" s="19">
        <f>IF($X28="","",INDEX('sheet2-计算明细'!$AK$17:$AK$330,$X28))</f>
        <v/>
      </c>
      <c r="N28" s="20">
        <f>IF(COUNT(F28:H28)=0,"",ROUND((IF(ISNUMBER(F28),F28*40%,0)+IF(ISNUMBER(G28),G28*30%,0)+IF(ISNUMBER(H28),H28*30%,0))/(IF(ISNUMBER(F28),40%,0)+IF(ISNUMBER(G28),30%,0)+IF(ISNUMBER(H28),30%,0)),2))</f>
        <v/>
      </c>
      <c r="O28" s="20">
        <f>IF(COUNT(I28:J28)=0,"",ROUND((IF(ISNUMBER(I28),I28*70%,0)+IF(ISNUMBER(J28),J28*30%,0))/(IF(ISNUMBER(I28),70%,0)+IF(ISNUMBER(J28),30%,0)),2))</f>
        <v/>
      </c>
      <c r="P28" s="20">
        <f>K28</f>
        <v/>
      </c>
      <c r="Q28" s="20">
        <f>L28</f>
        <v/>
      </c>
      <c r="R28" s="20">
        <f>M28</f>
        <v/>
      </c>
      <c r="S28" s="93">
        <f>IF($X28="","",INDEX('sheet2-计算明细'!$AQ$17:$AQ$330,$X28))</f>
        <v/>
      </c>
      <c r="T28" s="19">
        <f>IF($X28="","",INDEX('sheet2-计算明细'!$AR$17:$AR$330,$X28))</f>
        <v/>
      </c>
      <c r="U28" s="20">
        <f>IF(S28=0,"",ROUND(T28/S28,2))</f>
        <v/>
      </c>
      <c r="V28" s="20">
        <f>IF(S28=100%,T28,"")</f>
        <v/>
      </c>
      <c r="W28" s="22">
        <f>IF($X28="","",INDEX('sheet2-计算明细'!$AU$17:$AU$330,$X28))</f>
        <v/>
      </c>
      <c r="X28" s="18">
        <f>IF($A28&gt;COUNT('sheet2-计算明细'!$AT$17:$AT$330),"",MATCH($A28,'sheet2-计算明细'!$AT$17:$AT$330,0))</f>
        <v/>
      </c>
    </row>
    <row r="29" ht="28" customHeight="1" s="73">
      <c r="A29" s="2" t="n">
        <v>24</v>
      </c>
      <c r="B29" s="18">
        <f>IF($X29="","",INDEX('sheet2-计算明细'!$B$17:$B$330,$X29))</f>
        <v/>
      </c>
      <c r="C29" s="18">
        <f>IF($X29="","",INDEX('sheet2-计算明细'!$C$17:$C$330,$X29))</f>
        <v/>
      </c>
      <c r="D29" s="18">
        <f>IF($X29="","",INDEX('sheet2-计算明细'!$D$17:$D$330,$X29))</f>
        <v/>
      </c>
      <c r="E29" s="18">
        <f>IF($X29="","",INDEX('sheet2-计算明细'!$G$17:$G$330,$X29))</f>
        <v/>
      </c>
      <c r="F29" s="19">
        <f>IF($X29="","",INDEX('sheet2-计算明细'!$I$17:$I$330,$X29))</f>
        <v/>
      </c>
      <c r="G29" s="19">
        <f>IF($X29="","",INDEX('sheet2-计算明细'!$K$17:$K$330,$X29))</f>
        <v/>
      </c>
      <c r="H29" s="19">
        <f>IF($X29="","",INDEX('sheet2-计算明细'!$L$17:$L$330,$X29))</f>
        <v/>
      </c>
      <c r="I29" s="19">
        <f>IF($X29="","",INDEX('sheet2-计算明细'!$S$17:$S$330,$X29))</f>
        <v/>
      </c>
      <c r="J29" s="19">
        <f>IF($X29="","",INDEX('sheet2-计算明细'!$Y$17:$Y$330,$X29))</f>
        <v/>
      </c>
      <c r="K29" s="19">
        <f>IF($X29="","",INDEX('sheet2-计算明细'!$AC$17:$AC$330,$X29))</f>
        <v/>
      </c>
      <c r="L29" s="19">
        <f>IF($X29="","",INDEX('sheet2-计算明细'!$AI$17:$AI$330,$X29))</f>
        <v/>
      </c>
      <c r="M29" s="19">
        <f>IF($X29="","",INDEX('sheet2-计算明细'!$AK$17:$AK$330,$X29))</f>
        <v/>
      </c>
      <c r="N29" s="20">
        <f>IF(COUNT(F29:H29)=0,"",ROUND((IF(ISNUMBER(F29),F29*40%,0)+IF(ISNUMBER(G29),G29*30%,0)+IF(ISNUMBER(H29),H29*30%,0))/(IF(ISNUMBER(F29),40%,0)+IF(ISNUMBER(G29),30%,0)+IF(ISNUMBER(H29),30%,0)),2))</f>
        <v/>
      </c>
      <c r="O29" s="20">
        <f>IF(COUNT(I29:J29)=0,"",ROUND((IF(ISNUMBER(I29),I29*70%,0)+IF(ISNUMBER(J29),J29*30%,0))/(IF(ISNUMBER(I29),70%,0)+IF(ISNUMBER(J29),30%,0)),2))</f>
        <v/>
      </c>
      <c r="P29" s="20">
        <f>K29</f>
        <v/>
      </c>
      <c r="Q29" s="20">
        <f>L29</f>
        <v/>
      </c>
      <c r="R29" s="20">
        <f>M29</f>
        <v/>
      </c>
      <c r="S29" s="93">
        <f>IF($X29="","",INDEX('sheet2-计算明细'!$AQ$17:$AQ$330,$X29))</f>
        <v/>
      </c>
      <c r="T29" s="19">
        <f>IF($X29="","",INDEX('sheet2-计算明细'!$AR$17:$AR$330,$X29))</f>
        <v/>
      </c>
      <c r="U29" s="20">
        <f>IF(S29=0,"",ROUND(T29/S29,2))</f>
        <v/>
      </c>
      <c r="V29" s="20">
        <f>IF(S29=100%,T29,"")</f>
        <v/>
      </c>
      <c r="W29" s="22">
        <f>IF($X29="","",INDEX('sheet2-计算明细'!$AU$17:$AU$330,$X29))</f>
        <v/>
      </c>
      <c r="X29" s="18">
        <f>IF($A29&gt;COUNT('sheet2-计算明细'!$AT$17:$AT$330),"",MATCH($A29,'sheet2-计算明细'!$AT$17:$AT$330,0))</f>
        <v/>
      </c>
    </row>
    <row r="30" ht="28" customHeight="1" s="73">
      <c r="A30" s="2" t="n">
        <v>25</v>
      </c>
      <c r="B30" s="18">
        <f>IF($X30="","",INDEX('sheet2-计算明细'!$B$17:$B$330,$X30))</f>
        <v/>
      </c>
      <c r="C30" s="18">
        <f>IF($X30="","",INDEX('sheet2-计算明细'!$C$17:$C$330,$X30))</f>
        <v/>
      </c>
      <c r="D30" s="18">
        <f>IF($X30="","",INDEX('sheet2-计算明细'!$D$17:$D$330,$X30))</f>
        <v/>
      </c>
      <c r="E30" s="18">
        <f>IF($X30="","",INDEX('sheet2-计算明细'!$G$17:$G$330,$X30))</f>
        <v/>
      </c>
      <c r="F30" s="19">
        <f>IF($X30="","",INDEX('sheet2-计算明细'!$I$17:$I$330,$X30))</f>
        <v/>
      </c>
      <c r="G30" s="19">
        <f>IF($X30="","",INDEX('sheet2-计算明细'!$K$17:$K$330,$X30))</f>
        <v/>
      </c>
      <c r="H30" s="19">
        <f>IF($X30="","",INDEX('sheet2-计算明细'!$L$17:$L$330,$X30))</f>
        <v/>
      </c>
      <c r="I30" s="19">
        <f>IF($X30="","",INDEX('sheet2-计算明细'!$S$17:$S$330,$X30))</f>
        <v/>
      </c>
      <c r="J30" s="19">
        <f>IF($X30="","",INDEX('sheet2-计算明细'!$Y$17:$Y$330,$X30))</f>
        <v/>
      </c>
      <c r="K30" s="19">
        <f>IF($X30="","",INDEX('sheet2-计算明细'!$AC$17:$AC$330,$X30))</f>
        <v/>
      </c>
      <c r="L30" s="19">
        <f>IF($X30="","",INDEX('sheet2-计算明细'!$AI$17:$AI$330,$X30))</f>
        <v/>
      </c>
      <c r="M30" s="19">
        <f>IF($X30="","",INDEX('sheet2-计算明细'!$AK$17:$AK$330,$X30))</f>
        <v/>
      </c>
      <c r="N30" s="20">
        <f>IF(COUNT(F30:H30)=0,"",ROUND((IF(ISNUMBER(F30),F30*40%,0)+IF(ISNUMBER(G30),G30*30%,0)+IF(ISNUMBER(H30),H30*30%,0))/(IF(ISNUMBER(F30),40%,0)+IF(ISNUMBER(G30),30%,0)+IF(ISNUMBER(H30),30%,0)),2))</f>
        <v/>
      </c>
      <c r="O30" s="20">
        <f>IF(COUNT(I30:J30)=0,"",ROUND((IF(ISNUMBER(I30),I30*70%,0)+IF(ISNUMBER(J30),J30*30%,0))/(IF(ISNUMBER(I30),70%,0)+IF(ISNUMBER(J30),30%,0)),2))</f>
        <v/>
      </c>
      <c r="P30" s="20">
        <f>K30</f>
        <v/>
      </c>
      <c r="Q30" s="20">
        <f>L30</f>
        <v/>
      </c>
      <c r="R30" s="20">
        <f>M30</f>
        <v/>
      </c>
      <c r="S30" s="93">
        <f>IF($X30="","",INDEX('sheet2-计算明细'!$AQ$17:$AQ$330,$X30))</f>
        <v/>
      </c>
      <c r="T30" s="19">
        <f>IF($X30="","",INDEX('sheet2-计算明细'!$AR$17:$AR$330,$X30))</f>
        <v/>
      </c>
      <c r="U30" s="20">
        <f>IF(S30=0,"",ROUND(T30/S30,2))</f>
        <v/>
      </c>
      <c r="V30" s="20">
        <f>IF(S30=100%,T30,"")</f>
        <v/>
      </c>
      <c r="W30" s="22">
        <f>IF($X30="","",INDEX('sheet2-计算明细'!$AU$17:$AU$330,$X30))</f>
        <v/>
      </c>
      <c r="X30" s="18">
        <f>IF($A30&gt;COUNT('sheet2-计算明细'!$AT$17:$AT$330),"",MATCH($A30,'sheet2-计算明细'!$AT$17:$AT$330,0))</f>
        <v/>
      </c>
    </row>
    <row r="31" ht="28" customHeight="1" s="73">
      <c r="A31" s="2" t="n">
        <v>26</v>
      </c>
      <c r="B31" s="18">
        <f>IF($X31="","",INDEX('sheet2-计算明细'!$B$17:$B$330,$X31))</f>
        <v/>
      </c>
      <c r="C31" s="18">
        <f>IF($X31="","",INDEX('sheet2-计算明细'!$C$17:$C$330,$X31))</f>
        <v/>
      </c>
      <c r="D31" s="18">
        <f>IF($X31="","",INDEX('sheet2-计算明细'!$D$17:$D$330,$X31))</f>
        <v/>
      </c>
      <c r="E31" s="18">
        <f>IF($X31="","",INDEX('sheet2-计算明细'!$G$17:$G$330,$X31))</f>
        <v/>
      </c>
      <c r="F31" s="19">
        <f>IF($X31="","",INDEX('sheet2-计算明细'!$I$17:$I$330,$X31))</f>
        <v/>
      </c>
      <c r="G31" s="19">
        <f>IF($X31="","",INDEX('sheet2-计算明细'!$K$17:$K$330,$X31))</f>
        <v/>
      </c>
      <c r="H31" s="19">
        <f>IF($X31="","",INDEX('sheet2-计算明细'!$L$17:$L$330,$X31))</f>
        <v/>
      </c>
      <c r="I31" s="19">
        <f>IF($X31="","",INDEX('sheet2-计算明细'!$S$17:$S$330,$X31))</f>
        <v/>
      </c>
      <c r="J31" s="19">
        <f>IF($X31="","",INDEX('sheet2-计算明细'!$Y$17:$Y$330,$X31))</f>
        <v/>
      </c>
      <c r="K31" s="19">
        <f>IF($X31="","",INDEX('sheet2-计算明细'!$AC$17:$AC$330,$X31))</f>
        <v/>
      </c>
      <c r="L31" s="19">
        <f>IF($X31="","",INDEX('sheet2-计算明细'!$AI$17:$AI$330,$X31))</f>
        <v/>
      </c>
      <c r="M31" s="19">
        <f>IF($X31="","",INDEX('sheet2-计算明细'!$AK$17:$AK$330,$X31))</f>
        <v/>
      </c>
      <c r="N31" s="20">
        <f>IF(COUNT(F31:H31)=0,"",ROUND((IF(ISNUMBER(F31),F31*40%,0)+IF(ISNUMBER(G31),G31*30%,0)+IF(ISNUMBER(H31),H31*30%,0))/(IF(ISNUMBER(F31),40%,0)+IF(ISNUMBER(G31),30%,0)+IF(ISNUMBER(H31),30%,0)),2))</f>
        <v/>
      </c>
      <c r="O31" s="20">
        <f>IF(COUNT(I31:J31)=0,"",ROUND((IF(ISNUMBER(I31),I31*70%,0)+IF(ISNUMBER(J31),J31*30%,0))/(IF(ISNUMBER(I31),70%,0)+IF(ISNUMBER(J31),30%,0)),2))</f>
        <v/>
      </c>
      <c r="P31" s="20">
        <f>K31</f>
        <v/>
      </c>
      <c r="Q31" s="20">
        <f>L31</f>
        <v/>
      </c>
      <c r="R31" s="20">
        <f>M31</f>
        <v/>
      </c>
      <c r="S31" s="93">
        <f>IF($X31="","",INDEX('sheet2-计算明细'!$AQ$17:$AQ$330,$X31))</f>
        <v/>
      </c>
      <c r="T31" s="19">
        <f>IF($X31="","",INDEX('sheet2-计算明细'!$AR$17:$AR$330,$X31))</f>
        <v/>
      </c>
      <c r="U31" s="20">
        <f>IF(S31=0,"",ROUND(T31/S31,2))</f>
        <v/>
      </c>
      <c r="V31" s="20">
        <f>IF(S31=100%,T31,"")</f>
        <v/>
      </c>
      <c r="W31" s="22">
        <f>IF($X31="","",INDEX('sheet2-计算明细'!$AU$17:$AU$330,$X31))</f>
        <v/>
      </c>
      <c r="X31" s="18">
        <f>IF($A31&gt;COUNT('sheet2-计算明细'!$AT$17:$AT$330),"",MATCH($A31,'sheet2-计算明细'!$AT$17:$AT$330,0))</f>
        <v/>
      </c>
    </row>
    <row r="32" ht="28" customHeight="1" s="73">
      <c r="A32" s="2" t="n">
        <v>27</v>
      </c>
      <c r="B32" s="18">
        <f>IF($X32="","",INDEX('sheet2-计算明细'!$B$17:$B$330,$X32))</f>
        <v/>
      </c>
      <c r="C32" s="18">
        <f>IF($X32="","",INDEX('sheet2-计算明细'!$C$17:$C$330,$X32))</f>
        <v/>
      </c>
      <c r="D32" s="18">
        <f>IF($X32="","",INDEX('sheet2-计算明细'!$D$17:$D$330,$X32))</f>
        <v/>
      </c>
      <c r="E32" s="18">
        <f>IF($X32="","",INDEX('sheet2-计算明细'!$G$17:$G$330,$X32))</f>
        <v/>
      </c>
      <c r="F32" s="19">
        <f>IF($X32="","",INDEX('sheet2-计算明细'!$I$17:$I$330,$X32))</f>
        <v/>
      </c>
      <c r="G32" s="19">
        <f>IF($X32="","",INDEX('sheet2-计算明细'!$K$17:$K$330,$X32))</f>
        <v/>
      </c>
      <c r="H32" s="19">
        <f>IF($X32="","",INDEX('sheet2-计算明细'!$L$17:$L$330,$X32))</f>
        <v/>
      </c>
      <c r="I32" s="19">
        <f>IF($X32="","",INDEX('sheet2-计算明细'!$S$17:$S$330,$X32))</f>
        <v/>
      </c>
      <c r="J32" s="19">
        <f>IF($X32="","",INDEX('sheet2-计算明细'!$Y$17:$Y$330,$X32))</f>
        <v/>
      </c>
      <c r="K32" s="19">
        <f>IF($X32="","",INDEX('sheet2-计算明细'!$AC$17:$AC$330,$X32))</f>
        <v/>
      </c>
      <c r="L32" s="19">
        <f>IF($X32="","",INDEX('sheet2-计算明细'!$AI$17:$AI$330,$X32))</f>
        <v/>
      </c>
      <c r="M32" s="19">
        <f>IF($X32="","",INDEX('sheet2-计算明细'!$AK$17:$AK$330,$X32))</f>
        <v/>
      </c>
      <c r="N32" s="20">
        <f>IF(COUNT(F32:H32)=0,"",ROUND((IF(ISNUMBER(F32),F32*40%,0)+IF(ISNUMBER(G32),G32*30%,0)+IF(ISNUMBER(H32),H32*30%,0))/(IF(ISNUMBER(F32),40%,0)+IF(ISNUMBER(G32),30%,0)+IF(ISNUMBER(H32),30%,0)),2))</f>
        <v/>
      </c>
      <c r="O32" s="20">
        <f>IF(COUNT(I32:J32)=0,"",ROUND((IF(ISNUMBER(I32),I32*70%,0)+IF(ISNUMBER(J32),J32*30%,0))/(IF(ISNUMBER(I32),70%,0)+IF(ISNUMBER(J32),30%,0)),2))</f>
        <v/>
      </c>
      <c r="P32" s="20">
        <f>K32</f>
        <v/>
      </c>
      <c r="Q32" s="20">
        <f>L32</f>
        <v/>
      </c>
      <c r="R32" s="20">
        <f>M32</f>
        <v/>
      </c>
      <c r="S32" s="93">
        <f>IF($X32="","",INDEX('sheet2-计算明细'!$AQ$17:$AQ$330,$X32))</f>
        <v/>
      </c>
      <c r="T32" s="19">
        <f>IF($X32="","",INDEX('sheet2-计算明细'!$AR$17:$AR$330,$X32))</f>
        <v/>
      </c>
      <c r="U32" s="20">
        <f>IF(S32=0,"",ROUND(T32/S32,2))</f>
        <v/>
      </c>
      <c r="V32" s="20">
        <f>IF(S32=100%,T32,"")</f>
        <v/>
      </c>
      <c r="W32" s="22">
        <f>IF($X32="","",INDEX('sheet2-计算明细'!$AU$17:$AU$330,$X32))</f>
        <v/>
      </c>
      <c r="X32" s="18">
        <f>IF($A32&gt;COUNT('sheet2-计算明细'!$AT$17:$AT$330),"",MATCH($A32,'sheet2-计算明细'!$AT$17:$AT$330,0))</f>
        <v/>
      </c>
    </row>
    <row r="33" ht="28" customHeight="1" s="73">
      <c r="A33" s="2" t="n">
        <v>28</v>
      </c>
      <c r="B33" s="18">
        <f>IF($X33="","",INDEX('sheet2-计算明细'!$B$17:$B$330,$X33))</f>
        <v/>
      </c>
      <c r="C33" s="18">
        <f>IF($X33="","",INDEX('sheet2-计算明细'!$C$17:$C$330,$X33))</f>
        <v/>
      </c>
      <c r="D33" s="18">
        <f>IF($X33="","",INDEX('sheet2-计算明细'!$D$17:$D$330,$X33))</f>
        <v/>
      </c>
      <c r="E33" s="18">
        <f>IF($X33="","",INDEX('sheet2-计算明细'!$G$17:$G$330,$X33))</f>
        <v/>
      </c>
      <c r="F33" s="19">
        <f>IF($X33="","",INDEX('sheet2-计算明细'!$I$17:$I$330,$X33))</f>
        <v/>
      </c>
      <c r="G33" s="19">
        <f>IF($X33="","",INDEX('sheet2-计算明细'!$K$17:$K$330,$X33))</f>
        <v/>
      </c>
      <c r="H33" s="19">
        <f>IF($X33="","",INDEX('sheet2-计算明细'!$L$17:$L$330,$X33))</f>
        <v/>
      </c>
      <c r="I33" s="19">
        <f>IF($X33="","",INDEX('sheet2-计算明细'!$S$17:$S$330,$X33))</f>
        <v/>
      </c>
      <c r="J33" s="19">
        <f>IF($X33="","",INDEX('sheet2-计算明细'!$Y$17:$Y$330,$X33))</f>
        <v/>
      </c>
      <c r="K33" s="19">
        <f>IF($X33="","",INDEX('sheet2-计算明细'!$AC$17:$AC$330,$X33))</f>
        <v/>
      </c>
      <c r="L33" s="19">
        <f>IF($X33="","",INDEX('sheet2-计算明细'!$AI$17:$AI$330,$X33))</f>
        <v/>
      </c>
      <c r="M33" s="19">
        <f>IF($X33="","",INDEX('sheet2-计算明细'!$AK$17:$AK$330,$X33))</f>
        <v/>
      </c>
      <c r="N33" s="20">
        <f>IF(COUNT(F33:H33)=0,"",ROUND((IF(ISNUMBER(F33),F33*40%,0)+IF(ISNUMBER(G33),G33*30%,0)+IF(ISNUMBER(H33),H33*30%,0))/(IF(ISNUMBER(F33),40%,0)+IF(ISNUMBER(G33),30%,0)+IF(ISNUMBER(H33),30%,0)),2))</f>
        <v/>
      </c>
      <c r="O33" s="20">
        <f>IF(COUNT(I33:J33)=0,"",ROUND((IF(ISNUMBER(I33),I33*70%,0)+IF(ISNUMBER(J33),J33*30%,0))/(IF(ISNUMBER(I33),70%,0)+IF(ISNUMBER(J33),30%,0)),2))</f>
        <v/>
      </c>
      <c r="P33" s="20">
        <f>K33</f>
        <v/>
      </c>
      <c r="Q33" s="20">
        <f>L33</f>
        <v/>
      </c>
      <c r="R33" s="20">
        <f>M33</f>
        <v/>
      </c>
      <c r="S33" s="93">
        <f>IF($X33="","",INDEX('sheet2-计算明细'!$AQ$17:$AQ$330,$X33))</f>
        <v/>
      </c>
      <c r="T33" s="19">
        <f>IF($X33="","",INDEX('sheet2-计算明细'!$AR$17:$AR$330,$X33))</f>
        <v/>
      </c>
      <c r="U33" s="20">
        <f>IF(S33=0,"",ROUND(T33/S33,2))</f>
        <v/>
      </c>
      <c r="V33" s="20">
        <f>IF(S33=100%,T33,"")</f>
        <v/>
      </c>
      <c r="W33" s="22">
        <f>IF($X33="","",INDEX('sheet2-计算明细'!$AU$17:$AU$330,$X33))</f>
        <v/>
      </c>
      <c r="X33" s="18">
        <f>IF($A33&gt;COUNT('sheet2-计算明细'!$AT$17:$AT$330),"",MATCH($A33,'sheet2-计算明细'!$AT$17:$AT$330,0))</f>
        <v/>
      </c>
    </row>
    <row r="34" ht="28" customHeight="1" s="73">
      <c r="A34" s="2" t="n">
        <v>29</v>
      </c>
      <c r="B34" s="18">
        <f>IF($X34="","",INDEX('sheet2-计算明细'!$B$17:$B$330,$X34))</f>
        <v/>
      </c>
      <c r="C34" s="18">
        <f>IF($X34="","",INDEX('sheet2-计算明细'!$C$17:$C$330,$X34))</f>
        <v/>
      </c>
      <c r="D34" s="18">
        <f>IF($X34="","",INDEX('sheet2-计算明细'!$D$17:$D$330,$X34))</f>
        <v/>
      </c>
      <c r="E34" s="18">
        <f>IF($X34="","",INDEX('sheet2-计算明细'!$G$17:$G$330,$X34))</f>
        <v/>
      </c>
      <c r="F34" s="19">
        <f>IF($X34="","",INDEX('sheet2-计算明细'!$I$17:$I$330,$X34))</f>
        <v/>
      </c>
      <c r="G34" s="19">
        <f>IF($X34="","",INDEX('sheet2-计算明细'!$K$17:$K$330,$X34))</f>
        <v/>
      </c>
      <c r="H34" s="19">
        <f>IF($X34="","",INDEX('sheet2-计算明细'!$L$17:$L$330,$X34))</f>
        <v/>
      </c>
      <c r="I34" s="19">
        <f>IF($X34="","",INDEX('sheet2-计算明细'!$S$17:$S$330,$X34))</f>
        <v/>
      </c>
      <c r="J34" s="19">
        <f>IF($X34="","",INDEX('sheet2-计算明细'!$Y$17:$Y$330,$X34))</f>
        <v/>
      </c>
      <c r="K34" s="19">
        <f>IF($X34="","",INDEX('sheet2-计算明细'!$AC$17:$AC$330,$X34))</f>
        <v/>
      </c>
      <c r="L34" s="19">
        <f>IF($X34="","",INDEX('sheet2-计算明细'!$AI$17:$AI$330,$X34))</f>
        <v/>
      </c>
      <c r="M34" s="19">
        <f>IF($X34="","",INDEX('sheet2-计算明细'!$AK$17:$AK$330,$X34))</f>
        <v/>
      </c>
      <c r="N34" s="20">
        <f>IF(COUNT(F34:H34)=0,"",ROUND((IF(ISNUMBER(F34),F34*40%,0)+IF(ISNUMBER(G34),G34*30%,0)+IF(ISNUMBER(H34),H34*30%,0))/(IF(ISNUMBER(F34),40%,0)+IF(ISNUMBER(G34),30%,0)+IF(ISNUMBER(H34),30%,0)),2))</f>
        <v/>
      </c>
      <c r="O34" s="20">
        <f>IF(COUNT(I34:J34)=0,"",ROUND((IF(ISNUMBER(I34),I34*70%,0)+IF(ISNUMBER(J34),J34*30%,0))/(IF(ISNUMBER(I34),70%,0)+IF(ISNUMBER(J34),30%,0)),2))</f>
        <v/>
      </c>
      <c r="P34" s="20">
        <f>K34</f>
        <v/>
      </c>
      <c r="Q34" s="20">
        <f>L34</f>
        <v/>
      </c>
      <c r="R34" s="20">
        <f>M34</f>
        <v/>
      </c>
      <c r="S34" s="93">
        <f>IF($X34="","",INDEX('sheet2-计算明细'!$AQ$17:$AQ$330,$X34))</f>
        <v/>
      </c>
      <c r="T34" s="19">
        <f>IF($X34="","",INDEX('sheet2-计算明细'!$AR$17:$AR$330,$X34))</f>
        <v/>
      </c>
      <c r="U34" s="20">
        <f>IF(S34=0,"",ROUND(T34/S34,2))</f>
        <v/>
      </c>
      <c r="V34" s="20">
        <f>IF(S34=100%,T34,"")</f>
        <v/>
      </c>
      <c r="W34" s="22">
        <f>IF($X34="","",INDEX('sheet2-计算明细'!$AU$17:$AU$330,$X34))</f>
        <v/>
      </c>
      <c r="X34" s="18">
        <f>IF($A34&gt;COUNT('sheet2-计算明细'!$AT$17:$AT$330),"",MATCH($A34,'sheet2-计算明细'!$AT$17:$AT$330,0))</f>
        <v/>
      </c>
    </row>
    <row r="35" ht="28" customHeight="1" s="73">
      <c r="A35" s="2" t="n">
        <v>30</v>
      </c>
      <c r="B35" s="18">
        <f>IF($X35="","",INDEX('sheet2-计算明细'!$B$17:$B$330,$X35))</f>
        <v/>
      </c>
      <c r="C35" s="18">
        <f>IF($X35="","",INDEX('sheet2-计算明细'!$C$17:$C$330,$X35))</f>
        <v/>
      </c>
      <c r="D35" s="18">
        <f>IF($X35="","",INDEX('sheet2-计算明细'!$D$17:$D$330,$X35))</f>
        <v/>
      </c>
      <c r="E35" s="18">
        <f>IF($X35="","",INDEX('sheet2-计算明细'!$G$17:$G$330,$X35))</f>
        <v/>
      </c>
      <c r="F35" s="19">
        <f>IF($X35="","",INDEX('sheet2-计算明细'!$I$17:$I$330,$X35))</f>
        <v/>
      </c>
      <c r="G35" s="19">
        <f>IF($X35="","",INDEX('sheet2-计算明细'!$K$17:$K$330,$X35))</f>
        <v/>
      </c>
      <c r="H35" s="19">
        <f>IF($X35="","",INDEX('sheet2-计算明细'!$L$17:$L$330,$X35))</f>
        <v/>
      </c>
      <c r="I35" s="19">
        <f>IF($X35="","",INDEX('sheet2-计算明细'!$S$17:$S$330,$X35))</f>
        <v/>
      </c>
      <c r="J35" s="19">
        <f>IF($X35="","",INDEX('sheet2-计算明细'!$Y$17:$Y$330,$X35))</f>
        <v/>
      </c>
      <c r="K35" s="19">
        <f>IF($X35="","",INDEX('sheet2-计算明细'!$AC$17:$AC$330,$X35))</f>
        <v/>
      </c>
      <c r="L35" s="19">
        <f>IF($X35="","",INDEX('sheet2-计算明细'!$AI$17:$AI$330,$X35))</f>
        <v/>
      </c>
      <c r="M35" s="19">
        <f>IF($X35="","",INDEX('sheet2-计算明细'!$AK$17:$AK$330,$X35))</f>
        <v/>
      </c>
      <c r="N35" s="20">
        <f>IF(COUNT(F35:H35)=0,"",ROUND((IF(ISNUMBER(F35),F35*40%,0)+IF(ISNUMBER(G35),G35*30%,0)+IF(ISNUMBER(H35),H35*30%,0))/(IF(ISNUMBER(F35),40%,0)+IF(ISNUMBER(G35),30%,0)+IF(ISNUMBER(H35),30%,0)),2))</f>
        <v/>
      </c>
      <c r="O35" s="20">
        <f>IF(COUNT(I35:J35)=0,"",ROUND((IF(ISNUMBER(I35),I35*70%,0)+IF(ISNUMBER(J35),J35*30%,0))/(IF(ISNUMBER(I35),70%,0)+IF(ISNUMBER(J35),30%,0)),2))</f>
        <v/>
      </c>
      <c r="P35" s="20">
        <f>K35</f>
        <v/>
      </c>
      <c r="Q35" s="20">
        <f>L35</f>
        <v/>
      </c>
      <c r="R35" s="20">
        <f>M35</f>
        <v/>
      </c>
      <c r="S35" s="93">
        <f>IF($X35="","",INDEX('sheet2-计算明细'!$AQ$17:$AQ$330,$X35))</f>
        <v/>
      </c>
      <c r="T35" s="19">
        <f>IF($X35="","",INDEX('sheet2-计算明细'!$AR$17:$AR$330,$X35))</f>
        <v/>
      </c>
      <c r="U35" s="20">
        <f>IF(S35=0,"",ROUND(T35/S35,2))</f>
        <v/>
      </c>
      <c r="V35" s="20">
        <f>IF(S35=100%,T35,"")</f>
        <v/>
      </c>
      <c r="W35" s="22">
        <f>IF($X35="","",INDEX('sheet2-计算明细'!$AU$17:$AU$330,$X35))</f>
        <v/>
      </c>
      <c r="X35" s="18">
        <f>IF($A35&gt;COUNT('sheet2-计算明细'!$AT$17:$AT$330),"",MATCH($A35,'sheet2-计算明细'!$AT$17:$AT$330,0))</f>
        <v/>
      </c>
    </row>
    <row r="36" ht="28" customHeight="1" s="73">
      <c r="A36" s="2" t="n">
        <v>31</v>
      </c>
      <c r="B36" s="18">
        <f>IF($X36="","",INDEX('sheet2-计算明细'!$B$17:$B$330,$X36))</f>
        <v/>
      </c>
      <c r="C36" s="18">
        <f>IF($X36="","",INDEX('sheet2-计算明细'!$C$17:$C$330,$X36))</f>
        <v/>
      </c>
      <c r="D36" s="18">
        <f>IF($X36="","",INDEX('sheet2-计算明细'!$D$17:$D$330,$X36))</f>
        <v/>
      </c>
      <c r="E36" s="18">
        <f>IF($X36="","",INDEX('sheet2-计算明细'!$G$17:$G$330,$X36))</f>
        <v/>
      </c>
      <c r="F36" s="19">
        <f>IF($X36="","",INDEX('sheet2-计算明细'!$I$17:$I$330,$X36))</f>
        <v/>
      </c>
      <c r="G36" s="19">
        <f>IF($X36="","",INDEX('sheet2-计算明细'!$K$17:$K$330,$X36))</f>
        <v/>
      </c>
      <c r="H36" s="19">
        <f>IF($X36="","",INDEX('sheet2-计算明细'!$L$17:$L$330,$X36))</f>
        <v/>
      </c>
      <c r="I36" s="19">
        <f>IF($X36="","",INDEX('sheet2-计算明细'!$S$17:$S$330,$X36))</f>
        <v/>
      </c>
      <c r="J36" s="19">
        <f>IF($X36="","",INDEX('sheet2-计算明细'!$Y$17:$Y$330,$X36))</f>
        <v/>
      </c>
      <c r="K36" s="19">
        <f>IF($X36="","",INDEX('sheet2-计算明细'!$AC$17:$AC$330,$X36))</f>
        <v/>
      </c>
      <c r="L36" s="19">
        <f>IF($X36="","",INDEX('sheet2-计算明细'!$AI$17:$AI$330,$X36))</f>
        <v/>
      </c>
      <c r="M36" s="19">
        <f>IF($X36="","",INDEX('sheet2-计算明细'!$AK$17:$AK$330,$X36))</f>
        <v/>
      </c>
      <c r="N36" s="20">
        <f>IF(COUNT(F36:H36)=0,"",ROUND((IF(ISNUMBER(F36),F36*40%,0)+IF(ISNUMBER(G36),G36*30%,0)+IF(ISNUMBER(H36),H36*30%,0))/(IF(ISNUMBER(F36),40%,0)+IF(ISNUMBER(G36),30%,0)+IF(ISNUMBER(H36),30%,0)),2))</f>
        <v/>
      </c>
      <c r="O36" s="20">
        <f>IF(COUNT(I36:J36)=0,"",ROUND((IF(ISNUMBER(I36),I36*70%,0)+IF(ISNUMBER(J36),J36*30%,0))/(IF(ISNUMBER(I36),70%,0)+IF(ISNUMBER(J36),30%,0)),2))</f>
        <v/>
      </c>
      <c r="P36" s="20">
        <f>K36</f>
        <v/>
      </c>
      <c r="Q36" s="20">
        <f>L36</f>
        <v/>
      </c>
      <c r="R36" s="20">
        <f>M36</f>
        <v/>
      </c>
      <c r="S36" s="93">
        <f>IF($X36="","",INDEX('sheet2-计算明细'!$AQ$17:$AQ$330,$X36))</f>
        <v/>
      </c>
      <c r="T36" s="19">
        <f>IF($X36="","",INDEX('sheet2-计算明细'!$AR$17:$AR$330,$X36))</f>
        <v/>
      </c>
      <c r="U36" s="20">
        <f>IF(S36=0,"",ROUND(T36/S36,2))</f>
        <v/>
      </c>
      <c r="V36" s="20">
        <f>IF(S36=100%,T36,"")</f>
        <v/>
      </c>
      <c r="W36" s="22">
        <f>IF($X36="","",INDEX('sheet2-计算明细'!$AU$17:$AU$330,$X36))</f>
        <v/>
      </c>
      <c r="X36" s="18">
        <f>IF($A36&gt;COUNT('sheet2-计算明细'!$AT$17:$AT$330),"",MATCH($A36,'sheet2-计算明细'!$AT$17:$AT$330,0))</f>
        <v/>
      </c>
    </row>
    <row r="37" ht="28" customHeight="1" s="73">
      <c r="A37" s="2" t="n">
        <v>32</v>
      </c>
      <c r="B37" s="18">
        <f>IF($X37="","",INDEX('sheet2-计算明细'!$B$17:$B$330,$X37))</f>
        <v/>
      </c>
      <c r="C37" s="18">
        <f>IF($X37="","",INDEX('sheet2-计算明细'!$C$17:$C$330,$X37))</f>
        <v/>
      </c>
      <c r="D37" s="18">
        <f>IF($X37="","",INDEX('sheet2-计算明细'!$D$17:$D$330,$X37))</f>
        <v/>
      </c>
      <c r="E37" s="18">
        <f>IF($X37="","",INDEX('sheet2-计算明细'!$G$17:$G$330,$X37))</f>
        <v/>
      </c>
      <c r="F37" s="19">
        <f>IF($X37="","",INDEX('sheet2-计算明细'!$I$17:$I$330,$X37))</f>
        <v/>
      </c>
      <c r="G37" s="19">
        <f>IF($X37="","",INDEX('sheet2-计算明细'!$K$17:$K$330,$X37))</f>
        <v/>
      </c>
      <c r="H37" s="19">
        <f>IF($X37="","",INDEX('sheet2-计算明细'!$L$17:$L$330,$X37))</f>
        <v/>
      </c>
      <c r="I37" s="19">
        <f>IF($X37="","",INDEX('sheet2-计算明细'!$S$17:$S$330,$X37))</f>
        <v/>
      </c>
      <c r="J37" s="19">
        <f>IF($X37="","",INDEX('sheet2-计算明细'!$Y$17:$Y$330,$X37))</f>
        <v/>
      </c>
      <c r="K37" s="19">
        <f>IF($X37="","",INDEX('sheet2-计算明细'!$AC$17:$AC$330,$X37))</f>
        <v/>
      </c>
      <c r="L37" s="19">
        <f>IF($X37="","",INDEX('sheet2-计算明细'!$AI$17:$AI$330,$X37))</f>
        <v/>
      </c>
      <c r="M37" s="19">
        <f>IF($X37="","",INDEX('sheet2-计算明细'!$AK$17:$AK$330,$X37))</f>
        <v/>
      </c>
      <c r="N37" s="20">
        <f>IF(COUNT(F37:H37)=0,"",ROUND((IF(ISNUMBER(F37),F37*40%,0)+IF(ISNUMBER(G37),G37*30%,0)+IF(ISNUMBER(H37),H37*30%,0))/(IF(ISNUMBER(F37),40%,0)+IF(ISNUMBER(G37),30%,0)+IF(ISNUMBER(H37),30%,0)),2))</f>
        <v/>
      </c>
      <c r="O37" s="20">
        <f>IF(COUNT(I37:J37)=0,"",ROUND((IF(ISNUMBER(I37),I37*70%,0)+IF(ISNUMBER(J37),J37*30%,0))/(IF(ISNUMBER(I37),70%,0)+IF(ISNUMBER(J37),30%,0)),2))</f>
        <v/>
      </c>
      <c r="P37" s="20">
        <f>K37</f>
        <v/>
      </c>
      <c r="Q37" s="20">
        <f>L37</f>
        <v/>
      </c>
      <c r="R37" s="20">
        <f>M37</f>
        <v/>
      </c>
      <c r="S37" s="93">
        <f>IF($X37="","",INDEX('sheet2-计算明细'!$AQ$17:$AQ$330,$X37))</f>
        <v/>
      </c>
      <c r="T37" s="19">
        <f>IF($X37="","",INDEX('sheet2-计算明细'!$AR$17:$AR$330,$X37))</f>
        <v/>
      </c>
      <c r="U37" s="20">
        <f>IF(S37=0,"",ROUND(T37/S37,2))</f>
        <v/>
      </c>
      <c r="V37" s="20">
        <f>IF(S37=100%,T37,"")</f>
        <v/>
      </c>
      <c r="W37" s="22">
        <f>IF($X37="","",INDEX('sheet2-计算明细'!$AU$17:$AU$330,$X37))</f>
        <v/>
      </c>
      <c r="X37" s="18">
        <f>IF($A37&gt;COUNT('sheet2-计算明细'!$AT$17:$AT$330),"",MATCH($A37,'sheet2-计算明细'!$AT$17:$AT$330,0))</f>
        <v/>
      </c>
    </row>
    <row r="38" ht="28" customHeight="1" s="73">
      <c r="A38" s="2" t="n">
        <v>33</v>
      </c>
      <c r="B38" s="18">
        <f>IF($X38="","",INDEX('sheet2-计算明细'!$B$17:$B$330,$X38))</f>
        <v/>
      </c>
      <c r="C38" s="18">
        <f>IF($X38="","",INDEX('sheet2-计算明细'!$C$17:$C$330,$X38))</f>
        <v/>
      </c>
      <c r="D38" s="18">
        <f>IF($X38="","",INDEX('sheet2-计算明细'!$D$17:$D$330,$X38))</f>
        <v/>
      </c>
      <c r="E38" s="18">
        <f>IF($X38="","",INDEX('sheet2-计算明细'!$G$17:$G$330,$X38))</f>
        <v/>
      </c>
      <c r="F38" s="19">
        <f>IF($X38="","",INDEX('sheet2-计算明细'!$I$17:$I$330,$X38))</f>
        <v/>
      </c>
      <c r="G38" s="19">
        <f>IF($X38="","",INDEX('sheet2-计算明细'!$K$17:$K$330,$X38))</f>
        <v/>
      </c>
      <c r="H38" s="19">
        <f>IF($X38="","",INDEX('sheet2-计算明细'!$L$17:$L$330,$X38))</f>
        <v/>
      </c>
      <c r="I38" s="19">
        <f>IF($X38="","",INDEX('sheet2-计算明细'!$S$17:$S$330,$X38))</f>
        <v/>
      </c>
      <c r="J38" s="19">
        <f>IF($X38="","",INDEX('sheet2-计算明细'!$Y$17:$Y$330,$X38))</f>
        <v/>
      </c>
      <c r="K38" s="19">
        <f>IF($X38="","",INDEX('sheet2-计算明细'!$AC$17:$AC$330,$X38))</f>
        <v/>
      </c>
      <c r="L38" s="19">
        <f>IF($X38="","",INDEX('sheet2-计算明细'!$AI$17:$AI$330,$X38))</f>
        <v/>
      </c>
      <c r="M38" s="19">
        <f>IF($X38="","",INDEX('sheet2-计算明细'!$AK$17:$AK$330,$X38))</f>
        <v/>
      </c>
      <c r="N38" s="20">
        <f>IF(COUNT(F38:H38)=0,"",ROUND((IF(ISNUMBER(F38),F38*40%,0)+IF(ISNUMBER(G38),G38*30%,0)+IF(ISNUMBER(H38),H38*30%,0))/(IF(ISNUMBER(F38),40%,0)+IF(ISNUMBER(G38),30%,0)+IF(ISNUMBER(H38),30%,0)),2))</f>
        <v/>
      </c>
      <c r="O38" s="20">
        <f>IF(COUNT(I38:J38)=0,"",ROUND((IF(ISNUMBER(I38),I38*70%,0)+IF(ISNUMBER(J38),J38*30%,0))/(IF(ISNUMBER(I38),70%,0)+IF(ISNUMBER(J38),30%,0)),2))</f>
        <v/>
      </c>
      <c r="P38" s="20">
        <f>K38</f>
        <v/>
      </c>
      <c r="Q38" s="20">
        <f>L38</f>
        <v/>
      </c>
      <c r="R38" s="20">
        <f>M38</f>
        <v/>
      </c>
      <c r="S38" s="93">
        <f>IF($X38="","",INDEX('sheet2-计算明细'!$AQ$17:$AQ$330,$X38))</f>
        <v/>
      </c>
      <c r="T38" s="19">
        <f>IF($X38="","",INDEX('sheet2-计算明细'!$AR$17:$AR$330,$X38))</f>
        <v/>
      </c>
      <c r="U38" s="20">
        <f>IF(S38=0,"",ROUND(T38/S38,2))</f>
        <v/>
      </c>
      <c r="V38" s="20">
        <f>IF(S38=100%,T38,"")</f>
        <v/>
      </c>
      <c r="W38" s="22">
        <f>IF($X38="","",INDEX('sheet2-计算明细'!$AU$17:$AU$330,$X38))</f>
        <v/>
      </c>
      <c r="X38" s="18">
        <f>IF($A38&gt;COUNT('sheet2-计算明细'!$AT$17:$AT$330),"",MATCH($A38,'sheet2-计算明细'!$AT$17:$AT$330,0))</f>
        <v/>
      </c>
    </row>
    <row r="39" ht="28" customHeight="1" s="73">
      <c r="A39" s="2" t="n">
        <v>34</v>
      </c>
      <c r="B39" s="18">
        <f>IF($X39="","",INDEX('sheet2-计算明细'!$B$17:$B$330,$X39))</f>
        <v/>
      </c>
      <c r="C39" s="18">
        <f>IF($X39="","",INDEX('sheet2-计算明细'!$C$17:$C$330,$X39))</f>
        <v/>
      </c>
      <c r="D39" s="18">
        <f>IF($X39="","",INDEX('sheet2-计算明细'!$D$17:$D$330,$X39))</f>
        <v/>
      </c>
      <c r="E39" s="18">
        <f>IF($X39="","",INDEX('sheet2-计算明细'!$G$17:$G$330,$X39))</f>
        <v/>
      </c>
      <c r="F39" s="19">
        <f>IF($X39="","",INDEX('sheet2-计算明细'!$I$17:$I$330,$X39))</f>
        <v/>
      </c>
      <c r="G39" s="19">
        <f>IF($X39="","",INDEX('sheet2-计算明细'!$K$17:$K$330,$X39))</f>
        <v/>
      </c>
      <c r="H39" s="19">
        <f>IF($X39="","",INDEX('sheet2-计算明细'!$L$17:$L$330,$X39))</f>
        <v/>
      </c>
      <c r="I39" s="19">
        <f>IF($X39="","",INDEX('sheet2-计算明细'!$S$17:$S$330,$X39))</f>
        <v/>
      </c>
      <c r="J39" s="19">
        <f>IF($X39="","",INDEX('sheet2-计算明细'!$Y$17:$Y$330,$X39))</f>
        <v/>
      </c>
      <c r="K39" s="19">
        <f>IF($X39="","",INDEX('sheet2-计算明细'!$AC$17:$AC$330,$X39))</f>
        <v/>
      </c>
      <c r="L39" s="19">
        <f>IF($X39="","",INDEX('sheet2-计算明细'!$AI$17:$AI$330,$X39))</f>
        <v/>
      </c>
      <c r="M39" s="19">
        <f>IF($X39="","",INDEX('sheet2-计算明细'!$AK$17:$AK$330,$X39))</f>
        <v/>
      </c>
      <c r="N39" s="20">
        <f>IF(COUNT(F39:H39)=0,"",ROUND((IF(ISNUMBER(F39),F39*40%,0)+IF(ISNUMBER(G39),G39*30%,0)+IF(ISNUMBER(H39),H39*30%,0))/(IF(ISNUMBER(F39),40%,0)+IF(ISNUMBER(G39),30%,0)+IF(ISNUMBER(H39),30%,0)),2))</f>
        <v/>
      </c>
      <c r="O39" s="20">
        <f>IF(COUNT(I39:J39)=0,"",ROUND((IF(ISNUMBER(I39),I39*70%,0)+IF(ISNUMBER(J39),J39*30%,0))/(IF(ISNUMBER(I39),70%,0)+IF(ISNUMBER(J39),30%,0)),2))</f>
        <v/>
      </c>
      <c r="P39" s="20">
        <f>K39</f>
        <v/>
      </c>
      <c r="Q39" s="20">
        <f>L39</f>
        <v/>
      </c>
      <c r="R39" s="20">
        <f>M39</f>
        <v/>
      </c>
      <c r="S39" s="93">
        <f>IF($X39="","",INDEX('sheet2-计算明细'!$AQ$17:$AQ$330,$X39))</f>
        <v/>
      </c>
      <c r="T39" s="19">
        <f>IF($X39="","",INDEX('sheet2-计算明细'!$AR$17:$AR$330,$X39))</f>
        <v/>
      </c>
      <c r="U39" s="20">
        <f>IF(S39=0,"",ROUND(T39/S39,2))</f>
        <v/>
      </c>
      <c r="V39" s="20">
        <f>IF(S39=100%,T39,"")</f>
        <v/>
      </c>
      <c r="W39" s="22">
        <f>IF($X39="","",INDEX('sheet2-计算明细'!$AU$17:$AU$330,$X39))</f>
        <v/>
      </c>
      <c r="X39" s="18">
        <f>IF($A39&gt;COUNT('sheet2-计算明细'!$AT$17:$AT$330),"",MATCH($A39,'sheet2-计算明细'!$AT$17:$AT$330,0))</f>
        <v/>
      </c>
    </row>
    <row r="40" ht="28" customHeight="1" s="73">
      <c r="A40" s="2" t="n">
        <v>35</v>
      </c>
      <c r="B40" s="18">
        <f>IF($X40="","",INDEX('sheet2-计算明细'!$B$17:$B$330,$X40))</f>
        <v/>
      </c>
      <c r="C40" s="18">
        <f>IF($X40="","",INDEX('sheet2-计算明细'!$C$17:$C$330,$X40))</f>
        <v/>
      </c>
      <c r="D40" s="18">
        <f>IF($X40="","",INDEX('sheet2-计算明细'!$D$17:$D$330,$X40))</f>
        <v/>
      </c>
      <c r="E40" s="18">
        <f>IF($X40="","",INDEX('sheet2-计算明细'!$G$17:$G$330,$X40))</f>
        <v/>
      </c>
      <c r="F40" s="19">
        <f>IF($X40="","",INDEX('sheet2-计算明细'!$I$17:$I$330,$X40))</f>
        <v/>
      </c>
      <c r="G40" s="19">
        <f>IF($X40="","",INDEX('sheet2-计算明细'!$K$17:$K$330,$X40))</f>
        <v/>
      </c>
      <c r="H40" s="19">
        <f>IF($X40="","",INDEX('sheet2-计算明细'!$L$17:$L$330,$X40))</f>
        <v/>
      </c>
      <c r="I40" s="19">
        <f>IF($X40="","",INDEX('sheet2-计算明细'!$S$17:$S$330,$X40))</f>
        <v/>
      </c>
      <c r="J40" s="19">
        <f>IF($X40="","",INDEX('sheet2-计算明细'!$Y$17:$Y$330,$X40))</f>
        <v/>
      </c>
      <c r="K40" s="19">
        <f>IF($X40="","",INDEX('sheet2-计算明细'!$AC$17:$AC$330,$X40))</f>
        <v/>
      </c>
      <c r="L40" s="19">
        <f>IF($X40="","",INDEX('sheet2-计算明细'!$AI$17:$AI$330,$X40))</f>
        <v/>
      </c>
      <c r="M40" s="19">
        <f>IF($X40="","",INDEX('sheet2-计算明细'!$AK$17:$AK$330,$X40))</f>
        <v/>
      </c>
      <c r="N40" s="20">
        <f>IF(COUNT(F40:H40)=0,"",ROUND((IF(ISNUMBER(F40),F40*40%,0)+IF(ISNUMBER(G40),G40*30%,0)+IF(ISNUMBER(H40),H40*30%,0))/(IF(ISNUMBER(F40),40%,0)+IF(ISNUMBER(G40),30%,0)+IF(ISNUMBER(H40),30%,0)),2))</f>
        <v/>
      </c>
      <c r="O40" s="20">
        <f>IF(COUNT(I40:J40)=0,"",ROUND((IF(ISNUMBER(I40),I40*70%,0)+IF(ISNUMBER(J40),J40*30%,0))/(IF(ISNUMBER(I40),70%,0)+IF(ISNUMBER(J40),30%,0)),2))</f>
        <v/>
      </c>
      <c r="P40" s="20">
        <f>K40</f>
        <v/>
      </c>
      <c r="Q40" s="20">
        <f>L40</f>
        <v/>
      </c>
      <c r="R40" s="20">
        <f>M40</f>
        <v/>
      </c>
      <c r="S40" s="93">
        <f>IF($X40="","",INDEX('sheet2-计算明细'!$AQ$17:$AQ$330,$X40))</f>
        <v/>
      </c>
      <c r="T40" s="19">
        <f>IF($X40="","",INDEX('sheet2-计算明细'!$AR$17:$AR$330,$X40))</f>
        <v/>
      </c>
      <c r="U40" s="20">
        <f>IF(S40=0,"",ROUND(T40/S40,2))</f>
        <v/>
      </c>
      <c r="V40" s="20">
        <f>IF(S40=100%,T40,"")</f>
        <v/>
      </c>
      <c r="W40" s="22">
        <f>IF($X40="","",INDEX('sheet2-计算明细'!$AU$17:$AU$330,$X40))</f>
        <v/>
      </c>
      <c r="X40" s="18">
        <f>IF($A40&gt;COUNT('sheet2-计算明细'!$AT$17:$AT$330),"",MATCH($A40,'sheet2-计算明细'!$AT$17:$AT$330,0))</f>
        <v/>
      </c>
    </row>
    <row r="41" ht="28" customHeight="1" s="73">
      <c r="A41" s="2" t="n">
        <v>36</v>
      </c>
      <c r="B41" s="18">
        <f>IF($X41="","",INDEX('sheet2-计算明细'!$B$17:$B$330,$X41))</f>
        <v/>
      </c>
      <c r="C41" s="18">
        <f>IF($X41="","",INDEX('sheet2-计算明细'!$C$17:$C$330,$X41))</f>
        <v/>
      </c>
      <c r="D41" s="18">
        <f>IF($X41="","",INDEX('sheet2-计算明细'!$D$17:$D$330,$X41))</f>
        <v/>
      </c>
      <c r="E41" s="18">
        <f>IF($X41="","",INDEX('sheet2-计算明细'!$G$17:$G$330,$X41))</f>
        <v/>
      </c>
      <c r="F41" s="19">
        <f>IF($X41="","",INDEX('sheet2-计算明细'!$I$17:$I$330,$X41))</f>
        <v/>
      </c>
      <c r="G41" s="19">
        <f>IF($X41="","",INDEX('sheet2-计算明细'!$K$17:$K$330,$X41))</f>
        <v/>
      </c>
      <c r="H41" s="19">
        <f>IF($X41="","",INDEX('sheet2-计算明细'!$L$17:$L$330,$X41))</f>
        <v/>
      </c>
      <c r="I41" s="19">
        <f>IF($X41="","",INDEX('sheet2-计算明细'!$S$17:$S$330,$X41))</f>
        <v/>
      </c>
      <c r="J41" s="19">
        <f>IF($X41="","",INDEX('sheet2-计算明细'!$Y$17:$Y$330,$X41))</f>
        <v/>
      </c>
      <c r="K41" s="19">
        <f>IF($X41="","",INDEX('sheet2-计算明细'!$AC$17:$AC$330,$X41))</f>
        <v/>
      </c>
      <c r="L41" s="19">
        <f>IF($X41="","",INDEX('sheet2-计算明细'!$AI$17:$AI$330,$X41))</f>
        <v/>
      </c>
      <c r="M41" s="19">
        <f>IF($X41="","",INDEX('sheet2-计算明细'!$AK$17:$AK$330,$X41))</f>
        <v/>
      </c>
      <c r="N41" s="20">
        <f>IF(COUNT(F41:H41)=0,"",ROUND((IF(ISNUMBER(F41),F41*40%,0)+IF(ISNUMBER(G41),G41*30%,0)+IF(ISNUMBER(H41),H41*30%,0))/(IF(ISNUMBER(F41),40%,0)+IF(ISNUMBER(G41),30%,0)+IF(ISNUMBER(H41),30%,0)),2))</f>
        <v/>
      </c>
      <c r="O41" s="20">
        <f>IF(COUNT(I41:J41)=0,"",ROUND((IF(ISNUMBER(I41),I41*70%,0)+IF(ISNUMBER(J41),J41*30%,0))/(IF(ISNUMBER(I41),70%,0)+IF(ISNUMBER(J41),30%,0)),2))</f>
        <v/>
      </c>
      <c r="P41" s="20">
        <f>K41</f>
        <v/>
      </c>
      <c r="Q41" s="20">
        <f>L41</f>
        <v/>
      </c>
      <c r="R41" s="20">
        <f>M41</f>
        <v/>
      </c>
      <c r="S41" s="93">
        <f>IF($X41="","",INDEX('sheet2-计算明细'!$AQ$17:$AQ$330,$X41))</f>
        <v/>
      </c>
      <c r="T41" s="19">
        <f>IF($X41="","",INDEX('sheet2-计算明细'!$AR$17:$AR$330,$X41))</f>
        <v/>
      </c>
      <c r="U41" s="20">
        <f>IF(S41=0,"",ROUND(T41/S41,2))</f>
        <v/>
      </c>
      <c r="V41" s="20">
        <f>IF(S41=100%,T41,"")</f>
        <v/>
      </c>
      <c r="W41" s="22">
        <f>IF($X41="","",INDEX('sheet2-计算明细'!$AU$17:$AU$330,$X41))</f>
        <v/>
      </c>
      <c r="X41" s="18">
        <f>IF($A41&gt;COUNT('sheet2-计算明细'!$AT$17:$AT$330),"",MATCH($A41,'sheet2-计算明细'!$AT$17:$AT$330,0))</f>
        <v/>
      </c>
    </row>
    <row r="42" ht="28" customHeight="1" s="73">
      <c r="A42" s="2" t="n">
        <v>37</v>
      </c>
      <c r="B42" s="18">
        <f>IF($X42="","",INDEX('sheet2-计算明细'!$B$17:$B$330,$X42))</f>
        <v/>
      </c>
      <c r="C42" s="18">
        <f>IF($X42="","",INDEX('sheet2-计算明细'!$C$17:$C$330,$X42))</f>
        <v/>
      </c>
      <c r="D42" s="18">
        <f>IF($X42="","",INDEX('sheet2-计算明细'!$D$17:$D$330,$X42))</f>
        <v/>
      </c>
      <c r="E42" s="18">
        <f>IF($X42="","",INDEX('sheet2-计算明细'!$G$17:$G$330,$X42))</f>
        <v/>
      </c>
      <c r="F42" s="19">
        <f>IF($X42="","",INDEX('sheet2-计算明细'!$I$17:$I$330,$X42))</f>
        <v/>
      </c>
      <c r="G42" s="19">
        <f>IF($X42="","",INDEX('sheet2-计算明细'!$K$17:$K$330,$X42))</f>
        <v/>
      </c>
      <c r="H42" s="19">
        <f>IF($X42="","",INDEX('sheet2-计算明细'!$L$17:$L$330,$X42))</f>
        <v/>
      </c>
      <c r="I42" s="19">
        <f>IF($X42="","",INDEX('sheet2-计算明细'!$S$17:$S$330,$X42))</f>
        <v/>
      </c>
      <c r="J42" s="19">
        <f>IF($X42="","",INDEX('sheet2-计算明细'!$Y$17:$Y$330,$X42))</f>
        <v/>
      </c>
      <c r="K42" s="19">
        <f>IF($X42="","",INDEX('sheet2-计算明细'!$AC$17:$AC$330,$X42))</f>
        <v/>
      </c>
      <c r="L42" s="19">
        <f>IF($X42="","",INDEX('sheet2-计算明细'!$AI$17:$AI$330,$X42))</f>
        <v/>
      </c>
      <c r="M42" s="19">
        <f>IF($X42="","",INDEX('sheet2-计算明细'!$AK$17:$AK$330,$X42))</f>
        <v/>
      </c>
      <c r="N42" s="20">
        <f>IF(COUNT(F42:H42)=0,"",ROUND((IF(ISNUMBER(F42),F42*40%,0)+IF(ISNUMBER(G42),G42*30%,0)+IF(ISNUMBER(H42),H42*30%,0))/(IF(ISNUMBER(F42),40%,0)+IF(ISNUMBER(G42),30%,0)+IF(ISNUMBER(H42),30%,0)),2))</f>
        <v/>
      </c>
      <c r="O42" s="20">
        <f>IF(COUNT(I42:J42)=0,"",ROUND((IF(ISNUMBER(I42),I42*70%,0)+IF(ISNUMBER(J42),J42*30%,0))/(IF(ISNUMBER(I42),70%,0)+IF(ISNUMBER(J42),30%,0)),2))</f>
        <v/>
      </c>
      <c r="P42" s="20">
        <f>K42</f>
        <v/>
      </c>
      <c r="Q42" s="20">
        <f>L42</f>
        <v/>
      </c>
      <c r="R42" s="20">
        <f>M42</f>
        <v/>
      </c>
      <c r="S42" s="93">
        <f>IF($X42="","",INDEX('sheet2-计算明细'!$AQ$17:$AQ$330,$X42))</f>
        <v/>
      </c>
      <c r="T42" s="19">
        <f>IF($X42="","",INDEX('sheet2-计算明细'!$AR$17:$AR$330,$X42))</f>
        <v/>
      </c>
      <c r="U42" s="20">
        <f>IF(S42=0,"",ROUND(T42/S42,2))</f>
        <v/>
      </c>
      <c r="V42" s="20">
        <f>IF(S42=100%,T42,"")</f>
        <v/>
      </c>
      <c r="W42" s="22">
        <f>IF($X42="","",INDEX('sheet2-计算明细'!$AU$17:$AU$330,$X42))</f>
        <v/>
      </c>
      <c r="X42" s="18">
        <f>IF($A42&gt;COUNT('sheet2-计算明细'!$AT$17:$AT$330),"",MATCH($A42,'sheet2-计算明细'!$AT$17:$AT$330,0))</f>
        <v/>
      </c>
    </row>
    <row r="43" ht="28" customHeight="1" s="73">
      <c r="A43" s="2" t="n">
        <v>38</v>
      </c>
      <c r="B43" s="18">
        <f>IF($X43="","",INDEX('sheet2-计算明细'!$B$17:$B$330,$X43))</f>
        <v/>
      </c>
      <c r="C43" s="18">
        <f>IF($X43="","",INDEX('sheet2-计算明细'!$C$17:$C$330,$X43))</f>
        <v/>
      </c>
      <c r="D43" s="18">
        <f>IF($X43="","",INDEX('sheet2-计算明细'!$D$17:$D$330,$X43))</f>
        <v/>
      </c>
      <c r="E43" s="18">
        <f>IF($X43="","",INDEX('sheet2-计算明细'!$G$17:$G$330,$X43))</f>
        <v/>
      </c>
      <c r="F43" s="19">
        <f>IF($X43="","",INDEX('sheet2-计算明细'!$I$17:$I$330,$X43))</f>
        <v/>
      </c>
      <c r="G43" s="19">
        <f>IF($X43="","",INDEX('sheet2-计算明细'!$K$17:$K$330,$X43))</f>
        <v/>
      </c>
      <c r="H43" s="19">
        <f>IF($X43="","",INDEX('sheet2-计算明细'!$L$17:$L$330,$X43))</f>
        <v/>
      </c>
      <c r="I43" s="19">
        <f>IF($X43="","",INDEX('sheet2-计算明细'!$S$17:$S$330,$X43))</f>
        <v/>
      </c>
      <c r="J43" s="19">
        <f>IF($X43="","",INDEX('sheet2-计算明细'!$Y$17:$Y$330,$X43))</f>
        <v/>
      </c>
      <c r="K43" s="19">
        <f>IF($X43="","",INDEX('sheet2-计算明细'!$AC$17:$AC$330,$X43))</f>
        <v/>
      </c>
      <c r="L43" s="19">
        <f>IF($X43="","",INDEX('sheet2-计算明细'!$AI$17:$AI$330,$X43))</f>
        <v/>
      </c>
      <c r="M43" s="19">
        <f>IF($X43="","",INDEX('sheet2-计算明细'!$AK$17:$AK$330,$X43))</f>
        <v/>
      </c>
      <c r="N43" s="20">
        <f>IF(COUNT(F43:H43)=0,"",ROUND((IF(ISNUMBER(F43),F43*40%,0)+IF(ISNUMBER(G43),G43*30%,0)+IF(ISNUMBER(H43),H43*30%,0))/(IF(ISNUMBER(F43),40%,0)+IF(ISNUMBER(G43),30%,0)+IF(ISNUMBER(H43),30%,0)),2))</f>
        <v/>
      </c>
      <c r="O43" s="20">
        <f>IF(COUNT(I43:J43)=0,"",ROUND((IF(ISNUMBER(I43),I43*70%,0)+IF(ISNUMBER(J43),J43*30%,0))/(IF(ISNUMBER(I43),70%,0)+IF(ISNUMBER(J43),30%,0)),2))</f>
        <v/>
      </c>
      <c r="P43" s="20">
        <f>K43</f>
        <v/>
      </c>
      <c r="Q43" s="20">
        <f>L43</f>
        <v/>
      </c>
      <c r="R43" s="20">
        <f>M43</f>
        <v/>
      </c>
      <c r="S43" s="93">
        <f>IF($X43="","",INDEX('sheet2-计算明细'!$AQ$17:$AQ$330,$X43))</f>
        <v/>
      </c>
      <c r="T43" s="19">
        <f>IF($X43="","",INDEX('sheet2-计算明细'!$AR$17:$AR$330,$X43))</f>
        <v/>
      </c>
      <c r="U43" s="20">
        <f>IF(S43=0,"",ROUND(T43/S43,2))</f>
        <v/>
      </c>
      <c r="V43" s="20">
        <f>IF(S43=100%,T43,"")</f>
        <v/>
      </c>
      <c r="W43" s="22">
        <f>IF($X43="","",INDEX('sheet2-计算明细'!$AU$17:$AU$330,$X43))</f>
        <v/>
      </c>
      <c r="X43" s="18">
        <f>IF($A43&gt;COUNT('sheet2-计算明细'!$AT$17:$AT$330),"",MATCH($A43,'sheet2-计算明细'!$AT$17:$AT$330,0))</f>
        <v/>
      </c>
    </row>
    <row r="44" ht="28" customHeight="1" s="73">
      <c r="A44" s="2" t="n">
        <v>39</v>
      </c>
      <c r="B44" s="18">
        <f>IF($X44="","",INDEX('sheet2-计算明细'!$B$17:$B$330,$X44))</f>
        <v/>
      </c>
      <c r="C44" s="18">
        <f>IF($X44="","",INDEX('sheet2-计算明细'!$C$17:$C$330,$X44))</f>
        <v/>
      </c>
      <c r="D44" s="18">
        <f>IF($X44="","",INDEX('sheet2-计算明细'!$D$17:$D$330,$X44))</f>
        <v/>
      </c>
      <c r="E44" s="18">
        <f>IF($X44="","",INDEX('sheet2-计算明细'!$G$17:$G$330,$X44))</f>
        <v/>
      </c>
      <c r="F44" s="19">
        <f>IF($X44="","",INDEX('sheet2-计算明细'!$I$17:$I$330,$X44))</f>
        <v/>
      </c>
      <c r="G44" s="19">
        <f>IF($X44="","",INDEX('sheet2-计算明细'!$K$17:$K$330,$X44))</f>
        <v/>
      </c>
      <c r="H44" s="19">
        <f>IF($X44="","",INDEX('sheet2-计算明细'!$L$17:$L$330,$X44))</f>
        <v/>
      </c>
      <c r="I44" s="19">
        <f>IF($X44="","",INDEX('sheet2-计算明细'!$S$17:$S$330,$X44))</f>
        <v/>
      </c>
      <c r="J44" s="19">
        <f>IF($X44="","",INDEX('sheet2-计算明细'!$Y$17:$Y$330,$X44))</f>
        <v/>
      </c>
      <c r="K44" s="19">
        <f>IF($X44="","",INDEX('sheet2-计算明细'!$AC$17:$AC$330,$X44))</f>
        <v/>
      </c>
      <c r="L44" s="19">
        <f>IF($X44="","",INDEX('sheet2-计算明细'!$AI$17:$AI$330,$X44))</f>
        <v/>
      </c>
      <c r="M44" s="19">
        <f>IF($X44="","",INDEX('sheet2-计算明细'!$AK$17:$AK$330,$X44))</f>
        <v/>
      </c>
      <c r="N44" s="20">
        <f>IF(COUNT(F44:H44)=0,"",ROUND((IF(ISNUMBER(F44),F44*40%,0)+IF(ISNUMBER(G44),G44*30%,0)+IF(ISNUMBER(H44),H44*30%,0))/(IF(ISNUMBER(F44),40%,0)+IF(ISNUMBER(G44),30%,0)+IF(ISNUMBER(H44),30%,0)),2))</f>
        <v/>
      </c>
      <c r="O44" s="20">
        <f>IF(COUNT(I44:J44)=0,"",ROUND((IF(ISNUMBER(I44),I44*70%,0)+IF(ISNUMBER(J44),J44*30%,0))/(IF(ISNUMBER(I44),70%,0)+IF(ISNUMBER(J44),30%,0)),2))</f>
        <v/>
      </c>
      <c r="P44" s="20">
        <f>K44</f>
        <v/>
      </c>
      <c r="Q44" s="20">
        <f>L44</f>
        <v/>
      </c>
      <c r="R44" s="20">
        <f>M44</f>
        <v/>
      </c>
      <c r="S44" s="93">
        <f>IF($X44="","",INDEX('sheet2-计算明细'!$AQ$17:$AQ$330,$X44))</f>
        <v/>
      </c>
      <c r="T44" s="19">
        <f>IF($X44="","",INDEX('sheet2-计算明细'!$AR$17:$AR$330,$X44))</f>
        <v/>
      </c>
      <c r="U44" s="20">
        <f>IF(S44=0,"",ROUND(T44/S44,2))</f>
        <v/>
      </c>
      <c r="V44" s="20">
        <f>IF(S44=100%,T44,"")</f>
        <v/>
      </c>
      <c r="W44" s="22">
        <f>IF($X44="","",INDEX('sheet2-计算明细'!$AU$17:$AU$330,$X44))</f>
        <v/>
      </c>
      <c r="X44" s="18">
        <f>IF($A44&gt;COUNT('sheet2-计算明细'!$AT$17:$AT$330),"",MATCH($A44,'sheet2-计算明细'!$AT$17:$AT$330,0))</f>
        <v/>
      </c>
    </row>
    <row r="45" ht="28" customHeight="1" s="73">
      <c r="A45" s="2" t="n">
        <v>40</v>
      </c>
      <c r="B45" s="18">
        <f>IF($X45="","",INDEX('sheet2-计算明细'!$B$17:$B$330,$X45))</f>
        <v/>
      </c>
      <c r="C45" s="18">
        <f>IF($X45="","",INDEX('sheet2-计算明细'!$C$17:$C$330,$X45))</f>
        <v/>
      </c>
      <c r="D45" s="18">
        <f>IF($X45="","",INDEX('sheet2-计算明细'!$D$17:$D$330,$X45))</f>
        <v/>
      </c>
      <c r="E45" s="18">
        <f>IF($X45="","",INDEX('sheet2-计算明细'!$G$17:$G$330,$X45))</f>
        <v/>
      </c>
      <c r="F45" s="19">
        <f>IF($X45="","",INDEX('sheet2-计算明细'!$I$17:$I$330,$X45))</f>
        <v/>
      </c>
      <c r="G45" s="19">
        <f>IF($X45="","",INDEX('sheet2-计算明细'!$K$17:$K$330,$X45))</f>
        <v/>
      </c>
      <c r="H45" s="19">
        <f>IF($X45="","",INDEX('sheet2-计算明细'!$L$17:$L$330,$X45))</f>
        <v/>
      </c>
      <c r="I45" s="19">
        <f>IF($X45="","",INDEX('sheet2-计算明细'!$S$17:$S$330,$X45))</f>
        <v/>
      </c>
      <c r="J45" s="19">
        <f>IF($X45="","",INDEX('sheet2-计算明细'!$Y$17:$Y$330,$X45))</f>
        <v/>
      </c>
      <c r="K45" s="19">
        <f>IF($X45="","",INDEX('sheet2-计算明细'!$AC$17:$AC$330,$X45))</f>
        <v/>
      </c>
      <c r="L45" s="19">
        <f>IF($X45="","",INDEX('sheet2-计算明细'!$AI$17:$AI$330,$X45))</f>
        <v/>
      </c>
      <c r="M45" s="19">
        <f>IF($X45="","",INDEX('sheet2-计算明细'!$AK$17:$AK$330,$X45))</f>
        <v/>
      </c>
      <c r="N45" s="20">
        <f>IF(COUNT(F45:H45)=0,"",ROUND((IF(ISNUMBER(F45),F45*40%,0)+IF(ISNUMBER(G45),G45*30%,0)+IF(ISNUMBER(H45),H45*30%,0))/(IF(ISNUMBER(F45),40%,0)+IF(ISNUMBER(G45),30%,0)+IF(ISNUMBER(H45),30%,0)),2))</f>
        <v/>
      </c>
      <c r="O45" s="20">
        <f>IF(COUNT(I45:J45)=0,"",ROUND((IF(ISNUMBER(I45),I45*70%,0)+IF(ISNUMBER(J45),J45*30%,0))/(IF(ISNUMBER(I45),70%,0)+IF(ISNUMBER(J45),30%,0)),2))</f>
        <v/>
      </c>
      <c r="P45" s="20">
        <f>K45</f>
        <v/>
      </c>
      <c r="Q45" s="20">
        <f>L45</f>
        <v/>
      </c>
      <c r="R45" s="20">
        <f>M45</f>
        <v/>
      </c>
      <c r="S45" s="93">
        <f>IF($X45="","",INDEX('sheet2-计算明细'!$AQ$17:$AQ$330,$X45))</f>
        <v/>
      </c>
      <c r="T45" s="19">
        <f>IF($X45="","",INDEX('sheet2-计算明细'!$AR$17:$AR$330,$X45))</f>
        <v/>
      </c>
      <c r="U45" s="20">
        <f>IF(S45=0,"",ROUND(T45/S45,2))</f>
        <v/>
      </c>
      <c r="V45" s="20">
        <f>IF(S45=100%,T45,"")</f>
        <v/>
      </c>
      <c r="W45" s="22">
        <f>IF($X45="","",INDEX('sheet2-计算明细'!$AU$17:$AU$330,$X45))</f>
        <v/>
      </c>
      <c r="X45" s="18">
        <f>IF($A45&gt;COUNT('sheet2-计算明细'!$AT$17:$AT$330),"",MATCH($A45,'sheet2-计算明细'!$AT$17:$AT$330,0))</f>
        <v/>
      </c>
    </row>
    <row r="46" ht="28" customHeight="1" s="73">
      <c r="A46" s="2" t="n">
        <v>41</v>
      </c>
      <c r="B46" s="18">
        <f>IF($X46="","",INDEX('sheet2-计算明细'!$B$17:$B$330,$X46))</f>
        <v/>
      </c>
      <c r="C46" s="18">
        <f>IF($X46="","",INDEX('sheet2-计算明细'!$C$17:$C$330,$X46))</f>
        <v/>
      </c>
      <c r="D46" s="18">
        <f>IF($X46="","",INDEX('sheet2-计算明细'!$D$17:$D$330,$X46))</f>
        <v/>
      </c>
      <c r="E46" s="18">
        <f>IF($X46="","",INDEX('sheet2-计算明细'!$G$17:$G$330,$X46))</f>
        <v/>
      </c>
      <c r="F46" s="19">
        <f>IF($X46="","",INDEX('sheet2-计算明细'!$I$17:$I$330,$X46))</f>
        <v/>
      </c>
      <c r="G46" s="19">
        <f>IF($X46="","",INDEX('sheet2-计算明细'!$K$17:$K$330,$X46))</f>
        <v/>
      </c>
      <c r="H46" s="19">
        <f>IF($X46="","",INDEX('sheet2-计算明细'!$L$17:$L$330,$X46))</f>
        <v/>
      </c>
      <c r="I46" s="19">
        <f>IF($X46="","",INDEX('sheet2-计算明细'!$S$17:$S$330,$X46))</f>
        <v/>
      </c>
      <c r="J46" s="19">
        <f>IF($X46="","",INDEX('sheet2-计算明细'!$Y$17:$Y$330,$X46))</f>
        <v/>
      </c>
      <c r="K46" s="19">
        <f>IF($X46="","",INDEX('sheet2-计算明细'!$AC$17:$AC$330,$X46))</f>
        <v/>
      </c>
      <c r="L46" s="19">
        <f>IF($X46="","",INDEX('sheet2-计算明细'!$AI$17:$AI$330,$X46))</f>
        <v/>
      </c>
      <c r="M46" s="19">
        <f>IF($X46="","",INDEX('sheet2-计算明细'!$AK$17:$AK$330,$X46))</f>
        <v/>
      </c>
      <c r="N46" s="20">
        <f>IF(COUNT(F46:H46)=0,"",ROUND((IF(ISNUMBER(F46),F46*40%,0)+IF(ISNUMBER(G46),G46*30%,0)+IF(ISNUMBER(H46),H46*30%,0))/(IF(ISNUMBER(F46),40%,0)+IF(ISNUMBER(G46),30%,0)+IF(ISNUMBER(H46),30%,0)),2))</f>
        <v/>
      </c>
      <c r="O46" s="20">
        <f>IF(COUNT(I46:J46)=0,"",ROUND((IF(ISNUMBER(I46),I46*70%,0)+IF(ISNUMBER(J46),J46*30%,0))/(IF(ISNUMBER(I46),70%,0)+IF(ISNUMBER(J46),30%,0)),2))</f>
        <v/>
      </c>
      <c r="P46" s="20">
        <f>K46</f>
        <v/>
      </c>
      <c r="Q46" s="20">
        <f>L46</f>
        <v/>
      </c>
      <c r="R46" s="20">
        <f>M46</f>
        <v/>
      </c>
      <c r="S46" s="93">
        <f>IF($X46="","",INDEX('sheet2-计算明细'!$AQ$17:$AQ$330,$X46))</f>
        <v/>
      </c>
      <c r="T46" s="19">
        <f>IF($X46="","",INDEX('sheet2-计算明细'!$AR$17:$AR$330,$X46))</f>
        <v/>
      </c>
      <c r="U46" s="20">
        <f>IF(S46=0,"",ROUND(T46/S46,2))</f>
        <v/>
      </c>
      <c r="V46" s="20">
        <f>IF(S46=100%,T46,"")</f>
        <v/>
      </c>
      <c r="W46" s="22">
        <f>IF($X46="","",INDEX('sheet2-计算明细'!$AU$17:$AU$330,$X46))</f>
        <v/>
      </c>
      <c r="X46" s="18">
        <f>IF($A46&gt;COUNT('sheet2-计算明细'!$AT$17:$AT$330),"",MATCH($A46,'sheet2-计算明细'!$AT$17:$AT$330,0))</f>
        <v/>
      </c>
    </row>
    <row r="47" ht="28" customHeight="1" s="73">
      <c r="A47" s="2" t="n">
        <v>42</v>
      </c>
      <c r="B47" s="18">
        <f>IF($X47="","",INDEX('sheet2-计算明细'!$B$17:$B$330,$X47))</f>
        <v/>
      </c>
      <c r="C47" s="18">
        <f>IF($X47="","",INDEX('sheet2-计算明细'!$C$17:$C$330,$X47))</f>
        <v/>
      </c>
      <c r="D47" s="18">
        <f>IF($X47="","",INDEX('sheet2-计算明细'!$D$17:$D$330,$X47))</f>
        <v/>
      </c>
      <c r="E47" s="18">
        <f>IF($X47="","",INDEX('sheet2-计算明细'!$G$17:$G$330,$X47))</f>
        <v/>
      </c>
      <c r="F47" s="19">
        <f>IF($X47="","",INDEX('sheet2-计算明细'!$I$17:$I$330,$X47))</f>
        <v/>
      </c>
      <c r="G47" s="19">
        <f>IF($X47="","",INDEX('sheet2-计算明细'!$K$17:$K$330,$X47))</f>
        <v/>
      </c>
      <c r="H47" s="19">
        <f>IF($X47="","",INDEX('sheet2-计算明细'!$L$17:$L$330,$X47))</f>
        <v/>
      </c>
      <c r="I47" s="19">
        <f>IF($X47="","",INDEX('sheet2-计算明细'!$S$17:$S$330,$X47))</f>
        <v/>
      </c>
      <c r="J47" s="19">
        <f>IF($X47="","",INDEX('sheet2-计算明细'!$Y$17:$Y$330,$X47))</f>
        <v/>
      </c>
      <c r="K47" s="19">
        <f>IF($X47="","",INDEX('sheet2-计算明细'!$AC$17:$AC$330,$X47))</f>
        <v/>
      </c>
      <c r="L47" s="19">
        <f>IF($X47="","",INDEX('sheet2-计算明细'!$AI$17:$AI$330,$X47))</f>
        <v/>
      </c>
      <c r="M47" s="19">
        <f>IF($X47="","",INDEX('sheet2-计算明细'!$AK$17:$AK$330,$X47))</f>
        <v/>
      </c>
      <c r="N47" s="20">
        <f>IF(COUNT(F47:H47)=0,"",ROUND((IF(ISNUMBER(F47),F47*40%,0)+IF(ISNUMBER(G47),G47*30%,0)+IF(ISNUMBER(H47),H47*30%,0))/(IF(ISNUMBER(F47),40%,0)+IF(ISNUMBER(G47),30%,0)+IF(ISNUMBER(H47),30%,0)),2))</f>
        <v/>
      </c>
      <c r="O47" s="20">
        <f>IF(COUNT(I47:J47)=0,"",ROUND((IF(ISNUMBER(I47),I47*70%,0)+IF(ISNUMBER(J47),J47*30%,0))/(IF(ISNUMBER(I47),70%,0)+IF(ISNUMBER(J47),30%,0)),2))</f>
        <v/>
      </c>
      <c r="P47" s="20">
        <f>K47</f>
        <v/>
      </c>
      <c r="Q47" s="20">
        <f>L47</f>
        <v/>
      </c>
      <c r="R47" s="20">
        <f>M47</f>
        <v/>
      </c>
      <c r="S47" s="93">
        <f>IF($X47="","",INDEX('sheet2-计算明细'!$AQ$17:$AQ$330,$X47))</f>
        <v/>
      </c>
      <c r="T47" s="19">
        <f>IF($X47="","",INDEX('sheet2-计算明细'!$AR$17:$AR$330,$X47))</f>
        <v/>
      </c>
      <c r="U47" s="20">
        <f>IF(S47=0,"",ROUND(T47/S47,2))</f>
        <v/>
      </c>
      <c r="V47" s="20">
        <f>IF(S47=100%,T47,"")</f>
        <v/>
      </c>
      <c r="W47" s="22">
        <f>IF($X47="","",INDEX('sheet2-计算明细'!$AU$17:$AU$330,$X47))</f>
        <v/>
      </c>
      <c r="X47" s="18">
        <f>IF($A47&gt;COUNT('sheet2-计算明细'!$AT$17:$AT$330),"",MATCH($A47,'sheet2-计算明细'!$AT$17:$AT$330,0))</f>
        <v/>
      </c>
    </row>
    <row r="48" ht="28" customHeight="1" s="73">
      <c r="A48" s="2" t="n">
        <v>43</v>
      </c>
      <c r="B48" s="18">
        <f>IF($X48="","",INDEX('sheet2-计算明细'!$B$17:$B$330,$X48))</f>
        <v/>
      </c>
      <c r="C48" s="18">
        <f>IF($X48="","",INDEX('sheet2-计算明细'!$C$17:$C$330,$X48))</f>
        <v/>
      </c>
      <c r="D48" s="18">
        <f>IF($X48="","",INDEX('sheet2-计算明细'!$D$17:$D$330,$X48))</f>
        <v/>
      </c>
      <c r="E48" s="18">
        <f>IF($X48="","",INDEX('sheet2-计算明细'!$G$17:$G$330,$X48))</f>
        <v/>
      </c>
      <c r="F48" s="19">
        <f>IF($X48="","",INDEX('sheet2-计算明细'!$I$17:$I$330,$X48))</f>
        <v/>
      </c>
      <c r="G48" s="19">
        <f>IF($X48="","",INDEX('sheet2-计算明细'!$K$17:$K$330,$X48))</f>
        <v/>
      </c>
      <c r="H48" s="19">
        <f>IF($X48="","",INDEX('sheet2-计算明细'!$L$17:$L$330,$X48))</f>
        <v/>
      </c>
      <c r="I48" s="19">
        <f>IF($X48="","",INDEX('sheet2-计算明细'!$S$17:$S$330,$X48))</f>
        <v/>
      </c>
      <c r="J48" s="19">
        <f>IF($X48="","",INDEX('sheet2-计算明细'!$Y$17:$Y$330,$X48))</f>
        <v/>
      </c>
      <c r="K48" s="19">
        <f>IF($X48="","",INDEX('sheet2-计算明细'!$AC$17:$AC$330,$X48))</f>
        <v/>
      </c>
      <c r="L48" s="19">
        <f>IF($X48="","",INDEX('sheet2-计算明细'!$AI$17:$AI$330,$X48))</f>
        <v/>
      </c>
      <c r="M48" s="19">
        <f>IF($X48="","",INDEX('sheet2-计算明细'!$AK$17:$AK$330,$X48))</f>
        <v/>
      </c>
      <c r="N48" s="20">
        <f>IF(COUNT(F48:H48)=0,"",ROUND((IF(ISNUMBER(F48),F48*40%,0)+IF(ISNUMBER(G48),G48*30%,0)+IF(ISNUMBER(H48),H48*30%,0))/(IF(ISNUMBER(F48),40%,0)+IF(ISNUMBER(G48),30%,0)+IF(ISNUMBER(H48),30%,0)),2))</f>
        <v/>
      </c>
      <c r="O48" s="20">
        <f>IF(COUNT(I48:J48)=0,"",ROUND((IF(ISNUMBER(I48),I48*70%,0)+IF(ISNUMBER(J48),J48*30%,0))/(IF(ISNUMBER(I48),70%,0)+IF(ISNUMBER(J48),30%,0)),2))</f>
        <v/>
      </c>
      <c r="P48" s="20">
        <f>K48</f>
        <v/>
      </c>
      <c r="Q48" s="20">
        <f>L48</f>
        <v/>
      </c>
      <c r="R48" s="20">
        <f>M48</f>
        <v/>
      </c>
      <c r="S48" s="93">
        <f>IF($X48="","",INDEX('sheet2-计算明细'!$AQ$17:$AQ$330,$X48))</f>
        <v/>
      </c>
      <c r="T48" s="19">
        <f>IF($X48="","",INDEX('sheet2-计算明细'!$AR$17:$AR$330,$X48))</f>
        <v/>
      </c>
      <c r="U48" s="20">
        <f>IF(S48=0,"",ROUND(T48/S48,2))</f>
        <v/>
      </c>
      <c r="V48" s="20">
        <f>IF(S48=100%,T48,"")</f>
        <v/>
      </c>
      <c r="W48" s="22">
        <f>IF($X48="","",INDEX('sheet2-计算明细'!$AU$17:$AU$330,$X48))</f>
        <v/>
      </c>
      <c r="X48" s="18">
        <f>IF($A48&gt;COUNT('sheet2-计算明细'!$AT$17:$AT$330),"",MATCH($A48,'sheet2-计算明细'!$AT$17:$AT$330,0))</f>
        <v/>
      </c>
    </row>
    <row r="49" ht="28" customHeight="1" s="73">
      <c r="A49" s="2" t="n">
        <v>44</v>
      </c>
      <c r="B49" s="18">
        <f>IF($X49="","",INDEX('sheet2-计算明细'!$B$17:$B$330,$X49))</f>
        <v/>
      </c>
      <c r="C49" s="18">
        <f>IF($X49="","",INDEX('sheet2-计算明细'!$C$17:$C$330,$X49))</f>
        <v/>
      </c>
      <c r="D49" s="18">
        <f>IF($X49="","",INDEX('sheet2-计算明细'!$D$17:$D$330,$X49))</f>
        <v/>
      </c>
      <c r="E49" s="18">
        <f>IF($X49="","",INDEX('sheet2-计算明细'!$G$17:$G$330,$X49))</f>
        <v/>
      </c>
      <c r="F49" s="19">
        <f>IF($X49="","",INDEX('sheet2-计算明细'!$I$17:$I$330,$X49))</f>
        <v/>
      </c>
      <c r="G49" s="19">
        <f>IF($X49="","",INDEX('sheet2-计算明细'!$K$17:$K$330,$X49))</f>
        <v/>
      </c>
      <c r="H49" s="19">
        <f>IF($X49="","",INDEX('sheet2-计算明细'!$L$17:$L$330,$X49))</f>
        <v/>
      </c>
      <c r="I49" s="19">
        <f>IF($X49="","",INDEX('sheet2-计算明细'!$S$17:$S$330,$X49))</f>
        <v/>
      </c>
      <c r="J49" s="19">
        <f>IF($X49="","",INDEX('sheet2-计算明细'!$Y$17:$Y$330,$X49))</f>
        <v/>
      </c>
      <c r="K49" s="19">
        <f>IF($X49="","",INDEX('sheet2-计算明细'!$AC$17:$AC$330,$X49))</f>
        <v/>
      </c>
      <c r="L49" s="19">
        <f>IF($X49="","",INDEX('sheet2-计算明细'!$AI$17:$AI$330,$X49))</f>
        <v/>
      </c>
      <c r="M49" s="19">
        <f>IF($X49="","",INDEX('sheet2-计算明细'!$AK$17:$AK$330,$X49))</f>
        <v/>
      </c>
      <c r="N49" s="20">
        <f>IF(COUNT(F49:H49)=0,"",ROUND((IF(ISNUMBER(F49),F49*40%,0)+IF(ISNUMBER(G49),G49*30%,0)+IF(ISNUMBER(H49),H49*30%,0))/(IF(ISNUMBER(F49),40%,0)+IF(ISNUMBER(G49),30%,0)+IF(ISNUMBER(H49),30%,0)),2))</f>
        <v/>
      </c>
      <c r="O49" s="20">
        <f>IF(COUNT(I49:J49)=0,"",ROUND((IF(ISNUMBER(I49),I49*70%,0)+IF(ISNUMBER(J49),J49*30%,0))/(IF(ISNUMBER(I49),70%,0)+IF(ISNUMBER(J49),30%,0)),2))</f>
        <v/>
      </c>
      <c r="P49" s="20">
        <f>K49</f>
        <v/>
      </c>
      <c r="Q49" s="20">
        <f>L49</f>
        <v/>
      </c>
      <c r="R49" s="20">
        <f>M49</f>
        <v/>
      </c>
      <c r="S49" s="93">
        <f>IF($X49="","",INDEX('sheet2-计算明细'!$AQ$17:$AQ$330,$X49))</f>
        <v/>
      </c>
      <c r="T49" s="19">
        <f>IF($X49="","",INDEX('sheet2-计算明细'!$AR$17:$AR$330,$X49))</f>
        <v/>
      </c>
      <c r="U49" s="20">
        <f>IF(S49=0,"",ROUND(T49/S49,2))</f>
        <v/>
      </c>
      <c r="V49" s="20">
        <f>IF(S49=100%,T49,"")</f>
        <v/>
      </c>
      <c r="W49" s="22">
        <f>IF($X49="","",INDEX('sheet2-计算明细'!$AU$17:$AU$330,$X49))</f>
        <v/>
      </c>
      <c r="X49" s="18">
        <f>IF($A49&gt;COUNT('sheet2-计算明细'!$AT$17:$AT$330),"",MATCH($A49,'sheet2-计算明细'!$AT$17:$AT$330,0))</f>
        <v/>
      </c>
    </row>
    <row r="50" ht="28" customHeight="1" s="73">
      <c r="A50" s="2" t="n">
        <v>45</v>
      </c>
      <c r="B50" s="18">
        <f>IF($X50="","",INDEX('sheet2-计算明细'!$B$17:$B$330,$X50))</f>
        <v/>
      </c>
      <c r="C50" s="18">
        <f>IF($X50="","",INDEX('sheet2-计算明细'!$C$17:$C$330,$X50))</f>
        <v/>
      </c>
      <c r="D50" s="18">
        <f>IF($X50="","",INDEX('sheet2-计算明细'!$D$17:$D$330,$X50))</f>
        <v/>
      </c>
      <c r="E50" s="18">
        <f>IF($X50="","",INDEX('sheet2-计算明细'!$G$17:$G$330,$X50))</f>
        <v/>
      </c>
      <c r="F50" s="19">
        <f>IF($X50="","",INDEX('sheet2-计算明细'!$I$17:$I$330,$X50))</f>
        <v/>
      </c>
      <c r="G50" s="19">
        <f>IF($X50="","",INDEX('sheet2-计算明细'!$K$17:$K$330,$X50))</f>
        <v/>
      </c>
      <c r="H50" s="19">
        <f>IF($X50="","",INDEX('sheet2-计算明细'!$L$17:$L$330,$X50))</f>
        <v/>
      </c>
      <c r="I50" s="19">
        <f>IF($X50="","",INDEX('sheet2-计算明细'!$S$17:$S$330,$X50))</f>
        <v/>
      </c>
      <c r="J50" s="19">
        <f>IF($X50="","",INDEX('sheet2-计算明细'!$Y$17:$Y$330,$X50))</f>
        <v/>
      </c>
      <c r="K50" s="19">
        <f>IF($X50="","",INDEX('sheet2-计算明细'!$AC$17:$AC$330,$X50))</f>
        <v/>
      </c>
      <c r="L50" s="19">
        <f>IF($X50="","",INDEX('sheet2-计算明细'!$AI$17:$AI$330,$X50))</f>
        <v/>
      </c>
      <c r="M50" s="19">
        <f>IF($X50="","",INDEX('sheet2-计算明细'!$AK$17:$AK$330,$X50))</f>
        <v/>
      </c>
      <c r="N50" s="20">
        <f>IF(COUNT(F50:H50)=0,"",ROUND((IF(ISNUMBER(F50),F50*40%,0)+IF(ISNUMBER(G50),G50*30%,0)+IF(ISNUMBER(H50),H50*30%,0))/(IF(ISNUMBER(F50),40%,0)+IF(ISNUMBER(G50),30%,0)+IF(ISNUMBER(H50),30%,0)),2))</f>
        <v/>
      </c>
      <c r="O50" s="20">
        <f>IF(COUNT(I50:J50)=0,"",ROUND((IF(ISNUMBER(I50),I50*70%,0)+IF(ISNUMBER(J50),J50*30%,0))/(IF(ISNUMBER(I50),70%,0)+IF(ISNUMBER(J50),30%,0)),2))</f>
        <v/>
      </c>
      <c r="P50" s="20">
        <f>K50</f>
        <v/>
      </c>
      <c r="Q50" s="20">
        <f>L50</f>
        <v/>
      </c>
      <c r="R50" s="20">
        <f>M50</f>
        <v/>
      </c>
      <c r="S50" s="93">
        <f>IF($X50="","",INDEX('sheet2-计算明细'!$AQ$17:$AQ$330,$X50))</f>
        <v/>
      </c>
      <c r="T50" s="19">
        <f>IF($X50="","",INDEX('sheet2-计算明细'!$AR$17:$AR$330,$X50))</f>
        <v/>
      </c>
      <c r="U50" s="20">
        <f>IF(S50=0,"",ROUND(T50/S50,2))</f>
        <v/>
      </c>
      <c r="V50" s="20">
        <f>IF(S50=100%,T50,"")</f>
        <v/>
      </c>
      <c r="W50" s="22">
        <f>IF($X50="","",INDEX('sheet2-计算明细'!$AU$17:$AU$330,$X50))</f>
        <v/>
      </c>
      <c r="X50" s="18">
        <f>IF($A50&gt;COUNT('sheet2-计算明细'!$AT$17:$AT$330),"",MATCH($A50,'sheet2-计算明细'!$AT$17:$AT$330,0))</f>
        <v/>
      </c>
    </row>
    <row r="51" ht="28" customHeight="1" s="73">
      <c r="A51" s="2" t="n">
        <v>46</v>
      </c>
      <c r="B51" s="18">
        <f>IF($X51="","",INDEX('sheet2-计算明细'!$B$17:$B$330,$X51))</f>
        <v/>
      </c>
      <c r="C51" s="18">
        <f>IF($X51="","",INDEX('sheet2-计算明细'!$C$17:$C$330,$X51))</f>
        <v/>
      </c>
      <c r="D51" s="18">
        <f>IF($X51="","",INDEX('sheet2-计算明细'!$D$17:$D$330,$X51))</f>
        <v/>
      </c>
      <c r="E51" s="18">
        <f>IF($X51="","",INDEX('sheet2-计算明细'!$G$17:$G$330,$X51))</f>
        <v/>
      </c>
      <c r="F51" s="19">
        <f>IF($X51="","",INDEX('sheet2-计算明细'!$I$17:$I$330,$X51))</f>
        <v/>
      </c>
      <c r="G51" s="19">
        <f>IF($X51="","",INDEX('sheet2-计算明细'!$K$17:$K$330,$X51))</f>
        <v/>
      </c>
      <c r="H51" s="19">
        <f>IF($X51="","",INDEX('sheet2-计算明细'!$L$17:$L$330,$X51))</f>
        <v/>
      </c>
      <c r="I51" s="19">
        <f>IF($X51="","",INDEX('sheet2-计算明细'!$S$17:$S$330,$X51))</f>
        <v/>
      </c>
      <c r="J51" s="19">
        <f>IF($X51="","",INDEX('sheet2-计算明细'!$Y$17:$Y$330,$X51))</f>
        <v/>
      </c>
      <c r="K51" s="19">
        <f>IF($X51="","",INDEX('sheet2-计算明细'!$AC$17:$AC$330,$X51))</f>
        <v/>
      </c>
      <c r="L51" s="19">
        <f>IF($X51="","",INDEX('sheet2-计算明细'!$AI$17:$AI$330,$X51))</f>
        <v/>
      </c>
      <c r="M51" s="19">
        <f>IF($X51="","",INDEX('sheet2-计算明细'!$AK$17:$AK$330,$X51))</f>
        <v/>
      </c>
      <c r="N51" s="20">
        <f>IF(COUNT(F51:H51)=0,"",ROUND((IF(ISNUMBER(F51),F51*40%,0)+IF(ISNUMBER(G51),G51*30%,0)+IF(ISNUMBER(H51),H51*30%,0))/(IF(ISNUMBER(F51),40%,0)+IF(ISNUMBER(G51),30%,0)+IF(ISNUMBER(H51),30%,0)),2))</f>
        <v/>
      </c>
      <c r="O51" s="20">
        <f>IF(COUNT(I51:J51)=0,"",ROUND((IF(ISNUMBER(I51),I51*70%,0)+IF(ISNUMBER(J51),J51*30%,0))/(IF(ISNUMBER(I51),70%,0)+IF(ISNUMBER(J51),30%,0)),2))</f>
        <v/>
      </c>
      <c r="P51" s="20">
        <f>K51</f>
        <v/>
      </c>
      <c r="Q51" s="20">
        <f>L51</f>
        <v/>
      </c>
      <c r="R51" s="20">
        <f>M51</f>
        <v/>
      </c>
      <c r="S51" s="93">
        <f>IF($X51="","",INDEX('sheet2-计算明细'!$AQ$17:$AQ$330,$X51))</f>
        <v/>
      </c>
      <c r="T51" s="19">
        <f>IF($X51="","",INDEX('sheet2-计算明细'!$AR$17:$AR$330,$X51))</f>
        <v/>
      </c>
      <c r="U51" s="20">
        <f>IF(S51=0,"",ROUND(T51/S51,2))</f>
        <v/>
      </c>
      <c r="V51" s="20">
        <f>IF(S51=100%,T51,"")</f>
        <v/>
      </c>
      <c r="W51" s="22">
        <f>IF($X51="","",INDEX('sheet2-计算明细'!$AU$17:$AU$330,$X51))</f>
        <v/>
      </c>
      <c r="X51" s="18">
        <f>IF($A51&gt;COUNT('sheet2-计算明细'!$AT$17:$AT$330),"",MATCH($A51,'sheet2-计算明细'!$AT$17:$AT$330,0))</f>
        <v/>
      </c>
    </row>
    <row r="52" ht="28" customHeight="1" s="73">
      <c r="A52" s="2" t="n">
        <v>47</v>
      </c>
      <c r="B52" s="18">
        <f>IF($X52="","",INDEX('sheet2-计算明细'!$B$17:$B$330,$X52))</f>
        <v/>
      </c>
      <c r="C52" s="18">
        <f>IF($X52="","",INDEX('sheet2-计算明细'!$C$17:$C$330,$X52))</f>
        <v/>
      </c>
      <c r="D52" s="18">
        <f>IF($X52="","",INDEX('sheet2-计算明细'!$D$17:$D$330,$X52))</f>
        <v/>
      </c>
      <c r="E52" s="18">
        <f>IF($X52="","",INDEX('sheet2-计算明细'!$G$17:$G$330,$X52))</f>
        <v/>
      </c>
      <c r="F52" s="19">
        <f>IF($X52="","",INDEX('sheet2-计算明细'!$I$17:$I$330,$X52))</f>
        <v/>
      </c>
      <c r="G52" s="19">
        <f>IF($X52="","",INDEX('sheet2-计算明细'!$K$17:$K$330,$X52))</f>
        <v/>
      </c>
      <c r="H52" s="19">
        <f>IF($X52="","",INDEX('sheet2-计算明细'!$L$17:$L$330,$X52))</f>
        <v/>
      </c>
      <c r="I52" s="19">
        <f>IF($X52="","",INDEX('sheet2-计算明细'!$S$17:$S$330,$X52))</f>
        <v/>
      </c>
      <c r="J52" s="19">
        <f>IF($X52="","",INDEX('sheet2-计算明细'!$Y$17:$Y$330,$X52))</f>
        <v/>
      </c>
      <c r="K52" s="19">
        <f>IF($X52="","",INDEX('sheet2-计算明细'!$AC$17:$AC$330,$X52))</f>
        <v/>
      </c>
      <c r="L52" s="19">
        <f>IF($X52="","",INDEX('sheet2-计算明细'!$AI$17:$AI$330,$X52))</f>
        <v/>
      </c>
      <c r="M52" s="19">
        <f>IF($X52="","",INDEX('sheet2-计算明细'!$AK$17:$AK$330,$X52))</f>
        <v/>
      </c>
      <c r="N52" s="20">
        <f>IF(COUNT(F52:H52)=0,"",ROUND((IF(ISNUMBER(F52),F52*40%,0)+IF(ISNUMBER(G52),G52*30%,0)+IF(ISNUMBER(H52),H52*30%,0))/(IF(ISNUMBER(F52),40%,0)+IF(ISNUMBER(G52),30%,0)+IF(ISNUMBER(H52),30%,0)),2))</f>
        <v/>
      </c>
      <c r="O52" s="20">
        <f>IF(COUNT(I52:J52)=0,"",ROUND((IF(ISNUMBER(I52),I52*70%,0)+IF(ISNUMBER(J52),J52*30%,0))/(IF(ISNUMBER(I52),70%,0)+IF(ISNUMBER(J52),30%,0)),2))</f>
        <v/>
      </c>
      <c r="P52" s="20">
        <f>K52</f>
        <v/>
      </c>
      <c r="Q52" s="20">
        <f>L52</f>
        <v/>
      </c>
      <c r="R52" s="20">
        <f>M52</f>
        <v/>
      </c>
      <c r="S52" s="93">
        <f>IF($X52="","",INDEX('sheet2-计算明细'!$AQ$17:$AQ$330,$X52))</f>
        <v/>
      </c>
      <c r="T52" s="19">
        <f>IF($X52="","",INDEX('sheet2-计算明细'!$AR$17:$AR$330,$X52))</f>
        <v/>
      </c>
      <c r="U52" s="20">
        <f>IF(S52=0,"",ROUND(T52/S52,2))</f>
        <v/>
      </c>
      <c r="V52" s="20">
        <f>IF(S52=100%,T52,"")</f>
        <v/>
      </c>
      <c r="W52" s="22">
        <f>IF($X52="","",INDEX('sheet2-计算明细'!$AU$17:$AU$330,$X52))</f>
        <v/>
      </c>
      <c r="X52" s="18">
        <f>IF($A52&gt;COUNT('sheet2-计算明细'!$AT$17:$AT$330),"",MATCH($A52,'sheet2-计算明细'!$AT$17:$AT$330,0))</f>
        <v/>
      </c>
    </row>
    <row r="53" ht="28" customHeight="1" s="73">
      <c r="A53" s="2" t="n">
        <v>48</v>
      </c>
      <c r="B53" s="18">
        <f>IF($X53="","",INDEX('sheet2-计算明细'!$B$17:$B$330,$X53))</f>
        <v/>
      </c>
      <c r="C53" s="18">
        <f>IF($X53="","",INDEX('sheet2-计算明细'!$C$17:$C$330,$X53))</f>
        <v/>
      </c>
      <c r="D53" s="18">
        <f>IF($X53="","",INDEX('sheet2-计算明细'!$D$17:$D$330,$X53))</f>
        <v/>
      </c>
      <c r="E53" s="18">
        <f>IF($X53="","",INDEX('sheet2-计算明细'!$G$17:$G$330,$X53))</f>
        <v/>
      </c>
      <c r="F53" s="19">
        <f>IF($X53="","",INDEX('sheet2-计算明细'!$I$17:$I$330,$X53))</f>
        <v/>
      </c>
      <c r="G53" s="19">
        <f>IF($X53="","",INDEX('sheet2-计算明细'!$K$17:$K$330,$X53))</f>
        <v/>
      </c>
      <c r="H53" s="19">
        <f>IF($X53="","",INDEX('sheet2-计算明细'!$L$17:$L$330,$X53))</f>
        <v/>
      </c>
      <c r="I53" s="19">
        <f>IF($X53="","",INDEX('sheet2-计算明细'!$S$17:$S$330,$X53))</f>
        <v/>
      </c>
      <c r="J53" s="19">
        <f>IF($X53="","",INDEX('sheet2-计算明细'!$Y$17:$Y$330,$X53))</f>
        <v/>
      </c>
      <c r="K53" s="19">
        <f>IF($X53="","",INDEX('sheet2-计算明细'!$AC$17:$AC$330,$X53))</f>
        <v/>
      </c>
      <c r="L53" s="19">
        <f>IF($X53="","",INDEX('sheet2-计算明细'!$AI$17:$AI$330,$X53))</f>
        <v/>
      </c>
      <c r="M53" s="19">
        <f>IF($X53="","",INDEX('sheet2-计算明细'!$AK$17:$AK$330,$X53))</f>
        <v/>
      </c>
      <c r="N53" s="20">
        <f>IF(COUNT(F53:H53)=0,"",ROUND((IF(ISNUMBER(F53),F53*40%,0)+IF(ISNUMBER(G53),G53*30%,0)+IF(ISNUMBER(H53),H53*30%,0))/(IF(ISNUMBER(F53),40%,0)+IF(ISNUMBER(G53),30%,0)+IF(ISNUMBER(H53),30%,0)),2))</f>
        <v/>
      </c>
      <c r="O53" s="20">
        <f>IF(COUNT(I53:J53)=0,"",ROUND((IF(ISNUMBER(I53),I53*70%,0)+IF(ISNUMBER(J53),J53*30%,0))/(IF(ISNUMBER(I53),70%,0)+IF(ISNUMBER(J53),30%,0)),2))</f>
        <v/>
      </c>
      <c r="P53" s="20">
        <f>K53</f>
        <v/>
      </c>
      <c r="Q53" s="20">
        <f>L53</f>
        <v/>
      </c>
      <c r="R53" s="20">
        <f>M53</f>
        <v/>
      </c>
      <c r="S53" s="93">
        <f>IF($X53="","",INDEX('sheet2-计算明细'!$AQ$17:$AQ$330,$X53))</f>
        <v/>
      </c>
      <c r="T53" s="19">
        <f>IF($X53="","",INDEX('sheet2-计算明细'!$AR$17:$AR$330,$X53))</f>
        <v/>
      </c>
      <c r="U53" s="20">
        <f>IF(S53=0,"",ROUND(T53/S53,2))</f>
        <v/>
      </c>
      <c r="V53" s="20">
        <f>IF(S53=100%,T53,"")</f>
        <v/>
      </c>
      <c r="W53" s="22">
        <f>IF($X53="","",INDEX('sheet2-计算明细'!$AU$17:$AU$330,$X53))</f>
        <v/>
      </c>
      <c r="X53" s="18">
        <f>IF($A53&gt;COUNT('sheet2-计算明细'!$AT$17:$AT$330),"",MATCH($A53,'sheet2-计算明细'!$AT$17:$AT$330,0))</f>
        <v/>
      </c>
    </row>
    <row r="54" ht="28" customHeight="1" s="73">
      <c r="A54" s="2" t="n">
        <v>49</v>
      </c>
      <c r="B54" s="18">
        <f>IF($X54="","",INDEX('sheet2-计算明细'!$B$17:$B$330,$X54))</f>
        <v/>
      </c>
      <c r="C54" s="18">
        <f>IF($X54="","",INDEX('sheet2-计算明细'!$C$17:$C$330,$X54))</f>
        <v/>
      </c>
      <c r="D54" s="18">
        <f>IF($X54="","",INDEX('sheet2-计算明细'!$D$17:$D$330,$X54))</f>
        <v/>
      </c>
      <c r="E54" s="18">
        <f>IF($X54="","",INDEX('sheet2-计算明细'!$G$17:$G$330,$X54))</f>
        <v/>
      </c>
      <c r="F54" s="19">
        <f>IF($X54="","",INDEX('sheet2-计算明细'!$I$17:$I$330,$X54))</f>
        <v/>
      </c>
      <c r="G54" s="19">
        <f>IF($X54="","",INDEX('sheet2-计算明细'!$K$17:$K$330,$X54))</f>
        <v/>
      </c>
      <c r="H54" s="19">
        <f>IF($X54="","",INDEX('sheet2-计算明细'!$L$17:$L$330,$X54))</f>
        <v/>
      </c>
      <c r="I54" s="19">
        <f>IF($X54="","",INDEX('sheet2-计算明细'!$S$17:$S$330,$X54))</f>
        <v/>
      </c>
      <c r="J54" s="19">
        <f>IF($X54="","",INDEX('sheet2-计算明细'!$Y$17:$Y$330,$X54))</f>
        <v/>
      </c>
      <c r="K54" s="19">
        <f>IF($X54="","",INDEX('sheet2-计算明细'!$AC$17:$AC$330,$X54))</f>
        <v/>
      </c>
      <c r="L54" s="19">
        <f>IF($X54="","",INDEX('sheet2-计算明细'!$AI$17:$AI$330,$X54))</f>
        <v/>
      </c>
      <c r="M54" s="19">
        <f>IF($X54="","",INDEX('sheet2-计算明细'!$AK$17:$AK$330,$X54))</f>
        <v/>
      </c>
      <c r="N54" s="20">
        <f>IF(COUNT(F54:H54)=0,"",ROUND((IF(ISNUMBER(F54),F54*40%,0)+IF(ISNUMBER(G54),G54*30%,0)+IF(ISNUMBER(H54),H54*30%,0))/(IF(ISNUMBER(F54),40%,0)+IF(ISNUMBER(G54),30%,0)+IF(ISNUMBER(H54),30%,0)),2))</f>
        <v/>
      </c>
      <c r="O54" s="20">
        <f>IF(COUNT(I54:J54)=0,"",ROUND((IF(ISNUMBER(I54),I54*70%,0)+IF(ISNUMBER(J54),J54*30%,0))/(IF(ISNUMBER(I54),70%,0)+IF(ISNUMBER(J54),30%,0)),2))</f>
        <v/>
      </c>
      <c r="P54" s="20">
        <f>K54</f>
        <v/>
      </c>
      <c r="Q54" s="20">
        <f>L54</f>
        <v/>
      </c>
      <c r="R54" s="20">
        <f>M54</f>
        <v/>
      </c>
      <c r="S54" s="93">
        <f>IF($X54="","",INDEX('sheet2-计算明细'!$AQ$17:$AQ$330,$X54))</f>
        <v/>
      </c>
      <c r="T54" s="19">
        <f>IF($X54="","",INDEX('sheet2-计算明细'!$AR$17:$AR$330,$X54))</f>
        <v/>
      </c>
      <c r="U54" s="20">
        <f>IF(S54=0,"",ROUND(T54/S54,2))</f>
        <v/>
      </c>
      <c r="V54" s="20">
        <f>IF(S54=100%,T54,"")</f>
        <v/>
      </c>
      <c r="W54" s="22">
        <f>IF($X54="","",INDEX('sheet2-计算明细'!$AU$17:$AU$330,$X54))</f>
        <v/>
      </c>
      <c r="X54" s="18">
        <f>IF($A54&gt;COUNT('sheet2-计算明细'!$AT$17:$AT$330),"",MATCH($A54,'sheet2-计算明细'!$AT$17:$AT$330,0))</f>
        <v/>
      </c>
    </row>
    <row r="55" ht="28" customHeight="1" s="73">
      <c r="A55" s="2" t="n">
        <v>50</v>
      </c>
      <c r="B55" s="18">
        <f>IF($X55="","",INDEX('sheet2-计算明细'!$B$17:$B$330,$X55))</f>
        <v/>
      </c>
      <c r="C55" s="18">
        <f>IF($X55="","",INDEX('sheet2-计算明细'!$C$17:$C$330,$X55))</f>
        <v/>
      </c>
      <c r="D55" s="18">
        <f>IF($X55="","",INDEX('sheet2-计算明细'!$D$17:$D$330,$X55))</f>
        <v/>
      </c>
      <c r="E55" s="18">
        <f>IF($X55="","",INDEX('sheet2-计算明细'!$G$17:$G$330,$X55))</f>
        <v/>
      </c>
      <c r="F55" s="19">
        <f>IF($X55="","",INDEX('sheet2-计算明细'!$I$17:$I$330,$X55))</f>
        <v/>
      </c>
      <c r="G55" s="19">
        <f>IF($X55="","",INDEX('sheet2-计算明细'!$K$17:$K$330,$X55))</f>
        <v/>
      </c>
      <c r="H55" s="19">
        <f>IF($X55="","",INDEX('sheet2-计算明细'!$L$17:$L$330,$X55))</f>
        <v/>
      </c>
      <c r="I55" s="19">
        <f>IF($X55="","",INDEX('sheet2-计算明细'!$S$17:$S$330,$X55))</f>
        <v/>
      </c>
      <c r="J55" s="19">
        <f>IF($X55="","",INDEX('sheet2-计算明细'!$Y$17:$Y$330,$X55))</f>
        <v/>
      </c>
      <c r="K55" s="19">
        <f>IF($X55="","",INDEX('sheet2-计算明细'!$AC$17:$AC$330,$X55))</f>
        <v/>
      </c>
      <c r="L55" s="19">
        <f>IF($X55="","",INDEX('sheet2-计算明细'!$AI$17:$AI$330,$X55))</f>
        <v/>
      </c>
      <c r="M55" s="19">
        <f>IF($X55="","",INDEX('sheet2-计算明细'!$AK$17:$AK$330,$X55))</f>
        <v/>
      </c>
      <c r="N55" s="20">
        <f>IF(COUNT(F55:H55)=0,"",ROUND((IF(ISNUMBER(F55),F55*40%,0)+IF(ISNUMBER(G55),G55*30%,0)+IF(ISNUMBER(H55),H55*30%,0))/(IF(ISNUMBER(F55),40%,0)+IF(ISNUMBER(G55),30%,0)+IF(ISNUMBER(H55),30%,0)),2))</f>
        <v/>
      </c>
      <c r="O55" s="20">
        <f>IF(COUNT(I55:J55)=0,"",ROUND((IF(ISNUMBER(I55),I55*70%,0)+IF(ISNUMBER(J55),J55*30%,0))/(IF(ISNUMBER(I55),70%,0)+IF(ISNUMBER(J55),30%,0)),2))</f>
        <v/>
      </c>
      <c r="P55" s="20">
        <f>K55</f>
        <v/>
      </c>
      <c r="Q55" s="20">
        <f>L55</f>
        <v/>
      </c>
      <c r="R55" s="20">
        <f>M55</f>
        <v/>
      </c>
      <c r="S55" s="93">
        <f>IF($X55="","",INDEX('sheet2-计算明细'!$AQ$17:$AQ$330,$X55))</f>
        <v/>
      </c>
      <c r="T55" s="19">
        <f>IF($X55="","",INDEX('sheet2-计算明细'!$AR$17:$AR$330,$X55))</f>
        <v/>
      </c>
      <c r="U55" s="20">
        <f>IF(S55=0,"",ROUND(T55/S55,2))</f>
        <v/>
      </c>
      <c r="V55" s="20">
        <f>IF(S55=100%,T55,"")</f>
        <v/>
      </c>
      <c r="W55" s="22">
        <f>IF($X55="","",INDEX('sheet2-计算明细'!$AU$17:$AU$330,$X55))</f>
        <v/>
      </c>
      <c r="X55" s="18">
        <f>IF($A55&gt;COUNT('sheet2-计算明细'!$AT$17:$AT$330),"",MATCH($A55,'sheet2-计算明细'!$AT$17:$AT$330,0))</f>
        <v/>
      </c>
    </row>
    <row r="56" ht="28" customHeight="1" s="73">
      <c r="A56" s="2" t="n">
        <v>51</v>
      </c>
      <c r="B56" s="18">
        <f>IF($X56="","",INDEX('sheet2-计算明细'!$B$17:$B$330,$X56))</f>
        <v/>
      </c>
      <c r="C56" s="18">
        <f>IF($X56="","",INDEX('sheet2-计算明细'!$C$17:$C$330,$X56))</f>
        <v/>
      </c>
      <c r="D56" s="18">
        <f>IF($X56="","",INDEX('sheet2-计算明细'!$D$17:$D$330,$X56))</f>
        <v/>
      </c>
      <c r="E56" s="18">
        <f>IF($X56="","",INDEX('sheet2-计算明细'!$G$17:$G$330,$X56))</f>
        <v/>
      </c>
      <c r="F56" s="19">
        <f>IF($X56="","",INDEX('sheet2-计算明细'!$I$17:$I$330,$X56))</f>
        <v/>
      </c>
      <c r="G56" s="19">
        <f>IF($X56="","",INDEX('sheet2-计算明细'!$K$17:$K$330,$X56))</f>
        <v/>
      </c>
      <c r="H56" s="19">
        <f>IF($X56="","",INDEX('sheet2-计算明细'!$L$17:$L$330,$X56))</f>
        <v/>
      </c>
      <c r="I56" s="19">
        <f>IF($X56="","",INDEX('sheet2-计算明细'!$S$17:$S$330,$X56))</f>
        <v/>
      </c>
      <c r="J56" s="19">
        <f>IF($X56="","",INDEX('sheet2-计算明细'!$Y$17:$Y$330,$X56))</f>
        <v/>
      </c>
      <c r="K56" s="19">
        <f>IF($X56="","",INDEX('sheet2-计算明细'!$AC$17:$AC$330,$X56))</f>
        <v/>
      </c>
      <c r="L56" s="19">
        <f>IF($X56="","",INDEX('sheet2-计算明细'!$AI$17:$AI$330,$X56))</f>
        <v/>
      </c>
      <c r="M56" s="19">
        <f>IF($X56="","",INDEX('sheet2-计算明细'!$AK$17:$AK$330,$X56))</f>
        <v/>
      </c>
      <c r="N56" s="20">
        <f>IF(COUNT(F56:H56)=0,"",ROUND((IF(ISNUMBER(F56),F56*40%,0)+IF(ISNUMBER(G56),G56*30%,0)+IF(ISNUMBER(H56),H56*30%,0))/(IF(ISNUMBER(F56),40%,0)+IF(ISNUMBER(G56),30%,0)+IF(ISNUMBER(H56),30%,0)),2))</f>
        <v/>
      </c>
      <c r="O56" s="20">
        <f>IF(COUNT(I56:J56)=0,"",ROUND((IF(ISNUMBER(I56),I56*70%,0)+IF(ISNUMBER(J56),J56*30%,0))/(IF(ISNUMBER(I56),70%,0)+IF(ISNUMBER(J56),30%,0)),2))</f>
        <v/>
      </c>
      <c r="P56" s="20">
        <f>K56</f>
        <v/>
      </c>
      <c r="Q56" s="20">
        <f>L56</f>
        <v/>
      </c>
      <c r="R56" s="20">
        <f>M56</f>
        <v/>
      </c>
      <c r="S56" s="93">
        <f>IF($X56="","",INDEX('sheet2-计算明细'!$AQ$17:$AQ$330,$X56))</f>
        <v/>
      </c>
      <c r="T56" s="19">
        <f>IF($X56="","",INDEX('sheet2-计算明细'!$AR$17:$AR$330,$X56))</f>
        <v/>
      </c>
      <c r="U56" s="20">
        <f>IF(S56=0,"",ROUND(T56/S56,2))</f>
        <v/>
      </c>
      <c r="V56" s="20">
        <f>IF(S56=100%,T56,"")</f>
        <v/>
      </c>
      <c r="W56" s="22">
        <f>IF($X56="","",INDEX('sheet2-计算明细'!$AU$17:$AU$330,$X56))</f>
        <v/>
      </c>
      <c r="X56" s="18">
        <f>IF($A56&gt;COUNT('sheet2-计算明细'!$AT$17:$AT$330),"",MATCH($A56,'sheet2-计算明细'!$AT$17:$AT$330,0))</f>
        <v/>
      </c>
    </row>
    <row r="57" ht="28" customHeight="1" s="73">
      <c r="A57" s="2" t="n">
        <v>52</v>
      </c>
      <c r="B57" s="18">
        <f>IF($X57="","",INDEX('sheet2-计算明细'!$B$17:$B$330,$X57))</f>
        <v/>
      </c>
      <c r="C57" s="18">
        <f>IF($X57="","",INDEX('sheet2-计算明细'!$C$17:$C$330,$X57))</f>
        <v/>
      </c>
      <c r="D57" s="18">
        <f>IF($X57="","",INDEX('sheet2-计算明细'!$D$17:$D$330,$X57))</f>
        <v/>
      </c>
      <c r="E57" s="18">
        <f>IF($X57="","",INDEX('sheet2-计算明细'!$G$17:$G$330,$X57))</f>
        <v/>
      </c>
      <c r="F57" s="19">
        <f>IF($X57="","",INDEX('sheet2-计算明细'!$I$17:$I$330,$X57))</f>
        <v/>
      </c>
      <c r="G57" s="19">
        <f>IF($X57="","",INDEX('sheet2-计算明细'!$K$17:$K$330,$X57))</f>
        <v/>
      </c>
      <c r="H57" s="19">
        <f>IF($X57="","",INDEX('sheet2-计算明细'!$L$17:$L$330,$X57))</f>
        <v/>
      </c>
      <c r="I57" s="19">
        <f>IF($X57="","",INDEX('sheet2-计算明细'!$S$17:$S$330,$X57))</f>
        <v/>
      </c>
      <c r="J57" s="19">
        <f>IF($X57="","",INDEX('sheet2-计算明细'!$Y$17:$Y$330,$X57))</f>
        <v/>
      </c>
      <c r="K57" s="19">
        <f>IF($X57="","",INDEX('sheet2-计算明细'!$AC$17:$AC$330,$X57))</f>
        <v/>
      </c>
      <c r="L57" s="19">
        <f>IF($X57="","",INDEX('sheet2-计算明细'!$AI$17:$AI$330,$X57))</f>
        <v/>
      </c>
      <c r="M57" s="19">
        <f>IF($X57="","",INDEX('sheet2-计算明细'!$AK$17:$AK$330,$X57))</f>
        <v/>
      </c>
      <c r="N57" s="20">
        <f>IF(COUNT(F57:H57)=0,"",ROUND((IF(ISNUMBER(F57),F57*40%,0)+IF(ISNUMBER(G57),G57*30%,0)+IF(ISNUMBER(H57),H57*30%,0))/(IF(ISNUMBER(F57),40%,0)+IF(ISNUMBER(G57),30%,0)+IF(ISNUMBER(H57),30%,0)),2))</f>
        <v/>
      </c>
      <c r="O57" s="20">
        <f>IF(COUNT(I57:J57)=0,"",ROUND((IF(ISNUMBER(I57),I57*70%,0)+IF(ISNUMBER(J57),J57*30%,0))/(IF(ISNUMBER(I57),70%,0)+IF(ISNUMBER(J57),30%,0)),2))</f>
        <v/>
      </c>
      <c r="P57" s="20">
        <f>K57</f>
        <v/>
      </c>
      <c r="Q57" s="20">
        <f>L57</f>
        <v/>
      </c>
      <c r="R57" s="20">
        <f>M57</f>
        <v/>
      </c>
      <c r="S57" s="93">
        <f>IF($X57="","",INDEX('sheet2-计算明细'!$AQ$17:$AQ$330,$X57))</f>
        <v/>
      </c>
      <c r="T57" s="19">
        <f>IF($X57="","",INDEX('sheet2-计算明细'!$AR$17:$AR$330,$X57))</f>
        <v/>
      </c>
      <c r="U57" s="20">
        <f>IF(S57=0,"",ROUND(T57/S57,2))</f>
        <v/>
      </c>
      <c r="V57" s="20">
        <f>IF(S57=100%,T57,"")</f>
        <v/>
      </c>
      <c r="W57" s="22">
        <f>IF($X57="","",INDEX('sheet2-计算明细'!$AU$17:$AU$330,$X57))</f>
        <v/>
      </c>
      <c r="X57" s="18">
        <f>IF($A57&gt;COUNT('sheet2-计算明细'!$AT$17:$AT$330),"",MATCH($A57,'sheet2-计算明细'!$AT$17:$AT$330,0))</f>
        <v/>
      </c>
    </row>
    <row r="58" ht="28" customHeight="1" s="73">
      <c r="A58" s="2" t="n">
        <v>53</v>
      </c>
      <c r="B58" s="18">
        <f>IF($X58="","",INDEX('sheet2-计算明细'!$B$17:$B$330,$X58))</f>
        <v/>
      </c>
      <c r="C58" s="18">
        <f>IF($X58="","",INDEX('sheet2-计算明细'!$C$17:$C$330,$X58))</f>
        <v/>
      </c>
      <c r="D58" s="18">
        <f>IF($X58="","",INDEX('sheet2-计算明细'!$D$17:$D$330,$X58))</f>
        <v/>
      </c>
      <c r="E58" s="18">
        <f>IF($X58="","",INDEX('sheet2-计算明细'!$G$17:$G$330,$X58))</f>
        <v/>
      </c>
      <c r="F58" s="19">
        <f>IF($X58="","",INDEX('sheet2-计算明细'!$I$17:$I$330,$X58))</f>
        <v/>
      </c>
      <c r="G58" s="19">
        <f>IF($X58="","",INDEX('sheet2-计算明细'!$K$17:$K$330,$X58))</f>
        <v/>
      </c>
      <c r="H58" s="19">
        <f>IF($X58="","",INDEX('sheet2-计算明细'!$L$17:$L$330,$X58))</f>
        <v/>
      </c>
      <c r="I58" s="19">
        <f>IF($X58="","",INDEX('sheet2-计算明细'!$S$17:$S$330,$X58))</f>
        <v/>
      </c>
      <c r="J58" s="19">
        <f>IF($X58="","",INDEX('sheet2-计算明细'!$Y$17:$Y$330,$X58))</f>
        <v/>
      </c>
      <c r="K58" s="19">
        <f>IF($X58="","",INDEX('sheet2-计算明细'!$AC$17:$AC$330,$X58))</f>
        <v/>
      </c>
      <c r="L58" s="19">
        <f>IF($X58="","",INDEX('sheet2-计算明细'!$AI$17:$AI$330,$X58))</f>
        <v/>
      </c>
      <c r="M58" s="19">
        <f>IF($X58="","",INDEX('sheet2-计算明细'!$AK$17:$AK$330,$X58))</f>
        <v/>
      </c>
      <c r="N58" s="20">
        <f>IF(COUNT(F58:H58)=0,"",ROUND((IF(ISNUMBER(F58),F58*40%,0)+IF(ISNUMBER(G58),G58*30%,0)+IF(ISNUMBER(H58),H58*30%,0))/(IF(ISNUMBER(F58),40%,0)+IF(ISNUMBER(G58),30%,0)+IF(ISNUMBER(H58),30%,0)),2))</f>
        <v/>
      </c>
      <c r="O58" s="20">
        <f>IF(COUNT(I58:J58)=0,"",ROUND((IF(ISNUMBER(I58),I58*70%,0)+IF(ISNUMBER(J58),J58*30%,0))/(IF(ISNUMBER(I58),70%,0)+IF(ISNUMBER(J58),30%,0)),2))</f>
        <v/>
      </c>
      <c r="P58" s="20">
        <f>K58</f>
        <v/>
      </c>
      <c r="Q58" s="20">
        <f>L58</f>
        <v/>
      </c>
      <c r="R58" s="20">
        <f>M58</f>
        <v/>
      </c>
      <c r="S58" s="93">
        <f>IF($X58="","",INDEX('sheet2-计算明细'!$AQ$17:$AQ$330,$X58))</f>
        <v/>
      </c>
      <c r="T58" s="19">
        <f>IF($X58="","",INDEX('sheet2-计算明细'!$AR$17:$AR$330,$X58))</f>
        <v/>
      </c>
      <c r="U58" s="20">
        <f>IF(S58=0,"",ROUND(T58/S58,2))</f>
        <v/>
      </c>
      <c r="V58" s="20">
        <f>IF(S58=100%,T58,"")</f>
        <v/>
      </c>
      <c r="W58" s="22">
        <f>IF($X58="","",INDEX('sheet2-计算明细'!$AU$17:$AU$330,$X58))</f>
        <v/>
      </c>
      <c r="X58" s="18">
        <f>IF($A58&gt;COUNT('sheet2-计算明细'!$AT$17:$AT$330),"",MATCH($A58,'sheet2-计算明细'!$AT$17:$AT$330,0))</f>
        <v/>
      </c>
    </row>
    <row r="59" ht="28" customHeight="1" s="73">
      <c r="A59" s="2" t="n">
        <v>54</v>
      </c>
      <c r="B59" s="18">
        <f>IF($X59="","",INDEX('sheet2-计算明细'!$B$17:$B$330,$X59))</f>
        <v/>
      </c>
      <c r="C59" s="18">
        <f>IF($X59="","",INDEX('sheet2-计算明细'!$C$17:$C$330,$X59))</f>
        <v/>
      </c>
      <c r="D59" s="18">
        <f>IF($X59="","",INDEX('sheet2-计算明细'!$D$17:$D$330,$X59))</f>
        <v/>
      </c>
      <c r="E59" s="18">
        <f>IF($X59="","",INDEX('sheet2-计算明细'!$G$17:$G$330,$X59))</f>
        <v/>
      </c>
      <c r="F59" s="19">
        <f>IF($X59="","",INDEX('sheet2-计算明细'!$I$17:$I$330,$X59))</f>
        <v/>
      </c>
      <c r="G59" s="19">
        <f>IF($X59="","",INDEX('sheet2-计算明细'!$K$17:$K$330,$X59))</f>
        <v/>
      </c>
      <c r="H59" s="19">
        <f>IF($X59="","",INDEX('sheet2-计算明细'!$L$17:$L$330,$X59))</f>
        <v/>
      </c>
      <c r="I59" s="19">
        <f>IF($X59="","",INDEX('sheet2-计算明细'!$S$17:$S$330,$X59))</f>
        <v/>
      </c>
      <c r="J59" s="19">
        <f>IF($X59="","",INDEX('sheet2-计算明细'!$Y$17:$Y$330,$X59))</f>
        <v/>
      </c>
      <c r="K59" s="19">
        <f>IF($X59="","",INDEX('sheet2-计算明细'!$AC$17:$AC$330,$X59))</f>
        <v/>
      </c>
      <c r="L59" s="19">
        <f>IF($X59="","",INDEX('sheet2-计算明细'!$AI$17:$AI$330,$X59))</f>
        <v/>
      </c>
      <c r="M59" s="19">
        <f>IF($X59="","",INDEX('sheet2-计算明细'!$AK$17:$AK$330,$X59))</f>
        <v/>
      </c>
      <c r="N59" s="20">
        <f>IF(COUNT(F59:H59)=0,"",ROUND((IF(ISNUMBER(F59),F59*40%,0)+IF(ISNUMBER(G59),G59*30%,0)+IF(ISNUMBER(H59),H59*30%,0))/(IF(ISNUMBER(F59),40%,0)+IF(ISNUMBER(G59),30%,0)+IF(ISNUMBER(H59),30%,0)),2))</f>
        <v/>
      </c>
      <c r="O59" s="20">
        <f>IF(COUNT(I59:J59)=0,"",ROUND((IF(ISNUMBER(I59),I59*70%,0)+IF(ISNUMBER(J59),J59*30%,0))/(IF(ISNUMBER(I59),70%,0)+IF(ISNUMBER(J59),30%,0)),2))</f>
        <v/>
      </c>
      <c r="P59" s="20">
        <f>K59</f>
        <v/>
      </c>
      <c r="Q59" s="20">
        <f>L59</f>
        <v/>
      </c>
      <c r="R59" s="20">
        <f>M59</f>
        <v/>
      </c>
      <c r="S59" s="93">
        <f>IF($X59="","",INDEX('sheet2-计算明细'!$AQ$17:$AQ$330,$X59))</f>
        <v/>
      </c>
      <c r="T59" s="19">
        <f>IF($X59="","",INDEX('sheet2-计算明细'!$AR$17:$AR$330,$X59))</f>
        <v/>
      </c>
      <c r="U59" s="20">
        <f>IF(S59=0,"",ROUND(T59/S59,2))</f>
        <v/>
      </c>
      <c r="V59" s="20">
        <f>IF(S59=100%,T59,"")</f>
        <v/>
      </c>
      <c r="W59" s="22">
        <f>IF($X59="","",INDEX('sheet2-计算明细'!$AU$17:$AU$330,$X59))</f>
        <v/>
      </c>
      <c r="X59" s="18">
        <f>IF($A59&gt;COUNT('sheet2-计算明细'!$AT$17:$AT$330),"",MATCH($A59,'sheet2-计算明细'!$AT$17:$AT$330,0))</f>
        <v/>
      </c>
    </row>
    <row r="60" ht="28" customHeight="1" s="73">
      <c r="A60" s="2" t="n">
        <v>55</v>
      </c>
      <c r="B60" s="18">
        <f>IF($X60="","",INDEX('sheet2-计算明细'!$B$17:$B$330,$X60))</f>
        <v/>
      </c>
      <c r="C60" s="18">
        <f>IF($X60="","",INDEX('sheet2-计算明细'!$C$17:$C$330,$X60))</f>
        <v/>
      </c>
      <c r="D60" s="18">
        <f>IF($X60="","",INDEX('sheet2-计算明细'!$D$17:$D$330,$X60))</f>
        <v/>
      </c>
      <c r="E60" s="18">
        <f>IF($X60="","",INDEX('sheet2-计算明细'!$G$17:$G$330,$X60))</f>
        <v/>
      </c>
      <c r="F60" s="19">
        <f>IF($X60="","",INDEX('sheet2-计算明细'!$I$17:$I$330,$X60))</f>
        <v/>
      </c>
      <c r="G60" s="19">
        <f>IF($X60="","",INDEX('sheet2-计算明细'!$K$17:$K$330,$X60))</f>
        <v/>
      </c>
      <c r="H60" s="19">
        <f>IF($X60="","",INDEX('sheet2-计算明细'!$L$17:$L$330,$X60))</f>
        <v/>
      </c>
      <c r="I60" s="19">
        <f>IF($X60="","",INDEX('sheet2-计算明细'!$S$17:$S$330,$X60))</f>
        <v/>
      </c>
      <c r="J60" s="19">
        <f>IF($X60="","",INDEX('sheet2-计算明细'!$Y$17:$Y$330,$X60))</f>
        <v/>
      </c>
      <c r="K60" s="19">
        <f>IF($X60="","",INDEX('sheet2-计算明细'!$AC$17:$AC$330,$X60))</f>
        <v/>
      </c>
      <c r="L60" s="19">
        <f>IF($X60="","",INDEX('sheet2-计算明细'!$AI$17:$AI$330,$X60))</f>
        <v/>
      </c>
      <c r="M60" s="19">
        <f>IF($X60="","",INDEX('sheet2-计算明细'!$AK$17:$AK$330,$X60))</f>
        <v/>
      </c>
      <c r="N60" s="20">
        <f>IF(COUNT(F60:H60)=0,"",ROUND((IF(ISNUMBER(F60),F60*40%,0)+IF(ISNUMBER(G60),G60*30%,0)+IF(ISNUMBER(H60),H60*30%,0))/(IF(ISNUMBER(F60),40%,0)+IF(ISNUMBER(G60),30%,0)+IF(ISNUMBER(H60),30%,0)),2))</f>
        <v/>
      </c>
      <c r="O60" s="20">
        <f>IF(COUNT(I60:J60)=0,"",ROUND((IF(ISNUMBER(I60),I60*70%,0)+IF(ISNUMBER(J60),J60*30%,0))/(IF(ISNUMBER(I60),70%,0)+IF(ISNUMBER(J60),30%,0)),2))</f>
        <v/>
      </c>
      <c r="P60" s="20">
        <f>K60</f>
        <v/>
      </c>
      <c r="Q60" s="20">
        <f>L60</f>
        <v/>
      </c>
      <c r="R60" s="20">
        <f>M60</f>
        <v/>
      </c>
      <c r="S60" s="93">
        <f>IF($X60="","",INDEX('sheet2-计算明细'!$AQ$17:$AQ$330,$X60))</f>
        <v/>
      </c>
      <c r="T60" s="19">
        <f>IF($X60="","",INDEX('sheet2-计算明细'!$AR$17:$AR$330,$X60))</f>
        <v/>
      </c>
      <c r="U60" s="20">
        <f>IF(S60=0,"",ROUND(T60/S60,2))</f>
        <v/>
      </c>
      <c r="V60" s="20">
        <f>IF(S60=100%,T60,"")</f>
        <v/>
      </c>
      <c r="W60" s="22">
        <f>IF($X60="","",INDEX('sheet2-计算明细'!$AU$17:$AU$330,$X60))</f>
        <v/>
      </c>
      <c r="X60" s="18">
        <f>IF($A60&gt;COUNT('sheet2-计算明细'!$AT$17:$AT$330),"",MATCH($A60,'sheet2-计算明细'!$AT$17:$AT$330,0))</f>
        <v/>
      </c>
    </row>
    <row r="61" ht="28" customHeight="1" s="73">
      <c r="A61" s="2" t="n">
        <v>56</v>
      </c>
      <c r="B61" s="18">
        <f>IF($X61="","",INDEX('sheet2-计算明细'!$B$17:$B$330,$X61))</f>
        <v/>
      </c>
      <c r="C61" s="18">
        <f>IF($X61="","",INDEX('sheet2-计算明细'!$C$17:$C$330,$X61))</f>
        <v/>
      </c>
      <c r="D61" s="18">
        <f>IF($X61="","",INDEX('sheet2-计算明细'!$D$17:$D$330,$X61))</f>
        <v/>
      </c>
      <c r="E61" s="18">
        <f>IF($X61="","",INDEX('sheet2-计算明细'!$G$17:$G$330,$X61))</f>
        <v/>
      </c>
      <c r="F61" s="19">
        <f>IF($X61="","",INDEX('sheet2-计算明细'!$I$17:$I$330,$X61))</f>
        <v/>
      </c>
      <c r="G61" s="19">
        <f>IF($X61="","",INDEX('sheet2-计算明细'!$K$17:$K$330,$X61))</f>
        <v/>
      </c>
      <c r="H61" s="19">
        <f>IF($X61="","",INDEX('sheet2-计算明细'!$L$17:$L$330,$X61))</f>
        <v/>
      </c>
      <c r="I61" s="19">
        <f>IF($X61="","",INDEX('sheet2-计算明细'!$S$17:$S$330,$X61))</f>
        <v/>
      </c>
      <c r="J61" s="19">
        <f>IF($X61="","",INDEX('sheet2-计算明细'!$Y$17:$Y$330,$X61))</f>
        <v/>
      </c>
      <c r="K61" s="19">
        <f>IF($X61="","",INDEX('sheet2-计算明细'!$AC$17:$AC$330,$X61))</f>
        <v/>
      </c>
      <c r="L61" s="19">
        <f>IF($X61="","",INDEX('sheet2-计算明细'!$AI$17:$AI$330,$X61))</f>
        <v/>
      </c>
      <c r="M61" s="19">
        <f>IF($X61="","",INDEX('sheet2-计算明细'!$AK$17:$AK$330,$X61))</f>
        <v/>
      </c>
      <c r="N61" s="20">
        <f>IF(COUNT(F61:H61)=0,"",ROUND((IF(ISNUMBER(F61),F61*40%,0)+IF(ISNUMBER(G61),G61*30%,0)+IF(ISNUMBER(H61),H61*30%,0))/(IF(ISNUMBER(F61),40%,0)+IF(ISNUMBER(G61),30%,0)+IF(ISNUMBER(H61),30%,0)),2))</f>
        <v/>
      </c>
      <c r="O61" s="20">
        <f>IF(COUNT(I61:J61)=0,"",ROUND((IF(ISNUMBER(I61),I61*70%,0)+IF(ISNUMBER(J61),J61*30%,0))/(IF(ISNUMBER(I61),70%,0)+IF(ISNUMBER(J61),30%,0)),2))</f>
        <v/>
      </c>
      <c r="P61" s="20">
        <f>K61</f>
        <v/>
      </c>
      <c r="Q61" s="20">
        <f>L61</f>
        <v/>
      </c>
      <c r="R61" s="20">
        <f>M61</f>
        <v/>
      </c>
      <c r="S61" s="93">
        <f>IF($X61="","",INDEX('sheet2-计算明细'!$AQ$17:$AQ$330,$X61))</f>
        <v/>
      </c>
      <c r="T61" s="19">
        <f>IF($X61="","",INDEX('sheet2-计算明细'!$AR$17:$AR$330,$X61))</f>
        <v/>
      </c>
      <c r="U61" s="20">
        <f>IF(S61=0,"",ROUND(T61/S61,2))</f>
        <v/>
      </c>
      <c r="V61" s="20">
        <f>IF(S61=100%,T61,"")</f>
        <v/>
      </c>
      <c r="W61" s="22">
        <f>IF($X61="","",INDEX('sheet2-计算明细'!$AU$17:$AU$330,$X61))</f>
        <v/>
      </c>
      <c r="X61" s="18">
        <f>IF($A61&gt;COUNT('sheet2-计算明细'!$AT$17:$AT$330),"",MATCH($A61,'sheet2-计算明细'!$AT$17:$AT$330,0))</f>
        <v/>
      </c>
    </row>
    <row r="62" ht="28" customHeight="1" s="73">
      <c r="A62" s="2" t="n">
        <v>57</v>
      </c>
      <c r="B62" s="18">
        <f>IF($X62="","",INDEX('sheet2-计算明细'!$B$17:$B$330,$X62))</f>
        <v/>
      </c>
      <c r="C62" s="18">
        <f>IF($X62="","",INDEX('sheet2-计算明细'!$C$17:$C$330,$X62))</f>
        <v/>
      </c>
      <c r="D62" s="18">
        <f>IF($X62="","",INDEX('sheet2-计算明细'!$D$17:$D$330,$X62))</f>
        <v/>
      </c>
      <c r="E62" s="18">
        <f>IF($X62="","",INDEX('sheet2-计算明细'!$G$17:$G$330,$X62))</f>
        <v/>
      </c>
      <c r="F62" s="19">
        <f>IF($X62="","",INDEX('sheet2-计算明细'!$I$17:$I$330,$X62))</f>
        <v/>
      </c>
      <c r="G62" s="19">
        <f>IF($X62="","",INDEX('sheet2-计算明细'!$K$17:$K$330,$X62))</f>
        <v/>
      </c>
      <c r="H62" s="19">
        <f>IF($X62="","",INDEX('sheet2-计算明细'!$L$17:$L$330,$X62))</f>
        <v/>
      </c>
      <c r="I62" s="19">
        <f>IF($X62="","",INDEX('sheet2-计算明细'!$S$17:$S$330,$X62))</f>
        <v/>
      </c>
      <c r="J62" s="19">
        <f>IF($X62="","",INDEX('sheet2-计算明细'!$Y$17:$Y$330,$X62))</f>
        <v/>
      </c>
      <c r="K62" s="19">
        <f>IF($X62="","",INDEX('sheet2-计算明细'!$AC$17:$AC$330,$X62))</f>
        <v/>
      </c>
      <c r="L62" s="19">
        <f>IF($X62="","",INDEX('sheet2-计算明细'!$AI$17:$AI$330,$X62))</f>
        <v/>
      </c>
      <c r="M62" s="19">
        <f>IF($X62="","",INDEX('sheet2-计算明细'!$AK$17:$AK$330,$X62))</f>
        <v/>
      </c>
      <c r="N62" s="20">
        <f>IF(COUNT(F62:H62)=0,"",ROUND((IF(ISNUMBER(F62),F62*40%,0)+IF(ISNUMBER(G62),G62*30%,0)+IF(ISNUMBER(H62),H62*30%,0))/(IF(ISNUMBER(F62),40%,0)+IF(ISNUMBER(G62),30%,0)+IF(ISNUMBER(H62),30%,0)),2))</f>
        <v/>
      </c>
      <c r="O62" s="20">
        <f>IF(COUNT(I62:J62)=0,"",ROUND((IF(ISNUMBER(I62),I62*70%,0)+IF(ISNUMBER(J62),J62*30%,0))/(IF(ISNUMBER(I62),70%,0)+IF(ISNUMBER(J62),30%,0)),2))</f>
        <v/>
      </c>
      <c r="P62" s="20">
        <f>K62</f>
        <v/>
      </c>
      <c r="Q62" s="20">
        <f>L62</f>
        <v/>
      </c>
      <c r="R62" s="20">
        <f>M62</f>
        <v/>
      </c>
      <c r="S62" s="93">
        <f>IF($X62="","",INDEX('sheet2-计算明细'!$AQ$17:$AQ$330,$X62))</f>
        <v/>
      </c>
      <c r="T62" s="19">
        <f>IF($X62="","",INDEX('sheet2-计算明细'!$AR$17:$AR$330,$X62))</f>
        <v/>
      </c>
      <c r="U62" s="20">
        <f>IF(S62=0,"",ROUND(T62/S62,2))</f>
        <v/>
      </c>
      <c r="V62" s="20">
        <f>IF(S62=100%,T62,"")</f>
        <v/>
      </c>
      <c r="W62" s="22">
        <f>IF($X62="","",INDEX('sheet2-计算明细'!$AU$17:$AU$330,$X62))</f>
        <v/>
      </c>
      <c r="X62" s="18">
        <f>IF($A62&gt;COUNT('sheet2-计算明细'!$AT$17:$AT$330),"",MATCH($A62,'sheet2-计算明细'!$AT$17:$AT$330,0))</f>
        <v/>
      </c>
    </row>
    <row r="63" ht="28" customHeight="1" s="73">
      <c r="A63" s="2" t="n">
        <v>58</v>
      </c>
      <c r="B63" s="18">
        <f>IF($X63="","",INDEX('sheet2-计算明细'!$B$17:$B$330,$X63))</f>
        <v/>
      </c>
      <c r="C63" s="18">
        <f>IF($X63="","",INDEX('sheet2-计算明细'!$C$17:$C$330,$X63))</f>
        <v/>
      </c>
      <c r="D63" s="18">
        <f>IF($X63="","",INDEX('sheet2-计算明细'!$D$17:$D$330,$X63))</f>
        <v/>
      </c>
      <c r="E63" s="18">
        <f>IF($X63="","",INDEX('sheet2-计算明细'!$G$17:$G$330,$X63))</f>
        <v/>
      </c>
      <c r="F63" s="19">
        <f>IF($X63="","",INDEX('sheet2-计算明细'!$I$17:$I$330,$X63))</f>
        <v/>
      </c>
      <c r="G63" s="19">
        <f>IF($X63="","",INDEX('sheet2-计算明细'!$K$17:$K$330,$X63))</f>
        <v/>
      </c>
      <c r="H63" s="19">
        <f>IF($X63="","",INDEX('sheet2-计算明细'!$L$17:$L$330,$X63))</f>
        <v/>
      </c>
      <c r="I63" s="19">
        <f>IF($X63="","",INDEX('sheet2-计算明细'!$S$17:$S$330,$X63))</f>
        <v/>
      </c>
      <c r="J63" s="19">
        <f>IF($X63="","",INDEX('sheet2-计算明细'!$Y$17:$Y$330,$X63))</f>
        <v/>
      </c>
      <c r="K63" s="19">
        <f>IF($X63="","",INDEX('sheet2-计算明细'!$AC$17:$AC$330,$X63))</f>
        <v/>
      </c>
      <c r="L63" s="19">
        <f>IF($X63="","",INDEX('sheet2-计算明细'!$AI$17:$AI$330,$X63))</f>
        <v/>
      </c>
      <c r="M63" s="19">
        <f>IF($X63="","",INDEX('sheet2-计算明细'!$AK$17:$AK$330,$X63))</f>
        <v/>
      </c>
      <c r="N63" s="20">
        <f>IF(COUNT(F63:H63)=0,"",ROUND((IF(ISNUMBER(F63),F63*40%,0)+IF(ISNUMBER(G63),G63*30%,0)+IF(ISNUMBER(H63),H63*30%,0))/(IF(ISNUMBER(F63),40%,0)+IF(ISNUMBER(G63),30%,0)+IF(ISNUMBER(H63),30%,0)),2))</f>
        <v/>
      </c>
      <c r="O63" s="20">
        <f>IF(COUNT(I63:J63)=0,"",ROUND((IF(ISNUMBER(I63),I63*70%,0)+IF(ISNUMBER(J63),J63*30%,0))/(IF(ISNUMBER(I63),70%,0)+IF(ISNUMBER(J63),30%,0)),2))</f>
        <v/>
      </c>
      <c r="P63" s="20">
        <f>K63</f>
        <v/>
      </c>
      <c r="Q63" s="20">
        <f>L63</f>
        <v/>
      </c>
      <c r="R63" s="20">
        <f>M63</f>
        <v/>
      </c>
      <c r="S63" s="93">
        <f>IF($X63="","",INDEX('sheet2-计算明细'!$AQ$17:$AQ$330,$X63))</f>
        <v/>
      </c>
      <c r="T63" s="19">
        <f>IF($X63="","",INDEX('sheet2-计算明细'!$AR$17:$AR$330,$X63))</f>
        <v/>
      </c>
      <c r="U63" s="20">
        <f>IF(S63=0,"",ROUND(T63/S63,2))</f>
        <v/>
      </c>
      <c r="V63" s="20">
        <f>IF(S63=100%,T63,"")</f>
        <v/>
      </c>
      <c r="W63" s="22">
        <f>IF($X63="","",INDEX('sheet2-计算明细'!$AU$17:$AU$330,$X63))</f>
        <v/>
      </c>
      <c r="X63" s="18">
        <f>IF($A63&gt;COUNT('sheet2-计算明细'!$AT$17:$AT$330),"",MATCH($A63,'sheet2-计算明细'!$AT$17:$AT$330,0))</f>
        <v/>
      </c>
    </row>
    <row r="64" ht="28" customHeight="1" s="73">
      <c r="A64" s="2" t="n">
        <v>59</v>
      </c>
      <c r="B64" s="18">
        <f>IF($X64="","",INDEX('sheet2-计算明细'!$B$17:$B$330,$X64))</f>
        <v/>
      </c>
      <c r="C64" s="18">
        <f>IF($X64="","",INDEX('sheet2-计算明细'!$C$17:$C$330,$X64))</f>
        <v/>
      </c>
      <c r="D64" s="18">
        <f>IF($X64="","",INDEX('sheet2-计算明细'!$D$17:$D$330,$X64))</f>
        <v/>
      </c>
      <c r="E64" s="18">
        <f>IF($X64="","",INDEX('sheet2-计算明细'!$G$17:$G$330,$X64))</f>
        <v/>
      </c>
      <c r="F64" s="19">
        <f>IF($X64="","",INDEX('sheet2-计算明细'!$I$17:$I$330,$X64))</f>
        <v/>
      </c>
      <c r="G64" s="19">
        <f>IF($X64="","",INDEX('sheet2-计算明细'!$K$17:$K$330,$X64))</f>
        <v/>
      </c>
      <c r="H64" s="19">
        <f>IF($X64="","",INDEX('sheet2-计算明细'!$L$17:$L$330,$X64))</f>
        <v/>
      </c>
      <c r="I64" s="19">
        <f>IF($X64="","",INDEX('sheet2-计算明细'!$S$17:$S$330,$X64))</f>
        <v/>
      </c>
      <c r="J64" s="19">
        <f>IF($X64="","",INDEX('sheet2-计算明细'!$Y$17:$Y$330,$X64))</f>
        <v/>
      </c>
      <c r="K64" s="19">
        <f>IF($X64="","",INDEX('sheet2-计算明细'!$AC$17:$AC$330,$X64))</f>
        <v/>
      </c>
      <c r="L64" s="19">
        <f>IF($X64="","",INDEX('sheet2-计算明细'!$AI$17:$AI$330,$X64))</f>
        <v/>
      </c>
      <c r="M64" s="19">
        <f>IF($X64="","",INDEX('sheet2-计算明细'!$AK$17:$AK$330,$X64))</f>
        <v/>
      </c>
      <c r="N64" s="20">
        <f>IF(COUNT(F64:H64)=0,"",ROUND((IF(ISNUMBER(F64),F64*40%,0)+IF(ISNUMBER(G64),G64*30%,0)+IF(ISNUMBER(H64),H64*30%,0))/(IF(ISNUMBER(F64),40%,0)+IF(ISNUMBER(G64),30%,0)+IF(ISNUMBER(H64),30%,0)),2))</f>
        <v/>
      </c>
      <c r="O64" s="20">
        <f>IF(COUNT(I64:J64)=0,"",ROUND((IF(ISNUMBER(I64),I64*70%,0)+IF(ISNUMBER(J64),J64*30%,0))/(IF(ISNUMBER(I64),70%,0)+IF(ISNUMBER(J64),30%,0)),2))</f>
        <v/>
      </c>
      <c r="P64" s="20">
        <f>K64</f>
        <v/>
      </c>
      <c r="Q64" s="20">
        <f>L64</f>
        <v/>
      </c>
      <c r="R64" s="20">
        <f>M64</f>
        <v/>
      </c>
      <c r="S64" s="93">
        <f>IF($X64="","",INDEX('sheet2-计算明细'!$AQ$17:$AQ$330,$X64))</f>
        <v/>
      </c>
      <c r="T64" s="19">
        <f>IF($X64="","",INDEX('sheet2-计算明细'!$AR$17:$AR$330,$X64))</f>
        <v/>
      </c>
      <c r="U64" s="20">
        <f>IF(S64=0,"",ROUND(T64/S64,2))</f>
        <v/>
      </c>
      <c r="V64" s="20">
        <f>IF(S64=100%,T64,"")</f>
        <v/>
      </c>
      <c r="W64" s="22">
        <f>IF($X64="","",INDEX('sheet2-计算明细'!$AU$17:$AU$330,$X64))</f>
        <v/>
      </c>
      <c r="X64" s="18">
        <f>IF($A64&gt;COUNT('sheet2-计算明细'!$AT$17:$AT$330),"",MATCH($A64,'sheet2-计算明细'!$AT$17:$AT$330,0))</f>
        <v/>
      </c>
    </row>
    <row r="65" ht="28" customHeight="1" s="73">
      <c r="A65" s="2" t="n">
        <v>60</v>
      </c>
      <c r="B65" s="18">
        <f>IF($X65="","",INDEX('sheet2-计算明细'!$B$17:$B$330,$X65))</f>
        <v/>
      </c>
      <c r="C65" s="18">
        <f>IF($X65="","",INDEX('sheet2-计算明细'!$C$17:$C$330,$X65))</f>
        <v/>
      </c>
      <c r="D65" s="18">
        <f>IF($X65="","",INDEX('sheet2-计算明细'!$D$17:$D$330,$X65))</f>
        <v/>
      </c>
      <c r="E65" s="18">
        <f>IF($X65="","",INDEX('sheet2-计算明细'!$G$17:$G$330,$X65))</f>
        <v/>
      </c>
      <c r="F65" s="19">
        <f>IF($X65="","",INDEX('sheet2-计算明细'!$I$17:$I$330,$X65))</f>
        <v/>
      </c>
      <c r="G65" s="19">
        <f>IF($X65="","",INDEX('sheet2-计算明细'!$K$17:$K$330,$X65))</f>
        <v/>
      </c>
      <c r="H65" s="19">
        <f>IF($X65="","",INDEX('sheet2-计算明细'!$L$17:$L$330,$X65))</f>
        <v/>
      </c>
      <c r="I65" s="19">
        <f>IF($X65="","",INDEX('sheet2-计算明细'!$S$17:$S$330,$X65))</f>
        <v/>
      </c>
      <c r="J65" s="19">
        <f>IF($X65="","",INDEX('sheet2-计算明细'!$Y$17:$Y$330,$X65))</f>
        <v/>
      </c>
      <c r="K65" s="19">
        <f>IF($X65="","",INDEX('sheet2-计算明细'!$AC$17:$AC$330,$X65))</f>
        <v/>
      </c>
      <c r="L65" s="19">
        <f>IF($X65="","",INDEX('sheet2-计算明细'!$AI$17:$AI$330,$X65))</f>
        <v/>
      </c>
      <c r="M65" s="19">
        <f>IF($X65="","",INDEX('sheet2-计算明细'!$AK$17:$AK$330,$X65))</f>
        <v/>
      </c>
      <c r="N65" s="20">
        <f>IF(COUNT(F65:H65)=0,"",ROUND((IF(ISNUMBER(F65),F65*40%,0)+IF(ISNUMBER(G65),G65*30%,0)+IF(ISNUMBER(H65),H65*30%,0))/(IF(ISNUMBER(F65),40%,0)+IF(ISNUMBER(G65),30%,0)+IF(ISNUMBER(H65),30%,0)),2))</f>
        <v/>
      </c>
      <c r="O65" s="20">
        <f>IF(COUNT(I65:J65)=0,"",ROUND((IF(ISNUMBER(I65),I65*70%,0)+IF(ISNUMBER(J65),J65*30%,0))/(IF(ISNUMBER(I65),70%,0)+IF(ISNUMBER(J65),30%,0)),2))</f>
        <v/>
      </c>
      <c r="P65" s="20">
        <f>K65</f>
        <v/>
      </c>
      <c r="Q65" s="20">
        <f>L65</f>
        <v/>
      </c>
      <c r="R65" s="20">
        <f>M65</f>
        <v/>
      </c>
      <c r="S65" s="93">
        <f>IF($X65="","",INDEX('sheet2-计算明细'!$AQ$17:$AQ$330,$X65))</f>
        <v/>
      </c>
      <c r="T65" s="19">
        <f>IF($X65="","",INDEX('sheet2-计算明细'!$AR$17:$AR$330,$X65))</f>
        <v/>
      </c>
      <c r="U65" s="20">
        <f>IF(S65=0,"",ROUND(T65/S65,2))</f>
        <v/>
      </c>
      <c r="V65" s="20">
        <f>IF(S65=100%,T65,"")</f>
        <v/>
      </c>
      <c r="W65" s="22">
        <f>IF($X65="","",INDEX('sheet2-计算明细'!$AU$17:$AU$330,$X65))</f>
        <v/>
      </c>
      <c r="X65" s="18">
        <f>IF($A65&gt;COUNT('sheet2-计算明细'!$AT$17:$AT$330),"",MATCH($A65,'sheet2-计算明细'!$AT$17:$AT$330,0))</f>
        <v/>
      </c>
    </row>
    <row r="66" ht="28" customHeight="1" s="73">
      <c r="A66" s="2" t="n">
        <v>61</v>
      </c>
      <c r="B66" s="18">
        <f>IF($X66="","",INDEX('sheet2-计算明细'!$B$17:$B$330,$X66))</f>
        <v/>
      </c>
      <c r="C66" s="18">
        <f>IF($X66="","",INDEX('sheet2-计算明细'!$C$17:$C$330,$X66))</f>
        <v/>
      </c>
      <c r="D66" s="18">
        <f>IF($X66="","",INDEX('sheet2-计算明细'!$D$17:$D$330,$X66))</f>
        <v/>
      </c>
      <c r="E66" s="18">
        <f>IF($X66="","",INDEX('sheet2-计算明细'!$G$17:$G$330,$X66))</f>
        <v/>
      </c>
      <c r="F66" s="19">
        <f>IF($X66="","",INDEX('sheet2-计算明细'!$I$17:$I$330,$X66))</f>
        <v/>
      </c>
      <c r="G66" s="19">
        <f>IF($X66="","",INDEX('sheet2-计算明细'!$K$17:$K$330,$X66))</f>
        <v/>
      </c>
      <c r="H66" s="19">
        <f>IF($X66="","",INDEX('sheet2-计算明细'!$L$17:$L$330,$X66))</f>
        <v/>
      </c>
      <c r="I66" s="19">
        <f>IF($X66="","",INDEX('sheet2-计算明细'!$S$17:$S$330,$X66))</f>
        <v/>
      </c>
      <c r="J66" s="19">
        <f>IF($X66="","",INDEX('sheet2-计算明细'!$Y$17:$Y$330,$X66))</f>
        <v/>
      </c>
      <c r="K66" s="19">
        <f>IF($X66="","",INDEX('sheet2-计算明细'!$AC$17:$AC$330,$X66))</f>
        <v/>
      </c>
      <c r="L66" s="19">
        <f>IF($X66="","",INDEX('sheet2-计算明细'!$AI$17:$AI$330,$X66))</f>
        <v/>
      </c>
      <c r="M66" s="19">
        <f>IF($X66="","",INDEX('sheet2-计算明细'!$AK$17:$AK$330,$X66))</f>
        <v/>
      </c>
      <c r="N66" s="20">
        <f>IF(COUNT(F66:H66)=0,"",ROUND((IF(ISNUMBER(F66),F66*40%,0)+IF(ISNUMBER(G66),G66*30%,0)+IF(ISNUMBER(H66),H66*30%,0))/(IF(ISNUMBER(F66),40%,0)+IF(ISNUMBER(G66),30%,0)+IF(ISNUMBER(H66),30%,0)),2))</f>
        <v/>
      </c>
      <c r="O66" s="20">
        <f>IF(COUNT(I66:J66)=0,"",ROUND((IF(ISNUMBER(I66),I66*70%,0)+IF(ISNUMBER(J66),J66*30%,0))/(IF(ISNUMBER(I66),70%,0)+IF(ISNUMBER(J66),30%,0)),2))</f>
        <v/>
      </c>
      <c r="P66" s="20">
        <f>K66</f>
        <v/>
      </c>
      <c r="Q66" s="20">
        <f>L66</f>
        <v/>
      </c>
      <c r="R66" s="20">
        <f>M66</f>
        <v/>
      </c>
      <c r="S66" s="93">
        <f>IF($X66="","",INDEX('sheet2-计算明细'!$AQ$17:$AQ$330,$X66))</f>
        <v/>
      </c>
      <c r="T66" s="19">
        <f>IF($X66="","",INDEX('sheet2-计算明细'!$AR$17:$AR$330,$X66))</f>
        <v/>
      </c>
      <c r="U66" s="20">
        <f>IF(S66=0,"",ROUND(T66/S66,2))</f>
        <v/>
      </c>
      <c r="V66" s="20">
        <f>IF(S66=100%,T66,"")</f>
        <v/>
      </c>
      <c r="W66" s="22">
        <f>IF($X66="","",INDEX('sheet2-计算明细'!$AU$17:$AU$330,$X66))</f>
        <v/>
      </c>
      <c r="X66" s="18">
        <f>IF($A66&gt;COUNT('sheet2-计算明细'!$AT$17:$AT$330),"",MATCH($A66,'sheet2-计算明细'!$AT$17:$AT$330,0))</f>
        <v/>
      </c>
    </row>
    <row r="67" ht="28" customHeight="1" s="73">
      <c r="A67" s="2" t="n">
        <v>62</v>
      </c>
      <c r="B67" s="18">
        <f>IF($X67="","",INDEX('sheet2-计算明细'!$B$17:$B$330,$X67))</f>
        <v/>
      </c>
      <c r="C67" s="18">
        <f>IF($X67="","",INDEX('sheet2-计算明细'!$C$17:$C$330,$X67))</f>
        <v/>
      </c>
      <c r="D67" s="18">
        <f>IF($X67="","",INDEX('sheet2-计算明细'!$D$17:$D$330,$X67))</f>
        <v/>
      </c>
      <c r="E67" s="18">
        <f>IF($X67="","",INDEX('sheet2-计算明细'!$G$17:$G$330,$X67))</f>
        <v/>
      </c>
      <c r="F67" s="19">
        <f>IF($X67="","",INDEX('sheet2-计算明细'!$I$17:$I$330,$X67))</f>
        <v/>
      </c>
      <c r="G67" s="19">
        <f>IF($X67="","",INDEX('sheet2-计算明细'!$K$17:$K$330,$X67))</f>
        <v/>
      </c>
      <c r="H67" s="19">
        <f>IF($X67="","",INDEX('sheet2-计算明细'!$L$17:$L$330,$X67))</f>
        <v/>
      </c>
      <c r="I67" s="19">
        <f>IF($X67="","",INDEX('sheet2-计算明细'!$S$17:$S$330,$X67))</f>
        <v/>
      </c>
      <c r="J67" s="19">
        <f>IF($X67="","",INDEX('sheet2-计算明细'!$Y$17:$Y$330,$X67))</f>
        <v/>
      </c>
      <c r="K67" s="19">
        <f>IF($X67="","",INDEX('sheet2-计算明细'!$AC$17:$AC$330,$X67))</f>
        <v/>
      </c>
      <c r="L67" s="19">
        <f>IF($X67="","",INDEX('sheet2-计算明细'!$AI$17:$AI$330,$X67))</f>
        <v/>
      </c>
      <c r="M67" s="19">
        <f>IF($X67="","",INDEX('sheet2-计算明细'!$AK$17:$AK$330,$X67))</f>
        <v/>
      </c>
      <c r="N67" s="20">
        <f>IF(COUNT(F67:H67)=0,"",ROUND((IF(ISNUMBER(F67),F67*40%,0)+IF(ISNUMBER(G67),G67*30%,0)+IF(ISNUMBER(H67),H67*30%,0))/(IF(ISNUMBER(F67),40%,0)+IF(ISNUMBER(G67),30%,0)+IF(ISNUMBER(H67),30%,0)),2))</f>
        <v/>
      </c>
      <c r="O67" s="20">
        <f>IF(COUNT(I67:J67)=0,"",ROUND((IF(ISNUMBER(I67),I67*70%,0)+IF(ISNUMBER(J67),J67*30%,0))/(IF(ISNUMBER(I67),70%,0)+IF(ISNUMBER(J67),30%,0)),2))</f>
        <v/>
      </c>
      <c r="P67" s="20">
        <f>K67</f>
        <v/>
      </c>
      <c r="Q67" s="20">
        <f>L67</f>
        <v/>
      </c>
      <c r="R67" s="20">
        <f>M67</f>
        <v/>
      </c>
      <c r="S67" s="93">
        <f>IF($X67="","",INDEX('sheet2-计算明细'!$AQ$17:$AQ$330,$X67))</f>
        <v/>
      </c>
      <c r="T67" s="19">
        <f>IF($X67="","",INDEX('sheet2-计算明细'!$AR$17:$AR$330,$X67))</f>
        <v/>
      </c>
      <c r="U67" s="20">
        <f>IF(S67=0,"",ROUND(T67/S67,2))</f>
        <v/>
      </c>
      <c r="V67" s="20">
        <f>IF(S67=100%,T67,"")</f>
        <v/>
      </c>
      <c r="W67" s="22">
        <f>IF($X67="","",INDEX('sheet2-计算明细'!$AU$17:$AU$330,$X67))</f>
        <v/>
      </c>
      <c r="X67" s="18">
        <f>IF($A67&gt;COUNT('sheet2-计算明细'!$AT$17:$AT$330),"",MATCH($A67,'sheet2-计算明细'!$AT$17:$AT$330,0))</f>
        <v/>
      </c>
    </row>
    <row r="68" ht="28" customHeight="1" s="73">
      <c r="A68" s="2" t="n">
        <v>63</v>
      </c>
      <c r="B68" s="18">
        <f>IF($X68="","",INDEX('sheet2-计算明细'!$B$17:$B$330,$X68))</f>
        <v/>
      </c>
      <c r="C68" s="18">
        <f>IF($X68="","",INDEX('sheet2-计算明细'!$C$17:$C$330,$X68))</f>
        <v/>
      </c>
      <c r="D68" s="18">
        <f>IF($X68="","",INDEX('sheet2-计算明细'!$D$17:$D$330,$X68))</f>
        <v/>
      </c>
      <c r="E68" s="18">
        <f>IF($X68="","",INDEX('sheet2-计算明细'!$G$17:$G$330,$X68))</f>
        <v/>
      </c>
      <c r="F68" s="19">
        <f>IF($X68="","",INDEX('sheet2-计算明细'!$I$17:$I$330,$X68))</f>
        <v/>
      </c>
      <c r="G68" s="19">
        <f>IF($X68="","",INDEX('sheet2-计算明细'!$K$17:$K$330,$X68))</f>
        <v/>
      </c>
      <c r="H68" s="19">
        <f>IF($X68="","",INDEX('sheet2-计算明细'!$L$17:$L$330,$X68))</f>
        <v/>
      </c>
      <c r="I68" s="19">
        <f>IF($X68="","",INDEX('sheet2-计算明细'!$S$17:$S$330,$X68))</f>
        <v/>
      </c>
      <c r="J68" s="19">
        <f>IF($X68="","",INDEX('sheet2-计算明细'!$Y$17:$Y$330,$X68))</f>
        <v/>
      </c>
      <c r="K68" s="19">
        <f>IF($X68="","",INDEX('sheet2-计算明细'!$AC$17:$AC$330,$X68))</f>
        <v/>
      </c>
      <c r="L68" s="19">
        <f>IF($X68="","",INDEX('sheet2-计算明细'!$AI$17:$AI$330,$X68))</f>
        <v/>
      </c>
      <c r="M68" s="19">
        <f>IF($X68="","",INDEX('sheet2-计算明细'!$AK$17:$AK$330,$X68))</f>
        <v/>
      </c>
      <c r="N68" s="20">
        <f>IF(COUNT(F68:H68)=0,"",ROUND((IF(ISNUMBER(F68),F68*40%,0)+IF(ISNUMBER(G68),G68*30%,0)+IF(ISNUMBER(H68),H68*30%,0))/(IF(ISNUMBER(F68),40%,0)+IF(ISNUMBER(G68),30%,0)+IF(ISNUMBER(H68),30%,0)),2))</f>
        <v/>
      </c>
      <c r="O68" s="20">
        <f>IF(COUNT(I68:J68)=0,"",ROUND((IF(ISNUMBER(I68),I68*70%,0)+IF(ISNUMBER(J68),J68*30%,0))/(IF(ISNUMBER(I68),70%,0)+IF(ISNUMBER(J68),30%,0)),2))</f>
        <v/>
      </c>
      <c r="P68" s="20">
        <f>K68</f>
        <v/>
      </c>
      <c r="Q68" s="20">
        <f>L68</f>
        <v/>
      </c>
      <c r="R68" s="20">
        <f>M68</f>
        <v/>
      </c>
      <c r="S68" s="93">
        <f>IF($X68="","",INDEX('sheet2-计算明细'!$AQ$17:$AQ$330,$X68))</f>
        <v/>
      </c>
      <c r="T68" s="19">
        <f>IF($X68="","",INDEX('sheet2-计算明细'!$AR$17:$AR$330,$X68))</f>
        <v/>
      </c>
      <c r="U68" s="20">
        <f>IF(S68=0,"",ROUND(T68/S68,2))</f>
        <v/>
      </c>
      <c r="V68" s="20">
        <f>IF(S68=100%,T68,"")</f>
        <v/>
      </c>
      <c r="W68" s="22">
        <f>IF($X68="","",INDEX('sheet2-计算明细'!$AU$17:$AU$330,$X68))</f>
        <v/>
      </c>
      <c r="X68" s="18">
        <f>IF($A68&gt;COUNT('sheet2-计算明细'!$AT$17:$AT$330),"",MATCH($A68,'sheet2-计算明细'!$AT$17:$AT$330,0))</f>
        <v/>
      </c>
    </row>
    <row r="69" ht="28" customHeight="1" s="73">
      <c r="A69" s="2" t="n">
        <v>64</v>
      </c>
      <c r="B69" s="18">
        <f>IF($X69="","",INDEX('sheet2-计算明细'!$B$17:$B$330,$X69))</f>
        <v/>
      </c>
      <c r="C69" s="18">
        <f>IF($X69="","",INDEX('sheet2-计算明细'!$C$17:$C$330,$X69))</f>
        <v/>
      </c>
      <c r="D69" s="18">
        <f>IF($X69="","",INDEX('sheet2-计算明细'!$D$17:$D$330,$X69))</f>
        <v/>
      </c>
      <c r="E69" s="18">
        <f>IF($X69="","",INDEX('sheet2-计算明细'!$G$17:$G$330,$X69))</f>
        <v/>
      </c>
      <c r="F69" s="19">
        <f>IF($X69="","",INDEX('sheet2-计算明细'!$I$17:$I$330,$X69))</f>
        <v/>
      </c>
      <c r="G69" s="19">
        <f>IF($X69="","",INDEX('sheet2-计算明细'!$K$17:$K$330,$X69))</f>
        <v/>
      </c>
      <c r="H69" s="19">
        <f>IF($X69="","",INDEX('sheet2-计算明细'!$L$17:$L$330,$X69))</f>
        <v/>
      </c>
      <c r="I69" s="19">
        <f>IF($X69="","",INDEX('sheet2-计算明细'!$S$17:$S$330,$X69))</f>
        <v/>
      </c>
      <c r="J69" s="19">
        <f>IF($X69="","",INDEX('sheet2-计算明细'!$Y$17:$Y$330,$X69))</f>
        <v/>
      </c>
      <c r="K69" s="19">
        <f>IF($X69="","",INDEX('sheet2-计算明细'!$AC$17:$AC$330,$X69))</f>
        <v/>
      </c>
      <c r="L69" s="19">
        <f>IF($X69="","",INDEX('sheet2-计算明细'!$AI$17:$AI$330,$X69))</f>
        <v/>
      </c>
      <c r="M69" s="19">
        <f>IF($X69="","",INDEX('sheet2-计算明细'!$AK$17:$AK$330,$X69))</f>
        <v/>
      </c>
      <c r="N69" s="20">
        <f>IF(COUNT(F69:H69)=0,"",ROUND((IF(ISNUMBER(F69),F69*40%,0)+IF(ISNUMBER(G69),G69*30%,0)+IF(ISNUMBER(H69),H69*30%,0))/(IF(ISNUMBER(F69),40%,0)+IF(ISNUMBER(G69),30%,0)+IF(ISNUMBER(H69),30%,0)),2))</f>
        <v/>
      </c>
      <c r="O69" s="20">
        <f>IF(COUNT(I69:J69)=0,"",ROUND((IF(ISNUMBER(I69),I69*70%,0)+IF(ISNUMBER(J69),J69*30%,0))/(IF(ISNUMBER(I69),70%,0)+IF(ISNUMBER(J69),30%,0)),2))</f>
        <v/>
      </c>
      <c r="P69" s="20">
        <f>K69</f>
        <v/>
      </c>
      <c r="Q69" s="20">
        <f>L69</f>
        <v/>
      </c>
      <c r="R69" s="20">
        <f>M69</f>
        <v/>
      </c>
      <c r="S69" s="93">
        <f>IF($X69="","",INDEX('sheet2-计算明细'!$AQ$17:$AQ$330,$X69))</f>
        <v/>
      </c>
      <c r="T69" s="19">
        <f>IF($X69="","",INDEX('sheet2-计算明细'!$AR$17:$AR$330,$X69))</f>
        <v/>
      </c>
      <c r="U69" s="20">
        <f>IF(S69=0,"",ROUND(T69/S69,2))</f>
        <v/>
      </c>
      <c r="V69" s="20">
        <f>IF(S69=100%,T69,"")</f>
        <v/>
      </c>
      <c r="W69" s="22">
        <f>IF($X69="","",INDEX('sheet2-计算明细'!$AU$17:$AU$330,$X69))</f>
        <v/>
      </c>
      <c r="X69" s="18">
        <f>IF($A69&gt;COUNT('sheet2-计算明细'!$AT$17:$AT$330),"",MATCH($A69,'sheet2-计算明细'!$AT$17:$AT$330,0))</f>
        <v/>
      </c>
    </row>
    <row r="70" ht="28" customHeight="1" s="73">
      <c r="A70" s="2" t="n">
        <v>65</v>
      </c>
      <c r="B70" s="18">
        <f>IF($X70="","",INDEX('sheet2-计算明细'!$B$17:$B$330,$X70))</f>
        <v/>
      </c>
      <c r="C70" s="18">
        <f>IF($X70="","",INDEX('sheet2-计算明细'!$C$17:$C$330,$X70))</f>
        <v/>
      </c>
      <c r="D70" s="18">
        <f>IF($X70="","",INDEX('sheet2-计算明细'!$D$17:$D$330,$X70))</f>
        <v/>
      </c>
      <c r="E70" s="18">
        <f>IF($X70="","",INDEX('sheet2-计算明细'!$G$17:$G$330,$X70))</f>
        <v/>
      </c>
      <c r="F70" s="19">
        <f>IF($X70="","",INDEX('sheet2-计算明细'!$I$17:$I$330,$X70))</f>
        <v/>
      </c>
      <c r="G70" s="19">
        <f>IF($X70="","",INDEX('sheet2-计算明细'!$K$17:$K$330,$X70))</f>
        <v/>
      </c>
      <c r="H70" s="19">
        <f>IF($X70="","",INDEX('sheet2-计算明细'!$L$17:$L$330,$X70))</f>
        <v/>
      </c>
      <c r="I70" s="19">
        <f>IF($X70="","",INDEX('sheet2-计算明细'!$S$17:$S$330,$X70))</f>
        <v/>
      </c>
      <c r="J70" s="19">
        <f>IF($X70="","",INDEX('sheet2-计算明细'!$Y$17:$Y$330,$X70))</f>
        <v/>
      </c>
      <c r="K70" s="19">
        <f>IF($X70="","",INDEX('sheet2-计算明细'!$AC$17:$AC$330,$X70))</f>
        <v/>
      </c>
      <c r="L70" s="19">
        <f>IF($X70="","",INDEX('sheet2-计算明细'!$AI$17:$AI$330,$X70))</f>
        <v/>
      </c>
      <c r="M70" s="19">
        <f>IF($X70="","",INDEX('sheet2-计算明细'!$AK$17:$AK$330,$X70))</f>
        <v/>
      </c>
      <c r="N70" s="20">
        <f>IF(COUNT(F70:H70)=0,"",ROUND((IF(ISNUMBER(F70),F70*40%,0)+IF(ISNUMBER(G70),G70*30%,0)+IF(ISNUMBER(H70),H70*30%,0))/(IF(ISNUMBER(F70),40%,0)+IF(ISNUMBER(G70),30%,0)+IF(ISNUMBER(H70),30%,0)),2))</f>
        <v/>
      </c>
      <c r="O70" s="20">
        <f>IF(COUNT(I70:J70)=0,"",ROUND((IF(ISNUMBER(I70),I70*70%,0)+IF(ISNUMBER(J70),J70*30%,0))/(IF(ISNUMBER(I70),70%,0)+IF(ISNUMBER(J70),30%,0)),2))</f>
        <v/>
      </c>
      <c r="P70" s="20">
        <f>K70</f>
        <v/>
      </c>
      <c r="Q70" s="20">
        <f>L70</f>
        <v/>
      </c>
      <c r="R70" s="20">
        <f>M70</f>
        <v/>
      </c>
      <c r="S70" s="93">
        <f>IF($X70="","",INDEX('sheet2-计算明细'!$AQ$17:$AQ$330,$X70))</f>
        <v/>
      </c>
      <c r="T70" s="19">
        <f>IF($X70="","",INDEX('sheet2-计算明细'!$AR$17:$AR$330,$X70))</f>
        <v/>
      </c>
      <c r="U70" s="20">
        <f>IF(S70=0,"",ROUND(T70/S70,2))</f>
        <v/>
      </c>
      <c r="V70" s="20">
        <f>IF(S70=100%,T70,"")</f>
        <v/>
      </c>
      <c r="W70" s="22">
        <f>IF($X70="","",INDEX('sheet2-计算明细'!$AU$17:$AU$330,$X70))</f>
        <v/>
      </c>
      <c r="X70" s="18">
        <f>IF($A70&gt;COUNT('sheet2-计算明细'!$AT$17:$AT$330),"",MATCH($A70,'sheet2-计算明细'!$AT$17:$AT$330,0))</f>
        <v/>
      </c>
    </row>
    <row r="71" ht="28" customHeight="1" s="73">
      <c r="A71" s="2" t="n">
        <v>66</v>
      </c>
      <c r="B71" s="18">
        <f>IF($X71="","",INDEX('sheet2-计算明细'!$B$17:$B$330,$X71))</f>
        <v/>
      </c>
      <c r="C71" s="18">
        <f>IF($X71="","",INDEX('sheet2-计算明细'!$C$17:$C$330,$X71))</f>
        <v/>
      </c>
      <c r="D71" s="18">
        <f>IF($X71="","",INDEX('sheet2-计算明细'!$D$17:$D$330,$X71))</f>
        <v/>
      </c>
      <c r="E71" s="18">
        <f>IF($X71="","",INDEX('sheet2-计算明细'!$G$17:$G$330,$X71))</f>
        <v/>
      </c>
      <c r="F71" s="19">
        <f>IF($X71="","",INDEX('sheet2-计算明细'!$I$17:$I$330,$X71))</f>
        <v/>
      </c>
      <c r="G71" s="19">
        <f>IF($X71="","",INDEX('sheet2-计算明细'!$K$17:$K$330,$X71))</f>
        <v/>
      </c>
      <c r="H71" s="19">
        <f>IF($X71="","",INDEX('sheet2-计算明细'!$L$17:$L$330,$X71))</f>
        <v/>
      </c>
      <c r="I71" s="19">
        <f>IF($X71="","",INDEX('sheet2-计算明细'!$S$17:$S$330,$X71))</f>
        <v/>
      </c>
      <c r="J71" s="19">
        <f>IF($X71="","",INDEX('sheet2-计算明细'!$Y$17:$Y$330,$X71))</f>
        <v/>
      </c>
      <c r="K71" s="19">
        <f>IF($X71="","",INDEX('sheet2-计算明细'!$AC$17:$AC$330,$X71))</f>
        <v/>
      </c>
      <c r="L71" s="19">
        <f>IF($X71="","",INDEX('sheet2-计算明细'!$AI$17:$AI$330,$X71))</f>
        <v/>
      </c>
      <c r="M71" s="19">
        <f>IF($X71="","",INDEX('sheet2-计算明细'!$AK$17:$AK$330,$X71))</f>
        <v/>
      </c>
      <c r="N71" s="20">
        <f>IF(COUNT(F71:H71)=0,"",ROUND((IF(ISNUMBER(F71),F71*40%,0)+IF(ISNUMBER(G71),G71*30%,0)+IF(ISNUMBER(H71),H71*30%,0))/(IF(ISNUMBER(F71),40%,0)+IF(ISNUMBER(G71),30%,0)+IF(ISNUMBER(H71),30%,0)),2))</f>
        <v/>
      </c>
      <c r="O71" s="20">
        <f>IF(COUNT(I71:J71)=0,"",ROUND((IF(ISNUMBER(I71),I71*70%,0)+IF(ISNUMBER(J71),J71*30%,0))/(IF(ISNUMBER(I71),70%,0)+IF(ISNUMBER(J71),30%,0)),2))</f>
        <v/>
      </c>
      <c r="P71" s="20">
        <f>K71</f>
        <v/>
      </c>
      <c r="Q71" s="20">
        <f>L71</f>
        <v/>
      </c>
      <c r="R71" s="20">
        <f>M71</f>
        <v/>
      </c>
      <c r="S71" s="93">
        <f>IF($X71="","",INDEX('sheet2-计算明细'!$AQ$17:$AQ$330,$X71))</f>
        <v/>
      </c>
      <c r="T71" s="19">
        <f>IF($X71="","",INDEX('sheet2-计算明细'!$AR$17:$AR$330,$X71))</f>
        <v/>
      </c>
      <c r="U71" s="20">
        <f>IF(S71=0,"",ROUND(T71/S71,2))</f>
        <v/>
      </c>
      <c r="V71" s="20">
        <f>IF(S71=100%,T71,"")</f>
        <v/>
      </c>
      <c r="W71" s="22">
        <f>IF($X71="","",INDEX('sheet2-计算明细'!$AU$17:$AU$330,$X71))</f>
        <v/>
      </c>
      <c r="X71" s="18">
        <f>IF($A71&gt;COUNT('sheet2-计算明细'!$AT$17:$AT$330),"",MATCH($A71,'sheet2-计算明细'!$AT$17:$AT$330,0))</f>
        <v/>
      </c>
    </row>
    <row r="72" ht="28" customHeight="1" s="73">
      <c r="A72" s="2" t="n">
        <v>67</v>
      </c>
      <c r="B72" s="18">
        <f>IF($X72="","",INDEX('sheet2-计算明细'!$B$17:$B$330,$X72))</f>
        <v/>
      </c>
      <c r="C72" s="18">
        <f>IF($X72="","",INDEX('sheet2-计算明细'!$C$17:$C$330,$X72))</f>
        <v/>
      </c>
      <c r="D72" s="18">
        <f>IF($X72="","",INDEX('sheet2-计算明细'!$D$17:$D$330,$X72))</f>
        <v/>
      </c>
      <c r="E72" s="18">
        <f>IF($X72="","",INDEX('sheet2-计算明细'!$G$17:$G$330,$X72))</f>
        <v/>
      </c>
      <c r="F72" s="19">
        <f>IF($X72="","",INDEX('sheet2-计算明细'!$I$17:$I$330,$X72))</f>
        <v/>
      </c>
      <c r="G72" s="19">
        <f>IF($X72="","",INDEX('sheet2-计算明细'!$K$17:$K$330,$X72))</f>
        <v/>
      </c>
      <c r="H72" s="19">
        <f>IF($X72="","",INDEX('sheet2-计算明细'!$L$17:$L$330,$X72))</f>
        <v/>
      </c>
      <c r="I72" s="19">
        <f>IF($X72="","",INDEX('sheet2-计算明细'!$S$17:$S$330,$X72))</f>
        <v/>
      </c>
      <c r="J72" s="19">
        <f>IF($X72="","",INDEX('sheet2-计算明细'!$Y$17:$Y$330,$X72))</f>
        <v/>
      </c>
      <c r="K72" s="19">
        <f>IF($X72="","",INDEX('sheet2-计算明细'!$AC$17:$AC$330,$X72))</f>
        <v/>
      </c>
      <c r="L72" s="19">
        <f>IF($X72="","",INDEX('sheet2-计算明细'!$AI$17:$AI$330,$X72))</f>
        <v/>
      </c>
      <c r="M72" s="19">
        <f>IF($X72="","",INDEX('sheet2-计算明细'!$AK$17:$AK$330,$X72))</f>
        <v/>
      </c>
      <c r="N72" s="20">
        <f>IF(COUNT(F72:H72)=0,"",ROUND((IF(ISNUMBER(F72),F72*40%,0)+IF(ISNUMBER(G72),G72*30%,0)+IF(ISNUMBER(H72),H72*30%,0))/(IF(ISNUMBER(F72),40%,0)+IF(ISNUMBER(G72),30%,0)+IF(ISNUMBER(H72),30%,0)),2))</f>
        <v/>
      </c>
      <c r="O72" s="20">
        <f>IF(COUNT(I72:J72)=0,"",ROUND((IF(ISNUMBER(I72),I72*70%,0)+IF(ISNUMBER(J72),J72*30%,0))/(IF(ISNUMBER(I72),70%,0)+IF(ISNUMBER(J72),30%,0)),2))</f>
        <v/>
      </c>
      <c r="P72" s="20">
        <f>K72</f>
        <v/>
      </c>
      <c r="Q72" s="20">
        <f>L72</f>
        <v/>
      </c>
      <c r="R72" s="20">
        <f>M72</f>
        <v/>
      </c>
      <c r="S72" s="93">
        <f>IF($X72="","",INDEX('sheet2-计算明细'!$AQ$17:$AQ$330,$X72))</f>
        <v/>
      </c>
      <c r="T72" s="19">
        <f>IF($X72="","",INDEX('sheet2-计算明细'!$AR$17:$AR$330,$X72))</f>
        <v/>
      </c>
      <c r="U72" s="20">
        <f>IF(S72=0,"",ROUND(T72/S72,2))</f>
        <v/>
      </c>
      <c r="V72" s="20">
        <f>IF(S72=100%,T72,"")</f>
        <v/>
      </c>
      <c r="W72" s="22">
        <f>IF($X72="","",INDEX('sheet2-计算明细'!$AU$17:$AU$330,$X72))</f>
        <v/>
      </c>
      <c r="X72" s="18">
        <f>IF($A72&gt;COUNT('sheet2-计算明细'!$AT$17:$AT$330),"",MATCH($A72,'sheet2-计算明细'!$AT$17:$AT$330,0))</f>
        <v/>
      </c>
    </row>
    <row r="73" ht="28" customHeight="1" s="73">
      <c r="A73" s="2" t="n">
        <v>68</v>
      </c>
      <c r="B73" s="18">
        <f>IF($X73="","",INDEX('sheet2-计算明细'!$B$17:$B$330,$X73))</f>
        <v/>
      </c>
      <c r="C73" s="18">
        <f>IF($X73="","",INDEX('sheet2-计算明细'!$C$17:$C$330,$X73))</f>
        <v/>
      </c>
      <c r="D73" s="18">
        <f>IF($X73="","",INDEX('sheet2-计算明细'!$D$17:$D$330,$X73))</f>
        <v/>
      </c>
      <c r="E73" s="18">
        <f>IF($X73="","",INDEX('sheet2-计算明细'!$G$17:$G$330,$X73))</f>
        <v/>
      </c>
      <c r="F73" s="19">
        <f>IF($X73="","",INDEX('sheet2-计算明细'!$I$17:$I$330,$X73))</f>
        <v/>
      </c>
      <c r="G73" s="19">
        <f>IF($X73="","",INDEX('sheet2-计算明细'!$K$17:$K$330,$X73))</f>
        <v/>
      </c>
      <c r="H73" s="19">
        <f>IF($X73="","",INDEX('sheet2-计算明细'!$L$17:$L$330,$X73))</f>
        <v/>
      </c>
      <c r="I73" s="19">
        <f>IF($X73="","",INDEX('sheet2-计算明细'!$S$17:$S$330,$X73))</f>
        <v/>
      </c>
      <c r="J73" s="19">
        <f>IF($X73="","",INDEX('sheet2-计算明细'!$Y$17:$Y$330,$X73))</f>
        <v/>
      </c>
      <c r="K73" s="19">
        <f>IF($X73="","",INDEX('sheet2-计算明细'!$AC$17:$AC$330,$X73))</f>
        <v/>
      </c>
      <c r="L73" s="19">
        <f>IF($X73="","",INDEX('sheet2-计算明细'!$AI$17:$AI$330,$X73))</f>
        <v/>
      </c>
      <c r="M73" s="19">
        <f>IF($X73="","",INDEX('sheet2-计算明细'!$AK$17:$AK$330,$X73))</f>
        <v/>
      </c>
      <c r="N73" s="20">
        <f>IF(COUNT(F73:H73)=0,"",ROUND((IF(ISNUMBER(F73),F73*40%,0)+IF(ISNUMBER(G73),G73*30%,0)+IF(ISNUMBER(H73),H73*30%,0))/(IF(ISNUMBER(F73),40%,0)+IF(ISNUMBER(G73),30%,0)+IF(ISNUMBER(H73),30%,0)),2))</f>
        <v/>
      </c>
      <c r="O73" s="20">
        <f>IF(COUNT(I73:J73)=0,"",ROUND((IF(ISNUMBER(I73),I73*70%,0)+IF(ISNUMBER(J73),J73*30%,0))/(IF(ISNUMBER(I73),70%,0)+IF(ISNUMBER(J73),30%,0)),2))</f>
        <v/>
      </c>
      <c r="P73" s="20">
        <f>K73</f>
        <v/>
      </c>
      <c r="Q73" s="20">
        <f>L73</f>
        <v/>
      </c>
      <c r="R73" s="20">
        <f>M73</f>
        <v/>
      </c>
      <c r="S73" s="93">
        <f>IF($X73="","",INDEX('sheet2-计算明细'!$AQ$17:$AQ$330,$X73))</f>
        <v/>
      </c>
      <c r="T73" s="19">
        <f>IF($X73="","",INDEX('sheet2-计算明细'!$AR$17:$AR$330,$X73))</f>
        <v/>
      </c>
      <c r="U73" s="20">
        <f>IF(S73=0,"",ROUND(T73/S73,2))</f>
        <v/>
      </c>
      <c r="V73" s="20">
        <f>IF(S73=100%,T73,"")</f>
        <v/>
      </c>
      <c r="W73" s="22">
        <f>IF($X73="","",INDEX('sheet2-计算明细'!$AU$17:$AU$330,$X73))</f>
        <v/>
      </c>
      <c r="X73" s="18">
        <f>IF($A73&gt;COUNT('sheet2-计算明细'!$AT$17:$AT$330),"",MATCH($A73,'sheet2-计算明细'!$AT$17:$AT$330,0))</f>
        <v/>
      </c>
    </row>
    <row r="74" ht="28" customHeight="1" s="73">
      <c r="A74" s="2" t="n">
        <v>69</v>
      </c>
      <c r="B74" s="18">
        <f>IF($X74="","",INDEX('sheet2-计算明细'!$B$17:$B$330,$X74))</f>
        <v/>
      </c>
      <c r="C74" s="18">
        <f>IF($X74="","",INDEX('sheet2-计算明细'!$C$17:$C$330,$X74))</f>
        <v/>
      </c>
      <c r="D74" s="18">
        <f>IF($X74="","",INDEX('sheet2-计算明细'!$D$17:$D$330,$X74))</f>
        <v/>
      </c>
      <c r="E74" s="18">
        <f>IF($X74="","",INDEX('sheet2-计算明细'!$G$17:$G$330,$X74))</f>
        <v/>
      </c>
      <c r="F74" s="19">
        <f>IF($X74="","",INDEX('sheet2-计算明细'!$I$17:$I$330,$X74))</f>
        <v/>
      </c>
      <c r="G74" s="19">
        <f>IF($X74="","",INDEX('sheet2-计算明细'!$K$17:$K$330,$X74))</f>
        <v/>
      </c>
      <c r="H74" s="19">
        <f>IF($X74="","",INDEX('sheet2-计算明细'!$L$17:$L$330,$X74))</f>
        <v/>
      </c>
      <c r="I74" s="19">
        <f>IF($X74="","",INDEX('sheet2-计算明细'!$S$17:$S$330,$X74))</f>
        <v/>
      </c>
      <c r="J74" s="19">
        <f>IF($X74="","",INDEX('sheet2-计算明细'!$Y$17:$Y$330,$X74))</f>
        <v/>
      </c>
      <c r="K74" s="19">
        <f>IF($X74="","",INDEX('sheet2-计算明细'!$AC$17:$AC$330,$X74))</f>
        <v/>
      </c>
      <c r="L74" s="19">
        <f>IF($X74="","",INDEX('sheet2-计算明细'!$AI$17:$AI$330,$X74))</f>
        <v/>
      </c>
      <c r="M74" s="19">
        <f>IF($X74="","",INDEX('sheet2-计算明细'!$AK$17:$AK$330,$X74))</f>
        <v/>
      </c>
      <c r="N74" s="20">
        <f>IF(COUNT(F74:H74)=0,"",ROUND((IF(ISNUMBER(F74),F74*40%,0)+IF(ISNUMBER(G74),G74*30%,0)+IF(ISNUMBER(H74),H74*30%,0))/(IF(ISNUMBER(F74),40%,0)+IF(ISNUMBER(G74),30%,0)+IF(ISNUMBER(H74),30%,0)),2))</f>
        <v/>
      </c>
      <c r="O74" s="20">
        <f>IF(COUNT(I74:J74)=0,"",ROUND((IF(ISNUMBER(I74),I74*70%,0)+IF(ISNUMBER(J74),J74*30%,0))/(IF(ISNUMBER(I74),70%,0)+IF(ISNUMBER(J74),30%,0)),2))</f>
        <v/>
      </c>
      <c r="P74" s="20">
        <f>K74</f>
        <v/>
      </c>
      <c r="Q74" s="20">
        <f>L74</f>
        <v/>
      </c>
      <c r="R74" s="20">
        <f>M74</f>
        <v/>
      </c>
      <c r="S74" s="93">
        <f>IF($X74="","",INDEX('sheet2-计算明细'!$AQ$17:$AQ$330,$X74))</f>
        <v/>
      </c>
      <c r="T74" s="19">
        <f>IF($X74="","",INDEX('sheet2-计算明细'!$AR$17:$AR$330,$X74))</f>
        <v/>
      </c>
      <c r="U74" s="20">
        <f>IF(S74=0,"",ROUND(T74/S74,2))</f>
        <v/>
      </c>
      <c r="V74" s="20">
        <f>IF(S74=100%,T74,"")</f>
        <v/>
      </c>
      <c r="W74" s="22">
        <f>IF($X74="","",INDEX('sheet2-计算明细'!$AU$17:$AU$330,$X74))</f>
        <v/>
      </c>
      <c r="X74" s="18">
        <f>IF($A74&gt;COUNT('sheet2-计算明细'!$AT$17:$AT$330),"",MATCH($A74,'sheet2-计算明细'!$AT$17:$AT$330,0))</f>
        <v/>
      </c>
    </row>
    <row r="75" ht="28" customHeight="1" s="73">
      <c r="A75" s="2" t="n">
        <v>70</v>
      </c>
      <c r="B75" s="18">
        <f>IF($X75="","",INDEX('sheet2-计算明细'!$B$17:$B$330,$X75))</f>
        <v/>
      </c>
      <c r="C75" s="18">
        <f>IF($X75="","",INDEX('sheet2-计算明细'!$C$17:$C$330,$X75))</f>
        <v/>
      </c>
      <c r="D75" s="18">
        <f>IF($X75="","",INDEX('sheet2-计算明细'!$D$17:$D$330,$X75))</f>
        <v/>
      </c>
      <c r="E75" s="18">
        <f>IF($X75="","",INDEX('sheet2-计算明细'!$G$17:$G$330,$X75))</f>
        <v/>
      </c>
      <c r="F75" s="19">
        <f>IF($X75="","",INDEX('sheet2-计算明细'!$I$17:$I$330,$X75))</f>
        <v/>
      </c>
      <c r="G75" s="19">
        <f>IF($X75="","",INDEX('sheet2-计算明细'!$K$17:$K$330,$X75))</f>
        <v/>
      </c>
      <c r="H75" s="19">
        <f>IF($X75="","",INDEX('sheet2-计算明细'!$L$17:$L$330,$X75))</f>
        <v/>
      </c>
      <c r="I75" s="19">
        <f>IF($X75="","",INDEX('sheet2-计算明细'!$S$17:$S$330,$X75))</f>
        <v/>
      </c>
      <c r="J75" s="19">
        <f>IF($X75="","",INDEX('sheet2-计算明细'!$Y$17:$Y$330,$X75))</f>
        <v/>
      </c>
      <c r="K75" s="19">
        <f>IF($X75="","",INDEX('sheet2-计算明细'!$AC$17:$AC$330,$X75))</f>
        <v/>
      </c>
      <c r="L75" s="19">
        <f>IF($X75="","",INDEX('sheet2-计算明细'!$AI$17:$AI$330,$X75))</f>
        <v/>
      </c>
      <c r="M75" s="19">
        <f>IF($X75="","",INDEX('sheet2-计算明细'!$AK$17:$AK$330,$X75))</f>
        <v/>
      </c>
      <c r="N75" s="20">
        <f>IF(COUNT(F75:H75)=0,"",ROUND((IF(ISNUMBER(F75),F75*40%,0)+IF(ISNUMBER(G75),G75*30%,0)+IF(ISNUMBER(H75),H75*30%,0))/(IF(ISNUMBER(F75),40%,0)+IF(ISNUMBER(G75),30%,0)+IF(ISNUMBER(H75),30%,0)),2))</f>
        <v/>
      </c>
      <c r="O75" s="20">
        <f>IF(COUNT(I75:J75)=0,"",ROUND((IF(ISNUMBER(I75),I75*70%,0)+IF(ISNUMBER(J75),J75*30%,0))/(IF(ISNUMBER(I75),70%,0)+IF(ISNUMBER(J75),30%,0)),2))</f>
        <v/>
      </c>
      <c r="P75" s="20">
        <f>K75</f>
        <v/>
      </c>
      <c r="Q75" s="20">
        <f>L75</f>
        <v/>
      </c>
      <c r="R75" s="20">
        <f>M75</f>
        <v/>
      </c>
      <c r="S75" s="93">
        <f>IF($X75="","",INDEX('sheet2-计算明细'!$AQ$17:$AQ$330,$X75))</f>
        <v/>
      </c>
      <c r="T75" s="19">
        <f>IF($X75="","",INDEX('sheet2-计算明细'!$AR$17:$AR$330,$X75))</f>
        <v/>
      </c>
      <c r="U75" s="20">
        <f>IF(S75=0,"",ROUND(T75/S75,2))</f>
        <v/>
      </c>
      <c r="V75" s="20">
        <f>IF(S75=100%,T75,"")</f>
        <v/>
      </c>
      <c r="W75" s="22">
        <f>IF($X75="","",INDEX('sheet2-计算明细'!$AU$17:$AU$330,$X75))</f>
        <v/>
      </c>
      <c r="X75" s="18">
        <f>IF($A75&gt;COUNT('sheet2-计算明细'!$AT$17:$AT$330),"",MATCH($A75,'sheet2-计算明细'!$AT$17:$AT$330,0))</f>
        <v/>
      </c>
    </row>
    <row r="76" ht="28" customHeight="1" s="73">
      <c r="A76" s="2" t="n">
        <v>71</v>
      </c>
      <c r="B76" s="18">
        <f>IF($X76="","",INDEX('sheet2-计算明细'!$B$17:$B$330,$X76))</f>
        <v/>
      </c>
      <c r="C76" s="18">
        <f>IF($X76="","",INDEX('sheet2-计算明细'!$C$17:$C$330,$X76))</f>
        <v/>
      </c>
      <c r="D76" s="18">
        <f>IF($X76="","",INDEX('sheet2-计算明细'!$D$17:$D$330,$X76))</f>
        <v/>
      </c>
      <c r="E76" s="18">
        <f>IF($X76="","",INDEX('sheet2-计算明细'!$G$17:$G$330,$X76))</f>
        <v/>
      </c>
      <c r="F76" s="19">
        <f>IF($X76="","",INDEX('sheet2-计算明细'!$I$17:$I$330,$X76))</f>
        <v/>
      </c>
      <c r="G76" s="19">
        <f>IF($X76="","",INDEX('sheet2-计算明细'!$K$17:$K$330,$X76))</f>
        <v/>
      </c>
      <c r="H76" s="19">
        <f>IF($X76="","",INDEX('sheet2-计算明细'!$L$17:$L$330,$X76))</f>
        <v/>
      </c>
      <c r="I76" s="19">
        <f>IF($X76="","",INDEX('sheet2-计算明细'!$S$17:$S$330,$X76))</f>
        <v/>
      </c>
      <c r="J76" s="19">
        <f>IF($X76="","",INDEX('sheet2-计算明细'!$Y$17:$Y$330,$X76))</f>
        <v/>
      </c>
      <c r="K76" s="19">
        <f>IF($X76="","",INDEX('sheet2-计算明细'!$AC$17:$AC$330,$X76))</f>
        <v/>
      </c>
      <c r="L76" s="19">
        <f>IF($X76="","",INDEX('sheet2-计算明细'!$AI$17:$AI$330,$X76))</f>
        <v/>
      </c>
      <c r="M76" s="19">
        <f>IF($X76="","",INDEX('sheet2-计算明细'!$AK$17:$AK$330,$X76))</f>
        <v/>
      </c>
      <c r="N76" s="20">
        <f>IF(COUNT(F76:H76)=0,"",ROUND((IF(ISNUMBER(F76),F76*40%,0)+IF(ISNUMBER(G76),G76*30%,0)+IF(ISNUMBER(H76),H76*30%,0))/(IF(ISNUMBER(F76),40%,0)+IF(ISNUMBER(G76),30%,0)+IF(ISNUMBER(H76),30%,0)),2))</f>
        <v/>
      </c>
      <c r="O76" s="20">
        <f>IF(COUNT(I76:J76)=0,"",ROUND((IF(ISNUMBER(I76),I76*70%,0)+IF(ISNUMBER(J76),J76*30%,0))/(IF(ISNUMBER(I76),70%,0)+IF(ISNUMBER(J76),30%,0)),2))</f>
        <v/>
      </c>
      <c r="P76" s="20">
        <f>K76</f>
        <v/>
      </c>
      <c r="Q76" s="20">
        <f>L76</f>
        <v/>
      </c>
      <c r="R76" s="20">
        <f>M76</f>
        <v/>
      </c>
      <c r="S76" s="93">
        <f>IF($X76="","",INDEX('sheet2-计算明细'!$AQ$17:$AQ$330,$X76))</f>
        <v/>
      </c>
      <c r="T76" s="19">
        <f>IF($X76="","",INDEX('sheet2-计算明细'!$AR$17:$AR$330,$X76))</f>
        <v/>
      </c>
      <c r="U76" s="20">
        <f>IF(S76=0,"",ROUND(T76/S76,2))</f>
        <v/>
      </c>
      <c r="V76" s="20">
        <f>IF(S76=100%,T76,"")</f>
        <v/>
      </c>
      <c r="W76" s="22">
        <f>IF($X76="","",INDEX('sheet2-计算明细'!$AU$17:$AU$330,$X76))</f>
        <v/>
      </c>
      <c r="X76" s="18">
        <f>IF($A76&gt;COUNT('sheet2-计算明细'!$AT$17:$AT$330),"",MATCH($A76,'sheet2-计算明细'!$AT$17:$AT$330,0))</f>
        <v/>
      </c>
    </row>
    <row r="77" ht="28" customHeight="1" s="73">
      <c r="A77" s="2" t="n">
        <v>72</v>
      </c>
      <c r="B77" s="18">
        <f>IF($X77="","",INDEX('sheet2-计算明细'!$B$17:$B$330,$X77))</f>
        <v/>
      </c>
      <c r="C77" s="18">
        <f>IF($X77="","",INDEX('sheet2-计算明细'!$C$17:$C$330,$X77))</f>
        <v/>
      </c>
      <c r="D77" s="18">
        <f>IF($X77="","",INDEX('sheet2-计算明细'!$D$17:$D$330,$X77))</f>
        <v/>
      </c>
      <c r="E77" s="18">
        <f>IF($X77="","",INDEX('sheet2-计算明细'!$G$17:$G$330,$X77))</f>
        <v/>
      </c>
      <c r="F77" s="19">
        <f>IF($X77="","",INDEX('sheet2-计算明细'!$I$17:$I$330,$X77))</f>
        <v/>
      </c>
      <c r="G77" s="19">
        <f>IF($X77="","",INDEX('sheet2-计算明细'!$K$17:$K$330,$X77))</f>
        <v/>
      </c>
      <c r="H77" s="19">
        <f>IF($X77="","",INDEX('sheet2-计算明细'!$L$17:$L$330,$X77))</f>
        <v/>
      </c>
      <c r="I77" s="19">
        <f>IF($X77="","",INDEX('sheet2-计算明细'!$S$17:$S$330,$X77))</f>
        <v/>
      </c>
      <c r="J77" s="19">
        <f>IF($X77="","",INDEX('sheet2-计算明细'!$Y$17:$Y$330,$X77))</f>
        <v/>
      </c>
      <c r="K77" s="19">
        <f>IF($X77="","",INDEX('sheet2-计算明细'!$AC$17:$AC$330,$X77))</f>
        <v/>
      </c>
      <c r="L77" s="19">
        <f>IF($X77="","",INDEX('sheet2-计算明细'!$AI$17:$AI$330,$X77))</f>
        <v/>
      </c>
      <c r="M77" s="19">
        <f>IF($X77="","",INDEX('sheet2-计算明细'!$AK$17:$AK$330,$X77))</f>
        <v/>
      </c>
      <c r="N77" s="20">
        <f>IF(COUNT(F77:H77)=0,"",ROUND((IF(ISNUMBER(F77),F77*40%,0)+IF(ISNUMBER(G77),G77*30%,0)+IF(ISNUMBER(H77),H77*30%,0))/(IF(ISNUMBER(F77),40%,0)+IF(ISNUMBER(G77),30%,0)+IF(ISNUMBER(H77),30%,0)),2))</f>
        <v/>
      </c>
      <c r="O77" s="20">
        <f>IF(COUNT(I77:J77)=0,"",ROUND((IF(ISNUMBER(I77),I77*70%,0)+IF(ISNUMBER(J77),J77*30%,0))/(IF(ISNUMBER(I77),70%,0)+IF(ISNUMBER(J77),30%,0)),2))</f>
        <v/>
      </c>
      <c r="P77" s="20">
        <f>K77</f>
        <v/>
      </c>
      <c r="Q77" s="20">
        <f>L77</f>
        <v/>
      </c>
      <c r="R77" s="20">
        <f>M77</f>
        <v/>
      </c>
      <c r="S77" s="93">
        <f>IF($X77="","",INDEX('sheet2-计算明细'!$AQ$17:$AQ$330,$X77))</f>
        <v/>
      </c>
      <c r="T77" s="19">
        <f>IF($X77="","",INDEX('sheet2-计算明细'!$AR$17:$AR$330,$X77))</f>
        <v/>
      </c>
      <c r="U77" s="20">
        <f>IF(S77=0,"",ROUND(T77/S77,2))</f>
        <v/>
      </c>
      <c r="V77" s="20">
        <f>IF(S77=100%,T77,"")</f>
        <v/>
      </c>
      <c r="W77" s="22">
        <f>IF($X77="","",INDEX('sheet2-计算明细'!$AU$17:$AU$330,$X77))</f>
        <v/>
      </c>
      <c r="X77" s="18">
        <f>IF($A77&gt;COUNT('sheet2-计算明细'!$AT$17:$AT$330),"",MATCH($A77,'sheet2-计算明细'!$AT$17:$AT$330,0))</f>
        <v/>
      </c>
    </row>
    <row r="78" ht="28" customHeight="1" s="73">
      <c r="A78" s="2" t="n">
        <v>73</v>
      </c>
      <c r="B78" s="18">
        <f>IF($X78="","",INDEX('sheet2-计算明细'!$B$17:$B$330,$X78))</f>
        <v/>
      </c>
      <c r="C78" s="18">
        <f>IF($X78="","",INDEX('sheet2-计算明细'!$C$17:$C$330,$X78))</f>
        <v/>
      </c>
      <c r="D78" s="18">
        <f>IF($X78="","",INDEX('sheet2-计算明细'!$D$17:$D$330,$X78))</f>
        <v/>
      </c>
      <c r="E78" s="18">
        <f>IF($X78="","",INDEX('sheet2-计算明细'!$G$17:$G$330,$X78))</f>
        <v/>
      </c>
      <c r="F78" s="19">
        <f>IF($X78="","",INDEX('sheet2-计算明细'!$I$17:$I$330,$X78))</f>
        <v/>
      </c>
      <c r="G78" s="19">
        <f>IF($X78="","",INDEX('sheet2-计算明细'!$K$17:$K$330,$X78))</f>
        <v/>
      </c>
      <c r="H78" s="19">
        <f>IF($X78="","",INDEX('sheet2-计算明细'!$L$17:$L$330,$X78))</f>
        <v/>
      </c>
      <c r="I78" s="19">
        <f>IF($X78="","",INDEX('sheet2-计算明细'!$S$17:$S$330,$X78))</f>
        <v/>
      </c>
      <c r="J78" s="19">
        <f>IF($X78="","",INDEX('sheet2-计算明细'!$Y$17:$Y$330,$X78))</f>
        <v/>
      </c>
      <c r="K78" s="19">
        <f>IF($X78="","",INDEX('sheet2-计算明细'!$AC$17:$AC$330,$X78))</f>
        <v/>
      </c>
      <c r="L78" s="19">
        <f>IF($X78="","",INDEX('sheet2-计算明细'!$AI$17:$AI$330,$X78))</f>
        <v/>
      </c>
      <c r="M78" s="19">
        <f>IF($X78="","",INDEX('sheet2-计算明细'!$AK$17:$AK$330,$X78))</f>
        <v/>
      </c>
      <c r="N78" s="20">
        <f>IF(COUNT(F78:H78)=0,"",ROUND((IF(ISNUMBER(F78),F78*40%,0)+IF(ISNUMBER(G78),G78*30%,0)+IF(ISNUMBER(H78),H78*30%,0))/(IF(ISNUMBER(F78),40%,0)+IF(ISNUMBER(G78),30%,0)+IF(ISNUMBER(H78),30%,0)),2))</f>
        <v/>
      </c>
      <c r="O78" s="20">
        <f>IF(COUNT(I78:J78)=0,"",ROUND((IF(ISNUMBER(I78),I78*70%,0)+IF(ISNUMBER(J78),J78*30%,0))/(IF(ISNUMBER(I78),70%,0)+IF(ISNUMBER(J78),30%,0)),2))</f>
        <v/>
      </c>
      <c r="P78" s="20">
        <f>K78</f>
        <v/>
      </c>
      <c r="Q78" s="20">
        <f>L78</f>
        <v/>
      </c>
      <c r="R78" s="20">
        <f>M78</f>
        <v/>
      </c>
      <c r="S78" s="93">
        <f>IF($X78="","",INDEX('sheet2-计算明细'!$AQ$17:$AQ$330,$X78))</f>
        <v/>
      </c>
      <c r="T78" s="19">
        <f>IF($X78="","",INDEX('sheet2-计算明细'!$AR$17:$AR$330,$X78))</f>
        <v/>
      </c>
      <c r="U78" s="20">
        <f>IF(S78=0,"",ROUND(T78/S78,2))</f>
        <v/>
      </c>
      <c r="V78" s="20">
        <f>IF(S78=100%,T78,"")</f>
        <v/>
      </c>
      <c r="W78" s="22">
        <f>IF($X78="","",INDEX('sheet2-计算明细'!$AU$17:$AU$330,$X78))</f>
        <v/>
      </c>
      <c r="X78" s="18">
        <f>IF($A78&gt;COUNT('sheet2-计算明细'!$AT$17:$AT$330),"",MATCH($A78,'sheet2-计算明细'!$AT$17:$AT$330,0))</f>
        <v/>
      </c>
    </row>
    <row r="79" ht="28" customHeight="1" s="73">
      <c r="A79" s="2" t="n">
        <v>74</v>
      </c>
      <c r="B79" s="18">
        <f>IF($X79="","",INDEX('sheet2-计算明细'!$B$17:$B$330,$X79))</f>
        <v/>
      </c>
      <c r="C79" s="18">
        <f>IF($X79="","",INDEX('sheet2-计算明细'!$C$17:$C$330,$X79))</f>
        <v/>
      </c>
      <c r="D79" s="18">
        <f>IF($X79="","",INDEX('sheet2-计算明细'!$D$17:$D$330,$X79))</f>
        <v/>
      </c>
      <c r="E79" s="18">
        <f>IF($X79="","",INDEX('sheet2-计算明细'!$G$17:$G$330,$X79))</f>
        <v/>
      </c>
      <c r="F79" s="19">
        <f>IF($X79="","",INDEX('sheet2-计算明细'!$I$17:$I$330,$X79))</f>
        <v/>
      </c>
      <c r="G79" s="19">
        <f>IF($X79="","",INDEX('sheet2-计算明细'!$K$17:$K$330,$X79))</f>
        <v/>
      </c>
      <c r="H79" s="19">
        <f>IF($X79="","",INDEX('sheet2-计算明细'!$L$17:$L$330,$X79))</f>
        <v/>
      </c>
      <c r="I79" s="19">
        <f>IF($X79="","",INDEX('sheet2-计算明细'!$S$17:$S$330,$X79))</f>
        <v/>
      </c>
      <c r="J79" s="19">
        <f>IF($X79="","",INDEX('sheet2-计算明细'!$Y$17:$Y$330,$X79))</f>
        <v/>
      </c>
      <c r="K79" s="19">
        <f>IF($X79="","",INDEX('sheet2-计算明细'!$AC$17:$AC$330,$X79))</f>
        <v/>
      </c>
      <c r="L79" s="19">
        <f>IF($X79="","",INDEX('sheet2-计算明细'!$AI$17:$AI$330,$X79))</f>
        <v/>
      </c>
      <c r="M79" s="19">
        <f>IF($X79="","",INDEX('sheet2-计算明细'!$AK$17:$AK$330,$X79))</f>
        <v/>
      </c>
      <c r="N79" s="20">
        <f>IF(COUNT(F79:H79)=0,"",ROUND((IF(ISNUMBER(F79),F79*40%,0)+IF(ISNUMBER(G79),G79*30%,0)+IF(ISNUMBER(H79),H79*30%,0))/(IF(ISNUMBER(F79),40%,0)+IF(ISNUMBER(G79),30%,0)+IF(ISNUMBER(H79),30%,0)),2))</f>
        <v/>
      </c>
      <c r="O79" s="20">
        <f>IF(COUNT(I79:J79)=0,"",ROUND((IF(ISNUMBER(I79),I79*70%,0)+IF(ISNUMBER(J79),J79*30%,0))/(IF(ISNUMBER(I79),70%,0)+IF(ISNUMBER(J79),30%,0)),2))</f>
        <v/>
      </c>
      <c r="P79" s="20">
        <f>K79</f>
        <v/>
      </c>
      <c r="Q79" s="20">
        <f>L79</f>
        <v/>
      </c>
      <c r="R79" s="20">
        <f>M79</f>
        <v/>
      </c>
      <c r="S79" s="93">
        <f>IF($X79="","",INDEX('sheet2-计算明细'!$AQ$17:$AQ$330,$X79))</f>
        <v/>
      </c>
      <c r="T79" s="19">
        <f>IF($X79="","",INDEX('sheet2-计算明细'!$AR$17:$AR$330,$X79))</f>
        <v/>
      </c>
      <c r="U79" s="20">
        <f>IF(S79=0,"",ROUND(T79/S79,2))</f>
        <v/>
      </c>
      <c r="V79" s="20">
        <f>IF(S79=100%,T79,"")</f>
        <v/>
      </c>
      <c r="W79" s="22">
        <f>IF($X79="","",INDEX('sheet2-计算明细'!$AU$17:$AU$330,$X79))</f>
        <v/>
      </c>
      <c r="X79" s="18">
        <f>IF($A79&gt;COUNT('sheet2-计算明细'!$AT$17:$AT$330),"",MATCH($A79,'sheet2-计算明细'!$AT$17:$AT$330,0))</f>
        <v/>
      </c>
    </row>
    <row r="80" ht="28" customHeight="1" s="73">
      <c r="A80" s="2" t="n">
        <v>75</v>
      </c>
      <c r="B80" s="18">
        <f>IF($X80="","",INDEX('sheet2-计算明细'!$B$17:$B$330,$X80))</f>
        <v/>
      </c>
      <c r="C80" s="18">
        <f>IF($X80="","",INDEX('sheet2-计算明细'!$C$17:$C$330,$X80))</f>
        <v/>
      </c>
      <c r="D80" s="18">
        <f>IF($X80="","",INDEX('sheet2-计算明细'!$D$17:$D$330,$X80))</f>
        <v/>
      </c>
      <c r="E80" s="18">
        <f>IF($X80="","",INDEX('sheet2-计算明细'!$G$17:$G$330,$X80))</f>
        <v/>
      </c>
      <c r="F80" s="19">
        <f>IF($X80="","",INDEX('sheet2-计算明细'!$I$17:$I$330,$X80))</f>
        <v/>
      </c>
      <c r="G80" s="19">
        <f>IF($X80="","",INDEX('sheet2-计算明细'!$K$17:$K$330,$X80))</f>
        <v/>
      </c>
      <c r="H80" s="19">
        <f>IF($X80="","",INDEX('sheet2-计算明细'!$L$17:$L$330,$X80))</f>
        <v/>
      </c>
      <c r="I80" s="19">
        <f>IF($X80="","",INDEX('sheet2-计算明细'!$S$17:$S$330,$X80))</f>
        <v/>
      </c>
      <c r="J80" s="19">
        <f>IF($X80="","",INDEX('sheet2-计算明细'!$Y$17:$Y$330,$X80))</f>
        <v/>
      </c>
      <c r="K80" s="19">
        <f>IF($X80="","",INDEX('sheet2-计算明细'!$AC$17:$AC$330,$X80))</f>
        <v/>
      </c>
      <c r="L80" s="19">
        <f>IF($X80="","",INDEX('sheet2-计算明细'!$AI$17:$AI$330,$X80))</f>
        <v/>
      </c>
      <c r="M80" s="19">
        <f>IF($X80="","",INDEX('sheet2-计算明细'!$AK$17:$AK$330,$X80))</f>
        <v/>
      </c>
      <c r="N80" s="20">
        <f>IF(COUNT(F80:H80)=0,"",ROUND((IF(ISNUMBER(F80),F80*40%,0)+IF(ISNUMBER(G80),G80*30%,0)+IF(ISNUMBER(H80),H80*30%,0))/(IF(ISNUMBER(F80),40%,0)+IF(ISNUMBER(G80),30%,0)+IF(ISNUMBER(H80),30%,0)),2))</f>
        <v/>
      </c>
      <c r="O80" s="20">
        <f>IF(COUNT(I80:J80)=0,"",ROUND((IF(ISNUMBER(I80),I80*70%,0)+IF(ISNUMBER(J80),J80*30%,0))/(IF(ISNUMBER(I80),70%,0)+IF(ISNUMBER(J80),30%,0)),2))</f>
        <v/>
      </c>
      <c r="P80" s="20">
        <f>K80</f>
        <v/>
      </c>
      <c r="Q80" s="20">
        <f>L80</f>
        <v/>
      </c>
      <c r="R80" s="20">
        <f>M80</f>
        <v/>
      </c>
      <c r="S80" s="93">
        <f>IF($X80="","",INDEX('sheet2-计算明细'!$AQ$17:$AQ$330,$X80))</f>
        <v/>
      </c>
      <c r="T80" s="19">
        <f>IF($X80="","",INDEX('sheet2-计算明细'!$AR$17:$AR$330,$X80))</f>
        <v/>
      </c>
      <c r="U80" s="20">
        <f>IF(S80=0,"",ROUND(T80/S80,2))</f>
        <v/>
      </c>
      <c r="V80" s="20">
        <f>IF(S80=100%,T80,"")</f>
        <v/>
      </c>
      <c r="W80" s="22">
        <f>IF($X80="","",INDEX('sheet2-计算明细'!$AU$17:$AU$330,$X80))</f>
        <v/>
      </c>
      <c r="X80" s="18">
        <f>IF($A80&gt;COUNT('sheet2-计算明细'!$AT$17:$AT$330),"",MATCH($A80,'sheet2-计算明细'!$AT$17:$AT$330,0))</f>
        <v/>
      </c>
    </row>
    <row r="81" ht="28" customHeight="1" s="73">
      <c r="A81" s="2" t="n">
        <v>76</v>
      </c>
      <c r="B81" s="18">
        <f>IF($X81="","",INDEX('sheet2-计算明细'!$B$17:$B$330,$X81))</f>
        <v/>
      </c>
      <c r="C81" s="18">
        <f>IF($X81="","",INDEX('sheet2-计算明细'!$C$17:$C$330,$X81))</f>
        <v/>
      </c>
      <c r="D81" s="18">
        <f>IF($X81="","",INDEX('sheet2-计算明细'!$D$17:$D$330,$X81))</f>
        <v/>
      </c>
      <c r="E81" s="18">
        <f>IF($X81="","",INDEX('sheet2-计算明细'!$G$17:$G$330,$X81))</f>
        <v/>
      </c>
      <c r="F81" s="19">
        <f>IF($X81="","",INDEX('sheet2-计算明细'!$I$17:$I$330,$X81))</f>
        <v/>
      </c>
      <c r="G81" s="19">
        <f>IF($X81="","",INDEX('sheet2-计算明细'!$K$17:$K$330,$X81))</f>
        <v/>
      </c>
      <c r="H81" s="19">
        <f>IF($X81="","",INDEX('sheet2-计算明细'!$L$17:$L$330,$X81))</f>
        <v/>
      </c>
      <c r="I81" s="19">
        <f>IF($X81="","",INDEX('sheet2-计算明细'!$S$17:$S$330,$X81))</f>
        <v/>
      </c>
      <c r="J81" s="19">
        <f>IF($X81="","",INDEX('sheet2-计算明细'!$Y$17:$Y$330,$X81))</f>
        <v/>
      </c>
      <c r="K81" s="19">
        <f>IF($X81="","",INDEX('sheet2-计算明细'!$AC$17:$AC$330,$X81))</f>
        <v/>
      </c>
      <c r="L81" s="19">
        <f>IF($X81="","",INDEX('sheet2-计算明细'!$AI$17:$AI$330,$X81))</f>
        <v/>
      </c>
      <c r="M81" s="19">
        <f>IF($X81="","",INDEX('sheet2-计算明细'!$AK$17:$AK$330,$X81))</f>
        <v/>
      </c>
      <c r="N81" s="20">
        <f>IF(COUNT(F81:H81)=0,"",ROUND((IF(ISNUMBER(F81),F81*40%,0)+IF(ISNUMBER(G81),G81*30%,0)+IF(ISNUMBER(H81),H81*30%,0))/(IF(ISNUMBER(F81),40%,0)+IF(ISNUMBER(G81),30%,0)+IF(ISNUMBER(H81),30%,0)),2))</f>
        <v/>
      </c>
      <c r="O81" s="20">
        <f>IF(COUNT(I81:J81)=0,"",ROUND((IF(ISNUMBER(I81),I81*70%,0)+IF(ISNUMBER(J81),J81*30%,0))/(IF(ISNUMBER(I81),70%,0)+IF(ISNUMBER(J81),30%,0)),2))</f>
        <v/>
      </c>
      <c r="P81" s="20">
        <f>K81</f>
        <v/>
      </c>
      <c r="Q81" s="20">
        <f>L81</f>
        <v/>
      </c>
      <c r="R81" s="20">
        <f>M81</f>
        <v/>
      </c>
      <c r="S81" s="93">
        <f>IF($X81="","",INDEX('sheet2-计算明细'!$AQ$17:$AQ$330,$X81))</f>
        <v/>
      </c>
      <c r="T81" s="19">
        <f>IF($X81="","",INDEX('sheet2-计算明细'!$AR$17:$AR$330,$X81))</f>
        <v/>
      </c>
      <c r="U81" s="20">
        <f>IF(S81=0,"",ROUND(T81/S81,2))</f>
        <v/>
      </c>
      <c r="V81" s="20">
        <f>IF(S81=100%,T81,"")</f>
        <v/>
      </c>
      <c r="W81" s="22">
        <f>IF($X81="","",INDEX('sheet2-计算明细'!$AU$17:$AU$330,$X81))</f>
        <v/>
      </c>
      <c r="X81" s="18">
        <f>IF($A81&gt;COUNT('sheet2-计算明细'!$AT$17:$AT$330),"",MATCH($A81,'sheet2-计算明细'!$AT$17:$AT$330,0))</f>
        <v/>
      </c>
    </row>
    <row r="82" ht="28" customHeight="1" s="73">
      <c r="A82" s="2" t="n">
        <v>77</v>
      </c>
      <c r="B82" s="18">
        <f>IF($X82="","",INDEX('sheet2-计算明细'!$B$17:$B$330,$X82))</f>
        <v/>
      </c>
      <c r="C82" s="18">
        <f>IF($X82="","",INDEX('sheet2-计算明细'!$C$17:$C$330,$X82))</f>
        <v/>
      </c>
      <c r="D82" s="18">
        <f>IF($X82="","",INDEX('sheet2-计算明细'!$D$17:$D$330,$X82))</f>
        <v/>
      </c>
      <c r="E82" s="18">
        <f>IF($X82="","",INDEX('sheet2-计算明细'!$G$17:$G$330,$X82))</f>
        <v/>
      </c>
      <c r="F82" s="19">
        <f>IF($X82="","",INDEX('sheet2-计算明细'!$I$17:$I$330,$X82))</f>
        <v/>
      </c>
      <c r="G82" s="19">
        <f>IF($X82="","",INDEX('sheet2-计算明细'!$K$17:$K$330,$X82))</f>
        <v/>
      </c>
      <c r="H82" s="19">
        <f>IF($X82="","",INDEX('sheet2-计算明细'!$L$17:$L$330,$X82))</f>
        <v/>
      </c>
      <c r="I82" s="19">
        <f>IF($X82="","",INDEX('sheet2-计算明细'!$S$17:$S$330,$X82))</f>
        <v/>
      </c>
      <c r="J82" s="19">
        <f>IF($X82="","",INDEX('sheet2-计算明细'!$Y$17:$Y$330,$X82))</f>
        <v/>
      </c>
      <c r="K82" s="19">
        <f>IF($X82="","",INDEX('sheet2-计算明细'!$AC$17:$AC$330,$X82))</f>
        <v/>
      </c>
      <c r="L82" s="19">
        <f>IF($X82="","",INDEX('sheet2-计算明细'!$AI$17:$AI$330,$X82))</f>
        <v/>
      </c>
      <c r="M82" s="19">
        <f>IF($X82="","",INDEX('sheet2-计算明细'!$AK$17:$AK$330,$X82))</f>
        <v/>
      </c>
      <c r="N82" s="20">
        <f>IF(COUNT(F82:H82)=0,"",ROUND((IF(ISNUMBER(F82),F82*40%,0)+IF(ISNUMBER(G82),G82*30%,0)+IF(ISNUMBER(H82),H82*30%,0))/(IF(ISNUMBER(F82),40%,0)+IF(ISNUMBER(G82),30%,0)+IF(ISNUMBER(H82),30%,0)),2))</f>
        <v/>
      </c>
      <c r="O82" s="20">
        <f>IF(COUNT(I82:J82)=0,"",ROUND((IF(ISNUMBER(I82),I82*70%,0)+IF(ISNUMBER(J82),J82*30%,0))/(IF(ISNUMBER(I82),70%,0)+IF(ISNUMBER(J82),30%,0)),2))</f>
        <v/>
      </c>
      <c r="P82" s="20">
        <f>K82</f>
        <v/>
      </c>
      <c r="Q82" s="20">
        <f>L82</f>
        <v/>
      </c>
      <c r="R82" s="20">
        <f>M82</f>
        <v/>
      </c>
      <c r="S82" s="93">
        <f>IF($X82="","",INDEX('sheet2-计算明细'!$AQ$17:$AQ$330,$X82))</f>
        <v/>
      </c>
      <c r="T82" s="19">
        <f>IF($X82="","",INDEX('sheet2-计算明细'!$AR$17:$AR$330,$X82))</f>
        <v/>
      </c>
      <c r="U82" s="20">
        <f>IF(S82=0,"",ROUND(T82/S82,2))</f>
        <v/>
      </c>
      <c r="V82" s="20">
        <f>IF(S82=100%,T82,"")</f>
        <v/>
      </c>
      <c r="W82" s="22">
        <f>IF($X82="","",INDEX('sheet2-计算明细'!$AU$17:$AU$330,$X82))</f>
        <v/>
      </c>
      <c r="X82" s="18">
        <f>IF($A82&gt;COUNT('sheet2-计算明细'!$AT$17:$AT$330),"",MATCH($A82,'sheet2-计算明细'!$AT$17:$AT$330,0))</f>
        <v/>
      </c>
    </row>
    <row r="83" ht="28" customHeight="1" s="73">
      <c r="A83" s="2" t="n">
        <v>78</v>
      </c>
      <c r="B83" s="18">
        <f>IF($X83="","",INDEX('sheet2-计算明细'!$B$17:$B$330,$X83))</f>
        <v/>
      </c>
      <c r="C83" s="18">
        <f>IF($X83="","",INDEX('sheet2-计算明细'!$C$17:$C$330,$X83))</f>
        <v/>
      </c>
      <c r="D83" s="18">
        <f>IF($X83="","",INDEX('sheet2-计算明细'!$D$17:$D$330,$X83))</f>
        <v/>
      </c>
      <c r="E83" s="18">
        <f>IF($X83="","",INDEX('sheet2-计算明细'!$G$17:$G$330,$X83))</f>
        <v/>
      </c>
      <c r="F83" s="19">
        <f>IF($X83="","",INDEX('sheet2-计算明细'!$I$17:$I$330,$X83))</f>
        <v/>
      </c>
      <c r="G83" s="19">
        <f>IF($X83="","",INDEX('sheet2-计算明细'!$K$17:$K$330,$X83))</f>
        <v/>
      </c>
      <c r="H83" s="19">
        <f>IF($X83="","",INDEX('sheet2-计算明细'!$L$17:$L$330,$X83))</f>
        <v/>
      </c>
      <c r="I83" s="19">
        <f>IF($X83="","",INDEX('sheet2-计算明细'!$S$17:$S$330,$X83))</f>
        <v/>
      </c>
      <c r="J83" s="19">
        <f>IF($X83="","",INDEX('sheet2-计算明细'!$Y$17:$Y$330,$X83))</f>
        <v/>
      </c>
      <c r="K83" s="19">
        <f>IF($X83="","",INDEX('sheet2-计算明细'!$AC$17:$AC$330,$X83))</f>
        <v/>
      </c>
      <c r="L83" s="19">
        <f>IF($X83="","",INDEX('sheet2-计算明细'!$AI$17:$AI$330,$X83))</f>
        <v/>
      </c>
      <c r="M83" s="19">
        <f>IF($X83="","",INDEX('sheet2-计算明细'!$AK$17:$AK$330,$X83))</f>
        <v/>
      </c>
      <c r="N83" s="20">
        <f>IF(COUNT(F83:H83)=0,"",ROUND((IF(ISNUMBER(F83),F83*40%,0)+IF(ISNUMBER(G83),G83*30%,0)+IF(ISNUMBER(H83),H83*30%,0))/(IF(ISNUMBER(F83),40%,0)+IF(ISNUMBER(G83),30%,0)+IF(ISNUMBER(H83),30%,0)),2))</f>
        <v/>
      </c>
      <c r="O83" s="20">
        <f>IF(COUNT(I83:J83)=0,"",ROUND((IF(ISNUMBER(I83),I83*70%,0)+IF(ISNUMBER(J83),J83*30%,0))/(IF(ISNUMBER(I83),70%,0)+IF(ISNUMBER(J83),30%,0)),2))</f>
        <v/>
      </c>
      <c r="P83" s="20">
        <f>K83</f>
        <v/>
      </c>
      <c r="Q83" s="20">
        <f>L83</f>
        <v/>
      </c>
      <c r="R83" s="20">
        <f>M83</f>
        <v/>
      </c>
      <c r="S83" s="93">
        <f>IF($X83="","",INDEX('sheet2-计算明细'!$AQ$17:$AQ$330,$X83))</f>
        <v/>
      </c>
      <c r="T83" s="19">
        <f>IF($X83="","",INDEX('sheet2-计算明细'!$AR$17:$AR$330,$X83))</f>
        <v/>
      </c>
      <c r="U83" s="20">
        <f>IF(S83=0,"",ROUND(T83/S83,2))</f>
        <v/>
      </c>
      <c r="V83" s="20">
        <f>IF(S83=100%,T83,"")</f>
        <v/>
      </c>
      <c r="W83" s="22">
        <f>IF($X83="","",INDEX('sheet2-计算明细'!$AU$17:$AU$330,$X83))</f>
        <v/>
      </c>
      <c r="X83" s="18">
        <f>IF($A83&gt;COUNT('sheet2-计算明细'!$AT$17:$AT$330),"",MATCH($A83,'sheet2-计算明细'!$AT$17:$AT$330,0))</f>
        <v/>
      </c>
    </row>
    <row r="84" ht="28" customHeight="1" s="73">
      <c r="A84" s="2" t="n">
        <v>79</v>
      </c>
      <c r="B84" s="18">
        <f>IF($X84="","",INDEX('sheet2-计算明细'!$B$17:$B$330,$X84))</f>
        <v/>
      </c>
      <c r="C84" s="18">
        <f>IF($X84="","",INDEX('sheet2-计算明细'!$C$17:$C$330,$X84))</f>
        <v/>
      </c>
      <c r="D84" s="18">
        <f>IF($X84="","",INDEX('sheet2-计算明细'!$D$17:$D$330,$X84))</f>
        <v/>
      </c>
      <c r="E84" s="18">
        <f>IF($X84="","",INDEX('sheet2-计算明细'!$G$17:$G$330,$X84))</f>
        <v/>
      </c>
      <c r="F84" s="19">
        <f>IF($X84="","",INDEX('sheet2-计算明细'!$I$17:$I$330,$X84))</f>
        <v/>
      </c>
      <c r="G84" s="19">
        <f>IF($X84="","",INDEX('sheet2-计算明细'!$K$17:$K$330,$X84))</f>
        <v/>
      </c>
      <c r="H84" s="19">
        <f>IF($X84="","",INDEX('sheet2-计算明细'!$L$17:$L$330,$X84))</f>
        <v/>
      </c>
      <c r="I84" s="19">
        <f>IF($X84="","",INDEX('sheet2-计算明细'!$S$17:$S$330,$X84))</f>
        <v/>
      </c>
      <c r="J84" s="19">
        <f>IF($X84="","",INDEX('sheet2-计算明细'!$Y$17:$Y$330,$X84))</f>
        <v/>
      </c>
      <c r="K84" s="19">
        <f>IF($X84="","",INDEX('sheet2-计算明细'!$AC$17:$AC$330,$X84))</f>
        <v/>
      </c>
      <c r="L84" s="19">
        <f>IF($X84="","",INDEX('sheet2-计算明细'!$AI$17:$AI$330,$X84))</f>
        <v/>
      </c>
      <c r="M84" s="19">
        <f>IF($X84="","",INDEX('sheet2-计算明细'!$AK$17:$AK$330,$X84))</f>
        <v/>
      </c>
      <c r="N84" s="20">
        <f>IF(COUNT(F84:H84)=0,"",ROUND((IF(ISNUMBER(F84),F84*40%,0)+IF(ISNUMBER(G84),G84*30%,0)+IF(ISNUMBER(H84),H84*30%,0))/(IF(ISNUMBER(F84),40%,0)+IF(ISNUMBER(G84),30%,0)+IF(ISNUMBER(H84),30%,0)),2))</f>
        <v/>
      </c>
      <c r="O84" s="20">
        <f>IF(COUNT(I84:J84)=0,"",ROUND((IF(ISNUMBER(I84),I84*70%,0)+IF(ISNUMBER(J84),J84*30%,0))/(IF(ISNUMBER(I84),70%,0)+IF(ISNUMBER(J84),30%,0)),2))</f>
        <v/>
      </c>
      <c r="P84" s="20">
        <f>K84</f>
        <v/>
      </c>
      <c r="Q84" s="20">
        <f>L84</f>
        <v/>
      </c>
      <c r="R84" s="20">
        <f>M84</f>
        <v/>
      </c>
      <c r="S84" s="93">
        <f>IF($X84="","",INDEX('sheet2-计算明细'!$AQ$17:$AQ$330,$X84))</f>
        <v/>
      </c>
      <c r="T84" s="19">
        <f>IF($X84="","",INDEX('sheet2-计算明细'!$AR$17:$AR$330,$X84))</f>
        <v/>
      </c>
      <c r="U84" s="20">
        <f>IF(S84=0,"",ROUND(T84/S84,2))</f>
        <v/>
      </c>
      <c r="V84" s="20">
        <f>IF(S84=100%,T84,"")</f>
        <v/>
      </c>
      <c r="W84" s="22">
        <f>IF($X84="","",INDEX('sheet2-计算明细'!$AU$17:$AU$330,$X84))</f>
        <v/>
      </c>
      <c r="X84" s="18">
        <f>IF($A84&gt;COUNT('sheet2-计算明细'!$AT$17:$AT$330),"",MATCH($A84,'sheet2-计算明细'!$AT$17:$AT$330,0))</f>
        <v/>
      </c>
    </row>
    <row r="85" ht="28" customHeight="1" s="73">
      <c r="A85" s="2" t="n">
        <v>80</v>
      </c>
      <c r="B85" s="18">
        <f>IF($X85="","",INDEX('sheet2-计算明细'!$B$17:$B$330,$X85))</f>
        <v/>
      </c>
      <c r="C85" s="18">
        <f>IF($X85="","",INDEX('sheet2-计算明细'!$C$17:$C$330,$X85))</f>
        <v/>
      </c>
      <c r="D85" s="18">
        <f>IF($X85="","",INDEX('sheet2-计算明细'!$D$17:$D$330,$X85))</f>
        <v/>
      </c>
      <c r="E85" s="18">
        <f>IF($X85="","",INDEX('sheet2-计算明细'!$G$17:$G$330,$X85))</f>
        <v/>
      </c>
      <c r="F85" s="19">
        <f>IF($X85="","",INDEX('sheet2-计算明细'!$I$17:$I$330,$X85))</f>
        <v/>
      </c>
      <c r="G85" s="19">
        <f>IF($X85="","",INDEX('sheet2-计算明细'!$K$17:$K$330,$X85))</f>
        <v/>
      </c>
      <c r="H85" s="19">
        <f>IF($X85="","",INDEX('sheet2-计算明细'!$L$17:$L$330,$X85))</f>
        <v/>
      </c>
      <c r="I85" s="19">
        <f>IF($X85="","",INDEX('sheet2-计算明细'!$S$17:$S$330,$X85))</f>
        <v/>
      </c>
      <c r="J85" s="19">
        <f>IF($X85="","",INDEX('sheet2-计算明细'!$Y$17:$Y$330,$X85))</f>
        <v/>
      </c>
      <c r="K85" s="19">
        <f>IF($X85="","",INDEX('sheet2-计算明细'!$AC$17:$AC$330,$X85))</f>
        <v/>
      </c>
      <c r="L85" s="19">
        <f>IF($X85="","",INDEX('sheet2-计算明细'!$AI$17:$AI$330,$X85))</f>
        <v/>
      </c>
      <c r="M85" s="19">
        <f>IF($X85="","",INDEX('sheet2-计算明细'!$AK$17:$AK$330,$X85))</f>
        <v/>
      </c>
      <c r="N85" s="20">
        <f>IF(COUNT(F85:H85)=0,"",ROUND((IF(ISNUMBER(F85),F85*40%,0)+IF(ISNUMBER(G85),G85*30%,0)+IF(ISNUMBER(H85),H85*30%,0))/(IF(ISNUMBER(F85),40%,0)+IF(ISNUMBER(G85),30%,0)+IF(ISNUMBER(H85),30%,0)),2))</f>
        <v/>
      </c>
      <c r="O85" s="20">
        <f>IF(COUNT(I85:J85)=0,"",ROUND((IF(ISNUMBER(I85),I85*70%,0)+IF(ISNUMBER(J85),J85*30%,0))/(IF(ISNUMBER(I85),70%,0)+IF(ISNUMBER(J85),30%,0)),2))</f>
        <v/>
      </c>
      <c r="P85" s="20">
        <f>K85</f>
        <v/>
      </c>
      <c r="Q85" s="20">
        <f>L85</f>
        <v/>
      </c>
      <c r="R85" s="20">
        <f>M85</f>
        <v/>
      </c>
      <c r="S85" s="93">
        <f>IF($X85="","",INDEX('sheet2-计算明细'!$AQ$17:$AQ$330,$X85))</f>
        <v/>
      </c>
      <c r="T85" s="19">
        <f>IF($X85="","",INDEX('sheet2-计算明细'!$AR$17:$AR$330,$X85))</f>
        <v/>
      </c>
      <c r="U85" s="20">
        <f>IF(S85=0,"",ROUND(T85/S85,2))</f>
        <v/>
      </c>
      <c r="V85" s="20">
        <f>IF(S85=100%,T85,"")</f>
        <v/>
      </c>
      <c r="W85" s="22">
        <f>IF($X85="","",INDEX('sheet2-计算明细'!$AU$17:$AU$330,$X85))</f>
        <v/>
      </c>
      <c r="X85" s="18">
        <f>IF($A85&gt;COUNT('sheet2-计算明细'!$AT$17:$AT$330),"",MATCH($A85,'sheet2-计算明细'!$AT$17:$AT$330,0))</f>
        <v/>
      </c>
    </row>
    <row r="86" ht="28" customHeight="1" s="73">
      <c r="A86" s="2" t="n">
        <v>81</v>
      </c>
      <c r="B86" s="18">
        <f>IF($X86="","",INDEX('sheet2-计算明细'!$B$17:$B$330,$X86))</f>
        <v/>
      </c>
      <c r="C86" s="18">
        <f>IF($X86="","",INDEX('sheet2-计算明细'!$C$17:$C$330,$X86))</f>
        <v/>
      </c>
      <c r="D86" s="18">
        <f>IF($X86="","",INDEX('sheet2-计算明细'!$D$17:$D$330,$X86))</f>
        <v/>
      </c>
      <c r="E86" s="18">
        <f>IF($X86="","",INDEX('sheet2-计算明细'!$G$17:$G$330,$X86))</f>
        <v/>
      </c>
      <c r="F86" s="19">
        <f>IF($X86="","",INDEX('sheet2-计算明细'!$I$17:$I$330,$X86))</f>
        <v/>
      </c>
      <c r="G86" s="19">
        <f>IF($X86="","",INDEX('sheet2-计算明细'!$K$17:$K$330,$X86))</f>
        <v/>
      </c>
      <c r="H86" s="19">
        <f>IF($X86="","",INDEX('sheet2-计算明细'!$L$17:$L$330,$X86))</f>
        <v/>
      </c>
      <c r="I86" s="19">
        <f>IF($X86="","",INDEX('sheet2-计算明细'!$S$17:$S$330,$X86))</f>
        <v/>
      </c>
      <c r="J86" s="19">
        <f>IF($X86="","",INDEX('sheet2-计算明细'!$Y$17:$Y$330,$X86))</f>
        <v/>
      </c>
      <c r="K86" s="19">
        <f>IF($X86="","",INDEX('sheet2-计算明细'!$AC$17:$AC$330,$X86))</f>
        <v/>
      </c>
      <c r="L86" s="19">
        <f>IF($X86="","",INDEX('sheet2-计算明细'!$AI$17:$AI$330,$X86))</f>
        <v/>
      </c>
      <c r="M86" s="19">
        <f>IF($X86="","",INDEX('sheet2-计算明细'!$AK$17:$AK$330,$X86))</f>
        <v/>
      </c>
      <c r="N86" s="20">
        <f>IF(COUNT(F86:H86)=0,"",ROUND((IF(ISNUMBER(F86),F86*40%,0)+IF(ISNUMBER(G86),G86*30%,0)+IF(ISNUMBER(H86),H86*30%,0))/(IF(ISNUMBER(F86),40%,0)+IF(ISNUMBER(G86),30%,0)+IF(ISNUMBER(H86),30%,0)),2))</f>
        <v/>
      </c>
      <c r="O86" s="20">
        <f>IF(COUNT(I86:J86)=0,"",ROUND((IF(ISNUMBER(I86),I86*70%,0)+IF(ISNUMBER(J86),J86*30%,0))/(IF(ISNUMBER(I86),70%,0)+IF(ISNUMBER(J86),30%,0)),2))</f>
        <v/>
      </c>
      <c r="P86" s="20">
        <f>K86</f>
        <v/>
      </c>
      <c r="Q86" s="20">
        <f>L86</f>
        <v/>
      </c>
      <c r="R86" s="20">
        <f>M86</f>
        <v/>
      </c>
      <c r="S86" s="93">
        <f>IF($X86="","",INDEX('sheet2-计算明细'!$AQ$17:$AQ$330,$X86))</f>
        <v/>
      </c>
      <c r="T86" s="19">
        <f>IF($X86="","",INDEX('sheet2-计算明细'!$AR$17:$AR$330,$X86))</f>
        <v/>
      </c>
      <c r="U86" s="20">
        <f>IF(S86=0,"",ROUND(T86/S86,2))</f>
        <v/>
      </c>
      <c r="V86" s="20">
        <f>IF(S86=100%,T86,"")</f>
        <v/>
      </c>
      <c r="W86" s="22">
        <f>IF($X86="","",INDEX('sheet2-计算明细'!$AU$17:$AU$330,$X86))</f>
        <v/>
      </c>
      <c r="X86" s="18">
        <f>IF($A86&gt;COUNT('sheet2-计算明细'!$AT$17:$AT$330),"",MATCH($A86,'sheet2-计算明细'!$AT$17:$AT$330,0))</f>
        <v/>
      </c>
    </row>
    <row r="87" ht="28" customHeight="1" s="73">
      <c r="A87" s="2" t="n">
        <v>82</v>
      </c>
      <c r="B87" s="18">
        <f>IF($X87="","",INDEX('sheet2-计算明细'!$B$17:$B$330,$X87))</f>
        <v/>
      </c>
      <c r="C87" s="18">
        <f>IF($X87="","",INDEX('sheet2-计算明细'!$C$17:$C$330,$X87))</f>
        <v/>
      </c>
      <c r="D87" s="18">
        <f>IF($X87="","",INDEX('sheet2-计算明细'!$D$17:$D$330,$X87))</f>
        <v/>
      </c>
      <c r="E87" s="18">
        <f>IF($X87="","",INDEX('sheet2-计算明细'!$G$17:$G$330,$X87))</f>
        <v/>
      </c>
      <c r="F87" s="19">
        <f>IF($X87="","",INDEX('sheet2-计算明细'!$I$17:$I$330,$X87))</f>
        <v/>
      </c>
      <c r="G87" s="19">
        <f>IF($X87="","",INDEX('sheet2-计算明细'!$K$17:$K$330,$X87))</f>
        <v/>
      </c>
      <c r="H87" s="19">
        <f>IF($X87="","",INDEX('sheet2-计算明细'!$L$17:$L$330,$X87))</f>
        <v/>
      </c>
      <c r="I87" s="19">
        <f>IF($X87="","",INDEX('sheet2-计算明细'!$S$17:$S$330,$X87))</f>
        <v/>
      </c>
      <c r="J87" s="19">
        <f>IF($X87="","",INDEX('sheet2-计算明细'!$Y$17:$Y$330,$X87))</f>
        <v/>
      </c>
      <c r="K87" s="19">
        <f>IF($X87="","",INDEX('sheet2-计算明细'!$AC$17:$AC$330,$X87))</f>
        <v/>
      </c>
      <c r="L87" s="19">
        <f>IF($X87="","",INDEX('sheet2-计算明细'!$AI$17:$AI$330,$X87))</f>
        <v/>
      </c>
      <c r="M87" s="19">
        <f>IF($X87="","",INDEX('sheet2-计算明细'!$AK$17:$AK$330,$X87))</f>
        <v/>
      </c>
      <c r="N87" s="20">
        <f>IF(COUNT(F87:H87)=0,"",ROUND((IF(ISNUMBER(F87),F87*40%,0)+IF(ISNUMBER(G87),G87*30%,0)+IF(ISNUMBER(H87),H87*30%,0))/(IF(ISNUMBER(F87),40%,0)+IF(ISNUMBER(G87),30%,0)+IF(ISNUMBER(H87),30%,0)),2))</f>
        <v/>
      </c>
      <c r="O87" s="20">
        <f>IF(COUNT(I87:J87)=0,"",ROUND((IF(ISNUMBER(I87),I87*70%,0)+IF(ISNUMBER(J87),J87*30%,0))/(IF(ISNUMBER(I87),70%,0)+IF(ISNUMBER(J87),30%,0)),2))</f>
        <v/>
      </c>
      <c r="P87" s="20">
        <f>K87</f>
        <v/>
      </c>
      <c r="Q87" s="20">
        <f>L87</f>
        <v/>
      </c>
      <c r="R87" s="20">
        <f>M87</f>
        <v/>
      </c>
      <c r="S87" s="93">
        <f>IF($X87="","",INDEX('sheet2-计算明细'!$AQ$17:$AQ$330,$X87))</f>
        <v/>
      </c>
      <c r="T87" s="19">
        <f>IF($X87="","",INDEX('sheet2-计算明细'!$AR$17:$AR$330,$X87))</f>
        <v/>
      </c>
      <c r="U87" s="20">
        <f>IF(S87=0,"",ROUND(T87/S87,2))</f>
        <v/>
      </c>
      <c r="V87" s="20">
        <f>IF(S87=100%,T87,"")</f>
        <v/>
      </c>
      <c r="W87" s="22">
        <f>IF($X87="","",INDEX('sheet2-计算明细'!$AU$17:$AU$330,$X87))</f>
        <v/>
      </c>
      <c r="X87" s="18">
        <f>IF($A87&gt;COUNT('sheet2-计算明细'!$AT$17:$AT$330),"",MATCH($A87,'sheet2-计算明细'!$AT$17:$AT$330,0))</f>
        <v/>
      </c>
    </row>
    <row r="88" ht="28" customHeight="1" s="73">
      <c r="A88" s="2" t="n">
        <v>83</v>
      </c>
      <c r="B88" s="18">
        <f>IF($X88="","",INDEX('sheet2-计算明细'!$B$17:$B$330,$X88))</f>
        <v/>
      </c>
      <c r="C88" s="18">
        <f>IF($X88="","",INDEX('sheet2-计算明细'!$C$17:$C$330,$X88))</f>
        <v/>
      </c>
      <c r="D88" s="18">
        <f>IF($X88="","",INDEX('sheet2-计算明细'!$D$17:$D$330,$X88))</f>
        <v/>
      </c>
      <c r="E88" s="18">
        <f>IF($X88="","",INDEX('sheet2-计算明细'!$G$17:$G$330,$X88))</f>
        <v/>
      </c>
      <c r="F88" s="19">
        <f>IF($X88="","",INDEX('sheet2-计算明细'!$I$17:$I$330,$X88))</f>
        <v/>
      </c>
      <c r="G88" s="19">
        <f>IF($X88="","",INDEX('sheet2-计算明细'!$K$17:$K$330,$X88))</f>
        <v/>
      </c>
      <c r="H88" s="19">
        <f>IF($X88="","",INDEX('sheet2-计算明细'!$L$17:$L$330,$X88))</f>
        <v/>
      </c>
      <c r="I88" s="19">
        <f>IF($X88="","",INDEX('sheet2-计算明细'!$S$17:$S$330,$X88))</f>
        <v/>
      </c>
      <c r="J88" s="19">
        <f>IF($X88="","",INDEX('sheet2-计算明细'!$Y$17:$Y$330,$X88))</f>
        <v/>
      </c>
      <c r="K88" s="19">
        <f>IF($X88="","",INDEX('sheet2-计算明细'!$AC$17:$AC$330,$X88))</f>
        <v/>
      </c>
      <c r="L88" s="19">
        <f>IF($X88="","",INDEX('sheet2-计算明细'!$AI$17:$AI$330,$X88))</f>
        <v/>
      </c>
      <c r="M88" s="19">
        <f>IF($X88="","",INDEX('sheet2-计算明细'!$AK$17:$AK$330,$X88))</f>
        <v/>
      </c>
      <c r="N88" s="20">
        <f>IF(COUNT(F88:H88)=0,"",ROUND((IF(ISNUMBER(F88),F88*40%,0)+IF(ISNUMBER(G88),G88*30%,0)+IF(ISNUMBER(H88),H88*30%,0))/(IF(ISNUMBER(F88),40%,0)+IF(ISNUMBER(G88),30%,0)+IF(ISNUMBER(H88),30%,0)),2))</f>
        <v/>
      </c>
      <c r="O88" s="20">
        <f>IF(COUNT(I88:J88)=0,"",ROUND((IF(ISNUMBER(I88),I88*70%,0)+IF(ISNUMBER(J88),J88*30%,0))/(IF(ISNUMBER(I88),70%,0)+IF(ISNUMBER(J88),30%,0)),2))</f>
        <v/>
      </c>
      <c r="P88" s="20">
        <f>K88</f>
        <v/>
      </c>
      <c r="Q88" s="20">
        <f>L88</f>
        <v/>
      </c>
      <c r="R88" s="20">
        <f>M88</f>
        <v/>
      </c>
      <c r="S88" s="93">
        <f>IF($X88="","",INDEX('sheet2-计算明细'!$AQ$17:$AQ$330,$X88))</f>
        <v/>
      </c>
      <c r="T88" s="19">
        <f>IF($X88="","",INDEX('sheet2-计算明细'!$AR$17:$AR$330,$X88))</f>
        <v/>
      </c>
      <c r="U88" s="20">
        <f>IF(S88=0,"",ROUND(T88/S88,2))</f>
        <v/>
      </c>
      <c r="V88" s="20">
        <f>IF(S88=100%,T88,"")</f>
        <v/>
      </c>
      <c r="W88" s="22">
        <f>IF($X88="","",INDEX('sheet2-计算明细'!$AU$17:$AU$330,$X88))</f>
        <v/>
      </c>
      <c r="X88" s="18">
        <f>IF($A88&gt;COUNT('sheet2-计算明细'!$AT$17:$AT$330),"",MATCH($A88,'sheet2-计算明细'!$AT$17:$AT$330,0))</f>
        <v/>
      </c>
    </row>
    <row r="89" ht="28" customHeight="1" s="73">
      <c r="A89" s="2" t="n">
        <v>84</v>
      </c>
      <c r="B89" s="18">
        <f>IF($X89="","",INDEX('sheet2-计算明细'!$B$17:$B$330,$X89))</f>
        <v/>
      </c>
      <c r="C89" s="18">
        <f>IF($X89="","",INDEX('sheet2-计算明细'!$C$17:$C$330,$X89))</f>
        <v/>
      </c>
      <c r="D89" s="18">
        <f>IF($X89="","",INDEX('sheet2-计算明细'!$D$17:$D$330,$X89))</f>
        <v/>
      </c>
      <c r="E89" s="18">
        <f>IF($X89="","",INDEX('sheet2-计算明细'!$G$17:$G$330,$X89))</f>
        <v/>
      </c>
      <c r="F89" s="19">
        <f>IF($X89="","",INDEX('sheet2-计算明细'!$I$17:$I$330,$X89))</f>
        <v/>
      </c>
      <c r="G89" s="19">
        <f>IF($X89="","",INDEX('sheet2-计算明细'!$K$17:$K$330,$X89))</f>
        <v/>
      </c>
      <c r="H89" s="19">
        <f>IF($X89="","",INDEX('sheet2-计算明细'!$L$17:$L$330,$X89))</f>
        <v/>
      </c>
      <c r="I89" s="19">
        <f>IF($X89="","",INDEX('sheet2-计算明细'!$S$17:$S$330,$X89))</f>
        <v/>
      </c>
      <c r="J89" s="19">
        <f>IF($X89="","",INDEX('sheet2-计算明细'!$Y$17:$Y$330,$X89))</f>
        <v/>
      </c>
      <c r="K89" s="19">
        <f>IF($X89="","",INDEX('sheet2-计算明细'!$AC$17:$AC$330,$X89))</f>
        <v/>
      </c>
      <c r="L89" s="19">
        <f>IF($X89="","",INDEX('sheet2-计算明细'!$AI$17:$AI$330,$X89))</f>
        <v/>
      </c>
      <c r="M89" s="19">
        <f>IF($X89="","",INDEX('sheet2-计算明细'!$AK$17:$AK$330,$X89))</f>
        <v/>
      </c>
      <c r="N89" s="20">
        <f>IF(COUNT(F89:H89)=0,"",ROUND((IF(ISNUMBER(F89),F89*40%,0)+IF(ISNUMBER(G89),G89*30%,0)+IF(ISNUMBER(H89),H89*30%,0))/(IF(ISNUMBER(F89),40%,0)+IF(ISNUMBER(G89),30%,0)+IF(ISNUMBER(H89),30%,0)),2))</f>
        <v/>
      </c>
      <c r="O89" s="20">
        <f>IF(COUNT(I89:J89)=0,"",ROUND((IF(ISNUMBER(I89),I89*70%,0)+IF(ISNUMBER(J89),J89*30%,0))/(IF(ISNUMBER(I89),70%,0)+IF(ISNUMBER(J89),30%,0)),2))</f>
        <v/>
      </c>
      <c r="P89" s="20">
        <f>K89</f>
        <v/>
      </c>
      <c r="Q89" s="20">
        <f>L89</f>
        <v/>
      </c>
      <c r="R89" s="20">
        <f>M89</f>
        <v/>
      </c>
      <c r="S89" s="93">
        <f>IF($X89="","",INDEX('sheet2-计算明细'!$AQ$17:$AQ$330,$X89))</f>
        <v/>
      </c>
      <c r="T89" s="19">
        <f>IF($X89="","",INDEX('sheet2-计算明细'!$AR$17:$AR$330,$X89))</f>
        <v/>
      </c>
      <c r="U89" s="20">
        <f>IF(S89=0,"",ROUND(T89/S89,2))</f>
        <v/>
      </c>
      <c r="V89" s="20">
        <f>IF(S89=100%,T89,"")</f>
        <v/>
      </c>
      <c r="W89" s="22">
        <f>IF($X89="","",INDEX('sheet2-计算明细'!$AU$17:$AU$330,$X89))</f>
        <v/>
      </c>
      <c r="X89" s="18">
        <f>IF($A89&gt;COUNT('sheet2-计算明细'!$AT$17:$AT$330),"",MATCH($A89,'sheet2-计算明细'!$AT$17:$AT$330,0))</f>
        <v/>
      </c>
    </row>
    <row r="90" ht="28" customHeight="1" s="73">
      <c r="A90" s="2" t="n">
        <v>85</v>
      </c>
      <c r="B90" s="18">
        <f>IF($X90="","",INDEX('sheet2-计算明细'!$B$17:$B$330,$X90))</f>
        <v/>
      </c>
      <c r="C90" s="18">
        <f>IF($X90="","",INDEX('sheet2-计算明细'!$C$17:$C$330,$X90))</f>
        <v/>
      </c>
      <c r="D90" s="18">
        <f>IF($X90="","",INDEX('sheet2-计算明细'!$D$17:$D$330,$X90))</f>
        <v/>
      </c>
      <c r="E90" s="18">
        <f>IF($X90="","",INDEX('sheet2-计算明细'!$G$17:$G$330,$X90))</f>
        <v/>
      </c>
      <c r="F90" s="19">
        <f>IF($X90="","",INDEX('sheet2-计算明细'!$I$17:$I$330,$X90))</f>
        <v/>
      </c>
      <c r="G90" s="19">
        <f>IF($X90="","",INDEX('sheet2-计算明细'!$K$17:$K$330,$X90))</f>
        <v/>
      </c>
      <c r="H90" s="19">
        <f>IF($X90="","",INDEX('sheet2-计算明细'!$L$17:$L$330,$X90))</f>
        <v/>
      </c>
      <c r="I90" s="19">
        <f>IF($X90="","",INDEX('sheet2-计算明细'!$S$17:$S$330,$X90))</f>
        <v/>
      </c>
      <c r="J90" s="19">
        <f>IF($X90="","",INDEX('sheet2-计算明细'!$Y$17:$Y$330,$X90))</f>
        <v/>
      </c>
      <c r="K90" s="19">
        <f>IF($X90="","",INDEX('sheet2-计算明细'!$AC$17:$AC$330,$X90))</f>
        <v/>
      </c>
      <c r="L90" s="19">
        <f>IF($X90="","",INDEX('sheet2-计算明细'!$AI$17:$AI$330,$X90))</f>
        <v/>
      </c>
      <c r="M90" s="19">
        <f>IF($X90="","",INDEX('sheet2-计算明细'!$AK$17:$AK$330,$X90))</f>
        <v/>
      </c>
      <c r="N90" s="20">
        <f>IF(COUNT(F90:H90)=0,"",ROUND((IF(ISNUMBER(F90),F90*40%,0)+IF(ISNUMBER(G90),G90*30%,0)+IF(ISNUMBER(H90),H90*30%,0))/(IF(ISNUMBER(F90),40%,0)+IF(ISNUMBER(G90),30%,0)+IF(ISNUMBER(H90),30%,0)),2))</f>
        <v/>
      </c>
      <c r="O90" s="20">
        <f>IF(COUNT(I90:J90)=0,"",ROUND((IF(ISNUMBER(I90),I90*70%,0)+IF(ISNUMBER(J90),J90*30%,0))/(IF(ISNUMBER(I90),70%,0)+IF(ISNUMBER(J90),30%,0)),2))</f>
        <v/>
      </c>
      <c r="P90" s="20">
        <f>K90</f>
        <v/>
      </c>
      <c r="Q90" s="20">
        <f>L90</f>
        <v/>
      </c>
      <c r="R90" s="20">
        <f>M90</f>
        <v/>
      </c>
      <c r="S90" s="93">
        <f>IF($X90="","",INDEX('sheet2-计算明细'!$AQ$17:$AQ$330,$X90))</f>
        <v/>
      </c>
      <c r="T90" s="19">
        <f>IF($X90="","",INDEX('sheet2-计算明细'!$AR$17:$AR$330,$X90))</f>
        <v/>
      </c>
      <c r="U90" s="20">
        <f>IF(S90=0,"",ROUND(T90/S90,2))</f>
        <v/>
      </c>
      <c r="V90" s="20">
        <f>IF(S90=100%,T90,"")</f>
        <v/>
      </c>
      <c r="W90" s="22">
        <f>IF($X90="","",INDEX('sheet2-计算明细'!$AU$17:$AU$330,$X90))</f>
        <v/>
      </c>
      <c r="X90" s="18">
        <f>IF($A90&gt;COUNT('sheet2-计算明细'!$AT$17:$AT$330),"",MATCH($A90,'sheet2-计算明细'!$AT$17:$AT$330,0))</f>
        <v/>
      </c>
    </row>
    <row r="91" ht="28" customHeight="1" s="73">
      <c r="A91" s="2" t="n">
        <v>86</v>
      </c>
      <c r="B91" s="18">
        <f>IF($X91="","",INDEX('sheet2-计算明细'!$B$17:$B$330,$X91))</f>
        <v/>
      </c>
      <c r="C91" s="18">
        <f>IF($X91="","",INDEX('sheet2-计算明细'!$C$17:$C$330,$X91))</f>
        <v/>
      </c>
      <c r="D91" s="18">
        <f>IF($X91="","",INDEX('sheet2-计算明细'!$D$17:$D$330,$X91))</f>
        <v/>
      </c>
      <c r="E91" s="18">
        <f>IF($X91="","",INDEX('sheet2-计算明细'!$G$17:$G$330,$X91))</f>
        <v/>
      </c>
      <c r="F91" s="19">
        <f>IF($X91="","",INDEX('sheet2-计算明细'!$I$17:$I$330,$X91))</f>
        <v/>
      </c>
      <c r="G91" s="19">
        <f>IF($X91="","",INDEX('sheet2-计算明细'!$K$17:$K$330,$X91))</f>
        <v/>
      </c>
      <c r="H91" s="19">
        <f>IF($X91="","",INDEX('sheet2-计算明细'!$L$17:$L$330,$X91))</f>
        <v/>
      </c>
      <c r="I91" s="19">
        <f>IF($X91="","",INDEX('sheet2-计算明细'!$S$17:$S$330,$X91))</f>
        <v/>
      </c>
      <c r="J91" s="19">
        <f>IF($X91="","",INDEX('sheet2-计算明细'!$Y$17:$Y$330,$X91))</f>
        <v/>
      </c>
      <c r="K91" s="19">
        <f>IF($X91="","",INDEX('sheet2-计算明细'!$AC$17:$AC$330,$X91))</f>
        <v/>
      </c>
      <c r="L91" s="19">
        <f>IF($X91="","",INDEX('sheet2-计算明细'!$AI$17:$AI$330,$X91))</f>
        <v/>
      </c>
      <c r="M91" s="19">
        <f>IF($X91="","",INDEX('sheet2-计算明细'!$AK$17:$AK$330,$X91))</f>
        <v/>
      </c>
      <c r="N91" s="20">
        <f>IF(COUNT(F91:H91)=0,"",ROUND((IF(ISNUMBER(F91),F91*40%,0)+IF(ISNUMBER(G91),G91*30%,0)+IF(ISNUMBER(H91),H91*30%,0))/(IF(ISNUMBER(F91),40%,0)+IF(ISNUMBER(G91),30%,0)+IF(ISNUMBER(H91),30%,0)),2))</f>
        <v/>
      </c>
      <c r="O91" s="20">
        <f>IF(COUNT(I91:J91)=0,"",ROUND((IF(ISNUMBER(I91),I91*70%,0)+IF(ISNUMBER(J91),J91*30%,0))/(IF(ISNUMBER(I91),70%,0)+IF(ISNUMBER(J91),30%,0)),2))</f>
        <v/>
      </c>
      <c r="P91" s="20">
        <f>K91</f>
        <v/>
      </c>
      <c r="Q91" s="20">
        <f>L91</f>
        <v/>
      </c>
      <c r="R91" s="20">
        <f>M91</f>
        <v/>
      </c>
      <c r="S91" s="93">
        <f>IF($X91="","",INDEX('sheet2-计算明细'!$AQ$17:$AQ$330,$X91))</f>
        <v/>
      </c>
      <c r="T91" s="19">
        <f>IF($X91="","",INDEX('sheet2-计算明细'!$AR$17:$AR$330,$X91))</f>
        <v/>
      </c>
      <c r="U91" s="20">
        <f>IF(S91=0,"",ROUND(T91/S91,2))</f>
        <v/>
      </c>
      <c r="V91" s="20">
        <f>IF(S91=100%,T91,"")</f>
        <v/>
      </c>
      <c r="W91" s="22">
        <f>IF($X91="","",INDEX('sheet2-计算明细'!$AU$17:$AU$330,$X91))</f>
        <v/>
      </c>
      <c r="X91" s="18">
        <f>IF($A91&gt;COUNT('sheet2-计算明细'!$AT$17:$AT$330),"",MATCH($A91,'sheet2-计算明细'!$AT$17:$AT$330,0))</f>
        <v/>
      </c>
    </row>
    <row r="92" ht="28" customHeight="1" s="73">
      <c r="A92" s="2" t="n">
        <v>87</v>
      </c>
      <c r="B92" s="18">
        <f>IF($X92="","",INDEX('sheet2-计算明细'!$B$17:$B$330,$X92))</f>
        <v/>
      </c>
      <c r="C92" s="18">
        <f>IF($X92="","",INDEX('sheet2-计算明细'!$C$17:$C$330,$X92))</f>
        <v/>
      </c>
      <c r="D92" s="18">
        <f>IF($X92="","",INDEX('sheet2-计算明细'!$D$17:$D$330,$X92))</f>
        <v/>
      </c>
      <c r="E92" s="18">
        <f>IF($X92="","",INDEX('sheet2-计算明细'!$G$17:$G$330,$X92))</f>
        <v/>
      </c>
      <c r="F92" s="19">
        <f>IF($X92="","",INDEX('sheet2-计算明细'!$I$17:$I$330,$X92))</f>
        <v/>
      </c>
      <c r="G92" s="19">
        <f>IF($X92="","",INDEX('sheet2-计算明细'!$K$17:$K$330,$X92))</f>
        <v/>
      </c>
      <c r="H92" s="19">
        <f>IF($X92="","",INDEX('sheet2-计算明细'!$L$17:$L$330,$X92))</f>
        <v/>
      </c>
      <c r="I92" s="19">
        <f>IF($X92="","",INDEX('sheet2-计算明细'!$S$17:$S$330,$X92))</f>
        <v/>
      </c>
      <c r="J92" s="19">
        <f>IF($X92="","",INDEX('sheet2-计算明细'!$Y$17:$Y$330,$X92))</f>
        <v/>
      </c>
      <c r="K92" s="19">
        <f>IF($X92="","",INDEX('sheet2-计算明细'!$AC$17:$AC$330,$X92))</f>
        <v/>
      </c>
      <c r="L92" s="19">
        <f>IF($X92="","",INDEX('sheet2-计算明细'!$AI$17:$AI$330,$X92))</f>
        <v/>
      </c>
      <c r="M92" s="19">
        <f>IF($X92="","",INDEX('sheet2-计算明细'!$AK$17:$AK$330,$X92))</f>
        <v/>
      </c>
      <c r="N92" s="20">
        <f>IF(COUNT(F92:H92)=0,"",ROUND((IF(ISNUMBER(F92),F92*40%,0)+IF(ISNUMBER(G92),G92*30%,0)+IF(ISNUMBER(H92),H92*30%,0))/(IF(ISNUMBER(F92),40%,0)+IF(ISNUMBER(G92),30%,0)+IF(ISNUMBER(H92),30%,0)),2))</f>
        <v/>
      </c>
      <c r="O92" s="20">
        <f>IF(COUNT(I92:J92)=0,"",ROUND((IF(ISNUMBER(I92),I92*70%,0)+IF(ISNUMBER(J92),J92*30%,0))/(IF(ISNUMBER(I92),70%,0)+IF(ISNUMBER(J92),30%,0)),2))</f>
        <v/>
      </c>
      <c r="P92" s="20">
        <f>K92</f>
        <v/>
      </c>
      <c r="Q92" s="20">
        <f>L92</f>
        <v/>
      </c>
      <c r="R92" s="20">
        <f>M92</f>
        <v/>
      </c>
      <c r="S92" s="93">
        <f>IF($X92="","",INDEX('sheet2-计算明细'!$AQ$17:$AQ$330,$X92))</f>
        <v/>
      </c>
      <c r="T92" s="19">
        <f>IF($X92="","",INDEX('sheet2-计算明细'!$AR$17:$AR$330,$X92))</f>
        <v/>
      </c>
      <c r="U92" s="20">
        <f>IF(S92=0,"",ROUND(T92/S92,2))</f>
        <v/>
      </c>
      <c r="V92" s="20">
        <f>IF(S92=100%,T92,"")</f>
        <v/>
      </c>
      <c r="W92" s="22">
        <f>IF($X92="","",INDEX('sheet2-计算明细'!$AU$17:$AU$330,$X92))</f>
        <v/>
      </c>
      <c r="X92" s="18">
        <f>IF($A92&gt;COUNT('sheet2-计算明细'!$AT$17:$AT$330),"",MATCH($A92,'sheet2-计算明细'!$AT$17:$AT$330,0))</f>
        <v/>
      </c>
    </row>
    <row r="93" ht="28" customHeight="1" s="73">
      <c r="A93" s="2" t="n">
        <v>88</v>
      </c>
      <c r="B93" s="18">
        <f>IF($X93="","",INDEX('sheet2-计算明细'!$B$17:$B$330,$X93))</f>
        <v/>
      </c>
      <c r="C93" s="18">
        <f>IF($X93="","",INDEX('sheet2-计算明细'!$C$17:$C$330,$X93))</f>
        <v/>
      </c>
      <c r="D93" s="18">
        <f>IF($X93="","",INDEX('sheet2-计算明细'!$D$17:$D$330,$X93))</f>
        <v/>
      </c>
      <c r="E93" s="18">
        <f>IF($X93="","",INDEX('sheet2-计算明细'!$G$17:$G$330,$X93))</f>
        <v/>
      </c>
      <c r="F93" s="19">
        <f>IF($X93="","",INDEX('sheet2-计算明细'!$I$17:$I$330,$X93))</f>
        <v/>
      </c>
      <c r="G93" s="19">
        <f>IF($X93="","",INDEX('sheet2-计算明细'!$K$17:$K$330,$X93))</f>
        <v/>
      </c>
      <c r="H93" s="19">
        <f>IF($X93="","",INDEX('sheet2-计算明细'!$L$17:$L$330,$X93))</f>
        <v/>
      </c>
      <c r="I93" s="19">
        <f>IF($X93="","",INDEX('sheet2-计算明细'!$S$17:$S$330,$X93))</f>
        <v/>
      </c>
      <c r="J93" s="19">
        <f>IF($X93="","",INDEX('sheet2-计算明细'!$Y$17:$Y$330,$X93))</f>
        <v/>
      </c>
      <c r="K93" s="19">
        <f>IF($X93="","",INDEX('sheet2-计算明细'!$AC$17:$AC$330,$X93))</f>
        <v/>
      </c>
      <c r="L93" s="19">
        <f>IF($X93="","",INDEX('sheet2-计算明细'!$AI$17:$AI$330,$X93))</f>
        <v/>
      </c>
      <c r="M93" s="19">
        <f>IF($X93="","",INDEX('sheet2-计算明细'!$AK$17:$AK$330,$X93))</f>
        <v/>
      </c>
      <c r="N93" s="20">
        <f>IF(COUNT(F93:H93)=0,"",ROUND((IF(ISNUMBER(F93),F93*40%,0)+IF(ISNUMBER(G93),G93*30%,0)+IF(ISNUMBER(H93),H93*30%,0))/(IF(ISNUMBER(F93),40%,0)+IF(ISNUMBER(G93),30%,0)+IF(ISNUMBER(H93),30%,0)),2))</f>
        <v/>
      </c>
      <c r="O93" s="20">
        <f>IF(COUNT(I93:J93)=0,"",ROUND((IF(ISNUMBER(I93),I93*70%,0)+IF(ISNUMBER(J93),J93*30%,0))/(IF(ISNUMBER(I93),70%,0)+IF(ISNUMBER(J93),30%,0)),2))</f>
        <v/>
      </c>
      <c r="P93" s="20">
        <f>K93</f>
        <v/>
      </c>
      <c r="Q93" s="20">
        <f>L93</f>
        <v/>
      </c>
      <c r="R93" s="20">
        <f>M93</f>
        <v/>
      </c>
      <c r="S93" s="93">
        <f>IF($X93="","",INDEX('sheet2-计算明细'!$AQ$17:$AQ$330,$X93))</f>
        <v/>
      </c>
      <c r="T93" s="19">
        <f>IF($X93="","",INDEX('sheet2-计算明细'!$AR$17:$AR$330,$X93))</f>
        <v/>
      </c>
      <c r="U93" s="20">
        <f>IF(S93=0,"",ROUND(T93/S93,2))</f>
        <v/>
      </c>
      <c r="V93" s="20">
        <f>IF(S93=100%,T93,"")</f>
        <v/>
      </c>
      <c r="W93" s="22">
        <f>IF($X93="","",INDEX('sheet2-计算明细'!$AU$17:$AU$330,$X93))</f>
        <v/>
      </c>
      <c r="X93" s="18">
        <f>IF($A93&gt;COUNT('sheet2-计算明细'!$AT$17:$AT$330),"",MATCH($A93,'sheet2-计算明细'!$AT$17:$AT$330,0))</f>
        <v/>
      </c>
    </row>
    <row r="94" ht="28" customHeight="1" s="73">
      <c r="A94" s="2" t="n">
        <v>89</v>
      </c>
      <c r="B94" s="18">
        <f>IF($X94="","",INDEX('sheet2-计算明细'!$B$17:$B$330,$X94))</f>
        <v/>
      </c>
      <c r="C94" s="18">
        <f>IF($X94="","",INDEX('sheet2-计算明细'!$C$17:$C$330,$X94))</f>
        <v/>
      </c>
      <c r="D94" s="18">
        <f>IF($X94="","",INDEX('sheet2-计算明细'!$D$17:$D$330,$X94))</f>
        <v/>
      </c>
      <c r="E94" s="18">
        <f>IF($X94="","",INDEX('sheet2-计算明细'!$G$17:$G$330,$X94))</f>
        <v/>
      </c>
      <c r="F94" s="19">
        <f>IF($X94="","",INDEX('sheet2-计算明细'!$I$17:$I$330,$X94))</f>
        <v/>
      </c>
      <c r="G94" s="19">
        <f>IF($X94="","",INDEX('sheet2-计算明细'!$K$17:$K$330,$X94))</f>
        <v/>
      </c>
      <c r="H94" s="19">
        <f>IF($X94="","",INDEX('sheet2-计算明细'!$L$17:$L$330,$X94))</f>
        <v/>
      </c>
      <c r="I94" s="19">
        <f>IF($X94="","",INDEX('sheet2-计算明细'!$S$17:$S$330,$X94))</f>
        <v/>
      </c>
      <c r="J94" s="19">
        <f>IF($X94="","",INDEX('sheet2-计算明细'!$Y$17:$Y$330,$X94))</f>
        <v/>
      </c>
      <c r="K94" s="19">
        <f>IF($X94="","",INDEX('sheet2-计算明细'!$AC$17:$AC$330,$X94))</f>
        <v/>
      </c>
      <c r="L94" s="19">
        <f>IF($X94="","",INDEX('sheet2-计算明细'!$AI$17:$AI$330,$X94))</f>
        <v/>
      </c>
      <c r="M94" s="19">
        <f>IF($X94="","",INDEX('sheet2-计算明细'!$AK$17:$AK$330,$X94))</f>
        <v/>
      </c>
      <c r="N94" s="20">
        <f>IF(COUNT(F94:H94)=0,"",ROUND((IF(ISNUMBER(F94),F94*40%,0)+IF(ISNUMBER(G94),G94*30%,0)+IF(ISNUMBER(H94),H94*30%,0))/(IF(ISNUMBER(F94),40%,0)+IF(ISNUMBER(G94),30%,0)+IF(ISNUMBER(H94),30%,0)),2))</f>
        <v/>
      </c>
      <c r="O94" s="20">
        <f>IF(COUNT(I94:J94)=0,"",ROUND((IF(ISNUMBER(I94),I94*70%,0)+IF(ISNUMBER(J94),J94*30%,0))/(IF(ISNUMBER(I94),70%,0)+IF(ISNUMBER(J94),30%,0)),2))</f>
        <v/>
      </c>
      <c r="P94" s="20">
        <f>K94</f>
        <v/>
      </c>
      <c r="Q94" s="20">
        <f>L94</f>
        <v/>
      </c>
      <c r="R94" s="20">
        <f>M94</f>
        <v/>
      </c>
      <c r="S94" s="93">
        <f>IF($X94="","",INDEX('sheet2-计算明细'!$AQ$17:$AQ$330,$X94))</f>
        <v/>
      </c>
      <c r="T94" s="19">
        <f>IF($X94="","",INDEX('sheet2-计算明细'!$AR$17:$AR$330,$X94))</f>
        <v/>
      </c>
      <c r="U94" s="20">
        <f>IF(S94=0,"",ROUND(T94/S94,2))</f>
        <v/>
      </c>
      <c r="V94" s="20">
        <f>IF(S94=100%,T94,"")</f>
        <v/>
      </c>
      <c r="W94" s="22">
        <f>IF($X94="","",INDEX('sheet2-计算明细'!$AU$17:$AU$330,$X94))</f>
        <v/>
      </c>
      <c r="X94" s="18">
        <f>IF($A94&gt;COUNT('sheet2-计算明细'!$AT$17:$AT$330),"",MATCH($A94,'sheet2-计算明细'!$AT$17:$AT$330,0))</f>
        <v/>
      </c>
    </row>
    <row r="95" ht="28" customHeight="1" s="73">
      <c r="A95" s="2" t="n">
        <v>90</v>
      </c>
      <c r="B95" s="18">
        <f>IF($X95="","",INDEX('sheet2-计算明细'!$B$17:$B$330,$X95))</f>
        <v/>
      </c>
      <c r="C95" s="18">
        <f>IF($X95="","",INDEX('sheet2-计算明细'!$C$17:$C$330,$X95))</f>
        <v/>
      </c>
      <c r="D95" s="18">
        <f>IF($X95="","",INDEX('sheet2-计算明细'!$D$17:$D$330,$X95))</f>
        <v/>
      </c>
      <c r="E95" s="18">
        <f>IF($X95="","",INDEX('sheet2-计算明细'!$G$17:$G$330,$X95))</f>
        <v/>
      </c>
      <c r="F95" s="19">
        <f>IF($X95="","",INDEX('sheet2-计算明细'!$I$17:$I$330,$X95))</f>
        <v/>
      </c>
      <c r="G95" s="19">
        <f>IF($X95="","",INDEX('sheet2-计算明细'!$K$17:$K$330,$X95))</f>
        <v/>
      </c>
      <c r="H95" s="19">
        <f>IF($X95="","",INDEX('sheet2-计算明细'!$L$17:$L$330,$X95))</f>
        <v/>
      </c>
      <c r="I95" s="19">
        <f>IF($X95="","",INDEX('sheet2-计算明细'!$S$17:$S$330,$X95))</f>
        <v/>
      </c>
      <c r="J95" s="19">
        <f>IF($X95="","",INDEX('sheet2-计算明细'!$Y$17:$Y$330,$X95))</f>
        <v/>
      </c>
      <c r="K95" s="19">
        <f>IF($X95="","",INDEX('sheet2-计算明细'!$AC$17:$AC$330,$X95))</f>
        <v/>
      </c>
      <c r="L95" s="19">
        <f>IF($X95="","",INDEX('sheet2-计算明细'!$AI$17:$AI$330,$X95))</f>
        <v/>
      </c>
      <c r="M95" s="19">
        <f>IF($X95="","",INDEX('sheet2-计算明细'!$AK$17:$AK$330,$X95))</f>
        <v/>
      </c>
      <c r="N95" s="20">
        <f>IF(COUNT(F95:H95)=0,"",ROUND((IF(ISNUMBER(F95),F95*40%,0)+IF(ISNUMBER(G95),G95*30%,0)+IF(ISNUMBER(H95),H95*30%,0))/(IF(ISNUMBER(F95),40%,0)+IF(ISNUMBER(G95),30%,0)+IF(ISNUMBER(H95),30%,0)),2))</f>
        <v/>
      </c>
      <c r="O95" s="20">
        <f>IF(COUNT(I95:J95)=0,"",ROUND((IF(ISNUMBER(I95),I95*70%,0)+IF(ISNUMBER(J95),J95*30%,0))/(IF(ISNUMBER(I95),70%,0)+IF(ISNUMBER(J95),30%,0)),2))</f>
        <v/>
      </c>
      <c r="P95" s="20">
        <f>K95</f>
        <v/>
      </c>
      <c r="Q95" s="20">
        <f>L95</f>
        <v/>
      </c>
      <c r="R95" s="20">
        <f>M95</f>
        <v/>
      </c>
      <c r="S95" s="93">
        <f>IF($X95="","",INDEX('sheet2-计算明细'!$AQ$17:$AQ$330,$X95))</f>
        <v/>
      </c>
      <c r="T95" s="19">
        <f>IF($X95="","",INDEX('sheet2-计算明细'!$AR$17:$AR$330,$X95))</f>
        <v/>
      </c>
      <c r="U95" s="20">
        <f>IF(S95=0,"",ROUND(T95/S95,2))</f>
        <v/>
      </c>
      <c r="V95" s="20">
        <f>IF(S95=100%,T95,"")</f>
        <v/>
      </c>
      <c r="W95" s="22">
        <f>IF($X95="","",INDEX('sheet2-计算明细'!$AU$17:$AU$330,$X95))</f>
        <v/>
      </c>
      <c r="X95" s="18">
        <f>IF($A95&gt;COUNT('sheet2-计算明细'!$AT$17:$AT$330),"",MATCH($A95,'sheet2-计算明细'!$AT$17:$AT$330,0))</f>
        <v/>
      </c>
    </row>
    <row r="96" ht="28" customHeight="1" s="73">
      <c r="A96" s="2" t="n">
        <v>91</v>
      </c>
      <c r="B96" s="18">
        <f>IF($X96="","",INDEX('sheet2-计算明细'!$B$17:$B$330,$X96))</f>
        <v/>
      </c>
      <c r="C96" s="18">
        <f>IF($X96="","",INDEX('sheet2-计算明细'!$C$17:$C$330,$X96))</f>
        <v/>
      </c>
      <c r="D96" s="18">
        <f>IF($X96="","",INDEX('sheet2-计算明细'!$D$17:$D$330,$X96))</f>
        <v/>
      </c>
      <c r="E96" s="18">
        <f>IF($X96="","",INDEX('sheet2-计算明细'!$G$17:$G$330,$X96))</f>
        <v/>
      </c>
      <c r="F96" s="19">
        <f>IF($X96="","",INDEX('sheet2-计算明细'!$I$17:$I$330,$X96))</f>
        <v/>
      </c>
      <c r="G96" s="19">
        <f>IF($X96="","",INDEX('sheet2-计算明细'!$K$17:$K$330,$X96))</f>
        <v/>
      </c>
      <c r="H96" s="19">
        <f>IF($X96="","",INDEX('sheet2-计算明细'!$L$17:$L$330,$X96))</f>
        <v/>
      </c>
      <c r="I96" s="19">
        <f>IF($X96="","",INDEX('sheet2-计算明细'!$S$17:$S$330,$X96))</f>
        <v/>
      </c>
      <c r="J96" s="19">
        <f>IF($X96="","",INDEX('sheet2-计算明细'!$Y$17:$Y$330,$X96))</f>
        <v/>
      </c>
      <c r="K96" s="19">
        <f>IF($X96="","",INDEX('sheet2-计算明细'!$AC$17:$AC$330,$X96))</f>
        <v/>
      </c>
      <c r="L96" s="19">
        <f>IF($X96="","",INDEX('sheet2-计算明细'!$AI$17:$AI$330,$X96))</f>
        <v/>
      </c>
      <c r="M96" s="19">
        <f>IF($X96="","",INDEX('sheet2-计算明细'!$AK$17:$AK$330,$X96))</f>
        <v/>
      </c>
      <c r="N96" s="20">
        <f>IF(COUNT(F96:H96)=0,"",ROUND((IF(ISNUMBER(F96),F96*40%,0)+IF(ISNUMBER(G96),G96*30%,0)+IF(ISNUMBER(H96),H96*30%,0))/(IF(ISNUMBER(F96),40%,0)+IF(ISNUMBER(G96),30%,0)+IF(ISNUMBER(H96),30%,0)),2))</f>
        <v/>
      </c>
      <c r="O96" s="20">
        <f>IF(COUNT(I96:J96)=0,"",ROUND((IF(ISNUMBER(I96),I96*70%,0)+IF(ISNUMBER(J96),J96*30%,0))/(IF(ISNUMBER(I96),70%,0)+IF(ISNUMBER(J96),30%,0)),2))</f>
        <v/>
      </c>
      <c r="P96" s="20">
        <f>K96</f>
        <v/>
      </c>
      <c r="Q96" s="20">
        <f>L96</f>
        <v/>
      </c>
      <c r="R96" s="20">
        <f>M96</f>
        <v/>
      </c>
      <c r="S96" s="93">
        <f>IF($X96="","",INDEX('sheet2-计算明细'!$AQ$17:$AQ$330,$X96))</f>
        <v/>
      </c>
      <c r="T96" s="19">
        <f>IF($X96="","",INDEX('sheet2-计算明细'!$AR$17:$AR$330,$X96))</f>
        <v/>
      </c>
      <c r="U96" s="20">
        <f>IF(S96=0,"",ROUND(T96/S96,2))</f>
        <v/>
      </c>
      <c r="V96" s="20">
        <f>IF(S96=100%,T96,"")</f>
        <v/>
      </c>
      <c r="W96" s="22">
        <f>IF($X96="","",INDEX('sheet2-计算明细'!$AU$17:$AU$330,$X96))</f>
        <v/>
      </c>
      <c r="X96" s="18">
        <f>IF($A96&gt;COUNT('sheet2-计算明细'!$AT$17:$AT$330),"",MATCH($A96,'sheet2-计算明细'!$AT$17:$AT$330,0))</f>
        <v/>
      </c>
    </row>
    <row r="97" ht="28" customHeight="1" s="73">
      <c r="A97" s="2" t="n">
        <v>92</v>
      </c>
      <c r="B97" s="18">
        <f>IF($X97="","",INDEX('sheet2-计算明细'!$B$17:$B$330,$X97))</f>
        <v/>
      </c>
      <c r="C97" s="18">
        <f>IF($X97="","",INDEX('sheet2-计算明细'!$C$17:$C$330,$X97))</f>
        <v/>
      </c>
      <c r="D97" s="18">
        <f>IF($X97="","",INDEX('sheet2-计算明细'!$D$17:$D$330,$X97))</f>
        <v/>
      </c>
      <c r="E97" s="18">
        <f>IF($X97="","",INDEX('sheet2-计算明细'!$G$17:$G$330,$X97))</f>
        <v/>
      </c>
      <c r="F97" s="19">
        <f>IF($X97="","",INDEX('sheet2-计算明细'!$I$17:$I$330,$X97))</f>
        <v/>
      </c>
      <c r="G97" s="19">
        <f>IF($X97="","",INDEX('sheet2-计算明细'!$K$17:$K$330,$X97))</f>
        <v/>
      </c>
      <c r="H97" s="19">
        <f>IF($X97="","",INDEX('sheet2-计算明细'!$L$17:$L$330,$X97))</f>
        <v/>
      </c>
      <c r="I97" s="19">
        <f>IF($X97="","",INDEX('sheet2-计算明细'!$S$17:$S$330,$X97))</f>
        <v/>
      </c>
      <c r="J97" s="19">
        <f>IF($X97="","",INDEX('sheet2-计算明细'!$Y$17:$Y$330,$X97))</f>
        <v/>
      </c>
      <c r="K97" s="19">
        <f>IF($X97="","",INDEX('sheet2-计算明细'!$AC$17:$AC$330,$X97))</f>
        <v/>
      </c>
      <c r="L97" s="19">
        <f>IF($X97="","",INDEX('sheet2-计算明细'!$AI$17:$AI$330,$X97))</f>
        <v/>
      </c>
      <c r="M97" s="19">
        <f>IF($X97="","",INDEX('sheet2-计算明细'!$AK$17:$AK$330,$X97))</f>
        <v/>
      </c>
      <c r="N97" s="20">
        <f>IF(COUNT(F97:H97)=0,"",ROUND((IF(ISNUMBER(F97),F97*40%,0)+IF(ISNUMBER(G97),G97*30%,0)+IF(ISNUMBER(H97),H97*30%,0))/(IF(ISNUMBER(F97),40%,0)+IF(ISNUMBER(G97),30%,0)+IF(ISNUMBER(H97),30%,0)),2))</f>
        <v/>
      </c>
      <c r="O97" s="20">
        <f>IF(COUNT(I97:J97)=0,"",ROUND((IF(ISNUMBER(I97),I97*70%,0)+IF(ISNUMBER(J97),J97*30%,0))/(IF(ISNUMBER(I97),70%,0)+IF(ISNUMBER(J97),30%,0)),2))</f>
        <v/>
      </c>
      <c r="P97" s="20">
        <f>K97</f>
        <v/>
      </c>
      <c r="Q97" s="20">
        <f>L97</f>
        <v/>
      </c>
      <c r="R97" s="20">
        <f>M97</f>
        <v/>
      </c>
      <c r="S97" s="93">
        <f>IF($X97="","",INDEX('sheet2-计算明细'!$AQ$17:$AQ$330,$X97))</f>
        <v/>
      </c>
      <c r="T97" s="19">
        <f>IF($X97="","",INDEX('sheet2-计算明细'!$AR$17:$AR$330,$X97))</f>
        <v/>
      </c>
      <c r="U97" s="20">
        <f>IF(S97=0,"",ROUND(T97/S97,2))</f>
        <v/>
      </c>
      <c r="V97" s="20">
        <f>IF(S97=100%,T97,"")</f>
        <v/>
      </c>
      <c r="W97" s="22">
        <f>IF($X97="","",INDEX('sheet2-计算明细'!$AU$17:$AU$330,$X97))</f>
        <v/>
      </c>
      <c r="X97" s="18">
        <f>IF($A97&gt;COUNT('sheet2-计算明细'!$AT$17:$AT$330),"",MATCH($A97,'sheet2-计算明细'!$AT$17:$AT$330,0))</f>
        <v/>
      </c>
    </row>
    <row r="98" ht="28" customHeight="1" s="73">
      <c r="A98" s="2" t="n">
        <v>93</v>
      </c>
      <c r="B98" s="18">
        <f>IF($X98="","",INDEX('sheet2-计算明细'!$B$17:$B$330,$X98))</f>
        <v/>
      </c>
      <c r="C98" s="18">
        <f>IF($X98="","",INDEX('sheet2-计算明细'!$C$17:$C$330,$X98))</f>
        <v/>
      </c>
      <c r="D98" s="18">
        <f>IF($X98="","",INDEX('sheet2-计算明细'!$D$17:$D$330,$X98))</f>
        <v/>
      </c>
      <c r="E98" s="18">
        <f>IF($X98="","",INDEX('sheet2-计算明细'!$G$17:$G$330,$X98))</f>
        <v/>
      </c>
      <c r="F98" s="19">
        <f>IF($X98="","",INDEX('sheet2-计算明细'!$I$17:$I$330,$X98))</f>
        <v/>
      </c>
      <c r="G98" s="19">
        <f>IF($X98="","",INDEX('sheet2-计算明细'!$K$17:$K$330,$X98))</f>
        <v/>
      </c>
      <c r="H98" s="19">
        <f>IF($X98="","",INDEX('sheet2-计算明细'!$L$17:$L$330,$X98))</f>
        <v/>
      </c>
      <c r="I98" s="19">
        <f>IF($X98="","",INDEX('sheet2-计算明细'!$S$17:$S$330,$X98))</f>
        <v/>
      </c>
      <c r="J98" s="19">
        <f>IF($X98="","",INDEX('sheet2-计算明细'!$Y$17:$Y$330,$X98))</f>
        <v/>
      </c>
      <c r="K98" s="19">
        <f>IF($X98="","",INDEX('sheet2-计算明细'!$AC$17:$AC$330,$X98))</f>
        <v/>
      </c>
      <c r="L98" s="19">
        <f>IF($X98="","",INDEX('sheet2-计算明细'!$AI$17:$AI$330,$X98))</f>
        <v/>
      </c>
      <c r="M98" s="19">
        <f>IF($X98="","",INDEX('sheet2-计算明细'!$AK$17:$AK$330,$X98))</f>
        <v/>
      </c>
      <c r="N98" s="20">
        <f>IF(COUNT(F98:H98)=0,"",ROUND((IF(ISNUMBER(F98),F98*40%,0)+IF(ISNUMBER(G98),G98*30%,0)+IF(ISNUMBER(H98),H98*30%,0))/(IF(ISNUMBER(F98),40%,0)+IF(ISNUMBER(G98),30%,0)+IF(ISNUMBER(H98),30%,0)),2))</f>
        <v/>
      </c>
      <c r="O98" s="20">
        <f>IF(COUNT(I98:J98)=0,"",ROUND((IF(ISNUMBER(I98),I98*70%,0)+IF(ISNUMBER(J98),J98*30%,0))/(IF(ISNUMBER(I98),70%,0)+IF(ISNUMBER(J98),30%,0)),2))</f>
        <v/>
      </c>
      <c r="P98" s="20">
        <f>K98</f>
        <v/>
      </c>
      <c r="Q98" s="20">
        <f>L98</f>
        <v/>
      </c>
      <c r="R98" s="20">
        <f>M98</f>
        <v/>
      </c>
      <c r="S98" s="93">
        <f>IF($X98="","",INDEX('sheet2-计算明细'!$AQ$17:$AQ$330,$X98))</f>
        <v/>
      </c>
      <c r="T98" s="19">
        <f>IF($X98="","",INDEX('sheet2-计算明细'!$AR$17:$AR$330,$X98))</f>
        <v/>
      </c>
      <c r="U98" s="20">
        <f>IF(S98=0,"",ROUND(T98/S98,2))</f>
        <v/>
      </c>
      <c r="V98" s="20">
        <f>IF(S98=100%,T98,"")</f>
        <v/>
      </c>
      <c r="W98" s="22">
        <f>IF($X98="","",INDEX('sheet2-计算明细'!$AU$17:$AU$330,$X98))</f>
        <v/>
      </c>
      <c r="X98" s="18">
        <f>IF($A98&gt;COUNT('sheet2-计算明细'!$AT$17:$AT$330),"",MATCH($A98,'sheet2-计算明细'!$AT$17:$AT$330,0))</f>
        <v/>
      </c>
    </row>
    <row r="99" ht="28" customHeight="1" s="73">
      <c r="A99" s="2" t="n">
        <v>94</v>
      </c>
      <c r="B99" s="18">
        <f>IF($X99="","",INDEX('sheet2-计算明细'!$B$17:$B$330,$X99))</f>
        <v/>
      </c>
      <c r="C99" s="18">
        <f>IF($X99="","",INDEX('sheet2-计算明细'!$C$17:$C$330,$X99))</f>
        <v/>
      </c>
      <c r="D99" s="18">
        <f>IF($X99="","",INDEX('sheet2-计算明细'!$D$17:$D$330,$X99))</f>
        <v/>
      </c>
      <c r="E99" s="18">
        <f>IF($X99="","",INDEX('sheet2-计算明细'!$G$17:$G$330,$X99))</f>
        <v/>
      </c>
      <c r="F99" s="19">
        <f>IF($X99="","",INDEX('sheet2-计算明细'!$I$17:$I$330,$X99))</f>
        <v/>
      </c>
      <c r="G99" s="19">
        <f>IF($X99="","",INDEX('sheet2-计算明细'!$K$17:$K$330,$X99))</f>
        <v/>
      </c>
      <c r="H99" s="19">
        <f>IF($X99="","",INDEX('sheet2-计算明细'!$L$17:$L$330,$X99))</f>
        <v/>
      </c>
      <c r="I99" s="19">
        <f>IF($X99="","",INDEX('sheet2-计算明细'!$S$17:$S$330,$X99))</f>
        <v/>
      </c>
      <c r="J99" s="19">
        <f>IF($X99="","",INDEX('sheet2-计算明细'!$Y$17:$Y$330,$X99))</f>
        <v/>
      </c>
      <c r="K99" s="19">
        <f>IF($X99="","",INDEX('sheet2-计算明细'!$AC$17:$AC$330,$X99))</f>
        <v/>
      </c>
      <c r="L99" s="19">
        <f>IF($X99="","",INDEX('sheet2-计算明细'!$AI$17:$AI$330,$X99))</f>
        <v/>
      </c>
      <c r="M99" s="19">
        <f>IF($X99="","",INDEX('sheet2-计算明细'!$AK$17:$AK$330,$X99))</f>
        <v/>
      </c>
      <c r="N99" s="20">
        <f>IF(COUNT(F99:H99)=0,"",ROUND((IF(ISNUMBER(F99),F99*40%,0)+IF(ISNUMBER(G99),G99*30%,0)+IF(ISNUMBER(H99),H99*30%,0))/(IF(ISNUMBER(F99),40%,0)+IF(ISNUMBER(G99),30%,0)+IF(ISNUMBER(H99),30%,0)),2))</f>
        <v/>
      </c>
      <c r="O99" s="20">
        <f>IF(COUNT(I99:J99)=0,"",ROUND((IF(ISNUMBER(I99),I99*70%,0)+IF(ISNUMBER(J99),J99*30%,0))/(IF(ISNUMBER(I99),70%,0)+IF(ISNUMBER(J99),30%,0)),2))</f>
        <v/>
      </c>
      <c r="P99" s="20">
        <f>K99</f>
        <v/>
      </c>
      <c r="Q99" s="20">
        <f>L99</f>
        <v/>
      </c>
      <c r="R99" s="20">
        <f>M99</f>
        <v/>
      </c>
      <c r="S99" s="93">
        <f>IF($X99="","",INDEX('sheet2-计算明细'!$AQ$17:$AQ$330,$X99))</f>
        <v/>
      </c>
      <c r="T99" s="19">
        <f>IF($X99="","",INDEX('sheet2-计算明细'!$AR$17:$AR$330,$X99))</f>
        <v/>
      </c>
      <c r="U99" s="20">
        <f>IF(S99=0,"",ROUND(T99/S99,2))</f>
        <v/>
      </c>
      <c r="V99" s="20">
        <f>IF(S99=100%,T99,"")</f>
        <v/>
      </c>
      <c r="W99" s="22">
        <f>IF($X99="","",INDEX('sheet2-计算明细'!$AU$17:$AU$330,$X99))</f>
        <v/>
      </c>
      <c r="X99" s="18">
        <f>IF($A99&gt;COUNT('sheet2-计算明细'!$AT$17:$AT$330),"",MATCH($A99,'sheet2-计算明细'!$AT$17:$AT$330,0))</f>
        <v/>
      </c>
    </row>
    <row r="100" ht="28" customHeight="1" s="73">
      <c r="A100" s="2" t="n">
        <v>95</v>
      </c>
      <c r="B100" s="18">
        <f>IF($X100="","",INDEX('sheet2-计算明细'!$B$17:$B$330,$X100))</f>
        <v/>
      </c>
      <c r="C100" s="18">
        <f>IF($X100="","",INDEX('sheet2-计算明细'!$C$17:$C$330,$X100))</f>
        <v/>
      </c>
      <c r="D100" s="18">
        <f>IF($X100="","",INDEX('sheet2-计算明细'!$D$17:$D$330,$X100))</f>
        <v/>
      </c>
      <c r="E100" s="18">
        <f>IF($X100="","",INDEX('sheet2-计算明细'!$G$17:$G$330,$X100))</f>
        <v/>
      </c>
      <c r="F100" s="19">
        <f>IF($X100="","",INDEX('sheet2-计算明细'!$I$17:$I$330,$X100))</f>
        <v/>
      </c>
      <c r="G100" s="19">
        <f>IF($X100="","",INDEX('sheet2-计算明细'!$K$17:$K$330,$X100))</f>
        <v/>
      </c>
      <c r="H100" s="19">
        <f>IF($X100="","",INDEX('sheet2-计算明细'!$L$17:$L$330,$X100))</f>
        <v/>
      </c>
      <c r="I100" s="19">
        <f>IF($X100="","",INDEX('sheet2-计算明细'!$S$17:$S$330,$X100))</f>
        <v/>
      </c>
      <c r="J100" s="19">
        <f>IF($X100="","",INDEX('sheet2-计算明细'!$Y$17:$Y$330,$X100))</f>
        <v/>
      </c>
      <c r="K100" s="19">
        <f>IF($X100="","",INDEX('sheet2-计算明细'!$AC$17:$AC$330,$X100))</f>
        <v/>
      </c>
      <c r="L100" s="19">
        <f>IF($X100="","",INDEX('sheet2-计算明细'!$AI$17:$AI$330,$X100))</f>
        <v/>
      </c>
      <c r="M100" s="19">
        <f>IF($X100="","",INDEX('sheet2-计算明细'!$AK$17:$AK$330,$X100))</f>
        <v/>
      </c>
      <c r="N100" s="20">
        <f>IF(COUNT(F100:H100)=0,"",ROUND((IF(ISNUMBER(F100),F100*40%,0)+IF(ISNUMBER(G100),G100*30%,0)+IF(ISNUMBER(H100),H100*30%,0))/(IF(ISNUMBER(F100),40%,0)+IF(ISNUMBER(G100),30%,0)+IF(ISNUMBER(H100),30%,0)),2))</f>
        <v/>
      </c>
      <c r="O100" s="20">
        <f>IF(COUNT(I100:J100)=0,"",ROUND((IF(ISNUMBER(I100),I100*70%,0)+IF(ISNUMBER(J100),J100*30%,0))/(IF(ISNUMBER(I100),70%,0)+IF(ISNUMBER(J100),30%,0)),2))</f>
        <v/>
      </c>
      <c r="P100" s="20">
        <f>K100</f>
        <v/>
      </c>
      <c r="Q100" s="20">
        <f>L100</f>
        <v/>
      </c>
      <c r="R100" s="20">
        <f>M100</f>
        <v/>
      </c>
      <c r="S100" s="93">
        <f>IF($X100="","",INDEX('sheet2-计算明细'!$AQ$17:$AQ$330,$X100))</f>
        <v/>
      </c>
      <c r="T100" s="19">
        <f>IF($X100="","",INDEX('sheet2-计算明细'!$AR$17:$AR$330,$X100))</f>
        <v/>
      </c>
      <c r="U100" s="20">
        <f>IF(S100=0,"",ROUND(T100/S100,2))</f>
        <v/>
      </c>
      <c r="V100" s="20">
        <f>IF(S100=100%,T100,"")</f>
        <v/>
      </c>
      <c r="W100" s="22">
        <f>IF($X100="","",INDEX('sheet2-计算明细'!$AU$17:$AU$330,$X100))</f>
        <v/>
      </c>
      <c r="X100" s="18">
        <f>IF($A100&gt;COUNT('sheet2-计算明细'!$AT$17:$AT$330),"",MATCH($A100,'sheet2-计算明细'!$AT$17:$AT$330,0))</f>
        <v/>
      </c>
    </row>
    <row r="101" ht="28" customHeight="1" s="73">
      <c r="A101" s="2" t="n">
        <v>96</v>
      </c>
      <c r="B101" s="18">
        <f>IF($X101="","",INDEX('sheet2-计算明细'!$B$17:$B$330,$X101))</f>
        <v/>
      </c>
      <c r="C101" s="18">
        <f>IF($X101="","",INDEX('sheet2-计算明细'!$C$17:$C$330,$X101))</f>
        <v/>
      </c>
      <c r="D101" s="18">
        <f>IF($X101="","",INDEX('sheet2-计算明细'!$D$17:$D$330,$X101))</f>
        <v/>
      </c>
      <c r="E101" s="18">
        <f>IF($X101="","",INDEX('sheet2-计算明细'!$G$17:$G$330,$X101))</f>
        <v/>
      </c>
      <c r="F101" s="19">
        <f>IF($X101="","",INDEX('sheet2-计算明细'!$I$17:$I$330,$X101))</f>
        <v/>
      </c>
      <c r="G101" s="19">
        <f>IF($X101="","",INDEX('sheet2-计算明细'!$K$17:$K$330,$X101))</f>
        <v/>
      </c>
      <c r="H101" s="19">
        <f>IF($X101="","",INDEX('sheet2-计算明细'!$L$17:$L$330,$X101))</f>
        <v/>
      </c>
      <c r="I101" s="19">
        <f>IF($X101="","",INDEX('sheet2-计算明细'!$S$17:$S$330,$X101))</f>
        <v/>
      </c>
      <c r="J101" s="19">
        <f>IF($X101="","",INDEX('sheet2-计算明细'!$Y$17:$Y$330,$X101))</f>
        <v/>
      </c>
      <c r="K101" s="19">
        <f>IF($X101="","",INDEX('sheet2-计算明细'!$AC$17:$AC$330,$X101))</f>
        <v/>
      </c>
      <c r="L101" s="19">
        <f>IF($X101="","",INDEX('sheet2-计算明细'!$AI$17:$AI$330,$X101))</f>
        <v/>
      </c>
      <c r="M101" s="19">
        <f>IF($X101="","",INDEX('sheet2-计算明细'!$AK$17:$AK$330,$X101))</f>
        <v/>
      </c>
      <c r="N101" s="20">
        <f>IF(COUNT(F101:H101)=0,"",ROUND((IF(ISNUMBER(F101),F101*40%,0)+IF(ISNUMBER(G101),G101*30%,0)+IF(ISNUMBER(H101),H101*30%,0))/(IF(ISNUMBER(F101),40%,0)+IF(ISNUMBER(G101),30%,0)+IF(ISNUMBER(H101),30%,0)),2))</f>
        <v/>
      </c>
      <c r="O101" s="20">
        <f>IF(COUNT(I101:J101)=0,"",ROUND((IF(ISNUMBER(I101),I101*70%,0)+IF(ISNUMBER(J101),J101*30%,0))/(IF(ISNUMBER(I101),70%,0)+IF(ISNUMBER(J101),30%,0)),2))</f>
        <v/>
      </c>
      <c r="P101" s="20">
        <f>K101</f>
        <v/>
      </c>
      <c r="Q101" s="20">
        <f>L101</f>
        <v/>
      </c>
      <c r="R101" s="20">
        <f>M101</f>
        <v/>
      </c>
      <c r="S101" s="93">
        <f>IF($X101="","",INDEX('sheet2-计算明细'!$AQ$17:$AQ$330,$X101))</f>
        <v/>
      </c>
      <c r="T101" s="19">
        <f>IF($X101="","",INDEX('sheet2-计算明细'!$AR$17:$AR$330,$X101))</f>
        <v/>
      </c>
      <c r="U101" s="20">
        <f>IF(S101=0,"",ROUND(T101/S101,2))</f>
        <v/>
      </c>
      <c r="V101" s="20">
        <f>IF(S101=100%,T101,"")</f>
        <v/>
      </c>
      <c r="W101" s="22">
        <f>IF($X101="","",INDEX('sheet2-计算明细'!$AU$17:$AU$330,$X101))</f>
        <v/>
      </c>
      <c r="X101" s="18">
        <f>IF($A101&gt;COUNT('sheet2-计算明细'!$AT$17:$AT$330),"",MATCH($A101,'sheet2-计算明细'!$AT$17:$AT$330,0))</f>
        <v/>
      </c>
    </row>
    <row r="102" ht="28" customHeight="1" s="73">
      <c r="A102" s="2" t="n">
        <v>97</v>
      </c>
      <c r="B102" s="18">
        <f>IF($X102="","",INDEX('sheet2-计算明细'!$B$17:$B$330,$X102))</f>
        <v/>
      </c>
      <c r="C102" s="18">
        <f>IF($X102="","",INDEX('sheet2-计算明细'!$C$17:$C$330,$X102))</f>
        <v/>
      </c>
      <c r="D102" s="18">
        <f>IF($X102="","",INDEX('sheet2-计算明细'!$D$17:$D$330,$X102))</f>
        <v/>
      </c>
      <c r="E102" s="18">
        <f>IF($X102="","",INDEX('sheet2-计算明细'!$G$17:$G$330,$X102))</f>
        <v/>
      </c>
      <c r="F102" s="19">
        <f>IF($X102="","",INDEX('sheet2-计算明细'!$I$17:$I$330,$X102))</f>
        <v/>
      </c>
      <c r="G102" s="19">
        <f>IF($X102="","",INDEX('sheet2-计算明细'!$K$17:$K$330,$X102))</f>
        <v/>
      </c>
      <c r="H102" s="19">
        <f>IF($X102="","",INDEX('sheet2-计算明细'!$L$17:$L$330,$X102))</f>
        <v/>
      </c>
      <c r="I102" s="19">
        <f>IF($X102="","",INDEX('sheet2-计算明细'!$S$17:$S$330,$X102))</f>
        <v/>
      </c>
      <c r="J102" s="19">
        <f>IF($X102="","",INDEX('sheet2-计算明细'!$Y$17:$Y$330,$X102))</f>
        <v/>
      </c>
      <c r="K102" s="19">
        <f>IF($X102="","",INDEX('sheet2-计算明细'!$AC$17:$AC$330,$X102))</f>
        <v/>
      </c>
      <c r="L102" s="19">
        <f>IF($X102="","",INDEX('sheet2-计算明细'!$AI$17:$AI$330,$X102))</f>
        <v/>
      </c>
      <c r="M102" s="19">
        <f>IF($X102="","",INDEX('sheet2-计算明细'!$AK$17:$AK$330,$X102))</f>
        <v/>
      </c>
      <c r="N102" s="20">
        <f>IF(COUNT(F102:H102)=0,"",ROUND((IF(ISNUMBER(F102),F102*40%,0)+IF(ISNUMBER(G102),G102*30%,0)+IF(ISNUMBER(H102),H102*30%,0))/(IF(ISNUMBER(F102),40%,0)+IF(ISNUMBER(G102),30%,0)+IF(ISNUMBER(H102),30%,0)),2))</f>
        <v/>
      </c>
      <c r="O102" s="20">
        <f>IF(COUNT(I102:J102)=0,"",ROUND((IF(ISNUMBER(I102),I102*70%,0)+IF(ISNUMBER(J102),J102*30%,0))/(IF(ISNUMBER(I102),70%,0)+IF(ISNUMBER(J102),30%,0)),2))</f>
        <v/>
      </c>
      <c r="P102" s="20">
        <f>K102</f>
        <v/>
      </c>
      <c r="Q102" s="20">
        <f>L102</f>
        <v/>
      </c>
      <c r="R102" s="20">
        <f>M102</f>
        <v/>
      </c>
      <c r="S102" s="93">
        <f>IF($X102="","",INDEX('sheet2-计算明细'!$AQ$17:$AQ$330,$X102))</f>
        <v/>
      </c>
      <c r="T102" s="19">
        <f>IF($X102="","",INDEX('sheet2-计算明细'!$AR$17:$AR$330,$X102))</f>
        <v/>
      </c>
      <c r="U102" s="20">
        <f>IF(S102=0,"",ROUND(T102/S102,2))</f>
        <v/>
      </c>
      <c r="V102" s="20">
        <f>IF(S102=100%,T102,"")</f>
        <v/>
      </c>
      <c r="W102" s="22">
        <f>IF($X102="","",INDEX('sheet2-计算明细'!$AU$17:$AU$330,$X102))</f>
        <v/>
      </c>
      <c r="X102" s="18">
        <f>IF($A102&gt;COUNT('sheet2-计算明细'!$AT$17:$AT$330),"",MATCH($A102,'sheet2-计算明细'!$AT$17:$AT$330,0))</f>
        <v/>
      </c>
    </row>
    <row r="103" ht="28" customHeight="1" s="73">
      <c r="A103" s="2" t="n">
        <v>98</v>
      </c>
      <c r="B103" s="18">
        <f>IF($X103="","",INDEX('sheet2-计算明细'!$B$17:$B$330,$X103))</f>
        <v/>
      </c>
      <c r="C103" s="18">
        <f>IF($X103="","",INDEX('sheet2-计算明细'!$C$17:$C$330,$X103))</f>
        <v/>
      </c>
      <c r="D103" s="18">
        <f>IF($X103="","",INDEX('sheet2-计算明细'!$D$17:$D$330,$X103))</f>
        <v/>
      </c>
      <c r="E103" s="18">
        <f>IF($X103="","",INDEX('sheet2-计算明细'!$G$17:$G$330,$X103))</f>
        <v/>
      </c>
      <c r="F103" s="19">
        <f>IF($X103="","",INDEX('sheet2-计算明细'!$I$17:$I$330,$X103))</f>
        <v/>
      </c>
      <c r="G103" s="19">
        <f>IF($X103="","",INDEX('sheet2-计算明细'!$K$17:$K$330,$X103))</f>
        <v/>
      </c>
      <c r="H103" s="19">
        <f>IF($X103="","",INDEX('sheet2-计算明细'!$L$17:$L$330,$X103))</f>
        <v/>
      </c>
      <c r="I103" s="19">
        <f>IF($X103="","",INDEX('sheet2-计算明细'!$S$17:$S$330,$X103))</f>
        <v/>
      </c>
      <c r="J103" s="19">
        <f>IF($X103="","",INDEX('sheet2-计算明细'!$Y$17:$Y$330,$X103))</f>
        <v/>
      </c>
      <c r="K103" s="19">
        <f>IF($X103="","",INDEX('sheet2-计算明细'!$AC$17:$AC$330,$X103))</f>
        <v/>
      </c>
      <c r="L103" s="19">
        <f>IF($X103="","",INDEX('sheet2-计算明细'!$AI$17:$AI$330,$X103))</f>
        <v/>
      </c>
      <c r="M103" s="19">
        <f>IF($X103="","",INDEX('sheet2-计算明细'!$AK$17:$AK$330,$X103))</f>
        <v/>
      </c>
      <c r="N103" s="20">
        <f>IF(COUNT(F103:H103)=0,"",ROUND((IF(ISNUMBER(F103),F103*40%,0)+IF(ISNUMBER(G103),G103*30%,0)+IF(ISNUMBER(H103),H103*30%,0))/(IF(ISNUMBER(F103),40%,0)+IF(ISNUMBER(G103),30%,0)+IF(ISNUMBER(H103),30%,0)),2))</f>
        <v/>
      </c>
      <c r="O103" s="20">
        <f>IF(COUNT(I103:J103)=0,"",ROUND((IF(ISNUMBER(I103),I103*70%,0)+IF(ISNUMBER(J103),J103*30%,0))/(IF(ISNUMBER(I103),70%,0)+IF(ISNUMBER(J103),30%,0)),2))</f>
        <v/>
      </c>
      <c r="P103" s="20">
        <f>K103</f>
        <v/>
      </c>
      <c r="Q103" s="20">
        <f>L103</f>
        <v/>
      </c>
      <c r="R103" s="20">
        <f>M103</f>
        <v/>
      </c>
      <c r="S103" s="93">
        <f>IF($X103="","",INDEX('sheet2-计算明细'!$AQ$17:$AQ$330,$X103))</f>
        <v/>
      </c>
      <c r="T103" s="19">
        <f>IF($X103="","",INDEX('sheet2-计算明细'!$AR$17:$AR$330,$X103))</f>
        <v/>
      </c>
      <c r="U103" s="20">
        <f>IF(S103=0,"",ROUND(T103/S103,2))</f>
        <v/>
      </c>
      <c r="V103" s="20">
        <f>IF(S103=100%,T103,"")</f>
        <v/>
      </c>
      <c r="W103" s="22">
        <f>IF($X103="","",INDEX('sheet2-计算明细'!$AU$17:$AU$330,$X103))</f>
        <v/>
      </c>
      <c r="X103" s="18">
        <f>IF($A103&gt;COUNT('sheet2-计算明细'!$AT$17:$AT$330),"",MATCH($A103,'sheet2-计算明细'!$AT$17:$AT$330,0))</f>
        <v/>
      </c>
    </row>
    <row r="104" ht="28" customHeight="1" s="73">
      <c r="A104" s="2" t="n">
        <v>99</v>
      </c>
      <c r="B104" s="18">
        <f>IF($X104="","",INDEX('sheet2-计算明细'!$B$17:$B$330,$X104))</f>
        <v/>
      </c>
      <c r="C104" s="18">
        <f>IF($X104="","",INDEX('sheet2-计算明细'!$C$17:$C$330,$X104))</f>
        <v/>
      </c>
      <c r="D104" s="18">
        <f>IF($X104="","",INDEX('sheet2-计算明细'!$D$17:$D$330,$X104))</f>
        <v/>
      </c>
      <c r="E104" s="18">
        <f>IF($X104="","",INDEX('sheet2-计算明细'!$G$17:$G$330,$X104))</f>
        <v/>
      </c>
      <c r="F104" s="19">
        <f>IF($X104="","",INDEX('sheet2-计算明细'!$I$17:$I$330,$X104))</f>
        <v/>
      </c>
      <c r="G104" s="19">
        <f>IF($X104="","",INDEX('sheet2-计算明细'!$K$17:$K$330,$X104))</f>
        <v/>
      </c>
      <c r="H104" s="19">
        <f>IF($X104="","",INDEX('sheet2-计算明细'!$L$17:$L$330,$X104))</f>
        <v/>
      </c>
      <c r="I104" s="19">
        <f>IF($X104="","",INDEX('sheet2-计算明细'!$S$17:$S$330,$X104))</f>
        <v/>
      </c>
      <c r="J104" s="19">
        <f>IF($X104="","",INDEX('sheet2-计算明细'!$Y$17:$Y$330,$X104))</f>
        <v/>
      </c>
      <c r="K104" s="19">
        <f>IF($X104="","",INDEX('sheet2-计算明细'!$AC$17:$AC$330,$X104))</f>
        <v/>
      </c>
      <c r="L104" s="19">
        <f>IF($X104="","",INDEX('sheet2-计算明细'!$AI$17:$AI$330,$X104))</f>
        <v/>
      </c>
      <c r="M104" s="19">
        <f>IF($X104="","",INDEX('sheet2-计算明细'!$AK$17:$AK$330,$X104))</f>
        <v/>
      </c>
      <c r="N104" s="20">
        <f>IF(COUNT(F104:H104)=0,"",ROUND((IF(ISNUMBER(F104),F104*40%,0)+IF(ISNUMBER(G104),G104*30%,0)+IF(ISNUMBER(H104),H104*30%,0))/(IF(ISNUMBER(F104),40%,0)+IF(ISNUMBER(G104),30%,0)+IF(ISNUMBER(H104),30%,0)),2))</f>
        <v/>
      </c>
      <c r="O104" s="20">
        <f>IF(COUNT(I104:J104)=0,"",ROUND((IF(ISNUMBER(I104),I104*70%,0)+IF(ISNUMBER(J104),J104*30%,0))/(IF(ISNUMBER(I104),70%,0)+IF(ISNUMBER(J104),30%,0)),2))</f>
        <v/>
      </c>
      <c r="P104" s="20">
        <f>K104</f>
        <v/>
      </c>
      <c r="Q104" s="20">
        <f>L104</f>
        <v/>
      </c>
      <c r="R104" s="20">
        <f>M104</f>
        <v/>
      </c>
      <c r="S104" s="93">
        <f>IF($X104="","",INDEX('sheet2-计算明细'!$AQ$17:$AQ$330,$X104))</f>
        <v/>
      </c>
      <c r="T104" s="19">
        <f>IF($X104="","",INDEX('sheet2-计算明细'!$AR$17:$AR$330,$X104))</f>
        <v/>
      </c>
      <c r="U104" s="20">
        <f>IF(S104=0,"",ROUND(T104/S104,2))</f>
        <v/>
      </c>
      <c r="V104" s="20">
        <f>IF(S104=100%,T104,"")</f>
        <v/>
      </c>
      <c r="W104" s="22">
        <f>IF($X104="","",INDEX('sheet2-计算明细'!$AU$17:$AU$330,$X104))</f>
        <v/>
      </c>
      <c r="X104" s="18">
        <f>IF($A104&gt;COUNT('sheet2-计算明细'!$AT$17:$AT$330),"",MATCH($A104,'sheet2-计算明细'!$AT$17:$AT$330,0))</f>
        <v/>
      </c>
    </row>
    <row r="105" ht="28" customHeight="1" s="73">
      <c r="A105" s="2" t="n">
        <v>100</v>
      </c>
      <c r="B105" s="18">
        <f>IF($X105="","",INDEX('sheet2-计算明细'!$B$17:$B$330,$X105))</f>
        <v/>
      </c>
      <c r="C105" s="18">
        <f>IF($X105="","",INDEX('sheet2-计算明细'!$C$17:$C$330,$X105))</f>
        <v/>
      </c>
      <c r="D105" s="18">
        <f>IF($X105="","",INDEX('sheet2-计算明细'!$D$17:$D$330,$X105))</f>
        <v/>
      </c>
      <c r="E105" s="18">
        <f>IF($X105="","",INDEX('sheet2-计算明细'!$G$17:$G$330,$X105))</f>
        <v/>
      </c>
      <c r="F105" s="19">
        <f>IF($X105="","",INDEX('sheet2-计算明细'!$I$17:$I$330,$X105))</f>
        <v/>
      </c>
      <c r="G105" s="19">
        <f>IF($X105="","",INDEX('sheet2-计算明细'!$K$17:$K$330,$X105))</f>
        <v/>
      </c>
      <c r="H105" s="19">
        <f>IF($X105="","",INDEX('sheet2-计算明细'!$L$17:$L$330,$X105))</f>
        <v/>
      </c>
      <c r="I105" s="19">
        <f>IF($X105="","",INDEX('sheet2-计算明细'!$S$17:$S$330,$X105))</f>
        <v/>
      </c>
      <c r="J105" s="19">
        <f>IF($X105="","",INDEX('sheet2-计算明细'!$Y$17:$Y$330,$X105))</f>
        <v/>
      </c>
      <c r="K105" s="19">
        <f>IF($X105="","",INDEX('sheet2-计算明细'!$AC$17:$AC$330,$X105))</f>
        <v/>
      </c>
      <c r="L105" s="19">
        <f>IF($X105="","",INDEX('sheet2-计算明细'!$AI$17:$AI$330,$X105))</f>
        <v/>
      </c>
      <c r="M105" s="19">
        <f>IF($X105="","",INDEX('sheet2-计算明细'!$AK$17:$AK$330,$X105))</f>
        <v/>
      </c>
      <c r="N105" s="20">
        <f>IF(COUNT(F105:H105)=0,"",ROUND((IF(ISNUMBER(F105),F105*40%,0)+IF(ISNUMBER(G105),G105*30%,0)+IF(ISNUMBER(H105),H105*30%,0))/(IF(ISNUMBER(F105),40%,0)+IF(ISNUMBER(G105),30%,0)+IF(ISNUMBER(H105),30%,0)),2))</f>
        <v/>
      </c>
      <c r="O105" s="20">
        <f>IF(COUNT(I105:J105)=0,"",ROUND((IF(ISNUMBER(I105),I105*70%,0)+IF(ISNUMBER(J105),J105*30%,0))/(IF(ISNUMBER(I105),70%,0)+IF(ISNUMBER(J105),30%,0)),2))</f>
        <v/>
      </c>
      <c r="P105" s="20">
        <f>K105</f>
        <v/>
      </c>
      <c r="Q105" s="20">
        <f>L105</f>
        <v/>
      </c>
      <c r="R105" s="20">
        <f>M105</f>
        <v/>
      </c>
      <c r="S105" s="93">
        <f>IF($X105="","",INDEX('sheet2-计算明细'!$AQ$17:$AQ$330,$X105))</f>
        <v/>
      </c>
      <c r="T105" s="19">
        <f>IF($X105="","",INDEX('sheet2-计算明细'!$AR$17:$AR$330,$X105))</f>
        <v/>
      </c>
      <c r="U105" s="20">
        <f>IF(S105=0,"",ROUND(T105/S105,2))</f>
        <v/>
      </c>
      <c r="V105" s="20">
        <f>IF(S105=100%,T105,"")</f>
        <v/>
      </c>
      <c r="W105" s="22">
        <f>IF($X105="","",INDEX('sheet2-计算明细'!$AU$17:$AU$330,$X105))</f>
        <v/>
      </c>
      <c r="X105" s="18">
        <f>IF($A105&gt;COUNT('sheet2-计算明细'!$AT$17:$AT$330),"",MATCH($A105,'sheet2-计算明细'!$AT$17:$AT$330,0))</f>
        <v/>
      </c>
    </row>
    <row r="106" ht="28" customHeight="1" s="73">
      <c r="A106" s="2" t="n">
        <v>101</v>
      </c>
      <c r="B106" s="18">
        <f>IF($X106="","",INDEX('sheet2-计算明细'!$B$17:$B$330,$X106))</f>
        <v/>
      </c>
      <c r="C106" s="18">
        <f>IF($X106="","",INDEX('sheet2-计算明细'!$C$17:$C$330,$X106))</f>
        <v/>
      </c>
      <c r="D106" s="18">
        <f>IF($X106="","",INDEX('sheet2-计算明细'!$D$17:$D$330,$X106))</f>
        <v/>
      </c>
      <c r="E106" s="18">
        <f>IF($X106="","",INDEX('sheet2-计算明细'!$G$17:$G$330,$X106))</f>
        <v/>
      </c>
      <c r="F106" s="19">
        <f>IF($X106="","",INDEX('sheet2-计算明细'!$I$17:$I$330,$X106))</f>
        <v/>
      </c>
      <c r="G106" s="19">
        <f>IF($X106="","",INDEX('sheet2-计算明细'!$K$17:$K$330,$X106))</f>
        <v/>
      </c>
      <c r="H106" s="19">
        <f>IF($X106="","",INDEX('sheet2-计算明细'!$L$17:$L$330,$X106))</f>
        <v/>
      </c>
      <c r="I106" s="19">
        <f>IF($X106="","",INDEX('sheet2-计算明细'!$S$17:$S$330,$X106))</f>
        <v/>
      </c>
      <c r="J106" s="19">
        <f>IF($X106="","",INDEX('sheet2-计算明细'!$Y$17:$Y$330,$X106))</f>
        <v/>
      </c>
      <c r="K106" s="19">
        <f>IF($X106="","",INDEX('sheet2-计算明细'!$AC$17:$AC$330,$X106))</f>
        <v/>
      </c>
      <c r="L106" s="19">
        <f>IF($X106="","",INDEX('sheet2-计算明细'!$AI$17:$AI$330,$X106))</f>
        <v/>
      </c>
      <c r="M106" s="19">
        <f>IF($X106="","",INDEX('sheet2-计算明细'!$AK$17:$AK$330,$X106))</f>
        <v/>
      </c>
      <c r="N106" s="20">
        <f>IF(COUNT(F106:H106)=0,"",ROUND((IF(ISNUMBER(F106),F106*40%,0)+IF(ISNUMBER(G106),G106*30%,0)+IF(ISNUMBER(H106),H106*30%,0))/(IF(ISNUMBER(F106),40%,0)+IF(ISNUMBER(G106),30%,0)+IF(ISNUMBER(H106),30%,0)),2))</f>
        <v/>
      </c>
      <c r="O106" s="20">
        <f>IF(COUNT(I106:J106)=0,"",ROUND((IF(ISNUMBER(I106),I106*70%,0)+IF(ISNUMBER(J106),J106*30%,0))/(IF(ISNUMBER(I106),70%,0)+IF(ISNUMBER(J106),30%,0)),2))</f>
        <v/>
      </c>
      <c r="P106" s="20">
        <f>K106</f>
        <v/>
      </c>
      <c r="Q106" s="20">
        <f>L106</f>
        <v/>
      </c>
      <c r="R106" s="20">
        <f>M106</f>
        <v/>
      </c>
      <c r="S106" s="93">
        <f>IF($X106="","",INDEX('sheet2-计算明细'!$AQ$17:$AQ$330,$X106))</f>
        <v/>
      </c>
      <c r="T106" s="19">
        <f>IF($X106="","",INDEX('sheet2-计算明细'!$AR$17:$AR$330,$X106))</f>
        <v/>
      </c>
      <c r="U106" s="20">
        <f>IF(S106=0,"",ROUND(T106/S106,2))</f>
        <v/>
      </c>
      <c r="V106" s="20">
        <f>IF(S106=100%,T106,"")</f>
        <v/>
      </c>
      <c r="W106" s="22">
        <f>IF($X106="","",INDEX('sheet2-计算明细'!$AU$17:$AU$330,$X106))</f>
        <v/>
      </c>
      <c r="X106" s="18">
        <f>IF($A106&gt;COUNT('sheet2-计算明细'!$AT$17:$AT$330),"",MATCH($A106,'sheet2-计算明细'!$AT$17:$AT$330,0))</f>
        <v/>
      </c>
    </row>
    <row r="107" ht="28" customHeight="1" s="73">
      <c r="A107" s="2" t="n">
        <v>102</v>
      </c>
      <c r="B107" s="18">
        <f>IF($X107="","",INDEX('sheet2-计算明细'!$B$17:$B$330,$X107))</f>
        <v/>
      </c>
      <c r="C107" s="18">
        <f>IF($X107="","",INDEX('sheet2-计算明细'!$C$17:$C$330,$X107))</f>
        <v/>
      </c>
      <c r="D107" s="18">
        <f>IF($X107="","",INDEX('sheet2-计算明细'!$D$17:$D$330,$X107))</f>
        <v/>
      </c>
      <c r="E107" s="18">
        <f>IF($X107="","",INDEX('sheet2-计算明细'!$G$17:$G$330,$X107))</f>
        <v/>
      </c>
      <c r="F107" s="19">
        <f>IF($X107="","",INDEX('sheet2-计算明细'!$I$17:$I$330,$X107))</f>
        <v/>
      </c>
      <c r="G107" s="19">
        <f>IF($X107="","",INDEX('sheet2-计算明细'!$K$17:$K$330,$X107))</f>
        <v/>
      </c>
      <c r="H107" s="19">
        <f>IF($X107="","",INDEX('sheet2-计算明细'!$L$17:$L$330,$X107))</f>
        <v/>
      </c>
      <c r="I107" s="19">
        <f>IF($X107="","",INDEX('sheet2-计算明细'!$S$17:$S$330,$X107))</f>
        <v/>
      </c>
      <c r="J107" s="19">
        <f>IF($X107="","",INDEX('sheet2-计算明细'!$Y$17:$Y$330,$X107))</f>
        <v/>
      </c>
      <c r="K107" s="19">
        <f>IF($X107="","",INDEX('sheet2-计算明细'!$AC$17:$AC$330,$X107))</f>
        <v/>
      </c>
      <c r="L107" s="19">
        <f>IF($X107="","",INDEX('sheet2-计算明细'!$AI$17:$AI$330,$X107))</f>
        <v/>
      </c>
      <c r="M107" s="19">
        <f>IF($X107="","",INDEX('sheet2-计算明细'!$AK$17:$AK$330,$X107))</f>
        <v/>
      </c>
      <c r="N107" s="20">
        <f>IF(COUNT(F107:H107)=0,"",ROUND((IF(ISNUMBER(F107),F107*40%,0)+IF(ISNUMBER(G107),G107*30%,0)+IF(ISNUMBER(H107),H107*30%,0))/(IF(ISNUMBER(F107),40%,0)+IF(ISNUMBER(G107),30%,0)+IF(ISNUMBER(H107),30%,0)),2))</f>
        <v/>
      </c>
      <c r="O107" s="20">
        <f>IF(COUNT(I107:J107)=0,"",ROUND((IF(ISNUMBER(I107),I107*70%,0)+IF(ISNUMBER(J107),J107*30%,0))/(IF(ISNUMBER(I107),70%,0)+IF(ISNUMBER(J107),30%,0)),2))</f>
        <v/>
      </c>
      <c r="P107" s="20">
        <f>K107</f>
        <v/>
      </c>
      <c r="Q107" s="20">
        <f>L107</f>
        <v/>
      </c>
      <c r="R107" s="20">
        <f>M107</f>
        <v/>
      </c>
      <c r="S107" s="93">
        <f>IF($X107="","",INDEX('sheet2-计算明细'!$AQ$17:$AQ$330,$X107))</f>
        <v/>
      </c>
      <c r="T107" s="19">
        <f>IF($X107="","",INDEX('sheet2-计算明细'!$AR$17:$AR$330,$X107))</f>
        <v/>
      </c>
      <c r="U107" s="20">
        <f>IF(S107=0,"",ROUND(T107/S107,2))</f>
        <v/>
      </c>
      <c r="V107" s="20">
        <f>IF(S107=100%,T107,"")</f>
        <v/>
      </c>
      <c r="W107" s="22">
        <f>IF($X107="","",INDEX('sheet2-计算明细'!$AU$17:$AU$330,$X107))</f>
        <v/>
      </c>
      <c r="X107" s="18">
        <f>IF($A107&gt;COUNT('sheet2-计算明细'!$AT$17:$AT$330),"",MATCH($A107,'sheet2-计算明细'!$AT$17:$AT$330,0))</f>
        <v/>
      </c>
    </row>
    <row r="108" ht="28" customHeight="1" s="73">
      <c r="A108" s="2" t="n">
        <v>103</v>
      </c>
      <c r="B108" s="18">
        <f>IF($X108="","",INDEX('sheet2-计算明细'!$B$17:$B$330,$X108))</f>
        <v/>
      </c>
      <c r="C108" s="18">
        <f>IF($X108="","",INDEX('sheet2-计算明细'!$C$17:$C$330,$X108))</f>
        <v/>
      </c>
      <c r="D108" s="18">
        <f>IF($X108="","",INDEX('sheet2-计算明细'!$D$17:$D$330,$X108))</f>
        <v/>
      </c>
      <c r="E108" s="18">
        <f>IF($X108="","",INDEX('sheet2-计算明细'!$G$17:$G$330,$X108))</f>
        <v/>
      </c>
      <c r="F108" s="19">
        <f>IF($X108="","",INDEX('sheet2-计算明细'!$I$17:$I$330,$X108))</f>
        <v/>
      </c>
      <c r="G108" s="19">
        <f>IF($X108="","",INDEX('sheet2-计算明细'!$K$17:$K$330,$X108))</f>
        <v/>
      </c>
      <c r="H108" s="19">
        <f>IF($X108="","",INDEX('sheet2-计算明细'!$L$17:$L$330,$X108))</f>
        <v/>
      </c>
      <c r="I108" s="19">
        <f>IF($X108="","",INDEX('sheet2-计算明细'!$S$17:$S$330,$X108))</f>
        <v/>
      </c>
      <c r="J108" s="19">
        <f>IF($X108="","",INDEX('sheet2-计算明细'!$Y$17:$Y$330,$X108))</f>
        <v/>
      </c>
      <c r="K108" s="19">
        <f>IF($X108="","",INDEX('sheet2-计算明细'!$AC$17:$AC$330,$X108))</f>
        <v/>
      </c>
      <c r="L108" s="19">
        <f>IF($X108="","",INDEX('sheet2-计算明细'!$AI$17:$AI$330,$X108))</f>
        <v/>
      </c>
      <c r="M108" s="19">
        <f>IF($X108="","",INDEX('sheet2-计算明细'!$AK$17:$AK$330,$X108))</f>
        <v/>
      </c>
      <c r="N108" s="20">
        <f>IF(COUNT(F108:H108)=0,"",ROUND((IF(ISNUMBER(F108),F108*40%,0)+IF(ISNUMBER(G108),G108*30%,0)+IF(ISNUMBER(H108),H108*30%,0))/(IF(ISNUMBER(F108),40%,0)+IF(ISNUMBER(G108),30%,0)+IF(ISNUMBER(H108),30%,0)),2))</f>
        <v/>
      </c>
      <c r="O108" s="20">
        <f>IF(COUNT(I108:J108)=0,"",ROUND((IF(ISNUMBER(I108),I108*70%,0)+IF(ISNUMBER(J108),J108*30%,0))/(IF(ISNUMBER(I108),70%,0)+IF(ISNUMBER(J108),30%,0)),2))</f>
        <v/>
      </c>
      <c r="P108" s="20">
        <f>K108</f>
        <v/>
      </c>
      <c r="Q108" s="20">
        <f>L108</f>
        <v/>
      </c>
      <c r="R108" s="20">
        <f>M108</f>
        <v/>
      </c>
      <c r="S108" s="93">
        <f>IF($X108="","",INDEX('sheet2-计算明细'!$AQ$17:$AQ$330,$X108))</f>
        <v/>
      </c>
      <c r="T108" s="19">
        <f>IF($X108="","",INDEX('sheet2-计算明细'!$AR$17:$AR$330,$X108))</f>
        <v/>
      </c>
      <c r="U108" s="20">
        <f>IF(S108=0,"",ROUND(T108/S108,2))</f>
        <v/>
      </c>
      <c r="V108" s="20">
        <f>IF(S108=100%,T108,"")</f>
        <v/>
      </c>
      <c r="W108" s="22">
        <f>IF($X108="","",INDEX('sheet2-计算明细'!$AU$17:$AU$330,$X108))</f>
        <v/>
      </c>
      <c r="X108" s="18">
        <f>IF($A108&gt;COUNT('sheet2-计算明细'!$AT$17:$AT$330),"",MATCH($A108,'sheet2-计算明细'!$AT$17:$AT$330,0))</f>
        <v/>
      </c>
    </row>
    <row r="109" ht="28" customHeight="1" s="73">
      <c r="A109" s="2" t="n">
        <v>104</v>
      </c>
      <c r="B109" s="18">
        <f>IF($X109="","",INDEX('sheet2-计算明细'!$B$17:$B$330,$X109))</f>
        <v/>
      </c>
      <c r="C109" s="18">
        <f>IF($X109="","",INDEX('sheet2-计算明细'!$C$17:$C$330,$X109))</f>
        <v/>
      </c>
      <c r="D109" s="18">
        <f>IF($X109="","",INDEX('sheet2-计算明细'!$D$17:$D$330,$X109))</f>
        <v/>
      </c>
      <c r="E109" s="18">
        <f>IF($X109="","",INDEX('sheet2-计算明细'!$G$17:$G$330,$X109))</f>
        <v/>
      </c>
      <c r="F109" s="19">
        <f>IF($X109="","",INDEX('sheet2-计算明细'!$I$17:$I$330,$X109))</f>
        <v/>
      </c>
      <c r="G109" s="19">
        <f>IF($X109="","",INDEX('sheet2-计算明细'!$K$17:$K$330,$X109))</f>
        <v/>
      </c>
      <c r="H109" s="19">
        <f>IF($X109="","",INDEX('sheet2-计算明细'!$L$17:$L$330,$X109))</f>
        <v/>
      </c>
      <c r="I109" s="19">
        <f>IF($X109="","",INDEX('sheet2-计算明细'!$S$17:$S$330,$X109))</f>
        <v/>
      </c>
      <c r="J109" s="19">
        <f>IF($X109="","",INDEX('sheet2-计算明细'!$Y$17:$Y$330,$X109))</f>
        <v/>
      </c>
      <c r="K109" s="19">
        <f>IF($X109="","",INDEX('sheet2-计算明细'!$AC$17:$AC$330,$X109))</f>
        <v/>
      </c>
      <c r="L109" s="19">
        <f>IF($X109="","",INDEX('sheet2-计算明细'!$AI$17:$AI$330,$X109))</f>
        <v/>
      </c>
      <c r="M109" s="19">
        <f>IF($X109="","",INDEX('sheet2-计算明细'!$AK$17:$AK$330,$X109))</f>
        <v/>
      </c>
      <c r="N109" s="20">
        <f>IF(COUNT(F109:H109)=0,"",ROUND((IF(ISNUMBER(F109),F109*40%,0)+IF(ISNUMBER(G109),G109*30%,0)+IF(ISNUMBER(H109),H109*30%,0))/(IF(ISNUMBER(F109),40%,0)+IF(ISNUMBER(G109),30%,0)+IF(ISNUMBER(H109),30%,0)),2))</f>
        <v/>
      </c>
      <c r="O109" s="20">
        <f>IF(COUNT(I109:J109)=0,"",ROUND((IF(ISNUMBER(I109),I109*70%,0)+IF(ISNUMBER(J109),J109*30%,0))/(IF(ISNUMBER(I109),70%,0)+IF(ISNUMBER(J109),30%,0)),2))</f>
        <v/>
      </c>
      <c r="P109" s="20">
        <f>K109</f>
        <v/>
      </c>
      <c r="Q109" s="20">
        <f>L109</f>
        <v/>
      </c>
      <c r="R109" s="20">
        <f>M109</f>
        <v/>
      </c>
      <c r="S109" s="93">
        <f>IF($X109="","",INDEX('sheet2-计算明细'!$AQ$17:$AQ$330,$X109))</f>
        <v/>
      </c>
      <c r="T109" s="19">
        <f>IF($X109="","",INDEX('sheet2-计算明细'!$AR$17:$AR$330,$X109))</f>
        <v/>
      </c>
      <c r="U109" s="20">
        <f>IF(S109=0,"",ROUND(T109/S109,2))</f>
        <v/>
      </c>
      <c r="V109" s="20">
        <f>IF(S109=100%,T109,"")</f>
        <v/>
      </c>
      <c r="W109" s="22">
        <f>IF($X109="","",INDEX('sheet2-计算明细'!$AU$17:$AU$330,$X109))</f>
        <v/>
      </c>
      <c r="X109" s="18">
        <f>IF($A109&gt;COUNT('sheet2-计算明细'!$AT$17:$AT$330),"",MATCH($A109,'sheet2-计算明细'!$AT$17:$AT$330,0))</f>
        <v/>
      </c>
    </row>
    <row r="110" ht="28" customHeight="1" s="73">
      <c r="A110" s="2" t="n">
        <v>105</v>
      </c>
      <c r="B110" s="18">
        <f>IF($X110="","",INDEX('sheet2-计算明细'!$B$17:$B$330,$X110))</f>
        <v/>
      </c>
      <c r="C110" s="18">
        <f>IF($X110="","",INDEX('sheet2-计算明细'!$C$17:$C$330,$X110))</f>
        <v/>
      </c>
      <c r="D110" s="18">
        <f>IF($X110="","",INDEX('sheet2-计算明细'!$D$17:$D$330,$X110))</f>
        <v/>
      </c>
      <c r="E110" s="18">
        <f>IF($X110="","",INDEX('sheet2-计算明细'!$G$17:$G$330,$X110))</f>
        <v/>
      </c>
      <c r="F110" s="19">
        <f>IF($X110="","",INDEX('sheet2-计算明细'!$I$17:$I$330,$X110))</f>
        <v/>
      </c>
      <c r="G110" s="19">
        <f>IF($X110="","",INDEX('sheet2-计算明细'!$K$17:$K$330,$X110))</f>
        <v/>
      </c>
      <c r="H110" s="19">
        <f>IF($X110="","",INDEX('sheet2-计算明细'!$L$17:$L$330,$X110))</f>
        <v/>
      </c>
      <c r="I110" s="19">
        <f>IF($X110="","",INDEX('sheet2-计算明细'!$S$17:$S$330,$X110))</f>
        <v/>
      </c>
      <c r="J110" s="19">
        <f>IF($X110="","",INDEX('sheet2-计算明细'!$Y$17:$Y$330,$X110))</f>
        <v/>
      </c>
      <c r="K110" s="19">
        <f>IF($X110="","",INDEX('sheet2-计算明细'!$AC$17:$AC$330,$X110))</f>
        <v/>
      </c>
      <c r="L110" s="19">
        <f>IF($X110="","",INDEX('sheet2-计算明细'!$AI$17:$AI$330,$X110))</f>
        <v/>
      </c>
      <c r="M110" s="19">
        <f>IF($X110="","",INDEX('sheet2-计算明细'!$AK$17:$AK$330,$X110))</f>
        <v/>
      </c>
      <c r="N110" s="20">
        <f>IF(COUNT(F110:H110)=0,"",ROUND((IF(ISNUMBER(F110),F110*40%,0)+IF(ISNUMBER(G110),G110*30%,0)+IF(ISNUMBER(H110),H110*30%,0))/(IF(ISNUMBER(F110),40%,0)+IF(ISNUMBER(G110),30%,0)+IF(ISNUMBER(H110),30%,0)),2))</f>
        <v/>
      </c>
      <c r="O110" s="20">
        <f>IF(COUNT(I110:J110)=0,"",ROUND((IF(ISNUMBER(I110),I110*70%,0)+IF(ISNUMBER(J110),J110*30%,0))/(IF(ISNUMBER(I110),70%,0)+IF(ISNUMBER(J110),30%,0)),2))</f>
        <v/>
      </c>
      <c r="P110" s="20">
        <f>K110</f>
        <v/>
      </c>
      <c r="Q110" s="20">
        <f>L110</f>
        <v/>
      </c>
      <c r="R110" s="20">
        <f>M110</f>
        <v/>
      </c>
      <c r="S110" s="93">
        <f>IF($X110="","",INDEX('sheet2-计算明细'!$AQ$17:$AQ$330,$X110))</f>
        <v/>
      </c>
      <c r="T110" s="19">
        <f>IF($X110="","",INDEX('sheet2-计算明细'!$AR$17:$AR$330,$X110))</f>
        <v/>
      </c>
      <c r="U110" s="20">
        <f>IF(S110=0,"",ROUND(T110/S110,2))</f>
        <v/>
      </c>
      <c r="V110" s="20">
        <f>IF(S110=100%,T110,"")</f>
        <v/>
      </c>
      <c r="W110" s="22">
        <f>IF($X110="","",INDEX('sheet2-计算明细'!$AU$17:$AU$330,$X110))</f>
        <v/>
      </c>
      <c r="X110" s="18">
        <f>IF($A110&gt;COUNT('sheet2-计算明细'!$AT$17:$AT$330),"",MATCH($A110,'sheet2-计算明细'!$AT$17:$AT$330,0))</f>
        <v/>
      </c>
    </row>
    <row r="111" ht="28" customHeight="1" s="73">
      <c r="A111" s="2" t="n">
        <v>106</v>
      </c>
      <c r="B111" s="18">
        <f>IF($X111="","",INDEX('sheet2-计算明细'!$B$17:$B$330,$X111))</f>
        <v/>
      </c>
      <c r="C111" s="18">
        <f>IF($X111="","",INDEX('sheet2-计算明细'!$C$17:$C$330,$X111))</f>
        <v/>
      </c>
      <c r="D111" s="18">
        <f>IF($X111="","",INDEX('sheet2-计算明细'!$D$17:$D$330,$X111))</f>
        <v/>
      </c>
      <c r="E111" s="18">
        <f>IF($X111="","",INDEX('sheet2-计算明细'!$G$17:$G$330,$X111))</f>
        <v/>
      </c>
      <c r="F111" s="19">
        <f>IF($X111="","",INDEX('sheet2-计算明细'!$I$17:$I$330,$X111))</f>
        <v/>
      </c>
      <c r="G111" s="19">
        <f>IF($X111="","",INDEX('sheet2-计算明细'!$K$17:$K$330,$X111))</f>
        <v/>
      </c>
      <c r="H111" s="19">
        <f>IF($X111="","",INDEX('sheet2-计算明细'!$L$17:$L$330,$X111))</f>
        <v/>
      </c>
      <c r="I111" s="19">
        <f>IF($X111="","",INDEX('sheet2-计算明细'!$S$17:$S$330,$X111))</f>
        <v/>
      </c>
      <c r="J111" s="19">
        <f>IF($X111="","",INDEX('sheet2-计算明细'!$Y$17:$Y$330,$X111))</f>
        <v/>
      </c>
      <c r="K111" s="19">
        <f>IF($X111="","",INDEX('sheet2-计算明细'!$AC$17:$AC$330,$X111))</f>
        <v/>
      </c>
      <c r="L111" s="19">
        <f>IF($X111="","",INDEX('sheet2-计算明细'!$AI$17:$AI$330,$X111))</f>
        <v/>
      </c>
      <c r="M111" s="19">
        <f>IF($X111="","",INDEX('sheet2-计算明细'!$AK$17:$AK$330,$X111))</f>
        <v/>
      </c>
      <c r="N111" s="20">
        <f>IF(COUNT(F111:H111)=0,"",ROUND((IF(ISNUMBER(F111),F111*40%,0)+IF(ISNUMBER(G111),G111*30%,0)+IF(ISNUMBER(H111),H111*30%,0))/(IF(ISNUMBER(F111),40%,0)+IF(ISNUMBER(G111),30%,0)+IF(ISNUMBER(H111),30%,0)),2))</f>
        <v/>
      </c>
      <c r="O111" s="20">
        <f>IF(COUNT(I111:J111)=0,"",ROUND((IF(ISNUMBER(I111),I111*70%,0)+IF(ISNUMBER(J111),J111*30%,0))/(IF(ISNUMBER(I111),70%,0)+IF(ISNUMBER(J111),30%,0)),2))</f>
        <v/>
      </c>
      <c r="P111" s="20">
        <f>K111</f>
        <v/>
      </c>
      <c r="Q111" s="20">
        <f>L111</f>
        <v/>
      </c>
      <c r="R111" s="20">
        <f>M111</f>
        <v/>
      </c>
      <c r="S111" s="93">
        <f>IF($X111="","",INDEX('sheet2-计算明细'!$AQ$17:$AQ$330,$X111))</f>
        <v/>
      </c>
      <c r="T111" s="19">
        <f>IF($X111="","",INDEX('sheet2-计算明细'!$AR$17:$AR$330,$X111))</f>
        <v/>
      </c>
      <c r="U111" s="20">
        <f>IF(S111=0,"",ROUND(T111/S111,2))</f>
        <v/>
      </c>
      <c r="V111" s="20">
        <f>IF(S111=100%,T111,"")</f>
        <v/>
      </c>
      <c r="W111" s="22">
        <f>IF($X111="","",INDEX('sheet2-计算明细'!$AU$17:$AU$330,$X111))</f>
        <v/>
      </c>
      <c r="X111" s="18">
        <f>IF($A111&gt;COUNT('sheet2-计算明细'!$AT$17:$AT$330),"",MATCH($A111,'sheet2-计算明细'!$AT$17:$AT$330,0))</f>
        <v/>
      </c>
    </row>
    <row r="112" ht="28" customHeight="1" s="73">
      <c r="A112" s="2" t="n">
        <v>107</v>
      </c>
      <c r="B112" s="18">
        <f>IF($X112="","",INDEX('sheet2-计算明细'!$B$17:$B$330,$X112))</f>
        <v/>
      </c>
      <c r="C112" s="18">
        <f>IF($X112="","",INDEX('sheet2-计算明细'!$C$17:$C$330,$X112))</f>
        <v/>
      </c>
      <c r="D112" s="18">
        <f>IF($X112="","",INDEX('sheet2-计算明细'!$D$17:$D$330,$X112))</f>
        <v/>
      </c>
      <c r="E112" s="18">
        <f>IF($X112="","",INDEX('sheet2-计算明细'!$G$17:$G$330,$X112))</f>
        <v/>
      </c>
      <c r="F112" s="19">
        <f>IF($X112="","",INDEX('sheet2-计算明细'!$I$17:$I$330,$X112))</f>
        <v/>
      </c>
      <c r="G112" s="19">
        <f>IF($X112="","",INDEX('sheet2-计算明细'!$K$17:$K$330,$X112))</f>
        <v/>
      </c>
      <c r="H112" s="19">
        <f>IF($X112="","",INDEX('sheet2-计算明细'!$L$17:$L$330,$X112))</f>
        <v/>
      </c>
      <c r="I112" s="19">
        <f>IF($X112="","",INDEX('sheet2-计算明细'!$S$17:$S$330,$X112))</f>
        <v/>
      </c>
      <c r="J112" s="19">
        <f>IF($X112="","",INDEX('sheet2-计算明细'!$Y$17:$Y$330,$X112))</f>
        <v/>
      </c>
      <c r="K112" s="19">
        <f>IF($X112="","",INDEX('sheet2-计算明细'!$AC$17:$AC$330,$X112))</f>
        <v/>
      </c>
      <c r="L112" s="19">
        <f>IF($X112="","",INDEX('sheet2-计算明细'!$AI$17:$AI$330,$X112))</f>
        <v/>
      </c>
      <c r="M112" s="19">
        <f>IF($X112="","",INDEX('sheet2-计算明细'!$AK$17:$AK$330,$X112))</f>
        <v/>
      </c>
      <c r="N112" s="20">
        <f>IF(COUNT(F112:H112)=0,"",ROUND((IF(ISNUMBER(F112),F112*40%,0)+IF(ISNUMBER(G112),G112*30%,0)+IF(ISNUMBER(H112),H112*30%,0))/(IF(ISNUMBER(F112),40%,0)+IF(ISNUMBER(G112),30%,0)+IF(ISNUMBER(H112),30%,0)),2))</f>
        <v/>
      </c>
      <c r="O112" s="20">
        <f>IF(COUNT(I112:J112)=0,"",ROUND((IF(ISNUMBER(I112),I112*70%,0)+IF(ISNUMBER(J112),J112*30%,0))/(IF(ISNUMBER(I112),70%,0)+IF(ISNUMBER(J112),30%,0)),2))</f>
        <v/>
      </c>
      <c r="P112" s="20">
        <f>K112</f>
        <v/>
      </c>
      <c r="Q112" s="20">
        <f>L112</f>
        <v/>
      </c>
      <c r="R112" s="20">
        <f>M112</f>
        <v/>
      </c>
      <c r="S112" s="93">
        <f>IF($X112="","",INDEX('sheet2-计算明细'!$AQ$17:$AQ$330,$X112))</f>
        <v/>
      </c>
      <c r="T112" s="19">
        <f>IF($X112="","",INDEX('sheet2-计算明细'!$AR$17:$AR$330,$X112))</f>
        <v/>
      </c>
      <c r="U112" s="20">
        <f>IF(S112=0,"",ROUND(T112/S112,2))</f>
        <v/>
      </c>
      <c r="V112" s="20">
        <f>IF(S112=100%,T112,"")</f>
        <v/>
      </c>
      <c r="W112" s="22">
        <f>IF($X112="","",INDEX('sheet2-计算明细'!$AU$17:$AU$330,$X112))</f>
        <v/>
      </c>
      <c r="X112" s="18">
        <f>IF($A112&gt;COUNT('sheet2-计算明细'!$AT$17:$AT$330),"",MATCH($A112,'sheet2-计算明细'!$AT$17:$AT$330,0))</f>
        <v/>
      </c>
    </row>
    <row r="113" ht="28" customHeight="1" s="73">
      <c r="A113" s="2" t="n">
        <v>108</v>
      </c>
      <c r="B113" s="18">
        <f>IF($X113="","",INDEX('sheet2-计算明细'!$B$17:$B$330,$X113))</f>
        <v/>
      </c>
      <c r="C113" s="18">
        <f>IF($X113="","",INDEX('sheet2-计算明细'!$C$17:$C$330,$X113))</f>
        <v/>
      </c>
      <c r="D113" s="18">
        <f>IF($X113="","",INDEX('sheet2-计算明细'!$D$17:$D$330,$X113))</f>
        <v/>
      </c>
      <c r="E113" s="18">
        <f>IF($X113="","",INDEX('sheet2-计算明细'!$G$17:$G$330,$X113))</f>
        <v/>
      </c>
      <c r="F113" s="19">
        <f>IF($X113="","",INDEX('sheet2-计算明细'!$I$17:$I$330,$X113))</f>
        <v/>
      </c>
      <c r="G113" s="19">
        <f>IF($X113="","",INDEX('sheet2-计算明细'!$K$17:$K$330,$X113))</f>
        <v/>
      </c>
      <c r="H113" s="19">
        <f>IF($X113="","",INDEX('sheet2-计算明细'!$L$17:$L$330,$X113))</f>
        <v/>
      </c>
      <c r="I113" s="19">
        <f>IF($X113="","",INDEX('sheet2-计算明细'!$S$17:$S$330,$X113))</f>
        <v/>
      </c>
      <c r="J113" s="19">
        <f>IF($X113="","",INDEX('sheet2-计算明细'!$Y$17:$Y$330,$X113))</f>
        <v/>
      </c>
      <c r="K113" s="19">
        <f>IF($X113="","",INDEX('sheet2-计算明细'!$AC$17:$AC$330,$X113))</f>
        <v/>
      </c>
      <c r="L113" s="19">
        <f>IF($X113="","",INDEX('sheet2-计算明细'!$AI$17:$AI$330,$X113))</f>
        <v/>
      </c>
      <c r="M113" s="19">
        <f>IF($X113="","",INDEX('sheet2-计算明细'!$AK$17:$AK$330,$X113))</f>
        <v/>
      </c>
      <c r="N113" s="20">
        <f>IF(COUNT(F113:H113)=0,"",ROUND((IF(ISNUMBER(F113),F113*40%,0)+IF(ISNUMBER(G113),G113*30%,0)+IF(ISNUMBER(H113),H113*30%,0))/(IF(ISNUMBER(F113),40%,0)+IF(ISNUMBER(G113),30%,0)+IF(ISNUMBER(H113),30%,0)),2))</f>
        <v/>
      </c>
      <c r="O113" s="20">
        <f>IF(COUNT(I113:J113)=0,"",ROUND((IF(ISNUMBER(I113),I113*70%,0)+IF(ISNUMBER(J113),J113*30%,0))/(IF(ISNUMBER(I113),70%,0)+IF(ISNUMBER(J113),30%,0)),2))</f>
        <v/>
      </c>
      <c r="P113" s="20">
        <f>K113</f>
        <v/>
      </c>
      <c r="Q113" s="20">
        <f>L113</f>
        <v/>
      </c>
      <c r="R113" s="20">
        <f>M113</f>
        <v/>
      </c>
      <c r="S113" s="93">
        <f>IF($X113="","",INDEX('sheet2-计算明细'!$AQ$17:$AQ$330,$X113))</f>
        <v/>
      </c>
      <c r="T113" s="19">
        <f>IF($X113="","",INDEX('sheet2-计算明细'!$AR$17:$AR$330,$X113))</f>
        <v/>
      </c>
      <c r="U113" s="20">
        <f>IF(S113=0,"",ROUND(T113/S113,2))</f>
        <v/>
      </c>
      <c r="V113" s="20">
        <f>IF(S113=100%,T113,"")</f>
        <v/>
      </c>
      <c r="W113" s="22">
        <f>IF($X113="","",INDEX('sheet2-计算明细'!$AU$17:$AU$330,$X113))</f>
        <v/>
      </c>
      <c r="X113" s="18">
        <f>IF($A113&gt;COUNT('sheet2-计算明细'!$AT$17:$AT$330),"",MATCH($A113,'sheet2-计算明细'!$AT$17:$AT$330,0))</f>
        <v/>
      </c>
    </row>
    <row r="114" ht="28" customHeight="1" s="73">
      <c r="A114" s="2" t="n">
        <v>109</v>
      </c>
      <c r="B114" s="18">
        <f>IF($X114="","",INDEX('sheet2-计算明细'!$B$17:$B$330,$X114))</f>
        <v/>
      </c>
      <c r="C114" s="18">
        <f>IF($X114="","",INDEX('sheet2-计算明细'!$C$17:$C$330,$X114))</f>
        <v/>
      </c>
      <c r="D114" s="18">
        <f>IF($X114="","",INDEX('sheet2-计算明细'!$D$17:$D$330,$X114))</f>
        <v/>
      </c>
      <c r="E114" s="18">
        <f>IF($X114="","",INDEX('sheet2-计算明细'!$G$17:$G$330,$X114))</f>
        <v/>
      </c>
      <c r="F114" s="19">
        <f>IF($X114="","",INDEX('sheet2-计算明细'!$I$17:$I$330,$X114))</f>
        <v/>
      </c>
      <c r="G114" s="19">
        <f>IF($X114="","",INDEX('sheet2-计算明细'!$K$17:$K$330,$X114))</f>
        <v/>
      </c>
      <c r="H114" s="19">
        <f>IF($X114="","",INDEX('sheet2-计算明细'!$L$17:$L$330,$X114))</f>
        <v/>
      </c>
      <c r="I114" s="19">
        <f>IF($X114="","",INDEX('sheet2-计算明细'!$S$17:$S$330,$X114))</f>
        <v/>
      </c>
      <c r="J114" s="19">
        <f>IF($X114="","",INDEX('sheet2-计算明细'!$Y$17:$Y$330,$X114))</f>
        <v/>
      </c>
      <c r="K114" s="19">
        <f>IF($X114="","",INDEX('sheet2-计算明细'!$AC$17:$AC$330,$X114))</f>
        <v/>
      </c>
      <c r="L114" s="19">
        <f>IF($X114="","",INDEX('sheet2-计算明细'!$AI$17:$AI$330,$X114))</f>
        <v/>
      </c>
      <c r="M114" s="19">
        <f>IF($X114="","",INDEX('sheet2-计算明细'!$AK$17:$AK$330,$X114))</f>
        <v/>
      </c>
      <c r="N114" s="20">
        <f>IF(COUNT(F114:H114)=0,"",ROUND((IF(ISNUMBER(F114),F114*40%,0)+IF(ISNUMBER(G114),G114*30%,0)+IF(ISNUMBER(H114),H114*30%,0))/(IF(ISNUMBER(F114),40%,0)+IF(ISNUMBER(G114),30%,0)+IF(ISNUMBER(H114),30%,0)),2))</f>
        <v/>
      </c>
      <c r="O114" s="20">
        <f>IF(COUNT(I114:J114)=0,"",ROUND((IF(ISNUMBER(I114),I114*70%,0)+IF(ISNUMBER(J114),J114*30%,0))/(IF(ISNUMBER(I114),70%,0)+IF(ISNUMBER(J114),30%,0)),2))</f>
        <v/>
      </c>
      <c r="P114" s="20">
        <f>K114</f>
        <v/>
      </c>
      <c r="Q114" s="20">
        <f>L114</f>
        <v/>
      </c>
      <c r="R114" s="20">
        <f>M114</f>
        <v/>
      </c>
      <c r="S114" s="93">
        <f>IF($X114="","",INDEX('sheet2-计算明细'!$AQ$17:$AQ$330,$X114))</f>
        <v/>
      </c>
      <c r="T114" s="19">
        <f>IF($X114="","",INDEX('sheet2-计算明细'!$AR$17:$AR$330,$X114))</f>
        <v/>
      </c>
      <c r="U114" s="20">
        <f>IF(S114=0,"",ROUND(T114/S114,2))</f>
        <v/>
      </c>
      <c r="V114" s="20">
        <f>IF(S114=100%,T114,"")</f>
        <v/>
      </c>
      <c r="W114" s="22">
        <f>IF($X114="","",INDEX('sheet2-计算明细'!$AU$17:$AU$330,$X114))</f>
        <v/>
      </c>
      <c r="X114" s="18">
        <f>IF($A114&gt;COUNT('sheet2-计算明细'!$AT$17:$AT$330),"",MATCH($A114,'sheet2-计算明细'!$AT$17:$AT$330,0))</f>
        <v/>
      </c>
    </row>
    <row r="115" ht="28" customHeight="1" s="73">
      <c r="A115" s="2" t="n">
        <v>110</v>
      </c>
      <c r="B115" s="18">
        <f>IF($X115="","",INDEX('sheet2-计算明细'!$B$17:$B$330,$X115))</f>
        <v/>
      </c>
      <c r="C115" s="18">
        <f>IF($X115="","",INDEX('sheet2-计算明细'!$C$17:$C$330,$X115))</f>
        <v/>
      </c>
      <c r="D115" s="18">
        <f>IF($X115="","",INDEX('sheet2-计算明细'!$D$17:$D$330,$X115))</f>
        <v/>
      </c>
      <c r="E115" s="18">
        <f>IF($X115="","",INDEX('sheet2-计算明细'!$G$17:$G$330,$X115))</f>
        <v/>
      </c>
      <c r="F115" s="19">
        <f>IF($X115="","",INDEX('sheet2-计算明细'!$I$17:$I$330,$X115))</f>
        <v/>
      </c>
      <c r="G115" s="19">
        <f>IF($X115="","",INDEX('sheet2-计算明细'!$K$17:$K$330,$X115))</f>
        <v/>
      </c>
      <c r="H115" s="19">
        <f>IF($X115="","",INDEX('sheet2-计算明细'!$L$17:$L$330,$X115))</f>
        <v/>
      </c>
      <c r="I115" s="19">
        <f>IF($X115="","",INDEX('sheet2-计算明细'!$S$17:$S$330,$X115))</f>
        <v/>
      </c>
      <c r="J115" s="19">
        <f>IF($X115="","",INDEX('sheet2-计算明细'!$Y$17:$Y$330,$X115))</f>
        <v/>
      </c>
      <c r="K115" s="19">
        <f>IF($X115="","",INDEX('sheet2-计算明细'!$AC$17:$AC$330,$X115))</f>
        <v/>
      </c>
      <c r="L115" s="19">
        <f>IF($X115="","",INDEX('sheet2-计算明细'!$AI$17:$AI$330,$X115))</f>
        <v/>
      </c>
      <c r="M115" s="19">
        <f>IF($X115="","",INDEX('sheet2-计算明细'!$AK$17:$AK$330,$X115))</f>
        <v/>
      </c>
      <c r="N115" s="20">
        <f>IF(COUNT(F115:H115)=0,"",ROUND((IF(ISNUMBER(F115),F115*40%,0)+IF(ISNUMBER(G115),G115*30%,0)+IF(ISNUMBER(H115),H115*30%,0))/(IF(ISNUMBER(F115),40%,0)+IF(ISNUMBER(G115),30%,0)+IF(ISNUMBER(H115),30%,0)),2))</f>
        <v/>
      </c>
      <c r="O115" s="20">
        <f>IF(COUNT(I115:J115)=0,"",ROUND((IF(ISNUMBER(I115),I115*70%,0)+IF(ISNUMBER(J115),J115*30%,0))/(IF(ISNUMBER(I115),70%,0)+IF(ISNUMBER(J115),30%,0)),2))</f>
        <v/>
      </c>
      <c r="P115" s="20">
        <f>K115</f>
        <v/>
      </c>
      <c r="Q115" s="20">
        <f>L115</f>
        <v/>
      </c>
      <c r="R115" s="20">
        <f>M115</f>
        <v/>
      </c>
      <c r="S115" s="93">
        <f>IF($X115="","",INDEX('sheet2-计算明细'!$AQ$17:$AQ$330,$X115))</f>
        <v/>
      </c>
      <c r="T115" s="19">
        <f>IF($X115="","",INDEX('sheet2-计算明细'!$AR$17:$AR$330,$X115))</f>
        <v/>
      </c>
      <c r="U115" s="20">
        <f>IF(S115=0,"",ROUND(T115/S115,2))</f>
        <v/>
      </c>
      <c r="V115" s="20">
        <f>IF(S115=100%,T115,"")</f>
        <v/>
      </c>
      <c r="W115" s="22">
        <f>IF($X115="","",INDEX('sheet2-计算明细'!$AU$17:$AU$330,$X115))</f>
        <v/>
      </c>
      <c r="X115" s="18">
        <f>IF($A115&gt;COUNT('sheet2-计算明细'!$AT$17:$AT$330),"",MATCH($A115,'sheet2-计算明细'!$AT$17:$AT$330,0))</f>
        <v/>
      </c>
    </row>
    <row r="116" ht="28" customHeight="1" s="73">
      <c r="A116" s="2" t="n">
        <v>111</v>
      </c>
      <c r="B116" s="18">
        <f>IF($X116="","",INDEX('sheet2-计算明细'!$B$17:$B$330,$X116))</f>
        <v/>
      </c>
      <c r="C116" s="18">
        <f>IF($X116="","",INDEX('sheet2-计算明细'!$C$17:$C$330,$X116))</f>
        <v/>
      </c>
      <c r="D116" s="18">
        <f>IF($X116="","",INDEX('sheet2-计算明细'!$D$17:$D$330,$X116))</f>
        <v/>
      </c>
      <c r="E116" s="18">
        <f>IF($X116="","",INDEX('sheet2-计算明细'!$G$17:$G$330,$X116))</f>
        <v/>
      </c>
      <c r="F116" s="19">
        <f>IF($X116="","",INDEX('sheet2-计算明细'!$I$17:$I$330,$X116))</f>
        <v/>
      </c>
      <c r="G116" s="19">
        <f>IF($X116="","",INDEX('sheet2-计算明细'!$K$17:$K$330,$X116))</f>
        <v/>
      </c>
      <c r="H116" s="19">
        <f>IF($X116="","",INDEX('sheet2-计算明细'!$L$17:$L$330,$X116))</f>
        <v/>
      </c>
      <c r="I116" s="19">
        <f>IF($X116="","",INDEX('sheet2-计算明细'!$S$17:$S$330,$X116))</f>
        <v/>
      </c>
      <c r="J116" s="19">
        <f>IF($X116="","",INDEX('sheet2-计算明细'!$Y$17:$Y$330,$X116))</f>
        <v/>
      </c>
      <c r="K116" s="19">
        <f>IF($X116="","",INDEX('sheet2-计算明细'!$AC$17:$AC$330,$X116))</f>
        <v/>
      </c>
      <c r="L116" s="19">
        <f>IF($X116="","",INDEX('sheet2-计算明细'!$AI$17:$AI$330,$X116))</f>
        <v/>
      </c>
      <c r="M116" s="19">
        <f>IF($X116="","",INDEX('sheet2-计算明细'!$AK$17:$AK$330,$X116))</f>
        <v/>
      </c>
      <c r="N116" s="20">
        <f>IF(COUNT(F116:H116)=0,"",ROUND((IF(ISNUMBER(F116),F116*40%,0)+IF(ISNUMBER(G116),G116*30%,0)+IF(ISNUMBER(H116),H116*30%,0))/(IF(ISNUMBER(F116),40%,0)+IF(ISNUMBER(G116),30%,0)+IF(ISNUMBER(H116),30%,0)),2))</f>
        <v/>
      </c>
      <c r="O116" s="20">
        <f>IF(COUNT(I116:J116)=0,"",ROUND((IF(ISNUMBER(I116),I116*70%,0)+IF(ISNUMBER(J116),J116*30%,0))/(IF(ISNUMBER(I116),70%,0)+IF(ISNUMBER(J116),30%,0)),2))</f>
        <v/>
      </c>
      <c r="P116" s="20">
        <f>K116</f>
        <v/>
      </c>
      <c r="Q116" s="20">
        <f>L116</f>
        <v/>
      </c>
      <c r="R116" s="20">
        <f>M116</f>
        <v/>
      </c>
      <c r="S116" s="93">
        <f>IF($X116="","",INDEX('sheet2-计算明细'!$AQ$17:$AQ$330,$X116))</f>
        <v/>
      </c>
      <c r="T116" s="19">
        <f>IF($X116="","",INDEX('sheet2-计算明细'!$AR$17:$AR$330,$X116))</f>
        <v/>
      </c>
      <c r="U116" s="20">
        <f>IF(S116=0,"",ROUND(T116/S116,2))</f>
        <v/>
      </c>
      <c r="V116" s="20">
        <f>IF(S116=100%,T116,"")</f>
        <v/>
      </c>
      <c r="W116" s="22">
        <f>IF($X116="","",INDEX('sheet2-计算明细'!$AU$17:$AU$330,$X116))</f>
        <v/>
      </c>
      <c r="X116" s="18">
        <f>IF($A116&gt;COUNT('sheet2-计算明细'!$AT$17:$AT$330),"",MATCH($A116,'sheet2-计算明细'!$AT$17:$AT$330,0))</f>
        <v/>
      </c>
    </row>
    <row r="117" ht="28" customHeight="1" s="73">
      <c r="A117" s="2" t="n">
        <v>112</v>
      </c>
      <c r="B117" s="18">
        <f>IF($X117="","",INDEX('sheet2-计算明细'!$B$17:$B$330,$X117))</f>
        <v/>
      </c>
      <c r="C117" s="18">
        <f>IF($X117="","",INDEX('sheet2-计算明细'!$C$17:$C$330,$X117))</f>
        <v/>
      </c>
      <c r="D117" s="18">
        <f>IF($X117="","",INDEX('sheet2-计算明细'!$D$17:$D$330,$X117))</f>
        <v/>
      </c>
      <c r="E117" s="18">
        <f>IF($X117="","",INDEX('sheet2-计算明细'!$G$17:$G$330,$X117))</f>
        <v/>
      </c>
      <c r="F117" s="19">
        <f>IF($X117="","",INDEX('sheet2-计算明细'!$I$17:$I$330,$X117))</f>
        <v/>
      </c>
      <c r="G117" s="19">
        <f>IF($X117="","",INDEX('sheet2-计算明细'!$K$17:$K$330,$X117))</f>
        <v/>
      </c>
      <c r="H117" s="19">
        <f>IF($X117="","",INDEX('sheet2-计算明细'!$L$17:$L$330,$X117))</f>
        <v/>
      </c>
      <c r="I117" s="19">
        <f>IF($X117="","",INDEX('sheet2-计算明细'!$S$17:$S$330,$X117))</f>
        <v/>
      </c>
      <c r="J117" s="19">
        <f>IF($X117="","",INDEX('sheet2-计算明细'!$Y$17:$Y$330,$X117))</f>
        <v/>
      </c>
      <c r="K117" s="19">
        <f>IF($X117="","",INDEX('sheet2-计算明细'!$AC$17:$AC$330,$X117))</f>
        <v/>
      </c>
      <c r="L117" s="19">
        <f>IF($X117="","",INDEX('sheet2-计算明细'!$AI$17:$AI$330,$X117))</f>
        <v/>
      </c>
      <c r="M117" s="19">
        <f>IF($X117="","",INDEX('sheet2-计算明细'!$AK$17:$AK$330,$X117))</f>
        <v/>
      </c>
      <c r="N117" s="20">
        <f>IF(COUNT(F117:H117)=0,"",ROUND((IF(ISNUMBER(F117),F117*40%,0)+IF(ISNUMBER(G117),G117*30%,0)+IF(ISNUMBER(H117),H117*30%,0))/(IF(ISNUMBER(F117),40%,0)+IF(ISNUMBER(G117),30%,0)+IF(ISNUMBER(H117),30%,0)),2))</f>
        <v/>
      </c>
      <c r="O117" s="20">
        <f>IF(COUNT(I117:J117)=0,"",ROUND((IF(ISNUMBER(I117),I117*70%,0)+IF(ISNUMBER(J117),J117*30%,0))/(IF(ISNUMBER(I117),70%,0)+IF(ISNUMBER(J117),30%,0)),2))</f>
        <v/>
      </c>
      <c r="P117" s="20">
        <f>K117</f>
        <v/>
      </c>
      <c r="Q117" s="20">
        <f>L117</f>
        <v/>
      </c>
      <c r="R117" s="20">
        <f>M117</f>
        <v/>
      </c>
      <c r="S117" s="93">
        <f>IF($X117="","",INDEX('sheet2-计算明细'!$AQ$17:$AQ$330,$X117))</f>
        <v/>
      </c>
      <c r="T117" s="19">
        <f>IF($X117="","",INDEX('sheet2-计算明细'!$AR$17:$AR$330,$X117))</f>
        <v/>
      </c>
      <c r="U117" s="20">
        <f>IF(S117=0,"",ROUND(T117/S117,2))</f>
        <v/>
      </c>
      <c r="V117" s="20">
        <f>IF(S117=100%,T117,"")</f>
        <v/>
      </c>
      <c r="W117" s="22">
        <f>IF($X117="","",INDEX('sheet2-计算明细'!$AU$17:$AU$330,$X117))</f>
        <v/>
      </c>
      <c r="X117" s="18">
        <f>IF($A117&gt;COUNT('sheet2-计算明细'!$AT$17:$AT$330),"",MATCH($A117,'sheet2-计算明细'!$AT$17:$AT$330,0))</f>
        <v/>
      </c>
    </row>
    <row r="118" ht="28" customHeight="1" s="73">
      <c r="A118" s="2" t="n">
        <v>113</v>
      </c>
      <c r="B118" s="18">
        <f>IF($X118="","",INDEX('sheet2-计算明细'!$B$17:$B$330,$X118))</f>
        <v/>
      </c>
      <c r="C118" s="18">
        <f>IF($X118="","",INDEX('sheet2-计算明细'!$C$17:$C$330,$X118))</f>
        <v/>
      </c>
      <c r="D118" s="18">
        <f>IF($X118="","",INDEX('sheet2-计算明细'!$D$17:$D$330,$X118))</f>
        <v/>
      </c>
      <c r="E118" s="18">
        <f>IF($X118="","",INDEX('sheet2-计算明细'!$G$17:$G$330,$X118))</f>
        <v/>
      </c>
      <c r="F118" s="19">
        <f>IF($X118="","",INDEX('sheet2-计算明细'!$I$17:$I$330,$X118))</f>
        <v/>
      </c>
      <c r="G118" s="19">
        <f>IF($X118="","",INDEX('sheet2-计算明细'!$K$17:$K$330,$X118))</f>
        <v/>
      </c>
      <c r="H118" s="19">
        <f>IF($X118="","",INDEX('sheet2-计算明细'!$L$17:$L$330,$X118))</f>
        <v/>
      </c>
      <c r="I118" s="19">
        <f>IF($X118="","",INDEX('sheet2-计算明细'!$S$17:$S$330,$X118))</f>
        <v/>
      </c>
      <c r="J118" s="19">
        <f>IF($X118="","",INDEX('sheet2-计算明细'!$Y$17:$Y$330,$X118))</f>
        <v/>
      </c>
      <c r="K118" s="19">
        <f>IF($X118="","",INDEX('sheet2-计算明细'!$AC$17:$AC$330,$X118))</f>
        <v/>
      </c>
      <c r="L118" s="19">
        <f>IF($X118="","",INDEX('sheet2-计算明细'!$AI$17:$AI$330,$X118))</f>
        <v/>
      </c>
      <c r="M118" s="19">
        <f>IF($X118="","",INDEX('sheet2-计算明细'!$AK$17:$AK$330,$X118))</f>
        <v/>
      </c>
      <c r="N118" s="20">
        <f>IF(COUNT(F118:H118)=0,"",ROUND((IF(ISNUMBER(F118),F118*40%,0)+IF(ISNUMBER(G118),G118*30%,0)+IF(ISNUMBER(H118),H118*30%,0))/(IF(ISNUMBER(F118),40%,0)+IF(ISNUMBER(G118),30%,0)+IF(ISNUMBER(H118),30%,0)),2))</f>
        <v/>
      </c>
      <c r="O118" s="20">
        <f>IF(COUNT(I118:J118)=0,"",ROUND((IF(ISNUMBER(I118),I118*70%,0)+IF(ISNUMBER(J118),J118*30%,0))/(IF(ISNUMBER(I118),70%,0)+IF(ISNUMBER(J118),30%,0)),2))</f>
        <v/>
      </c>
      <c r="P118" s="20">
        <f>K118</f>
        <v/>
      </c>
      <c r="Q118" s="20">
        <f>L118</f>
        <v/>
      </c>
      <c r="R118" s="20">
        <f>M118</f>
        <v/>
      </c>
      <c r="S118" s="93">
        <f>IF($X118="","",INDEX('sheet2-计算明细'!$AQ$17:$AQ$330,$X118))</f>
        <v/>
      </c>
      <c r="T118" s="19">
        <f>IF($X118="","",INDEX('sheet2-计算明细'!$AR$17:$AR$330,$X118))</f>
        <v/>
      </c>
      <c r="U118" s="20">
        <f>IF(S118=0,"",ROUND(T118/S118,2))</f>
        <v/>
      </c>
      <c r="V118" s="20">
        <f>IF(S118=100%,T118,"")</f>
        <v/>
      </c>
      <c r="W118" s="22">
        <f>IF($X118="","",INDEX('sheet2-计算明细'!$AU$17:$AU$330,$X118))</f>
        <v/>
      </c>
      <c r="X118" s="18">
        <f>IF($A118&gt;COUNT('sheet2-计算明细'!$AT$17:$AT$330),"",MATCH($A118,'sheet2-计算明细'!$AT$17:$AT$330,0))</f>
        <v/>
      </c>
    </row>
    <row r="119" ht="28" customHeight="1" s="73">
      <c r="A119" s="2" t="n">
        <v>114</v>
      </c>
      <c r="B119" s="18">
        <f>IF($X119="","",INDEX('sheet2-计算明细'!$B$17:$B$330,$X119))</f>
        <v/>
      </c>
      <c r="C119" s="18">
        <f>IF($X119="","",INDEX('sheet2-计算明细'!$C$17:$C$330,$X119))</f>
        <v/>
      </c>
      <c r="D119" s="18">
        <f>IF($X119="","",INDEX('sheet2-计算明细'!$D$17:$D$330,$X119))</f>
        <v/>
      </c>
      <c r="E119" s="18">
        <f>IF($X119="","",INDEX('sheet2-计算明细'!$G$17:$G$330,$X119))</f>
        <v/>
      </c>
      <c r="F119" s="19">
        <f>IF($X119="","",INDEX('sheet2-计算明细'!$I$17:$I$330,$X119))</f>
        <v/>
      </c>
      <c r="G119" s="19">
        <f>IF($X119="","",INDEX('sheet2-计算明细'!$K$17:$K$330,$X119))</f>
        <v/>
      </c>
      <c r="H119" s="19">
        <f>IF($X119="","",INDEX('sheet2-计算明细'!$L$17:$L$330,$X119))</f>
        <v/>
      </c>
      <c r="I119" s="19">
        <f>IF($X119="","",INDEX('sheet2-计算明细'!$S$17:$S$330,$X119))</f>
        <v/>
      </c>
      <c r="J119" s="19">
        <f>IF($X119="","",INDEX('sheet2-计算明细'!$Y$17:$Y$330,$X119))</f>
        <v/>
      </c>
      <c r="K119" s="19">
        <f>IF($X119="","",INDEX('sheet2-计算明细'!$AC$17:$AC$330,$X119))</f>
        <v/>
      </c>
      <c r="L119" s="19">
        <f>IF($X119="","",INDEX('sheet2-计算明细'!$AI$17:$AI$330,$X119))</f>
        <v/>
      </c>
      <c r="M119" s="19">
        <f>IF($X119="","",INDEX('sheet2-计算明细'!$AK$17:$AK$330,$X119))</f>
        <v/>
      </c>
      <c r="N119" s="20">
        <f>IF(COUNT(F119:H119)=0,"",ROUND((IF(ISNUMBER(F119),F119*40%,0)+IF(ISNUMBER(G119),G119*30%,0)+IF(ISNUMBER(H119),H119*30%,0))/(IF(ISNUMBER(F119),40%,0)+IF(ISNUMBER(G119),30%,0)+IF(ISNUMBER(H119),30%,0)),2))</f>
        <v/>
      </c>
      <c r="O119" s="20">
        <f>IF(COUNT(I119:J119)=0,"",ROUND((IF(ISNUMBER(I119),I119*70%,0)+IF(ISNUMBER(J119),J119*30%,0))/(IF(ISNUMBER(I119),70%,0)+IF(ISNUMBER(J119),30%,0)),2))</f>
        <v/>
      </c>
      <c r="P119" s="20">
        <f>K119</f>
        <v/>
      </c>
      <c r="Q119" s="20">
        <f>L119</f>
        <v/>
      </c>
      <c r="R119" s="20">
        <f>M119</f>
        <v/>
      </c>
      <c r="S119" s="93">
        <f>IF($X119="","",INDEX('sheet2-计算明细'!$AQ$17:$AQ$330,$X119))</f>
        <v/>
      </c>
      <c r="T119" s="19">
        <f>IF($X119="","",INDEX('sheet2-计算明细'!$AR$17:$AR$330,$X119))</f>
        <v/>
      </c>
      <c r="U119" s="20">
        <f>IF(S119=0,"",ROUND(T119/S119,2))</f>
        <v/>
      </c>
      <c r="V119" s="20">
        <f>IF(S119=100%,T119,"")</f>
        <v/>
      </c>
      <c r="W119" s="22">
        <f>IF($X119="","",INDEX('sheet2-计算明细'!$AU$17:$AU$330,$X119))</f>
        <v/>
      </c>
      <c r="X119" s="18">
        <f>IF($A119&gt;COUNT('sheet2-计算明细'!$AT$17:$AT$330),"",MATCH($A119,'sheet2-计算明细'!$AT$17:$AT$330,0))</f>
        <v/>
      </c>
    </row>
    <row r="120" ht="28" customHeight="1" s="73">
      <c r="A120" s="2" t="n">
        <v>115</v>
      </c>
      <c r="B120" s="18">
        <f>IF($X120="","",INDEX('sheet2-计算明细'!$B$17:$B$330,$X120))</f>
        <v/>
      </c>
      <c r="C120" s="18">
        <f>IF($X120="","",INDEX('sheet2-计算明细'!$C$17:$C$330,$X120))</f>
        <v/>
      </c>
      <c r="D120" s="18">
        <f>IF($X120="","",INDEX('sheet2-计算明细'!$D$17:$D$330,$X120))</f>
        <v/>
      </c>
      <c r="E120" s="18">
        <f>IF($X120="","",INDEX('sheet2-计算明细'!$G$17:$G$330,$X120))</f>
        <v/>
      </c>
      <c r="F120" s="19">
        <f>IF($X120="","",INDEX('sheet2-计算明细'!$I$17:$I$330,$X120))</f>
        <v/>
      </c>
      <c r="G120" s="19">
        <f>IF($X120="","",INDEX('sheet2-计算明细'!$K$17:$K$330,$X120))</f>
        <v/>
      </c>
      <c r="H120" s="19">
        <f>IF($X120="","",INDEX('sheet2-计算明细'!$L$17:$L$330,$X120))</f>
        <v/>
      </c>
      <c r="I120" s="19">
        <f>IF($X120="","",INDEX('sheet2-计算明细'!$S$17:$S$330,$X120))</f>
        <v/>
      </c>
      <c r="J120" s="19">
        <f>IF($X120="","",INDEX('sheet2-计算明细'!$Y$17:$Y$330,$X120))</f>
        <v/>
      </c>
      <c r="K120" s="19">
        <f>IF($X120="","",INDEX('sheet2-计算明细'!$AC$17:$AC$330,$X120))</f>
        <v/>
      </c>
      <c r="L120" s="19">
        <f>IF($X120="","",INDEX('sheet2-计算明细'!$AI$17:$AI$330,$X120))</f>
        <v/>
      </c>
      <c r="M120" s="19">
        <f>IF($X120="","",INDEX('sheet2-计算明细'!$AK$17:$AK$330,$X120))</f>
        <v/>
      </c>
      <c r="N120" s="20">
        <f>IF(COUNT(F120:H120)=0,"",ROUND((IF(ISNUMBER(F120),F120*40%,0)+IF(ISNUMBER(G120),G120*30%,0)+IF(ISNUMBER(H120),H120*30%,0))/(IF(ISNUMBER(F120),40%,0)+IF(ISNUMBER(G120),30%,0)+IF(ISNUMBER(H120),30%,0)),2))</f>
        <v/>
      </c>
      <c r="O120" s="20">
        <f>IF(COUNT(I120:J120)=0,"",ROUND((IF(ISNUMBER(I120),I120*70%,0)+IF(ISNUMBER(J120),J120*30%,0))/(IF(ISNUMBER(I120),70%,0)+IF(ISNUMBER(J120),30%,0)),2))</f>
        <v/>
      </c>
      <c r="P120" s="20">
        <f>K120</f>
        <v/>
      </c>
      <c r="Q120" s="20">
        <f>L120</f>
        <v/>
      </c>
      <c r="R120" s="20">
        <f>M120</f>
        <v/>
      </c>
      <c r="S120" s="93">
        <f>IF($X120="","",INDEX('sheet2-计算明细'!$AQ$17:$AQ$330,$X120))</f>
        <v/>
      </c>
      <c r="T120" s="19">
        <f>IF($X120="","",INDEX('sheet2-计算明细'!$AR$17:$AR$330,$X120))</f>
        <v/>
      </c>
      <c r="U120" s="20">
        <f>IF(S120=0,"",ROUND(T120/S120,2))</f>
        <v/>
      </c>
      <c r="V120" s="20">
        <f>IF(S120=100%,T120,"")</f>
        <v/>
      </c>
      <c r="W120" s="22">
        <f>IF($X120="","",INDEX('sheet2-计算明细'!$AU$17:$AU$330,$X120))</f>
        <v/>
      </c>
      <c r="X120" s="18">
        <f>IF($A120&gt;COUNT('sheet2-计算明细'!$AT$17:$AT$330),"",MATCH($A120,'sheet2-计算明细'!$AT$17:$AT$330,0))</f>
        <v/>
      </c>
    </row>
    <row r="121" ht="28" customHeight="1" s="73">
      <c r="A121" s="2" t="n">
        <v>116</v>
      </c>
      <c r="B121" s="18">
        <f>IF($X121="","",INDEX('sheet2-计算明细'!$B$17:$B$330,$X121))</f>
        <v/>
      </c>
      <c r="C121" s="18">
        <f>IF($X121="","",INDEX('sheet2-计算明细'!$C$17:$C$330,$X121))</f>
        <v/>
      </c>
      <c r="D121" s="18">
        <f>IF($X121="","",INDEX('sheet2-计算明细'!$D$17:$D$330,$X121))</f>
        <v/>
      </c>
      <c r="E121" s="18">
        <f>IF($X121="","",INDEX('sheet2-计算明细'!$G$17:$G$330,$X121))</f>
        <v/>
      </c>
      <c r="F121" s="19">
        <f>IF($X121="","",INDEX('sheet2-计算明细'!$I$17:$I$330,$X121))</f>
        <v/>
      </c>
      <c r="G121" s="19">
        <f>IF($X121="","",INDEX('sheet2-计算明细'!$K$17:$K$330,$X121))</f>
        <v/>
      </c>
      <c r="H121" s="19">
        <f>IF($X121="","",INDEX('sheet2-计算明细'!$L$17:$L$330,$X121))</f>
        <v/>
      </c>
      <c r="I121" s="19">
        <f>IF($X121="","",INDEX('sheet2-计算明细'!$S$17:$S$330,$X121))</f>
        <v/>
      </c>
      <c r="J121" s="19">
        <f>IF($X121="","",INDEX('sheet2-计算明细'!$Y$17:$Y$330,$X121))</f>
        <v/>
      </c>
      <c r="K121" s="19">
        <f>IF($X121="","",INDEX('sheet2-计算明细'!$AC$17:$AC$330,$X121))</f>
        <v/>
      </c>
      <c r="L121" s="19">
        <f>IF($X121="","",INDEX('sheet2-计算明细'!$AI$17:$AI$330,$X121))</f>
        <v/>
      </c>
      <c r="M121" s="19">
        <f>IF($X121="","",INDEX('sheet2-计算明细'!$AK$17:$AK$330,$X121))</f>
        <v/>
      </c>
      <c r="N121" s="20">
        <f>IF(COUNT(F121:H121)=0,"",ROUND((IF(ISNUMBER(F121),F121*40%,0)+IF(ISNUMBER(G121),G121*30%,0)+IF(ISNUMBER(H121),H121*30%,0))/(IF(ISNUMBER(F121),40%,0)+IF(ISNUMBER(G121),30%,0)+IF(ISNUMBER(H121),30%,0)),2))</f>
        <v/>
      </c>
      <c r="O121" s="20">
        <f>IF(COUNT(I121:J121)=0,"",ROUND((IF(ISNUMBER(I121),I121*70%,0)+IF(ISNUMBER(J121),J121*30%,0))/(IF(ISNUMBER(I121),70%,0)+IF(ISNUMBER(J121),30%,0)),2))</f>
        <v/>
      </c>
      <c r="P121" s="20">
        <f>K121</f>
        <v/>
      </c>
      <c r="Q121" s="20">
        <f>L121</f>
        <v/>
      </c>
      <c r="R121" s="20">
        <f>M121</f>
        <v/>
      </c>
      <c r="S121" s="93">
        <f>IF($X121="","",INDEX('sheet2-计算明细'!$AQ$17:$AQ$330,$X121))</f>
        <v/>
      </c>
      <c r="T121" s="19">
        <f>IF($X121="","",INDEX('sheet2-计算明细'!$AR$17:$AR$330,$X121))</f>
        <v/>
      </c>
      <c r="U121" s="20">
        <f>IF(S121=0,"",ROUND(T121/S121,2))</f>
        <v/>
      </c>
      <c r="V121" s="20">
        <f>IF(S121=100%,T121,"")</f>
        <v/>
      </c>
      <c r="W121" s="22">
        <f>IF($X121="","",INDEX('sheet2-计算明细'!$AU$17:$AU$330,$X121))</f>
        <v/>
      </c>
      <c r="X121" s="18">
        <f>IF($A121&gt;COUNT('sheet2-计算明细'!$AT$17:$AT$330),"",MATCH($A121,'sheet2-计算明细'!$AT$17:$AT$330,0))</f>
        <v/>
      </c>
    </row>
    <row r="122" ht="28" customHeight="1" s="73">
      <c r="A122" s="2" t="n">
        <v>117</v>
      </c>
      <c r="B122" s="18">
        <f>IF($X122="","",INDEX('sheet2-计算明细'!$B$17:$B$330,$X122))</f>
        <v/>
      </c>
      <c r="C122" s="18">
        <f>IF($X122="","",INDEX('sheet2-计算明细'!$C$17:$C$330,$X122))</f>
        <v/>
      </c>
      <c r="D122" s="18">
        <f>IF($X122="","",INDEX('sheet2-计算明细'!$D$17:$D$330,$X122))</f>
        <v/>
      </c>
      <c r="E122" s="18">
        <f>IF($X122="","",INDEX('sheet2-计算明细'!$G$17:$G$330,$X122))</f>
        <v/>
      </c>
      <c r="F122" s="19">
        <f>IF($X122="","",INDEX('sheet2-计算明细'!$I$17:$I$330,$X122))</f>
        <v/>
      </c>
      <c r="G122" s="19">
        <f>IF($X122="","",INDEX('sheet2-计算明细'!$K$17:$K$330,$X122))</f>
        <v/>
      </c>
      <c r="H122" s="19">
        <f>IF($X122="","",INDEX('sheet2-计算明细'!$L$17:$L$330,$X122))</f>
        <v/>
      </c>
      <c r="I122" s="19">
        <f>IF($X122="","",INDEX('sheet2-计算明细'!$S$17:$S$330,$X122))</f>
        <v/>
      </c>
      <c r="J122" s="19">
        <f>IF($X122="","",INDEX('sheet2-计算明细'!$Y$17:$Y$330,$X122))</f>
        <v/>
      </c>
      <c r="K122" s="19">
        <f>IF($X122="","",INDEX('sheet2-计算明细'!$AC$17:$AC$330,$X122))</f>
        <v/>
      </c>
      <c r="L122" s="19">
        <f>IF($X122="","",INDEX('sheet2-计算明细'!$AI$17:$AI$330,$X122))</f>
        <v/>
      </c>
      <c r="M122" s="19">
        <f>IF($X122="","",INDEX('sheet2-计算明细'!$AK$17:$AK$330,$X122))</f>
        <v/>
      </c>
      <c r="N122" s="20">
        <f>IF(COUNT(F122:H122)=0,"",ROUND((IF(ISNUMBER(F122),F122*40%,0)+IF(ISNUMBER(G122),G122*30%,0)+IF(ISNUMBER(H122),H122*30%,0))/(IF(ISNUMBER(F122),40%,0)+IF(ISNUMBER(G122),30%,0)+IF(ISNUMBER(H122),30%,0)),2))</f>
        <v/>
      </c>
      <c r="O122" s="20">
        <f>IF(COUNT(I122:J122)=0,"",ROUND((IF(ISNUMBER(I122),I122*70%,0)+IF(ISNUMBER(J122),J122*30%,0))/(IF(ISNUMBER(I122),70%,0)+IF(ISNUMBER(J122),30%,0)),2))</f>
        <v/>
      </c>
      <c r="P122" s="20">
        <f>K122</f>
        <v/>
      </c>
      <c r="Q122" s="20">
        <f>L122</f>
        <v/>
      </c>
      <c r="R122" s="20">
        <f>M122</f>
        <v/>
      </c>
      <c r="S122" s="93">
        <f>IF($X122="","",INDEX('sheet2-计算明细'!$AQ$17:$AQ$330,$X122))</f>
        <v/>
      </c>
      <c r="T122" s="19">
        <f>IF($X122="","",INDEX('sheet2-计算明细'!$AR$17:$AR$330,$X122))</f>
        <v/>
      </c>
      <c r="U122" s="20">
        <f>IF(S122=0,"",ROUND(T122/S122,2))</f>
        <v/>
      </c>
      <c r="V122" s="20">
        <f>IF(S122=100%,T122,"")</f>
        <v/>
      </c>
      <c r="W122" s="22">
        <f>IF($X122="","",INDEX('sheet2-计算明细'!$AU$17:$AU$330,$X122))</f>
        <v/>
      </c>
      <c r="X122" s="18">
        <f>IF($A122&gt;COUNT('sheet2-计算明细'!$AT$17:$AT$330),"",MATCH($A122,'sheet2-计算明细'!$AT$17:$AT$330,0))</f>
        <v/>
      </c>
    </row>
    <row r="123" ht="28" customHeight="1" s="73">
      <c r="A123" s="2" t="n">
        <v>118</v>
      </c>
      <c r="B123" s="18">
        <f>IF($X123="","",INDEX('sheet2-计算明细'!$B$17:$B$330,$X123))</f>
        <v/>
      </c>
      <c r="C123" s="18">
        <f>IF($X123="","",INDEX('sheet2-计算明细'!$C$17:$C$330,$X123))</f>
        <v/>
      </c>
      <c r="D123" s="18">
        <f>IF($X123="","",INDEX('sheet2-计算明细'!$D$17:$D$330,$X123))</f>
        <v/>
      </c>
      <c r="E123" s="18">
        <f>IF($X123="","",INDEX('sheet2-计算明细'!$G$17:$G$330,$X123))</f>
        <v/>
      </c>
      <c r="F123" s="19">
        <f>IF($X123="","",INDEX('sheet2-计算明细'!$I$17:$I$330,$X123))</f>
        <v/>
      </c>
      <c r="G123" s="19">
        <f>IF($X123="","",INDEX('sheet2-计算明细'!$K$17:$K$330,$X123))</f>
        <v/>
      </c>
      <c r="H123" s="19">
        <f>IF($X123="","",INDEX('sheet2-计算明细'!$L$17:$L$330,$X123))</f>
        <v/>
      </c>
      <c r="I123" s="19">
        <f>IF($X123="","",INDEX('sheet2-计算明细'!$S$17:$S$330,$X123))</f>
        <v/>
      </c>
      <c r="J123" s="19">
        <f>IF($X123="","",INDEX('sheet2-计算明细'!$Y$17:$Y$330,$X123))</f>
        <v/>
      </c>
      <c r="K123" s="19">
        <f>IF($X123="","",INDEX('sheet2-计算明细'!$AC$17:$AC$330,$X123))</f>
        <v/>
      </c>
      <c r="L123" s="19">
        <f>IF($X123="","",INDEX('sheet2-计算明细'!$AI$17:$AI$330,$X123))</f>
        <v/>
      </c>
      <c r="M123" s="19">
        <f>IF($X123="","",INDEX('sheet2-计算明细'!$AK$17:$AK$330,$X123))</f>
        <v/>
      </c>
      <c r="N123" s="20">
        <f>IF(COUNT(F123:H123)=0,"",ROUND((IF(ISNUMBER(F123),F123*40%,0)+IF(ISNUMBER(G123),G123*30%,0)+IF(ISNUMBER(H123),H123*30%,0))/(IF(ISNUMBER(F123),40%,0)+IF(ISNUMBER(G123),30%,0)+IF(ISNUMBER(H123),30%,0)),2))</f>
        <v/>
      </c>
      <c r="O123" s="20">
        <f>IF(COUNT(I123:J123)=0,"",ROUND((IF(ISNUMBER(I123),I123*70%,0)+IF(ISNUMBER(J123),J123*30%,0))/(IF(ISNUMBER(I123),70%,0)+IF(ISNUMBER(J123),30%,0)),2))</f>
        <v/>
      </c>
      <c r="P123" s="20">
        <f>K123</f>
        <v/>
      </c>
      <c r="Q123" s="20">
        <f>L123</f>
        <v/>
      </c>
      <c r="R123" s="20">
        <f>M123</f>
        <v/>
      </c>
      <c r="S123" s="93">
        <f>IF($X123="","",INDEX('sheet2-计算明细'!$AQ$17:$AQ$330,$X123))</f>
        <v/>
      </c>
      <c r="T123" s="19">
        <f>IF($X123="","",INDEX('sheet2-计算明细'!$AR$17:$AR$330,$X123))</f>
        <v/>
      </c>
      <c r="U123" s="20">
        <f>IF(S123=0,"",ROUND(T123/S123,2))</f>
        <v/>
      </c>
      <c r="V123" s="20">
        <f>IF(S123=100%,T123,"")</f>
        <v/>
      </c>
      <c r="W123" s="22">
        <f>IF($X123="","",INDEX('sheet2-计算明细'!$AU$17:$AU$330,$X123))</f>
        <v/>
      </c>
      <c r="X123" s="18">
        <f>IF($A123&gt;COUNT('sheet2-计算明细'!$AT$17:$AT$330),"",MATCH($A123,'sheet2-计算明细'!$AT$17:$AT$330,0))</f>
        <v/>
      </c>
    </row>
    <row r="124" ht="28" customHeight="1" s="73">
      <c r="A124" s="2" t="n">
        <v>119</v>
      </c>
      <c r="B124" s="18">
        <f>IF($X124="","",INDEX('sheet2-计算明细'!$B$17:$B$330,$X124))</f>
        <v/>
      </c>
      <c r="C124" s="18">
        <f>IF($X124="","",INDEX('sheet2-计算明细'!$C$17:$C$330,$X124))</f>
        <v/>
      </c>
      <c r="D124" s="18">
        <f>IF($X124="","",INDEX('sheet2-计算明细'!$D$17:$D$330,$X124))</f>
        <v/>
      </c>
      <c r="E124" s="18">
        <f>IF($X124="","",INDEX('sheet2-计算明细'!$G$17:$G$330,$X124))</f>
        <v/>
      </c>
      <c r="F124" s="19">
        <f>IF($X124="","",INDEX('sheet2-计算明细'!$I$17:$I$330,$X124))</f>
        <v/>
      </c>
      <c r="G124" s="19">
        <f>IF($X124="","",INDEX('sheet2-计算明细'!$K$17:$K$330,$X124))</f>
        <v/>
      </c>
      <c r="H124" s="19">
        <f>IF($X124="","",INDEX('sheet2-计算明细'!$L$17:$L$330,$X124))</f>
        <v/>
      </c>
      <c r="I124" s="19">
        <f>IF($X124="","",INDEX('sheet2-计算明细'!$S$17:$S$330,$X124))</f>
        <v/>
      </c>
      <c r="J124" s="19">
        <f>IF($X124="","",INDEX('sheet2-计算明细'!$Y$17:$Y$330,$X124))</f>
        <v/>
      </c>
      <c r="K124" s="19">
        <f>IF($X124="","",INDEX('sheet2-计算明细'!$AC$17:$AC$330,$X124))</f>
        <v/>
      </c>
      <c r="L124" s="19">
        <f>IF($X124="","",INDEX('sheet2-计算明细'!$AI$17:$AI$330,$X124))</f>
        <v/>
      </c>
      <c r="M124" s="19">
        <f>IF($X124="","",INDEX('sheet2-计算明细'!$AK$17:$AK$330,$X124))</f>
        <v/>
      </c>
      <c r="N124" s="20">
        <f>IF(COUNT(F124:H124)=0,"",ROUND((IF(ISNUMBER(F124),F124*40%,0)+IF(ISNUMBER(G124),G124*30%,0)+IF(ISNUMBER(H124),H124*30%,0))/(IF(ISNUMBER(F124),40%,0)+IF(ISNUMBER(G124),30%,0)+IF(ISNUMBER(H124),30%,0)),2))</f>
        <v/>
      </c>
      <c r="O124" s="20">
        <f>IF(COUNT(I124:J124)=0,"",ROUND((IF(ISNUMBER(I124),I124*70%,0)+IF(ISNUMBER(J124),J124*30%,0))/(IF(ISNUMBER(I124),70%,0)+IF(ISNUMBER(J124),30%,0)),2))</f>
        <v/>
      </c>
      <c r="P124" s="20">
        <f>K124</f>
        <v/>
      </c>
      <c r="Q124" s="20">
        <f>L124</f>
        <v/>
      </c>
      <c r="R124" s="20">
        <f>M124</f>
        <v/>
      </c>
      <c r="S124" s="93">
        <f>IF($X124="","",INDEX('sheet2-计算明细'!$AQ$17:$AQ$330,$X124))</f>
        <v/>
      </c>
      <c r="T124" s="19">
        <f>IF($X124="","",INDEX('sheet2-计算明细'!$AR$17:$AR$330,$X124))</f>
        <v/>
      </c>
      <c r="U124" s="20">
        <f>IF(S124=0,"",ROUND(T124/S124,2))</f>
        <v/>
      </c>
      <c r="V124" s="20">
        <f>IF(S124=100%,T124,"")</f>
        <v/>
      </c>
      <c r="W124" s="22">
        <f>IF($X124="","",INDEX('sheet2-计算明细'!$AU$17:$AU$330,$X124))</f>
        <v/>
      </c>
      <c r="X124" s="18">
        <f>IF($A124&gt;COUNT('sheet2-计算明细'!$AT$17:$AT$330),"",MATCH($A124,'sheet2-计算明细'!$AT$17:$AT$330,0))</f>
        <v/>
      </c>
    </row>
    <row r="125" ht="28" customHeight="1" s="73">
      <c r="A125" s="2" t="n">
        <v>120</v>
      </c>
      <c r="B125" s="18">
        <f>IF($X125="","",INDEX('sheet2-计算明细'!$B$17:$B$330,$X125))</f>
        <v/>
      </c>
      <c r="C125" s="18">
        <f>IF($X125="","",INDEX('sheet2-计算明细'!$C$17:$C$330,$X125))</f>
        <v/>
      </c>
      <c r="D125" s="18">
        <f>IF($X125="","",INDEX('sheet2-计算明细'!$D$17:$D$330,$X125))</f>
        <v/>
      </c>
      <c r="E125" s="18">
        <f>IF($X125="","",INDEX('sheet2-计算明细'!$G$17:$G$330,$X125))</f>
        <v/>
      </c>
      <c r="F125" s="19">
        <f>IF($X125="","",INDEX('sheet2-计算明细'!$I$17:$I$330,$X125))</f>
        <v/>
      </c>
      <c r="G125" s="19">
        <f>IF($X125="","",INDEX('sheet2-计算明细'!$K$17:$K$330,$X125))</f>
        <v/>
      </c>
      <c r="H125" s="19">
        <f>IF($X125="","",INDEX('sheet2-计算明细'!$L$17:$L$330,$X125))</f>
        <v/>
      </c>
      <c r="I125" s="19">
        <f>IF($X125="","",INDEX('sheet2-计算明细'!$S$17:$S$330,$X125))</f>
        <v/>
      </c>
      <c r="J125" s="19">
        <f>IF($X125="","",INDEX('sheet2-计算明细'!$Y$17:$Y$330,$X125))</f>
        <v/>
      </c>
      <c r="K125" s="19">
        <f>IF($X125="","",INDEX('sheet2-计算明细'!$AC$17:$AC$330,$X125))</f>
        <v/>
      </c>
      <c r="L125" s="19">
        <f>IF($X125="","",INDEX('sheet2-计算明细'!$AI$17:$AI$330,$X125))</f>
        <v/>
      </c>
      <c r="M125" s="19">
        <f>IF($X125="","",INDEX('sheet2-计算明细'!$AK$17:$AK$330,$X125))</f>
        <v/>
      </c>
      <c r="N125" s="20">
        <f>IF(COUNT(F125:H125)=0,"",ROUND((IF(ISNUMBER(F125),F125*40%,0)+IF(ISNUMBER(G125),G125*30%,0)+IF(ISNUMBER(H125),H125*30%,0))/(IF(ISNUMBER(F125),40%,0)+IF(ISNUMBER(G125),30%,0)+IF(ISNUMBER(H125),30%,0)),2))</f>
        <v/>
      </c>
      <c r="O125" s="20">
        <f>IF(COUNT(I125:J125)=0,"",ROUND((IF(ISNUMBER(I125),I125*70%,0)+IF(ISNUMBER(J125),J125*30%,0))/(IF(ISNUMBER(I125),70%,0)+IF(ISNUMBER(J125),30%,0)),2))</f>
        <v/>
      </c>
      <c r="P125" s="20">
        <f>K125</f>
        <v/>
      </c>
      <c r="Q125" s="20">
        <f>L125</f>
        <v/>
      </c>
      <c r="R125" s="20">
        <f>M125</f>
        <v/>
      </c>
      <c r="S125" s="93">
        <f>IF($X125="","",INDEX('sheet2-计算明细'!$AQ$17:$AQ$330,$X125))</f>
        <v/>
      </c>
      <c r="T125" s="19">
        <f>IF($X125="","",INDEX('sheet2-计算明细'!$AR$17:$AR$330,$X125))</f>
        <v/>
      </c>
      <c r="U125" s="20">
        <f>IF(S125=0,"",ROUND(T125/S125,2))</f>
        <v/>
      </c>
      <c r="V125" s="20">
        <f>IF(S125=100%,T125,"")</f>
        <v/>
      </c>
      <c r="W125" s="22">
        <f>IF($X125="","",INDEX('sheet2-计算明细'!$AU$17:$AU$330,$X125))</f>
        <v/>
      </c>
      <c r="X125" s="18">
        <f>IF($A125&gt;COUNT('sheet2-计算明细'!$AT$17:$AT$330),"",MATCH($A125,'sheet2-计算明细'!$AT$17:$AT$330,0))</f>
        <v/>
      </c>
    </row>
    <row r="126" ht="28" customHeight="1" s="73">
      <c r="A126" s="2" t="n">
        <v>121</v>
      </c>
      <c r="B126" s="18">
        <f>IF($X126="","",INDEX('sheet2-计算明细'!$B$17:$B$330,$X126))</f>
        <v/>
      </c>
      <c r="C126" s="18">
        <f>IF($X126="","",INDEX('sheet2-计算明细'!$C$17:$C$330,$X126))</f>
        <v/>
      </c>
      <c r="D126" s="18">
        <f>IF($X126="","",INDEX('sheet2-计算明细'!$D$17:$D$330,$X126))</f>
        <v/>
      </c>
      <c r="E126" s="18">
        <f>IF($X126="","",INDEX('sheet2-计算明细'!$G$17:$G$330,$X126))</f>
        <v/>
      </c>
      <c r="F126" s="19">
        <f>IF($X126="","",INDEX('sheet2-计算明细'!$I$17:$I$330,$X126))</f>
        <v/>
      </c>
      <c r="G126" s="19">
        <f>IF($X126="","",INDEX('sheet2-计算明细'!$K$17:$K$330,$X126))</f>
        <v/>
      </c>
      <c r="H126" s="19">
        <f>IF($X126="","",INDEX('sheet2-计算明细'!$L$17:$L$330,$X126))</f>
        <v/>
      </c>
      <c r="I126" s="19">
        <f>IF($X126="","",INDEX('sheet2-计算明细'!$S$17:$S$330,$X126))</f>
        <v/>
      </c>
      <c r="J126" s="19">
        <f>IF($X126="","",INDEX('sheet2-计算明细'!$Y$17:$Y$330,$X126))</f>
        <v/>
      </c>
      <c r="K126" s="19">
        <f>IF($X126="","",INDEX('sheet2-计算明细'!$AC$17:$AC$330,$X126))</f>
        <v/>
      </c>
      <c r="L126" s="19">
        <f>IF($X126="","",INDEX('sheet2-计算明细'!$AI$17:$AI$330,$X126))</f>
        <v/>
      </c>
      <c r="M126" s="19">
        <f>IF($X126="","",INDEX('sheet2-计算明细'!$AK$17:$AK$330,$X126))</f>
        <v/>
      </c>
      <c r="N126" s="20">
        <f>IF(COUNT(F126:H126)=0,"",ROUND((IF(ISNUMBER(F126),F126*40%,0)+IF(ISNUMBER(G126),G126*30%,0)+IF(ISNUMBER(H126),H126*30%,0))/(IF(ISNUMBER(F126),40%,0)+IF(ISNUMBER(G126),30%,0)+IF(ISNUMBER(H126),30%,0)),2))</f>
        <v/>
      </c>
      <c r="O126" s="20">
        <f>IF(COUNT(I126:J126)=0,"",ROUND((IF(ISNUMBER(I126),I126*70%,0)+IF(ISNUMBER(J126),J126*30%,0))/(IF(ISNUMBER(I126),70%,0)+IF(ISNUMBER(J126),30%,0)),2))</f>
        <v/>
      </c>
      <c r="P126" s="20">
        <f>K126</f>
        <v/>
      </c>
      <c r="Q126" s="20">
        <f>L126</f>
        <v/>
      </c>
      <c r="R126" s="20">
        <f>M126</f>
        <v/>
      </c>
      <c r="S126" s="93">
        <f>IF($X126="","",INDEX('sheet2-计算明细'!$AQ$17:$AQ$330,$X126))</f>
        <v/>
      </c>
      <c r="T126" s="19">
        <f>IF($X126="","",INDEX('sheet2-计算明细'!$AR$17:$AR$330,$X126))</f>
        <v/>
      </c>
      <c r="U126" s="20">
        <f>IF(S126=0,"",ROUND(T126/S126,2))</f>
        <v/>
      </c>
      <c r="V126" s="20">
        <f>IF(S126=100%,T126,"")</f>
        <v/>
      </c>
      <c r="W126" s="22">
        <f>IF($X126="","",INDEX('sheet2-计算明细'!$AU$17:$AU$330,$X126))</f>
        <v/>
      </c>
      <c r="X126" s="18">
        <f>IF($A126&gt;COUNT('sheet2-计算明细'!$AT$17:$AT$330),"",MATCH($A126,'sheet2-计算明细'!$AT$17:$AT$330,0))</f>
        <v/>
      </c>
    </row>
    <row r="127" ht="28" customHeight="1" s="73">
      <c r="A127" s="2" t="n">
        <v>122</v>
      </c>
      <c r="B127" s="18">
        <f>IF($X127="","",INDEX('sheet2-计算明细'!$B$17:$B$330,$X127))</f>
        <v/>
      </c>
      <c r="C127" s="18">
        <f>IF($X127="","",INDEX('sheet2-计算明细'!$C$17:$C$330,$X127))</f>
        <v/>
      </c>
      <c r="D127" s="18">
        <f>IF($X127="","",INDEX('sheet2-计算明细'!$D$17:$D$330,$X127))</f>
        <v/>
      </c>
      <c r="E127" s="18">
        <f>IF($X127="","",INDEX('sheet2-计算明细'!$G$17:$G$330,$X127))</f>
        <v/>
      </c>
      <c r="F127" s="19">
        <f>IF($X127="","",INDEX('sheet2-计算明细'!$I$17:$I$330,$X127))</f>
        <v/>
      </c>
      <c r="G127" s="19">
        <f>IF($X127="","",INDEX('sheet2-计算明细'!$K$17:$K$330,$X127))</f>
        <v/>
      </c>
      <c r="H127" s="19">
        <f>IF($X127="","",INDEX('sheet2-计算明细'!$L$17:$L$330,$X127))</f>
        <v/>
      </c>
      <c r="I127" s="19">
        <f>IF($X127="","",INDEX('sheet2-计算明细'!$S$17:$S$330,$X127))</f>
        <v/>
      </c>
      <c r="J127" s="19">
        <f>IF($X127="","",INDEX('sheet2-计算明细'!$Y$17:$Y$330,$X127))</f>
        <v/>
      </c>
      <c r="K127" s="19">
        <f>IF($X127="","",INDEX('sheet2-计算明细'!$AC$17:$AC$330,$X127))</f>
        <v/>
      </c>
      <c r="L127" s="19">
        <f>IF($X127="","",INDEX('sheet2-计算明细'!$AI$17:$AI$330,$X127))</f>
        <v/>
      </c>
      <c r="M127" s="19">
        <f>IF($X127="","",INDEX('sheet2-计算明细'!$AK$17:$AK$330,$X127))</f>
        <v/>
      </c>
      <c r="N127" s="20">
        <f>IF(COUNT(F127:H127)=0,"",ROUND((IF(ISNUMBER(F127),F127*40%,0)+IF(ISNUMBER(G127),G127*30%,0)+IF(ISNUMBER(H127),H127*30%,0))/(IF(ISNUMBER(F127),40%,0)+IF(ISNUMBER(G127),30%,0)+IF(ISNUMBER(H127),30%,0)),2))</f>
        <v/>
      </c>
      <c r="O127" s="20">
        <f>IF(COUNT(I127:J127)=0,"",ROUND((IF(ISNUMBER(I127),I127*70%,0)+IF(ISNUMBER(J127),J127*30%,0))/(IF(ISNUMBER(I127),70%,0)+IF(ISNUMBER(J127),30%,0)),2))</f>
        <v/>
      </c>
      <c r="P127" s="20">
        <f>K127</f>
        <v/>
      </c>
      <c r="Q127" s="20">
        <f>L127</f>
        <v/>
      </c>
      <c r="R127" s="20">
        <f>M127</f>
        <v/>
      </c>
      <c r="S127" s="93">
        <f>IF($X127="","",INDEX('sheet2-计算明细'!$AQ$17:$AQ$330,$X127))</f>
        <v/>
      </c>
      <c r="T127" s="19">
        <f>IF($X127="","",INDEX('sheet2-计算明细'!$AR$17:$AR$330,$X127))</f>
        <v/>
      </c>
      <c r="U127" s="20">
        <f>IF(S127=0,"",ROUND(T127/S127,2))</f>
        <v/>
      </c>
      <c r="V127" s="20">
        <f>IF(S127=100%,T127,"")</f>
        <v/>
      </c>
      <c r="W127" s="22">
        <f>IF($X127="","",INDEX('sheet2-计算明细'!$AU$17:$AU$330,$X127))</f>
        <v/>
      </c>
      <c r="X127" s="18">
        <f>IF($A127&gt;COUNT('sheet2-计算明细'!$AT$17:$AT$330),"",MATCH($A127,'sheet2-计算明细'!$AT$17:$AT$330,0))</f>
        <v/>
      </c>
    </row>
    <row r="128" ht="28" customHeight="1" s="73">
      <c r="A128" s="2" t="n">
        <v>123</v>
      </c>
      <c r="B128" s="18">
        <f>IF($X128="","",INDEX('sheet2-计算明细'!$B$17:$B$330,$X128))</f>
        <v/>
      </c>
      <c r="C128" s="18">
        <f>IF($X128="","",INDEX('sheet2-计算明细'!$C$17:$C$330,$X128))</f>
        <v/>
      </c>
      <c r="D128" s="18">
        <f>IF($X128="","",INDEX('sheet2-计算明细'!$D$17:$D$330,$X128))</f>
        <v/>
      </c>
      <c r="E128" s="18">
        <f>IF($X128="","",INDEX('sheet2-计算明细'!$G$17:$G$330,$X128))</f>
        <v/>
      </c>
      <c r="F128" s="19">
        <f>IF($X128="","",INDEX('sheet2-计算明细'!$I$17:$I$330,$X128))</f>
        <v/>
      </c>
      <c r="G128" s="19">
        <f>IF($X128="","",INDEX('sheet2-计算明细'!$K$17:$K$330,$X128))</f>
        <v/>
      </c>
      <c r="H128" s="19">
        <f>IF($X128="","",INDEX('sheet2-计算明细'!$L$17:$L$330,$X128))</f>
        <v/>
      </c>
      <c r="I128" s="19">
        <f>IF($X128="","",INDEX('sheet2-计算明细'!$S$17:$S$330,$X128))</f>
        <v/>
      </c>
      <c r="J128" s="19">
        <f>IF($X128="","",INDEX('sheet2-计算明细'!$Y$17:$Y$330,$X128))</f>
        <v/>
      </c>
      <c r="K128" s="19">
        <f>IF($X128="","",INDEX('sheet2-计算明细'!$AC$17:$AC$330,$X128))</f>
        <v/>
      </c>
      <c r="L128" s="19">
        <f>IF($X128="","",INDEX('sheet2-计算明细'!$AI$17:$AI$330,$X128))</f>
        <v/>
      </c>
      <c r="M128" s="19">
        <f>IF($X128="","",INDEX('sheet2-计算明细'!$AK$17:$AK$330,$X128))</f>
        <v/>
      </c>
      <c r="N128" s="20">
        <f>IF(COUNT(F128:H128)=0,"",ROUND((IF(ISNUMBER(F128),F128*40%,0)+IF(ISNUMBER(G128),G128*30%,0)+IF(ISNUMBER(H128),H128*30%,0))/(IF(ISNUMBER(F128),40%,0)+IF(ISNUMBER(G128),30%,0)+IF(ISNUMBER(H128),30%,0)),2))</f>
        <v/>
      </c>
      <c r="O128" s="20">
        <f>IF(COUNT(I128:J128)=0,"",ROUND((IF(ISNUMBER(I128),I128*70%,0)+IF(ISNUMBER(J128),J128*30%,0))/(IF(ISNUMBER(I128),70%,0)+IF(ISNUMBER(J128),30%,0)),2))</f>
        <v/>
      </c>
      <c r="P128" s="20">
        <f>K128</f>
        <v/>
      </c>
      <c r="Q128" s="20">
        <f>L128</f>
        <v/>
      </c>
      <c r="R128" s="20">
        <f>M128</f>
        <v/>
      </c>
      <c r="S128" s="93">
        <f>IF($X128="","",INDEX('sheet2-计算明细'!$AQ$17:$AQ$330,$X128))</f>
        <v/>
      </c>
      <c r="T128" s="19">
        <f>IF($X128="","",INDEX('sheet2-计算明细'!$AR$17:$AR$330,$X128))</f>
        <v/>
      </c>
      <c r="U128" s="20">
        <f>IF(S128=0,"",ROUND(T128/S128,2))</f>
        <v/>
      </c>
      <c r="V128" s="20">
        <f>IF(S128=100%,T128,"")</f>
        <v/>
      </c>
      <c r="W128" s="22">
        <f>IF($X128="","",INDEX('sheet2-计算明细'!$AU$17:$AU$330,$X128))</f>
        <v/>
      </c>
      <c r="X128" s="18">
        <f>IF($A128&gt;COUNT('sheet2-计算明细'!$AT$17:$AT$330),"",MATCH($A128,'sheet2-计算明细'!$AT$17:$AT$330,0))</f>
        <v/>
      </c>
    </row>
    <row r="129" ht="28" customHeight="1" s="73">
      <c r="A129" s="2" t="n">
        <v>124</v>
      </c>
      <c r="B129" s="18">
        <f>IF($X129="","",INDEX('sheet2-计算明细'!$B$17:$B$330,$X129))</f>
        <v/>
      </c>
      <c r="C129" s="18">
        <f>IF($X129="","",INDEX('sheet2-计算明细'!$C$17:$C$330,$X129))</f>
        <v/>
      </c>
      <c r="D129" s="18">
        <f>IF($X129="","",INDEX('sheet2-计算明细'!$D$17:$D$330,$X129))</f>
        <v/>
      </c>
      <c r="E129" s="18">
        <f>IF($X129="","",INDEX('sheet2-计算明细'!$G$17:$G$330,$X129))</f>
        <v/>
      </c>
      <c r="F129" s="19">
        <f>IF($X129="","",INDEX('sheet2-计算明细'!$I$17:$I$330,$X129))</f>
        <v/>
      </c>
      <c r="G129" s="19">
        <f>IF($X129="","",INDEX('sheet2-计算明细'!$K$17:$K$330,$X129))</f>
        <v/>
      </c>
      <c r="H129" s="19">
        <f>IF($X129="","",INDEX('sheet2-计算明细'!$L$17:$L$330,$X129))</f>
        <v/>
      </c>
      <c r="I129" s="19">
        <f>IF($X129="","",INDEX('sheet2-计算明细'!$S$17:$S$330,$X129))</f>
        <v/>
      </c>
      <c r="J129" s="19">
        <f>IF($X129="","",INDEX('sheet2-计算明细'!$Y$17:$Y$330,$X129))</f>
        <v/>
      </c>
      <c r="K129" s="19">
        <f>IF($X129="","",INDEX('sheet2-计算明细'!$AC$17:$AC$330,$X129))</f>
        <v/>
      </c>
      <c r="L129" s="19">
        <f>IF($X129="","",INDEX('sheet2-计算明细'!$AI$17:$AI$330,$X129))</f>
        <v/>
      </c>
      <c r="M129" s="19">
        <f>IF($X129="","",INDEX('sheet2-计算明细'!$AK$17:$AK$330,$X129))</f>
        <v/>
      </c>
      <c r="N129" s="20">
        <f>IF(COUNT(F129:H129)=0,"",ROUND((IF(ISNUMBER(F129),F129*40%,0)+IF(ISNUMBER(G129),G129*30%,0)+IF(ISNUMBER(H129),H129*30%,0))/(IF(ISNUMBER(F129),40%,0)+IF(ISNUMBER(G129),30%,0)+IF(ISNUMBER(H129),30%,0)),2))</f>
        <v/>
      </c>
      <c r="O129" s="20">
        <f>IF(COUNT(I129:J129)=0,"",ROUND((IF(ISNUMBER(I129),I129*70%,0)+IF(ISNUMBER(J129),J129*30%,0))/(IF(ISNUMBER(I129),70%,0)+IF(ISNUMBER(J129),30%,0)),2))</f>
        <v/>
      </c>
      <c r="P129" s="20">
        <f>K129</f>
        <v/>
      </c>
      <c r="Q129" s="20">
        <f>L129</f>
        <v/>
      </c>
      <c r="R129" s="20">
        <f>M129</f>
        <v/>
      </c>
      <c r="S129" s="93">
        <f>IF($X129="","",INDEX('sheet2-计算明细'!$AQ$17:$AQ$330,$X129))</f>
        <v/>
      </c>
      <c r="T129" s="19">
        <f>IF($X129="","",INDEX('sheet2-计算明细'!$AR$17:$AR$330,$X129))</f>
        <v/>
      </c>
      <c r="U129" s="20">
        <f>IF(S129=0,"",ROUND(T129/S129,2))</f>
        <v/>
      </c>
      <c r="V129" s="20">
        <f>IF(S129=100%,T129,"")</f>
        <v/>
      </c>
      <c r="W129" s="22">
        <f>IF($X129="","",INDEX('sheet2-计算明细'!$AU$17:$AU$330,$X129))</f>
        <v/>
      </c>
      <c r="X129" s="18">
        <f>IF($A129&gt;COUNT('sheet2-计算明细'!$AT$17:$AT$330),"",MATCH($A129,'sheet2-计算明细'!$AT$17:$AT$330,0))</f>
        <v/>
      </c>
    </row>
    <row r="130" ht="28" customHeight="1" s="73">
      <c r="A130" s="2" t="n">
        <v>125</v>
      </c>
      <c r="B130" s="18">
        <f>IF($X130="","",INDEX('sheet2-计算明细'!$B$17:$B$330,$X130))</f>
        <v/>
      </c>
      <c r="C130" s="18">
        <f>IF($X130="","",INDEX('sheet2-计算明细'!$C$17:$C$330,$X130))</f>
        <v/>
      </c>
      <c r="D130" s="18">
        <f>IF($X130="","",INDEX('sheet2-计算明细'!$D$17:$D$330,$X130))</f>
        <v/>
      </c>
      <c r="E130" s="18">
        <f>IF($X130="","",INDEX('sheet2-计算明细'!$G$17:$G$330,$X130))</f>
        <v/>
      </c>
      <c r="F130" s="19">
        <f>IF($X130="","",INDEX('sheet2-计算明细'!$I$17:$I$330,$X130))</f>
        <v/>
      </c>
      <c r="G130" s="19">
        <f>IF($X130="","",INDEX('sheet2-计算明细'!$K$17:$K$330,$X130))</f>
        <v/>
      </c>
      <c r="H130" s="19">
        <f>IF($X130="","",INDEX('sheet2-计算明细'!$L$17:$L$330,$X130))</f>
        <v/>
      </c>
      <c r="I130" s="19">
        <f>IF($X130="","",INDEX('sheet2-计算明细'!$S$17:$S$330,$X130))</f>
        <v/>
      </c>
      <c r="J130" s="19">
        <f>IF($X130="","",INDEX('sheet2-计算明细'!$Y$17:$Y$330,$X130))</f>
        <v/>
      </c>
      <c r="K130" s="19">
        <f>IF($X130="","",INDEX('sheet2-计算明细'!$AC$17:$AC$330,$X130))</f>
        <v/>
      </c>
      <c r="L130" s="19">
        <f>IF($X130="","",INDEX('sheet2-计算明细'!$AI$17:$AI$330,$X130))</f>
        <v/>
      </c>
      <c r="M130" s="19">
        <f>IF($X130="","",INDEX('sheet2-计算明细'!$AK$17:$AK$330,$X130))</f>
        <v/>
      </c>
      <c r="N130" s="20">
        <f>IF(COUNT(F130:H130)=0,"",ROUND((IF(ISNUMBER(F130),F130*40%,0)+IF(ISNUMBER(G130),G130*30%,0)+IF(ISNUMBER(H130),H130*30%,0))/(IF(ISNUMBER(F130),40%,0)+IF(ISNUMBER(G130),30%,0)+IF(ISNUMBER(H130),30%,0)),2))</f>
        <v/>
      </c>
      <c r="O130" s="20">
        <f>IF(COUNT(I130:J130)=0,"",ROUND((IF(ISNUMBER(I130),I130*70%,0)+IF(ISNUMBER(J130),J130*30%,0))/(IF(ISNUMBER(I130),70%,0)+IF(ISNUMBER(J130),30%,0)),2))</f>
        <v/>
      </c>
      <c r="P130" s="20">
        <f>K130</f>
        <v/>
      </c>
      <c r="Q130" s="20">
        <f>L130</f>
        <v/>
      </c>
      <c r="R130" s="20">
        <f>M130</f>
        <v/>
      </c>
      <c r="S130" s="93">
        <f>IF($X130="","",INDEX('sheet2-计算明细'!$AQ$17:$AQ$330,$X130))</f>
        <v/>
      </c>
      <c r="T130" s="19">
        <f>IF($X130="","",INDEX('sheet2-计算明细'!$AR$17:$AR$330,$X130))</f>
        <v/>
      </c>
      <c r="U130" s="20">
        <f>IF(S130=0,"",ROUND(T130/S130,2))</f>
        <v/>
      </c>
      <c r="V130" s="20">
        <f>IF(S130=100%,T130,"")</f>
        <v/>
      </c>
      <c r="W130" s="22">
        <f>IF($X130="","",INDEX('sheet2-计算明细'!$AU$17:$AU$330,$X130))</f>
        <v/>
      </c>
      <c r="X130" s="18">
        <f>IF($A130&gt;COUNT('sheet2-计算明细'!$AT$17:$AT$330),"",MATCH($A130,'sheet2-计算明细'!$AT$17:$AT$330,0))</f>
        <v/>
      </c>
    </row>
    <row r="131" ht="28" customHeight="1" s="73">
      <c r="A131" s="2" t="n">
        <v>126</v>
      </c>
      <c r="B131" s="18">
        <f>IF($X131="","",INDEX('sheet2-计算明细'!$B$17:$B$330,$X131))</f>
        <v/>
      </c>
      <c r="C131" s="18">
        <f>IF($X131="","",INDEX('sheet2-计算明细'!$C$17:$C$330,$X131))</f>
        <v/>
      </c>
      <c r="D131" s="18">
        <f>IF($X131="","",INDEX('sheet2-计算明细'!$D$17:$D$330,$X131))</f>
        <v/>
      </c>
      <c r="E131" s="18">
        <f>IF($X131="","",INDEX('sheet2-计算明细'!$G$17:$G$330,$X131))</f>
        <v/>
      </c>
      <c r="F131" s="19">
        <f>IF($X131="","",INDEX('sheet2-计算明细'!$I$17:$I$330,$X131))</f>
        <v/>
      </c>
      <c r="G131" s="19">
        <f>IF($X131="","",INDEX('sheet2-计算明细'!$K$17:$K$330,$X131))</f>
        <v/>
      </c>
      <c r="H131" s="19">
        <f>IF($X131="","",INDEX('sheet2-计算明细'!$L$17:$L$330,$X131))</f>
        <v/>
      </c>
      <c r="I131" s="19">
        <f>IF($X131="","",INDEX('sheet2-计算明细'!$S$17:$S$330,$X131))</f>
        <v/>
      </c>
      <c r="J131" s="19">
        <f>IF($X131="","",INDEX('sheet2-计算明细'!$Y$17:$Y$330,$X131))</f>
        <v/>
      </c>
      <c r="K131" s="19">
        <f>IF($X131="","",INDEX('sheet2-计算明细'!$AC$17:$AC$330,$X131))</f>
        <v/>
      </c>
      <c r="L131" s="19">
        <f>IF($X131="","",INDEX('sheet2-计算明细'!$AI$17:$AI$330,$X131))</f>
        <v/>
      </c>
      <c r="M131" s="19">
        <f>IF($X131="","",INDEX('sheet2-计算明细'!$AK$17:$AK$330,$X131))</f>
        <v/>
      </c>
      <c r="N131" s="20">
        <f>IF(COUNT(F131:H131)=0,"",ROUND((IF(ISNUMBER(F131),F131*40%,0)+IF(ISNUMBER(G131),G131*30%,0)+IF(ISNUMBER(H131),H131*30%,0))/(IF(ISNUMBER(F131),40%,0)+IF(ISNUMBER(G131),30%,0)+IF(ISNUMBER(H131),30%,0)),2))</f>
        <v/>
      </c>
      <c r="O131" s="20">
        <f>IF(COUNT(I131:J131)=0,"",ROUND((IF(ISNUMBER(I131),I131*70%,0)+IF(ISNUMBER(J131),J131*30%,0))/(IF(ISNUMBER(I131),70%,0)+IF(ISNUMBER(J131),30%,0)),2))</f>
        <v/>
      </c>
      <c r="P131" s="20">
        <f>K131</f>
        <v/>
      </c>
      <c r="Q131" s="20">
        <f>L131</f>
        <v/>
      </c>
      <c r="R131" s="20">
        <f>M131</f>
        <v/>
      </c>
      <c r="S131" s="93">
        <f>IF($X131="","",INDEX('sheet2-计算明细'!$AQ$17:$AQ$330,$X131))</f>
        <v/>
      </c>
      <c r="T131" s="19">
        <f>IF($X131="","",INDEX('sheet2-计算明细'!$AR$17:$AR$330,$X131))</f>
        <v/>
      </c>
      <c r="U131" s="20">
        <f>IF(S131=0,"",ROUND(T131/S131,2))</f>
        <v/>
      </c>
      <c r="V131" s="20">
        <f>IF(S131=100%,T131,"")</f>
        <v/>
      </c>
      <c r="W131" s="22">
        <f>IF($X131="","",INDEX('sheet2-计算明细'!$AU$17:$AU$330,$X131))</f>
        <v/>
      </c>
      <c r="X131" s="18">
        <f>IF($A131&gt;COUNT('sheet2-计算明细'!$AT$17:$AT$330),"",MATCH($A131,'sheet2-计算明细'!$AT$17:$AT$330,0))</f>
        <v/>
      </c>
    </row>
    <row r="132" ht="28" customHeight="1" s="73">
      <c r="A132" s="2" t="n">
        <v>127</v>
      </c>
      <c r="B132" s="18">
        <f>IF($X132="","",INDEX('sheet2-计算明细'!$B$17:$B$330,$X132))</f>
        <v/>
      </c>
      <c r="C132" s="18">
        <f>IF($X132="","",INDEX('sheet2-计算明细'!$C$17:$C$330,$X132))</f>
        <v/>
      </c>
      <c r="D132" s="18">
        <f>IF($X132="","",INDEX('sheet2-计算明细'!$D$17:$D$330,$X132))</f>
        <v/>
      </c>
      <c r="E132" s="18">
        <f>IF($X132="","",INDEX('sheet2-计算明细'!$G$17:$G$330,$X132))</f>
        <v/>
      </c>
      <c r="F132" s="19">
        <f>IF($X132="","",INDEX('sheet2-计算明细'!$I$17:$I$330,$X132))</f>
        <v/>
      </c>
      <c r="G132" s="19">
        <f>IF($X132="","",INDEX('sheet2-计算明细'!$K$17:$K$330,$X132))</f>
        <v/>
      </c>
      <c r="H132" s="19">
        <f>IF($X132="","",INDEX('sheet2-计算明细'!$L$17:$L$330,$X132))</f>
        <v/>
      </c>
      <c r="I132" s="19">
        <f>IF($X132="","",INDEX('sheet2-计算明细'!$S$17:$S$330,$X132))</f>
        <v/>
      </c>
      <c r="J132" s="19">
        <f>IF($X132="","",INDEX('sheet2-计算明细'!$Y$17:$Y$330,$X132))</f>
        <v/>
      </c>
      <c r="K132" s="19">
        <f>IF($X132="","",INDEX('sheet2-计算明细'!$AC$17:$AC$330,$X132))</f>
        <v/>
      </c>
      <c r="L132" s="19">
        <f>IF($X132="","",INDEX('sheet2-计算明细'!$AI$17:$AI$330,$X132))</f>
        <v/>
      </c>
      <c r="M132" s="19">
        <f>IF($X132="","",INDEX('sheet2-计算明细'!$AK$17:$AK$330,$X132))</f>
        <v/>
      </c>
      <c r="N132" s="20">
        <f>IF(COUNT(F132:H132)=0,"",ROUND((IF(ISNUMBER(F132),F132*40%,0)+IF(ISNUMBER(G132),G132*30%,0)+IF(ISNUMBER(H132),H132*30%,0))/(IF(ISNUMBER(F132),40%,0)+IF(ISNUMBER(G132),30%,0)+IF(ISNUMBER(H132),30%,0)),2))</f>
        <v/>
      </c>
      <c r="O132" s="20">
        <f>IF(COUNT(I132:J132)=0,"",ROUND((IF(ISNUMBER(I132),I132*70%,0)+IF(ISNUMBER(J132),J132*30%,0))/(IF(ISNUMBER(I132),70%,0)+IF(ISNUMBER(J132),30%,0)),2))</f>
        <v/>
      </c>
      <c r="P132" s="20">
        <f>K132</f>
        <v/>
      </c>
      <c r="Q132" s="20">
        <f>L132</f>
        <v/>
      </c>
      <c r="R132" s="20">
        <f>M132</f>
        <v/>
      </c>
      <c r="S132" s="93">
        <f>IF($X132="","",INDEX('sheet2-计算明细'!$AQ$17:$AQ$330,$X132))</f>
        <v/>
      </c>
      <c r="T132" s="19">
        <f>IF($X132="","",INDEX('sheet2-计算明细'!$AR$17:$AR$330,$X132))</f>
        <v/>
      </c>
      <c r="U132" s="20">
        <f>IF(S132=0,"",ROUND(T132/S132,2))</f>
        <v/>
      </c>
      <c r="V132" s="20">
        <f>IF(S132=100%,T132,"")</f>
        <v/>
      </c>
      <c r="W132" s="22">
        <f>IF($X132="","",INDEX('sheet2-计算明细'!$AU$17:$AU$330,$X132))</f>
        <v/>
      </c>
      <c r="X132" s="18">
        <f>IF($A132&gt;COUNT('sheet2-计算明细'!$AT$17:$AT$330),"",MATCH($A132,'sheet2-计算明细'!$AT$17:$AT$330,0))</f>
        <v/>
      </c>
    </row>
    <row r="133" ht="28" customHeight="1" s="73">
      <c r="A133" s="2" t="n">
        <v>128</v>
      </c>
      <c r="B133" s="18">
        <f>IF($X133="","",INDEX('sheet2-计算明细'!$B$17:$B$330,$X133))</f>
        <v/>
      </c>
      <c r="C133" s="18">
        <f>IF($X133="","",INDEX('sheet2-计算明细'!$C$17:$C$330,$X133))</f>
        <v/>
      </c>
      <c r="D133" s="18">
        <f>IF($X133="","",INDEX('sheet2-计算明细'!$D$17:$D$330,$X133))</f>
        <v/>
      </c>
      <c r="E133" s="18">
        <f>IF($X133="","",INDEX('sheet2-计算明细'!$G$17:$G$330,$X133))</f>
        <v/>
      </c>
      <c r="F133" s="19">
        <f>IF($X133="","",INDEX('sheet2-计算明细'!$I$17:$I$330,$X133))</f>
        <v/>
      </c>
      <c r="G133" s="19">
        <f>IF($X133="","",INDEX('sheet2-计算明细'!$K$17:$K$330,$X133))</f>
        <v/>
      </c>
      <c r="H133" s="19">
        <f>IF($X133="","",INDEX('sheet2-计算明细'!$L$17:$L$330,$X133))</f>
        <v/>
      </c>
      <c r="I133" s="19">
        <f>IF($X133="","",INDEX('sheet2-计算明细'!$S$17:$S$330,$X133))</f>
        <v/>
      </c>
      <c r="J133" s="19">
        <f>IF($X133="","",INDEX('sheet2-计算明细'!$Y$17:$Y$330,$X133))</f>
        <v/>
      </c>
      <c r="K133" s="19">
        <f>IF($X133="","",INDEX('sheet2-计算明细'!$AC$17:$AC$330,$X133))</f>
        <v/>
      </c>
      <c r="L133" s="19">
        <f>IF($X133="","",INDEX('sheet2-计算明细'!$AI$17:$AI$330,$X133))</f>
        <v/>
      </c>
      <c r="M133" s="19">
        <f>IF($X133="","",INDEX('sheet2-计算明细'!$AK$17:$AK$330,$X133))</f>
        <v/>
      </c>
      <c r="N133" s="20">
        <f>IF(COUNT(F133:H133)=0,"",ROUND((IF(ISNUMBER(F133),F133*40%,0)+IF(ISNUMBER(G133),G133*30%,0)+IF(ISNUMBER(H133),H133*30%,0))/(IF(ISNUMBER(F133),40%,0)+IF(ISNUMBER(G133),30%,0)+IF(ISNUMBER(H133),30%,0)),2))</f>
        <v/>
      </c>
      <c r="O133" s="20">
        <f>IF(COUNT(I133:J133)=0,"",ROUND((IF(ISNUMBER(I133),I133*70%,0)+IF(ISNUMBER(J133),J133*30%,0))/(IF(ISNUMBER(I133),70%,0)+IF(ISNUMBER(J133),30%,0)),2))</f>
        <v/>
      </c>
      <c r="P133" s="20">
        <f>K133</f>
        <v/>
      </c>
      <c r="Q133" s="20">
        <f>L133</f>
        <v/>
      </c>
      <c r="R133" s="20">
        <f>M133</f>
        <v/>
      </c>
      <c r="S133" s="93">
        <f>IF($X133="","",INDEX('sheet2-计算明细'!$AQ$17:$AQ$330,$X133))</f>
        <v/>
      </c>
      <c r="T133" s="19">
        <f>IF($X133="","",INDEX('sheet2-计算明细'!$AR$17:$AR$330,$X133))</f>
        <v/>
      </c>
      <c r="U133" s="20">
        <f>IF(S133=0,"",ROUND(T133/S133,2))</f>
        <v/>
      </c>
      <c r="V133" s="20">
        <f>IF(S133=100%,T133,"")</f>
        <v/>
      </c>
      <c r="W133" s="22">
        <f>IF($X133="","",INDEX('sheet2-计算明细'!$AU$17:$AU$330,$X133))</f>
        <v/>
      </c>
      <c r="X133" s="18">
        <f>IF($A133&gt;COUNT('sheet2-计算明细'!$AT$17:$AT$330),"",MATCH($A133,'sheet2-计算明细'!$AT$17:$AT$330,0))</f>
        <v/>
      </c>
    </row>
    <row r="134" ht="28" customHeight="1" s="73">
      <c r="A134" s="2" t="n">
        <v>129</v>
      </c>
      <c r="B134" s="18">
        <f>IF($X134="","",INDEX('sheet2-计算明细'!$B$17:$B$330,$X134))</f>
        <v/>
      </c>
      <c r="C134" s="18">
        <f>IF($X134="","",INDEX('sheet2-计算明细'!$C$17:$C$330,$X134))</f>
        <v/>
      </c>
      <c r="D134" s="18">
        <f>IF($X134="","",INDEX('sheet2-计算明细'!$D$17:$D$330,$X134))</f>
        <v/>
      </c>
      <c r="E134" s="18">
        <f>IF($X134="","",INDEX('sheet2-计算明细'!$G$17:$G$330,$X134))</f>
        <v/>
      </c>
      <c r="F134" s="19">
        <f>IF($X134="","",INDEX('sheet2-计算明细'!$I$17:$I$330,$X134))</f>
        <v/>
      </c>
      <c r="G134" s="19">
        <f>IF($X134="","",INDEX('sheet2-计算明细'!$K$17:$K$330,$X134))</f>
        <v/>
      </c>
      <c r="H134" s="19">
        <f>IF($X134="","",INDEX('sheet2-计算明细'!$L$17:$L$330,$X134))</f>
        <v/>
      </c>
      <c r="I134" s="19">
        <f>IF($X134="","",INDEX('sheet2-计算明细'!$S$17:$S$330,$X134))</f>
        <v/>
      </c>
      <c r="J134" s="19">
        <f>IF($X134="","",INDEX('sheet2-计算明细'!$Y$17:$Y$330,$X134))</f>
        <v/>
      </c>
      <c r="K134" s="19">
        <f>IF($X134="","",INDEX('sheet2-计算明细'!$AC$17:$AC$330,$X134))</f>
        <v/>
      </c>
      <c r="L134" s="19">
        <f>IF($X134="","",INDEX('sheet2-计算明细'!$AI$17:$AI$330,$X134))</f>
        <v/>
      </c>
      <c r="M134" s="19">
        <f>IF($X134="","",INDEX('sheet2-计算明细'!$AK$17:$AK$330,$X134))</f>
        <v/>
      </c>
      <c r="N134" s="20">
        <f>IF(COUNT(F134:H134)=0,"",ROUND((IF(ISNUMBER(F134),F134*40%,0)+IF(ISNUMBER(G134),G134*30%,0)+IF(ISNUMBER(H134),H134*30%,0))/(IF(ISNUMBER(F134),40%,0)+IF(ISNUMBER(G134),30%,0)+IF(ISNUMBER(H134),30%,0)),2))</f>
        <v/>
      </c>
      <c r="O134" s="20">
        <f>IF(COUNT(I134:J134)=0,"",ROUND((IF(ISNUMBER(I134),I134*70%,0)+IF(ISNUMBER(J134),J134*30%,0))/(IF(ISNUMBER(I134),70%,0)+IF(ISNUMBER(J134),30%,0)),2))</f>
        <v/>
      </c>
      <c r="P134" s="20">
        <f>K134</f>
        <v/>
      </c>
      <c r="Q134" s="20">
        <f>L134</f>
        <v/>
      </c>
      <c r="R134" s="20">
        <f>M134</f>
        <v/>
      </c>
      <c r="S134" s="93">
        <f>IF($X134="","",INDEX('sheet2-计算明细'!$AQ$17:$AQ$330,$X134))</f>
        <v/>
      </c>
      <c r="T134" s="19">
        <f>IF($X134="","",INDEX('sheet2-计算明细'!$AR$17:$AR$330,$X134))</f>
        <v/>
      </c>
      <c r="U134" s="20">
        <f>IF(S134=0,"",ROUND(T134/S134,2))</f>
        <v/>
      </c>
      <c r="V134" s="20">
        <f>IF(S134=100%,T134,"")</f>
        <v/>
      </c>
      <c r="W134" s="22">
        <f>IF($X134="","",INDEX('sheet2-计算明细'!$AU$17:$AU$330,$X134))</f>
        <v/>
      </c>
      <c r="X134" s="18">
        <f>IF($A134&gt;COUNT('sheet2-计算明细'!$AT$17:$AT$330),"",MATCH($A134,'sheet2-计算明细'!$AT$17:$AT$330,0))</f>
        <v/>
      </c>
    </row>
    <row r="135" ht="28" customHeight="1" s="73">
      <c r="A135" s="2" t="n">
        <v>130</v>
      </c>
      <c r="B135" s="18">
        <f>IF($X135="","",INDEX('sheet2-计算明细'!$B$17:$B$330,$X135))</f>
        <v/>
      </c>
      <c r="C135" s="18">
        <f>IF($X135="","",INDEX('sheet2-计算明细'!$C$17:$C$330,$X135))</f>
        <v/>
      </c>
      <c r="D135" s="18">
        <f>IF($X135="","",INDEX('sheet2-计算明细'!$D$17:$D$330,$X135))</f>
        <v/>
      </c>
      <c r="E135" s="18">
        <f>IF($X135="","",INDEX('sheet2-计算明细'!$G$17:$G$330,$X135))</f>
        <v/>
      </c>
      <c r="F135" s="19">
        <f>IF($X135="","",INDEX('sheet2-计算明细'!$I$17:$I$330,$X135))</f>
        <v/>
      </c>
      <c r="G135" s="19">
        <f>IF($X135="","",INDEX('sheet2-计算明细'!$K$17:$K$330,$X135))</f>
        <v/>
      </c>
      <c r="H135" s="19">
        <f>IF($X135="","",INDEX('sheet2-计算明细'!$L$17:$L$330,$X135))</f>
        <v/>
      </c>
      <c r="I135" s="19">
        <f>IF($X135="","",INDEX('sheet2-计算明细'!$S$17:$S$330,$X135))</f>
        <v/>
      </c>
      <c r="J135" s="19">
        <f>IF($X135="","",INDEX('sheet2-计算明细'!$Y$17:$Y$330,$X135))</f>
        <v/>
      </c>
      <c r="K135" s="19">
        <f>IF($X135="","",INDEX('sheet2-计算明细'!$AC$17:$AC$330,$X135))</f>
        <v/>
      </c>
      <c r="L135" s="19">
        <f>IF($X135="","",INDEX('sheet2-计算明细'!$AI$17:$AI$330,$X135))</f>
        <v/>
      </c>
      <c r="M135" s="19">
        <f>IF($X135="","",INDEX('sheet2-计算明细'!$AK$17:$AK$330,$X135))</f>
        <v/>
      </c>
      <c r="N135" s="20">
        <f>IF(COUNT(F135:H135)=0,"",ROUND((IF(ISNUMBER(F135),F135*40%,0)+IF(ISNUMBER(G135),G135*30%,0)+IF(ISNUMBER(H135),H135*30%,0))/(IF(ISNUMBER(F135),40%,0)+IF(ISNUMBER(G135),30%,0)+IF(ISNUMBER(H135),30%,0)),2))</f>
        <v/>
      </c>
      <c r="O135" s="20">
        <f>IF(COUNT(I135:J135)=0,"",ROUND((IF(ISNUMBER(I135),I135*70%,0)+IF(ISNUMBER(J135),J135*30%,0))/(IF(ISNUMBER(I135),70%,0)+IF(ISNUMBER(J135),30%,0)),2))</f>
        <v/>
      </c>
      <c r="P135" s="20">
        <f>K135</f>
        <v/>
      </c>
      <c r="Q135" s="20">
        <f>L135</f>
        <v/>
      </c>
      <c r="R135" s="20">
        <f>M135</f>
        <v/>
      </c>
      <c r="S135" s="93">
        <f>IF($X135="","",INDEX('sheet2-计算明细'!$AQ$17:$AQ$330,$X135))</f>
        <v/>
      </c>
      <c r="T135" s="19">
        <f>IF($X135="","",INDEX('sheet2-计算明细'!$AR$17:$AR$330,$X135))</f>
        <v/>
      </c>
      <c r="U135" s="20">
        <f>IF(S135=0,"",ROUND(T135/S135,2))</f>
        <v/>
      </c>
      <c r="V135" s="20">
        <f>IF(S135=100%,T135,"")</f>
        <v/>
      </c>
      <c r="W135" s="22">
        <f>IF($X135="","",INDEX('sheet2-计算明细'!$AU$17:$AU$330,$X135))</f>
        <v/>
      </c>
      <c r="X135" s="18">
        <f>IF($A135&gt;COUNT('sheet2-计算明细'!$AT$17:$AT$330),"",MATCH($A135,'sheet2-计算明细'!$AT$17:$AT$330,0))</f>
        <v/>
      </c>
    </row>
    <row r="136" ht="28" customHeight="1" s="73">
      <c r="A136" s="2" t="n">
        <v>131</v>
      </c>
      <c r="B136" s="18">
        <f>IF($X136="","",INDEX('sheet2-计算明细'!$B$17:$B$330,$X136))</f>
        <v/>
      </c>
      <c r="C136" s="18">
        <f>IF($X136="","",INDEX('sheet2-计算明细'!$C$17:$C$330,$X136))</f>
        <v/>
      </c>
      <c r="D136" s="18">
        <f>IF($X136="","",INDEX('sheet2-计算明细'!$D$17:$D$330,$X136))</f>
        <v/>
      </c>
      <c r="E136" s="18">
        <f>IF($X136="","",INDEX('sheet2-计算明细'!$G$17:$G$330,$X136))</f>
        <v/>
      </c>
      <c r="F136" s="19">
        <f>IF($X136="","",INDEX('sheet2-计算明细'!$I$17:$I$330,$X136))</f>
        <v/>
      </c>
      <c r="G136" s="19">
        <f>IF($X136="","",INDEX('sheet2-计算明细'!$K$17:$K$330,$X136))</f>
        <v/>
      </c>
      <c r="H136" s="19">
        <f>IF($X136="","",INDEX('sheet2-计算明细'!$L$17:$L$330,$X136))</f>
        <v/>
      </c>
      <c r="I136" s="19">
        <f>IF($X136="","",INDEX('sheet2-计算明细'!$S$17:$S$330,$X136))</f>
        <v/>
      </c>
      <c r="J136" s="19">
        <f>IF($X136="","",INDEX('sheet2-计算明细'!$Y$17:$Y$330,$X136))</f>
        <v/>
      </c>
      <c r="K136" s="19">
        <f>IF($X136="","",INDEX('sheet2-计算明细'!$AC$17:$AC$330,$X136))</f>
        <v/>
      </c>
      <c r="L136" s="19">
        <f>IF($X136="","",INDEX('sheet2-计算明细'!$AI$17:$AI$330,$X136))</f>
        <v/>
      </c>
      <c r="M136" s="19">
        <f>IF($X136="","",INDEX('sheet2-计算明细'!$AK$17:$AK$330,$X136))</f>
        <v/>
      </c>
      <c r="N136" s="20">
        <f>IF(COUNT(F136:H136)=0,"",ROUND((IF(ISNUMBER(F136),F136*40%,0)+IF(ISNUMBER(G136),G136*30%,0)+IF(ISNUMBER(H136),H136*30%,0))/(IF(ISNUMBER(F136),40%,0)+IF(ISNUMBER(G136),30%,0)+IF(ISNUMBER(H136),30%,0)),2))</f>
        <v/>
      </c>
      <c r="O136" s="20">
        <f>IF(COUNT(I136:J136)=0,"",ROUND((IF(ISNUMBER(I136),I136*70%,0)+IF(ISNUMBER(J136),J136*30%,0))/(IF(ISNUMBER(I136),70%,0)+IF(ISNUMBER(J136),30%,0)),2))</f>
        <v/>
      </c>
      <c r="P136" s="20">
        <f>K136</f>
        <v/>
      </c>
      <c r="Q136" s="20">
        <f>L136</f>
        <v/>
      </c>
      <c r="R136" s="20">
        <f>M136</f>
        <v/>
      </c>
      <c r="S136" s="93">
        <f>IF($X136="","",INDEX('sheet2-计算明细'!$AQ$17:$AQ$330,$X136))</f>
        <v/>
      </c>
      <c r="T136" s="19">
        <f>IF($X136="","",INDEX('sheet2-计算明细'!$AR$17:$AR$330,$X136))</f>
        <v/>
      </c>
      <c r="U136" s="20">
        <f>IF(S136=0,"",ROUND(T136/S136,2))</f>
        <v/>
      </c>
      <c r="V136" s="20">
        <f>IF(S136=100%,T136,"")</f>
        <v/>
      </c>
      <c r="W136" s="22">
        <f>IF($X136="","",INDEX('sheet2-计算明细'!$AU$17:$AU$330,$X136))</f>
        <v/>
      </c>
      <c r="X136" s="18">
        <f>IF($A136&gt;COUNT('sheet2-计算明细'!$AT$17:$AT$330),"",MATCH($A136,'sheet2-计算明细'!$AT$17:$AT$330,0))</f>
        <v/>
      </c>
    </row>
    <row r="137" ht="28" customHeight="1" s="73">
      <c r="A137" s="2" t="n">
        <v>132</v>
      </c>
      <c r="B137" s="18">
        <f>IF($X137="","",INDEX('sheet2-计算明细'!$B$17:$B$330,$X137))</f>
        <v/>
      </c>
      <c r="C137" s="18">
        <f>IF($X137="","",INDEX('sheet2-计算明细'!$C$17:$C$330,$X137))</f>
        <v/>
      </c>
      <c r="D137" s="18">
        <f>IF($X137="","",INDEX('sheet2-计算明细'!$D$17:$D$330,$X137))</f>
        <v/>
      </c>
      <c r="E137" s="18">
        <f>IF($X137="","",INDEX('sheet2-计算明细'!$G$17:$G$330,$X137))</f>
        <v/>
      </c>
      <c r="F137" s="19">
        <f>IF($X137="","",INDEX('sheet2-计算明细'!$I$17:$I$330,$X137))</f>
        <v/>
      </c>
      <c r="G137" s="19">
        <f>IF($X137="","",INDEX('sheet2-计算明细'!$K$17:$K$330,$X137))</f>
        <v/>
      </c>
      <c r="H137" s="19">
        <f>IF($X137="","",INDEX('sheet2-计算明细'!$L$17:$L$330,$X137))</f>
        <v/>
      </c>
      <c r="I137" s="19">
        <f>IF($X137="","",INDEX('sheet2-计算明细'!$S$17:$S$330,$X137))</f>
        <v/>
      </c>
      <c r="J137" s="19">
        <f>IF($X137="","",INDEX('sheet2-计算明细'!$Y$17:$Y$330,$X137))</f>
        <v/>
      </c>
      <c r="K137" s="19">
        <f>IF($X137="","",INDEX('sheet2-计算明细'!$AC$17:$AC$330,$X137))</f>
        <v/>
      </c>
      <c r="L137" s="19">
        <f>IF($X137="","",INDEX('sheet2-计算明细'!$AI$17:$AI$330,$X137))</f>
        <v/>
      </c>
      <c r="M137" s="19">
        <f>IF($X137="","",INDEX('sheet2-计算明细'!$AK$17:$AK$330,$X137))</f>
        <v/>
      </c>
      <c r="N137" s="20">
        <f>IF(COUNT(F137:H137)=0,"",ROUND((IF(ISNUMBER(F137),F137*40%,0)+IF(ISNUMBER(G137),G137*30%,0)+IF(ISNUMBER(H137),H137*30%,0))/(IF(ISNUMBER(F137),40%,0)+IF(ISNUMBER(G137),30%,0)+IF(ISNUMBER(H137),30%,0)),2))</f>
        <v/>
      </c>
      <c r="O137" s="20">
        <f>IF(COUNT(I137:J137)=0,"",ROUND((IF(ISNUMBER(I137),I137*70%,0)+IF(ISNUMBER(J137),J137*30%,0))/(IF(ISNUMBER(I137),70%,0)+IF(ISNUMBER(J137),30%,0)),2))</f>
        <v/>
      </c>
      <c r="P137" s="20">
        <f>K137</f>
        <v/>
      </c>
      <c r="Q137" s="20">
        <f>L137</f>
        <v/>
      </c>
      <c r="R137" s="20">
        <f>M137</f>
        <v/>
      </c>
      <c r="S137" s="93">
        <f>IF($X137="","",INDEX('sheet2-计算明细'!$AQ$17:$AQ$330,$X137))</f>
        <v/>
      </c>
      <c r="T137" s="19">
        <f>IF($X137="","",INDEX('sheet2-计算明细'!$AR$17:$AR$330,$X137))</f>
        <v/>
      </c>
      <c r="U137" s="20">
        <f>IF(S137=0,"",ROUND(T137/S137,2))</f>
        <v/>
      </c>
      <c r="V137" s="20">
        <f>IF(S137=100%,T137,"")</f>
        <v/>
      </c>
      <c r="W137" s="22">
        <f>IF($X137="","",INDEX('sheet2-计算明细'!$AU$17:$AU$330,$X137))</f>
        <v/>
      </c>
      <c r="X137" s="18">
        <f>IF($A137&gt;COUNT('sheet2-计算明细'!$AT$17:$AT$330),"",MATCH($A137,'sheet2-计算明细'!$AT$17:$AT$330,0))</f>
        <v/>
      </c>
    </row>
    <row r="138" ht="28" customHeight="1" s="73">
      <c r="A138" s="2" t="n">
        <v>133</v>
      </c>
      <c r="B138" s="18">
        <f>IF($X138="","",INDEX('sheet2-计算明细'!$B$17:$B$330,$X138))</f>
        <v/>
      </c>
      <c r="C138" s="18">
        <f>IF($X138="","",INDEX('sheet2-计算明细'!$C$17:$C$330,$X138))</f>
        <v/>
      </c>
      <c r="D138" s="18">
        <f>IF($X138="","",INDEX('sheet2-计算明细'!$D$17:$D$330,$X138))</f>
        <v/>
      </c>
      <c r="E138" s="18">
        <f>IF($X138="","",INDEX('sheet2-计算明细'!$G$17:$G$330,$X138))</f>
        <v/>
      </c>
      <c r="F138" s="19">
        <f>IF($X138="","",INDEX('sheet2-计算明细'!$I$17:$I$330,$X138))</f>
        <v/>
      </c>
      <c r="G138" s="19">
        <f>IF($X138="","",INDEX('sheet2-计算明细'!$K$17:$K$330,$X138))</f>
        <v/>
      </c>
      <c r="H138" s="19">
        <f>IF($X138="","",INDEX('sheet2-计算明细'!$L$17:$L$330,$X138))</f>
        <v/>
      </c>
      <c r="I138" s="19">
        <f>IF($X138="","",INDEX('sheet2-计算明细'!$S$17:$S$330,$X138))</f>
        <v/>
      </c>
      <c r="J138" s="19">
        <f>IF($X138="","",INDEX('sheet2-计算明细'!$Y$17:$Y$330,$X138))</f>
        <v/>
      </c>
      <c r="K138" s="19">
        <f>IF($X138="","",INDEX('sheet2-计算明细'!$AC$17:$AC$330,$X138))</f>
        <v/>
      </c>
      <c r="L138" s="19">
        <f>IF($X138="","",INDEX('sheet2-计算明细'!$AI$17:$AI$330,$X138))</f>
        <v/>
      </c>
      <c r="M138" s="19">
        <f>IF($X138="","",INDEX('sheet2-计算明细'!$AK$17:$AK$330,$X138))</f>
        <v/>
      </c>
      <c r="N138" s="20">
        <f>IF(COUNT(F138:H138)=0,"",ROUND((IF(ISNUMBER(F138),F138*40%,0)+IF(ISNUMBER(G138),G138*30%,0)+IF(ISNUMBER(H138),H138*30%,0))/(IF(ISNUMBER(F138),40%,0)+IF(ISNUMBER(G138),30%,0)+IF(ISNUMBER(H138),30%,0)),2))</f>
        <v/>
      </c>
      <c r="O138" s="20">
        <f>IF(COUNT(I138:J138)=0,"",ROUND((IF(ISNUMBER(I138),I138*70%,0)+IF(ISNUMBER(J138),J138*30%,0))/(IF(ISNUMBER(I138),70%,0)+IF(ISNUMBER(J138),30%,0)),2))</f>
        <v/>
      </c>
      <c r="P138" s="20">
        <f>K138</f>
        <v/>
      </c>
      <c r="Q138" s="20">
        <f>L138</f>
        <v/>
      </c>
      <c r="R138" s="20">
        <f>M138</f>
        <v/>
      </c>
      <c r="S138" s="93">
        <f>IF($X138="","",INDEX('sheet2-计算明细'!$AQ$17:$AQ$330,$X138))</f>
        <v/>
      </c>
      <c r="T138" s="19">
        <f>IF($X138="","",INDEX('sheet2-计算明细'!$AR$17:$AR$330,$X138))</f>
        <v/>
      </c>
      <c r="U138" s="20">
        <f>IF(S138=0,"",ROUND(T138/S138,2))</f>
        <v/>
      </c>
      <c r="V138" s="20">
        <f>IF(S138=100%,T138,"")</f>
        <v/>
      </c>
      <c r="W138" s="22">
        <f>IF($X138="","",INDEX('sheet2-计算明细'!$AU$17:$AU$330,$X138))</f>
        <v/>
      </c>
      <c r="X138" s="18">
        <f>IF($A138&gt;COUNT('sheet2-计算明细'!$AT$17:$AT$330),"",MATCH($A138,'sheet2-计算明细'!$AT$17:$AT$330,0))</f>
        <v/>
      </c>
    </row>
    <row r="139" ht="28" customHeight="1" s="73">
      <c r="A139" s="2" t="n">
        <v>134</v>
      </c>
      <c r="B139" s="18">
        <f>IF($X139="","",INDEX('sheet2-计算明细'!$B$17:$B$330,$X139))</f>
        <v/>
      </c>
      <c r="C139" s="18">
        <f>IF($X139="","",INDEX('sheet2-计算明细'!$C$17:$C$330,$X139))</f>
        <v/>
      </c>
      <c r="D139" s="18">
        <f>IF($X139="","",INDEX('sheet2-计算明细'!$D$17:$D$330,$X139))</f>
        <v/>
      </c>
      <c r="E139" s="18">
        <f>IF($X139="","",INDEX('sheet2-计算明细'!$G$17:$G$330,$X139))</f>
        <v/>
      </c>
      <c r="F139" s="19">
        <f>IF($X139="","",INDEX('sheet2-计算明细'!$I$17:$I$330,$X139))</f>
        <v/>
      </c>
      <c r="G139" s="19">
        <f>IF($X139="","",INDEX('sheet2-计算明细'!$K$17:$K$330,$X139))</f>
        <v/>
      </c>
      <c r="H139" s="19">
        <f>IF($X139="","",INDEX('sheet2-计算明细'!$L$17:$L$330,$X139))</f>
        <v/>
      </c>
      <c r="I139" s="19">
        <f>IF($X139="","",INDEX('sheet2-计算明细'!$S$17:$S$330,$X139))</f>
        <v/>
      </c>
      <c r="J139" s="19">
        <f>IF($X139="","",INDEX('sheet2-计算明细'!$Y$17:$Y$330,$X139))</f>
        <v/>
      </c>
      <c r="K139" s="19">
        <f>IF($X139="","",INDEX('sheet2-计算明细'!$AC$17:$AC$330,$X139))</f>
        <v/>
      </c>
      <c r="L139" s="19">
        <f>IF($X139="","",INDEX('sheet2-计算明细'!$AI$17:$AI$330,$X139))</f>
        <v/>
      </c>
      <c r="M139" s="19">
        <f>IF($X139="","",INDEX('sheet2-计算明细'!$AK$17:$AK$330,$X139))</f>
        <v/>
      </c>
      <c r="N139" s="20">
        <f>IF(COUNT(F139:H139)=0,"",ROUND((IF(ISNUMBER(F139),F139*40%,0)+IF(ISNUMBER(G139),G139*30%,0)+IF(ISNUMBER(H139),H139*30%,0))/(IF(ISNUMBER(F139),40%,0)+IF(ISNUMBER(G139),30%,0)+IF(ISNUMBER(H139),30%,0)),2))</f>
        <v/>
      </c>
      <c r="O139" s="20">
        <f>IF(COUNT(I139:J139)=0,"",ROUND((IF(ISNUMBER(I139),I139*70%,0)+IF(ISNUMBER(J139),J139*30%,0))/(IF(ISNUMBER(I139),70%,0)+IF(ISNUMBER(J139),30%,0)),2))</f>
        <v/>
      </c>
      <c r="P139" s="20">
        <f>K139</f>
        <v/>
      </c>
      <c r="Q139" s="20">
        <f>L139</f>
        <v/>
      </c>
      <c r="R139" s="20">
        <f>M139</f>
        <v/>
      </c>
      <c r="S139" s="93">
        <f>IF($X139="","",INDEX('sheet2-计算明细'!$AQ$17:$AQ$330,$X139))</f>
        <v/>
      </c>
      <c r="T139" s="19">
        <f>IF($X139="","",INDEX('sheet2-计算明细'!$AR$17:$AR$330,$X139))</f>
        <v/>
      </c>
      <c r="U139" s="20">
        <f>IF(S139=0,"",ROUND(T139/S139,2))</f>
        <v/>
      </c>
      <c r="V139" s="20">
        <f>IF(S139=100%,T139,"")</f>
        <v/>
      </c>
      <c r="W139" s="22">
        <f>IF($X139="","",INDEX('sheet2-计算明细'!$AU$17:$AU$330,$X139))</f>
        <v/>
      </c>
      <c r="X139" s="18">
        <f>IF($A139&gt;COUNT('sheet2-计算明细'!$AT$17:$AT$330),"",MATCH($A139,'sheet2-计算明细'!$AT$17:$AT$330,0))</f>
        <v/>
      </c>
    </row>
    <row r="140" ht="28" customHeight="1" s="73">
      <c r="A140" s="2" t="n">
        <v>135</v>
      </c>
      <c r="B140" s="18">
        <f>IF($X140="","",INDEX('sheet2-计算明细'!$B$17:$B$330,$X140))</f>
        <v/>
      </c>
      <c r="C140" s="18">
        <f>IF($X140="","",INDEX('sheet2-计算明细'!$C$17:$C$330,$X140))</f>
        <v/>
      </c>
      <c r="D140" s="18">
        <f>IF($X140="","",INDEX('sheet2-计算明细'!$D$17:$D$330,$X140))</f>
        <v/>
      </c>
      <c r="E140" s="18">
        <f>IF($X140="","",INDEX('sheet2-计算明细'!$G$17:$G$330,$X140))</f>
        <v/>
      </c>
      <c r="F140" s="19">
        <f>IF($X140="","",INDEX('sheet2-计算明细'!$I$17:$I$330,$X140))</f>
        <v/>
      </c>
      <c r="G140" s="19">
        <f>IF($X140="","",INDEX('sheet2-计算明细'!$K$17:$K$330,$X140))</f>
        <v/>
      </c>
      <c r="H140" s="19">
        <f>IF($X140="","",INDEX('sheet2-计算明细'!$L$17:$L$330,$X140))</f>
        <v/>
      </c>
      <c r="I140" s="19">
        <f>IF($X140="","",INDEX('sheet2-计算明细'!$S$17:$S$330,$X140))</f>
        <v/>
      </c>
      <c r="J140" s="19">
        <f>IF($X140="","",INDEX('sheet2-计算明细'!$Y$17:$Y$330,$X140))</f>
        <v/>
      </c>
      <c r="K140" s="19">
        <f>IF($X140="","",INDEX('sheet2-计算明细'!$AC$17:$AC$330,$X140))</f>
        <v/>
      </c>
      <c r="L140" s="19">
        <f>IF($X140="","",INDEX('sheet2-计算明细'!$AI$17:$AI$330,$X140))</f>
        <v/>
      </c>
      <c r="M140" s="19">
        <f>IF($X140="","",INDEX('sheet2-计算明细'!$AK$17:$AK$330,$X140))</f>
        <v/>
      </c>
      <c r="N140" s="20">
        <f>IF(COUNT(F140:H140)=0,"",ROUND((IF(ISNUMBER(F140),F140*40%,0)+IF(ISNUMBER(G140),G140*30%,0)+IF(ISNUMBER(H140),H140*30%,0))/(IF(ISNUMBER(F140),40%,0)+IF(ISNUMBER(G140),30%,0)+IF(ISNUMBER(H140),30%,0)),2))</f>
        <v/>
      </c>
      <c r="O140" s="20">
        <f>IF(COUNT(I140:J140)=0,"",ROUND((IF(ISNUMBER(I140),I140*70%,0)+IF(ISNUMBER(J140),J140*30%,0))/(IF(ISNUMBER(I140),70%,0)+IF(ISNUMBER(J140),30%,0)),2))</f>
        <v/>
      </c>
      <c r="P140" s="20">
        <f>K140</f>
        <v/>
      </c>
      <c r="Q140" s="20">
        <f>L140</f>
        <v/>
      </c>
      <c r="R140" s="20">
        <f>M140</f>
        <v/>
      </c>
      <c r="S140" s="93">
        <f>IF($X140="","",INDEX('sheet2-计算明细'!$AQ$17:$AQ$330,$X140))</f>
        <v/>
      </c>
      <c r="T140" s="19">
        <f>IF($X140="","",INDEX('sheet2-计算明细'!$AR$17:$AR$330,$X140))</f>
        <v/>
      </c>
      <c r="U140" s="20">
        <f>IF(S140=0,"",ROUND(T140/S140,2))</f>
        <v/>
      </c>
      <c r="V140" s="20">
        <f>IF(S140=100%,T140,"")</f>
        <v/>
      </c>
      <c r="W140" s="22">
        <f>IF($X140="","",INDEX('sheet2-计算明细'!$AU$17:$AU$330,$X140))</f>
        <v/>
      </c>
      <c r="X140" s="18">
        <f>IF($A140&gt;COUNT('sheet2-计算明细'!$AT$17:$AT$330),"",MATCH($A140,'sheet2-计算明细'!$AT$17:$AT$330,0))</f>
        <v/>
      </c>
    </row>
    <row r="141" ht="28" customHeight="1" s="73">
      <c r="A141" s="2" t="n">
        <v>136</v>
      </c>
      <c r="B141" s="18">
        <f>IF($X141="","",INDEX('sheet2-计算明细'!$B$17:$B$330,$X141))</f>
        <v/>
      </c>
      <c r="C141" s="18">
        <f>IF($X141="","",INDEX('sheet2-计算明细'!$C$17:$C$330,$X141))</f>
        <v/>
      </c>
      <c r="D141" s="18">
        <f>IF($X141="","",INDEX('sheet2-计算明细'!$D$17:$D$330,$X141))</f>
        <v/>
      </c>
      <c r="E141" s="18">
        <f>IF($X141="","",INDEX('sheet2-计算明细'!$G$17:$G$330,$X141))</f>
        <v/>
      </c>
      <c r="F141" s="19">
        <f>IF($X141="","",INDEX('sheet2-计算明细'!$I$17:$I$330,$X141))</f>
        <v/>
      </c>
      <c r="G141" s="19">
        <f>IF($X141="","",INDEX('sheet2-计算明细'!$K$17:$K$330,$X141))</f>
        <v/>
      </c>
      <c r="H141" s="19">
        <f>IF($X141="","",INDEX('sheet2-计算明细'!$L$17:$L$330,$X141))</f>
        <v/>
      </c>
      <c r="I141" s="19">
        <f>IF($X141="","",INDEX('sheet2-计算明细'!$S$17:$S$330,$X141))</f>
        <v/>
      </c>
      <c r="J141" s="19">
        <f>IF($X141="","",INDEX('sheet2-计算明细'!$Y$17:$Y$330,$X141))</f>
        <v/>
      </c>
      <c r="K141" s="19">
        <f>IF($X141="","",INDEX('sheet2-计算明细'!$AC$17:$AC$330,$X141))</f>
        <v/>
      </c>
      <c r="L141" s="19">
        <f>IF($X141="","",INDEX('sheet2-计算明细'!$AI$17:$AI$330,$X141))</f>
        <v/>
      </c>
      <c r="M141" s="19">
        <f>IF($X141="","",INDEX('sheet2-计算明细'!$AK$17:$AK$330,$X141))</f>
        <v/>
      </c>
      <c r="N141" s="20">
        <f>IF(COUNT(F141:H141)=0,"",ROUND((IF(ISNUMBER(F141),F141*40%,0)+IF(ISNUMBER(G141),G141*30%,0)+IF(ISNUMBER(H141),H141*30%,0))/(IF(ISNUMBER(F141),40%,0)+IF(ISNUMBER(G141),30%,0)+IF(ISNUMBER(H141),30%,0)),2))</f>
        <v/>
      </c>
      <c r="O141" s="20">
        <f>IF(COUNT(I141:J141)=0,"",ROUND((IF(ISNUMBER(I141),I141*70%,0)+IF(ISNUMBER(J141),J141*30%,0))/(IF(ISNUMBER(I141),70%,0)+IF(ISNUMBER(J141),30%,0)),2))</f>
        <v/>
      </c>
      <c r="P141" s="20">
        <f>K141</f>
        <v/>
      </c>
      <c r="Q141" s="20">
        <f>L141</f>
        <v/>
      </c>
      <c r="R141" s="20">
        <f>M141</f>
        <v/>
      </c>
      <c r="S141" s="93">
        <f>IF($X141="","",INDEX('sheet2-计算明细'!$AQ$17:$AQ$330,$X141))</f>
        <v/>
      </c>
      <c r="T141" s="19">
        <f>IF($X141="","",INDEX('sheet2-计算明细'!$AR$17:$AR$330,$X141))</f>
        <v/>
      </c>
      <c r="U141" s="20">
        <f>IF(S141=0,"",ROUND(T141/S141,2))</f>
        <v/>
      </c>
      <c r="V141" s="20">
        <f>IF(S141=100%,T141,"")</f>
        <v/>
      </c>
      <c r="W141" s="22">
        <f>IF($X141="","",INDEX('sheet2-计算明细'!$AU$17:$AU$330,$X141))</f>
        <v/>
      </c>
      <c r="X141" s="18">
        <f>IF($A141&gt;COUNT('sheet2-计算明细'!$AT$17:$AT$330),"",MATCH($A141,'sheet2-计算明细'!$AT$17:$AT$330,0))</f>
        <v/>
      </c>
    </row>
    <row r="142" ht="28" customHeight="1" s="73">
      <c r="A142" s="2" t="n">
        <v>137</v>
      </c>
      <c r="B142" s="18">
        <f>IF($X142="","",INDEX('sheet2-计算明细'!$B$17:$B$330,$X142))</f>
        <v/>
      </c>
      <c r="C142" s="18">
        <f>IF($X142="","",INDEX('sheet2-计算明细'!$C$17:$C$330,$X142))</f>
        <v/>
      </c>
      <c r="D142" s="18">
        <f>IF($X142="","",INDEX('sheet2-计算明细'!$D$17:$D$330,$X142))</f>
        <v/>
      </c>
      <c r="E142" s="18">
        <f>IF($X142="","",INDEX('sheet2-计算明细'!$G$17:$G$330,$X142))</f>
        <v/>
      </c>
      <c r="F142" s="19">
        <f>IF($X142="","",INDEX('sheet2-计算明细'!$I$17:$I$330,$X142))</f>
        <v/>
      </c>
      <c r="G142" s="19">
        <f>IF($X142="","",INDEX('sheet2-计算明细'!$K$17:$K$330,$X142))</f>
        <v/>
      </c>
      <c r="H142" s="19">
        <f>IF($X142="","",INDEX('sheet2-计算明细'!$L$17:$L$330,$X142))</f>
        <v/>
      </c>
      <c r="I142" s="19">
        <f>IF($X142="","",INDEX('sheet2-计算明细'!$S$17:$S$330,$X142))</f>
        <v/>
      </c>
      <c r="J142" s="19">
        <f>IF($X142="","",INDEX('sheet2-计算明细'!$Y$17:$Y$330,$X142))</f>
        <v/>
      </c>
      <c r="K142" s="19">
        <f>IF($X142="","",INDEX('sheet2-计算明细'!$AC$17:$AC$330,$X142))</f>
        <v/>
      </c>
      <c r="L142" s="19">
        <f>IF($X142="","",INDEX('sheet2-计算明细'!$AI$17:$AI$330,$X142))</f>
        <v/>
      </c>
      <c r="M142" s="19">
        <f>IF($X142="","",INDEX('sheet2-计算明细'!$AK$17:$AK$330,$X142))</f>
        <v/>
      </c>
      <c r="N142" s="20">
        <f>IF(COUNT(F142:H142)=0,"",ROUND((IF(ISNUMBER(F142),F142*40%,0)+IF(ISNUMBER(G142),G142*30%,0)+IF(ISNUMBER(H142),H142*30%,0))/(IF(ISNUMBER(F142),40%,0)+IF(ISNUMBER(G142),30%,0)+IF(ISNUMBER(H142),30%,0)),2))</f>
        <v/>
      </c>
      <c r="O142" s="20">
        <f>IF(COUNT(I142:J142)=0,"",ROUND((IF(ISNUMBER(I142),I142*70%,0)+IF(ISNUMBER(J142),J142*30%,0))/(IF(ISNUMBER(I142),70%,0)+IF(ISNUMBER(J142),30%,0)),2))</f>
        <v/>
      </c>
      <c r="P142" s="20">
        <f>K142</f>
        <v/>
      </c>
      <c r="Q142" s="20">
        <f>L142</f>
        <v/>
      </c>
      <c r="R142" s="20">
        <f>M142</f>
        <v/>
      </c>
      <c r="S142" s="93">
        <f>IF($X142="","",INDEX('sheet2-计算明细'!$AQ$17:$AQ$330,$X142))</f>
        <v/>
      </c>
      <c r="T142" s="19">
        <f>IF($X142="","",INDEX('sheet2-计算明细'!$AR$17:$AR$330,$X142))</f>
        <v/>
      </c>
      <c r="U142" s="20">
        <f>IF(S142=0,"",ROUND(T142/S142,2))</f>
        <v/>
      </c>
      <c r="V142" s="20">
        <f>IF(S142=100%,T142,"")</f>
        <v/>
      </c>
      <c r="W142" s="22">
        <f>IF($X142="","",INDEX('sheet2-计算明细'!$AU$17:$AU$330,$X142))</f>
        <v/>
      </c>
      <c r="X142" s="18">
        <f>IF($A142&gt;COUNT('sheet2-计算明细'!$AT$17:$AT$330),"",MATCH($A142,'sheet2-计算明细'!$AT$17:$AT$330,0))</f>
        <v/>
      </c>
    </row>
    <row r="143" ht="28" customHeight="1" s="73">
      <c r="A143" s="2" t="n">
        <v>138</v>
      </c>
      <c r="B143" s="18">
        <f>IF($X143="","",INDEX('sheet2-计算明细'!$B$17:$B$330,$X143))</f>
        <v/>
      </c>
      <c r="C143" s="18">
        <f>IF($X143="","",INDEX('sheet2-计算明细'!$C$17:$C$330,$X143))</f>
        <v/>
      </c>
      <c r="D143" s="18">
        <f>IF($X143="","",INDEX('sheet2-计算明细'!$D$17:$D$330,$X143))</f>
        <v/>
      </c>
      <c r="E143" s="18">
        <f>IF($X143="","",INDEX('sheet2-计算明细'!$G$17:$G$330,$X143))</f>
        <v/>
      </c>
      <c r="F143" s="19">
        <f>IF($X143="","",INDEX('sheet2-计算明细'!$I$17:$I$330,$X143))</f>
        <v/>
      </c>
      <c r="G143" s="19">
        <f>IF($X143="","",INDEX('sheet2-计算明细'!$K$17:$K$330,$X143))</f>
        <v/>
      </c>
      <c r="H143" s="19">
        <f>IF($X143="","",INDEX('sheet2-计算明细'!$L$17:$L$330,$X143))</f>
        <v/>
      </c>
      <c r="I143" s="19">
        <f>IF($X143="","",INDEX('sheet2-计算明细'!$S$17:$S$330,$X143))</f>
        <v/>
      </c>
      <c r="J143" s="19">
        <f>IF($X143="","",INDEX('sheet2-计算明细'!$Y$17:$Y$330,$X143))</f>
        <v/>
      </c>
      <c r="K143" s="19">
        <f>IF($X143="","",INDEX('sheet2-计算明细'!$AC$17:$AC$330,$X143))</f>
        <v/>
      </c>
      <c r="L143" s="19">
        <f>IF($X143="","",INDEX('sheet2-计算明细'!$AI$17:$AI$330,$X143))</f>
        <v/>
      </c>
      <c r="M143" s="19">
        <f>IF($X143="","",INDEX('sheet2-计算明细'!$AK$17:$AK$330,$X143))</f>
        <v/>
      </c>
      <c r="N143" s="20">
        <f>IF(COUNT(F143:H143)=0,"",ROUND((IF(ISNUMBER(F143),F143*40%,0)+IF(ISNUMBER(G143),G143*30%,0)+IF(ISNUMBER(H143),H143*30%,0))/(IF(ISNUMBER(F143),40%,0)+IF(ISNUMBER(G143),30%,0)+IF(ISNUMBER(H143),30%,0)),2))</f>
        <v/>
      </c>
      <c r="O143" s="20">
        <f>IF(COUNT(I143:J143)=0,"",ROUND((IF(ISNUMBER(I143),I143*70%,0)+IF(ISNUMBER(J143),J143*30%,0))/(IF(ISNUMBER(I143),70%,0)+IF(ISNUMBER(J143),30%,0)),2))</f>
        <v/>
      </c>
      <c r="P143" s="20">
        <f>K143</f>
        <v/>
      </c>
      <c r="Q143" s="20">
        <f>L143</f>
        <v/>
      </c>
      <c r="R143" s="20">
        <f>M143</f>
        <v/>
      </c>
      <c r="S143" s="93">
        <f>IF($X143="","",INDEX('sheet2-计算明细'!$AQ$17:$AQ$330,$X143))</f>
        <v/>
      </c>
      <c r="T143" s="19">
        <f>IF($X143="","",INDEX('sheet2-计算明细'!$AR$17:$AR$330,$X143))</f>
        <v/>
      </c>
      <c r="U143" s="20">
        <f>IF(S143=0,"",ROUND(T143/S143,2))</f>
        <v/>
      </c>
      <c r="V143" s="20">
        <f>IF(S143=100%,T143,"")</f>
        <v/>
      </c>
      <c r="W143" s="22">
        <f>IF($X143="","",INDEX('sheet2-计算明细'!$AU$17:$AU$330,$X143))</f>
        <v/>
      </c>
      <c r="X143" s="18">
        <f>IF($A143&gt;COUNT('sheet2-计算明细'!$AT$17:$AT$330),"",MATCH($A143,'sheet2-计算明细'!$AT$17:$AT$330,0))</f>
        <v/>
      </c>
    </row>
    <row r="144" ht="28" customHeight="1" s="73">
      <c r="A144" s="2" t="n">
        <v>139</v>
      </c>
      <c r="B144" s="18">
        <f>IF($X144="","",INDEX('sheet2-计算明细'!$B$17:$B$330,$X144))</f>
        <v/>
      </c>
      <c r="C144" s="18">
        <f>IF($X144="","",INDEX('sheet2-计算明细'!$C$17:$C$330,$X144))</f>
        <v/>
      </c>
      <c r="D144" s="18">
        <f>IF($X144="","",INDEX('sheet2-计算明细'!$D$17:$D$330,$X144))</f>
        <v/>
      </c>
      <c r="E144" s="18">
        <f>IF($X144="","",INDEX('sheet2-计算明细'!$G$17:$G$330,$X144))</f>
        <v/>
      </c>
      <c r="F144" s="19">
        <f>IF($X144="","",INDEX('sheet2-计算明细'!$I$17:$I$330,$X144))</f>
        <v/>
      </c>
      <c r="G144" s="19">
        <f>IF($X144="","",INDEX('sheet2-计算明细'!$K$17:$K$330,$X144))</f>
        <v/>
      </c>
      <c r="H144" s="19">
        <f>IF($X144="","",INDEX('sheet2-计算明细'!$L$17:$L$330,$X144))</f>
        <v/>
      </c>
      <c r="I144" s="19">
        <f>IF($X144="","",INDEX('sheet2-计算明细'!$S$17:$S$330,$X144))</f>
        <v/>
      </c>
      <c r="J144" s="19">
        <f>IF($X144="","",INDEX('sheet2-计算明细'!$Y$17:$Y$330,$X144))</f>
        <v/>
      </c>
      <c r="K144" s="19">
        <f>IF($X144="","",INDEX('sheet2-计算明细'!$AC$17:$AC$330,$X144))</f>
        <v/>
      </c>
      <c r="L144" s="19">
        <f>IF($X144="","",INDEX('sheet2-计算明细'!$AI$17:$AI$330,$X144))</f>
        <v/>
      </c>
      <c r="M144" s="19">
        <f>IF($X144="","",INDEX('sheet2-计算明细'!$AK$17:$AK$330,$X144))</f>
        <v/>
      </c>
      <c r="N144" s="20">
        <f>IF(COUNT(F144:H144)=0,"",ROUND((IF(ISNUMBER(F144),F144*40%,0)+IF(ISNUMBER(G144),G144*30%,0)+IF(ISNUMBER(H144),H144*30%,0))/(IF(ISNUMBER(F144),40%,0)+IF(ISNUMBER(G144),30%,0)+IF(ISNUMBER(H144),30%,0)),2))</f>
        <v/>
      </c>
      <c r="O144" s="20">
        <f>IF(COUNT(I144:J144)=0,"",ROUND((IF(ISNUMBER(I144),I144*70%,0)+IF(ISNUMBER(J144),J144*30%,0))/(IF(ISNUMBER(I144),70%,0)+IF(ISNUMBER(J144),30%,0)),2))</f>
        <v/>
      </c>
      <c r="P144" s="20">
        <f>K144</f>
        <v/>
      </c>
      <c r="Q144" s="20">
        <f>L144</f>
        <v/>
      </c>
      <c r="R144" s="20">
        <f>M144</f>
        <v/>
      </c>
      <c r="S144" s="93">
        <f>IF($X144="","",INDEX('sheet2-计算明细'!$AQ$17:$AQ$330,$X144))</f>
        <v/>
      </c>
      <c r="T144" s="19">
        <f>IF($X144="","",INDEX('sheet2-计算明细'!$AR$17:$AR$330,$X144))</f>
        <v/>
      </c>
      <c r="U144" s="20">
        <f>IF(S144=0,"",ROUND(T144/S144,2))</f>
        <v/>
      </c>
      <c r="V144" s="20">
        <f>IF(S144=100%,T144,"")</f>
        <v/>
      </c>
      <c r="W144" s="22">
        <f>IF($X144="","",INDEX('sheet2-计算明细'!$AU$17:$AU$330,$X144))</f>
        <v/>
      </c>
      <c r="X144" s="18">
        <f>IF($A144&gt;COUNT('sheet2-计算明细'!$AT$17:$AT$330),"",MATCH($A144,'sheet2-计算明细'!$AT$17:$AT$330,0))</f>
        <v/>
      </c>
    </row>
    <row r="145" ht="28" customHeight="1" s="73">
      <c r="A145" s="2" t="n">
        <v>140</v>
      </c>
      <c r="B145" s="18">
        <f>IF($X145="","",INDEX('sheet2-计算明细'!$B$17:$B$330,$X145))</f>
        <v/>
      </c>
      <c r="C145" s="18">
        <f>IF($X145="","",INDEX('sheet2-计算明细'!$C$17:$C$330,$X145))</f>
        <v/>
      </c>
      <c r="D145" s="18">
        <f>IF($X145="","",INDEX('sheet2-计算明细'!$D$17:$D$330,$X145))</f>
        <v/>
      </c>
      <c r="E145" s="18">
        <f>IF($X145="","",INDEX('sheet2-计算明细'!$G$17:$G$330,$X145))</f>
        <v/>
      </c>
      <c r="F145" s="19">
        <f>IF($X145="","",INDEX('sheet2-计算明细'!$I$17:$I$330,$X145))</f>
        <v/>
      </c>
      <c r="G145" s="19">
        <f>IF($X145="","",INDEX('sheet2-计算明细'!$K$17:$K$330,$X145))</f>
        <v/>
      </c>
      <c r="H145" s="19">
        <f>IF($X145="","",INDEX('sheet2-计算明细'!$L$17:$L$330,$X145))</f>
        <v/>
      </c>
      <c r="I145" s="19">
        <f>IF($X145="","",INDEX('sheet2-计算明细'!$S$17:$S$330,$X145))</f>
        <v/>
      </c>
      <c r="J145" s="19">
        <f>IF($X145="","",INDEX('sheet2-计算明细'!$Y$17:$Y$330,$X145))</f>
        <v/>
      </c>
      <c r="K145" s="19">
        <f>IF($X145="","",INDEX('sheet2-计算明细'!$AC$17:$AC$330,$X145))</f>
        <v/>
      </c>
      <c r="L145" s="19">
        <f>IF($X145="","",INDEX('sheet2-计算明细'!$AI$17:$AI$330,$X145))</f>
        <v/>
      </c>
      <c r="M145" s="19">
        <f>IF($X145="","",INDEX('sheet2-计算明细'!$AK$17:$AK$330,$X145))</f>
        <v/>
      </c>
      <c r="N145" s="20">
        <f>IF(COUNT(F145:H145)=0,"",ROUND((IF(ISNUMBER(F145),F145*40%,0)+IF(ISNUMBER(G145),G145*30%,0)+IF(ISNUMBER(H145),H145*30%,0))/(IF(ISNUMBER(F145),40%,0)+IF(ISNUMBER(G145),30%,0)+IF(ISNUMBER(H145),30%,0)),2))</f>
        <v/>
      </c>
      <c r="O145" s="20">
        <f>IF(COUNT(I145:J145)=0,"",ROUND((IF(ISNUMBER(I145),I145*70%,0)+IF(ISNUMBER(J145),J145*30%,0))/(IF(ISNUMBER(I145),70%,0)+IF(ISNUMBER(J145),30%,0)),2))</f>
        <v/>
      </c>
      <c r="P145" s="20">
        <f>K145</f>
        <v/>
      </c>
      <c r="Q145" s="20">
        <f>L145</f>
        <v/>
      </c>
      <c r="R145" s="20">
        <f>M145</f>
        <v/>
      </c>
      <c r="S145" s="93">
        <f>IF($X145="","",INDEX('sheet2-计算明细'!$AQ$17:$AQ$330,$X145))</f>
        <v/>
      </c>
      <c r="T145" s="19">
        <f>IF($X145="","",INDEX('sheet2-计算明细'!$AR$17:$AR$330,$X145))</f>
        <v/>
      </c>
      <c r="U145" s="20">
        <f>IF(S145=0,"",ROUND(T145/S145,2))</f>
        <v/>
      </c>
      <c r="V145" s="20">
        <f>IF(S145=100%,T145,"")</f>
        <v/>
      </c>
      <c r="W145" s="22">
        <f>IF($X145="","",INDEX('sheet2-计算明细'!$AU$17:$AU$330,$X145))</f>
        <v/>
      </c>
      <c r="X145" s="18">
        <f>IF($A145&gt;COUNT('sheet2-计算明细'!$AT$17:$AT$330),"",MATCH($A145,'sheet2-计算明细'!$AT$17:$AT$330,0))</f>
        <v/>
      </c>
    </row>
    <row r="146" ht="28" customHeight="1" s="73">
      <c r="A146" s="2" t="n">
        <v>141</v>
      </c>
      <c r="B146" s="18">
        <f>IF($X146="","",INDEX('sheet2-计算明细'!$B$17:$B$330,$X146))</f>
        <v/>
      </c>
      <c r="C146" s="18">
        <f>IF($X146="","",INDEX('sheet2-计算明细'!$C$17:$C$330,$X146))</f>
        <v/>
      </c>
      <c r="D146" s="18">
        <f>IF($X146="","",INDEX('sheet2-计算明细'!$D$17:$D$330,$X146))</f>
        <v/>
      </c>
      <c r="E146" s="18">
        <f>IF($X146="","",INDEX('sheet2-计算明细'!$G$17:$G$330,$X146))</f>
        <v/>
      </c>
      <c r="F146" s="19">
        <f>IF($X146="","",INDEX('sheet2-计算明细'!$I$17:$I$330,$X146))</f>
        <v/>
      </c>
      <c r="G146" s="19">
        <f>IF($X146="","",INDEX('sheet2-计算明细'!$K$17:$K$330,$X146))</f>
        <v/>
      </c>
      <c r="H146" s="19">
        <f>IF($X146="","",INDEX('sheet2-计算明细'!$L$17:$L$330,$X146))</f>
        <v/>
      </c>
      <c r="I146" s="19">
        <f>IF($X146="","",INDEX('sheet2-计算明细'!$S$17:$S$330,$X146))</f>
        <v/>
      </c>
      <c r="J146" s="19">
        <f>IF($X146="","",INDEX('sheet2-计算明细'!$Y$17:$Y$330,$X146))</f>
        <v/>
      </c>
      <c r="K146" s="19">
        <f>IF($X146="","",INDEX('sheet2-计算明细'!$AC$17:$AC$330,$X146))</f>
        <v/>
      </c>
      <c r="L146" s="19">
        <f>IF($X146="","",INDEX('sheet2-计算明细'!$AI$17:$AI$330,$X146))</f>
        <v/>
      </c>
      <c r="M146" s="19">
        <f>IF($X146="","",INDEX('sheet2-计算明细'!$AK$17:$AK$330,$X146))</f>
        <v/>
      </c>
      <c r="N146" s="20">
        <f>IF(COUNT(F146:H146)=0,"",ROUND((IF(ISNUMBER(F146),F146*40%,0)+IF(ISNUMBER(G146),G146*30%,0)+IF(ISNUMBER(H146),H146*30%,0))/(IF(ISNUMBER(F146),40%,0)+IF(ISNUMBER(G146),30%,0)+IF(ISNUMBER(H146),30%,0)),2))</f>
        <v/>
      </c>
      <c r="O146" s="20">
        <f>IF(COUNT(I146:J146)=0,"",ROUND((IF(ISNUMBER(I146),I146*70%,0)+IF(ISNUMBER(J146),J146*30%,0))/(IF(ISNUMBER(I146),70%,0)+IF(ISNUMBER(J146),30%,0)),2))</f>
        <v/>
      </c>
      <c r="P146" s="20">
        <f>K146</f>
        <v/>
      </c>
      <c r="Q146" s="20">
        <f>L146</f>
        <v/>
      </c>
      <c r="R146" s="20">
        <f>M146</f>
        <v/>
      </c>
      <c r="S146" s="93">
        <f>IF($X146="","",INDEX('sheet2-计算明细'!$AQ$17:$AQ$330,$X146))</f>
        <v/>
      </c>
      <c r="T146" s="19">
        <f>IF($X146="","",INDEX('sheet2-计算明细'!$AR$17:$AR$330,$X146))</f>
        <v/>
      </c>
      <c r="U146" s="20">
        <f>IF(S146=0,"",ROUND(T146/S146,2))</f>
        <v/>
      </c>
      <c r="V146" s="20">
        <f>IF(S146=100%,T146,"")</f>
        <v/>
      </c>
      <c r="W146" s="22">
        <f>IF($X146="","",INDEX('sheet2-计算明细'!$AU$17:$AU$330,$X146))</f>
        <v/>
      </c>
      <c r="X146" s="18">
        <f>IF($A146&gt;COUNT('sheet2-计算明细'!$AT$17:$AT$330),"",MATCH($A146,'sheet2-计算明细'!$AT$17:$AT$330,0))</f>
        <v/>
      </c>
    </row>
    <row r="147" ht="28" customHeight="1" s="73">
      <c r="A147" s="2" t="n">
        <v>142</v>
      </c>
      <c r="B147" s="18">
        <f>IF($X147="","",INDEX('sheet2-计算明细'!$B$17:$B$330,$X147))</f>
        <v/>
      </c>
      <c r="C147" s="18">
        <f>IF($X147="","",INDEX('sheet2-计算明细'!$C$17:$C$330,$X147))</f>
        <v/>
      </c>
      <c r="D147" s="18">
        <f>IF($X147="","",INDEX('sheet2-计算明细'!$D$17:$D$330,$X147))</f>
        <v/>
      </c>
      <c r="E147" s="18">
        <f>IF($X147="","",INDEX('sheet2-计算明细'!$G$17:$G$330,$X147))</f>
        <v/>
      </c>
      <c r="F147" s="19">
        <f>IF($X147="","",INDEX('sheet2-计算明细'!$I$17:$I$330,$X147))</f>
        <v/>
      </c>
      <c r="G147" s="19">
        <f>IF($X147="","",INDEX('sheet2-计算明细'!$K$17:$K$330,$X147))</f>
        <v/>
      </c>
      <c r="H147" s="19">
        <f>IF($X147="","",INDEX('sheet2-计算明细'!$L$17:$L$330,$X147))</f>
        <v/>
      </c>
      <c r="I147" s="19">
        <f>IF($X147="","",INDEX('sheet2-计算明细'!$S$17:$S$330,$X147))</f>
        <v/>
      </c>
      <c r="J147" s="19">
        <f>IF($X147="","",INDEX('sheet2-计算明细'!$Y$17:$Y$330,$X147))</f>
        <v/>
      </c>
      <c r="K147" s="19">
        <f>IF($X147="","",INDEX('sheet2-计算明细'!$AC$17:$AC$330,$X147))</f>
        <v/>
      </c>
      <c r="L147" s="19">
        <f>IF($X147="","",INDEX('sheet2-计算明细'!$AI$17:$AI$330,$X147))</f>
        <v/>
      </c>
      <c r="M147" s="19">
        <f>IF($X147="","",INDEX('sheet2-计算明细'!$AK$17:$AK$330,$X147))</f>
        <v/>
      </c>
      <c r="N147" s="20">
        <f>IF(COUNT(F147:H147)=0,"",ROUND((IF(ISNUMBER(F147),F147*40%,0)+IF(ISNUMBER(G147),G147*30%,0)+IF(ISNUMBER(H147),H147*30%,0))/(IF(ISNUMBER(F147),40%,0)+IF(ISNUMBER(G147),30%,0)+IF(ISNUMBER(H147),30%,0)),2))</f>
        <v/>
      </c>
      <c r="O147" s="20">
        <f>IF(COUNT(I147:J147)=0,"",ROUND((IF(ISNUMBER(I147),I147*70%,0)+IF(ISNUMBER(J147),J147*30%,0))/(IF(ISNUMBER(I147),70%,0)+IF(ISNUMBER(J147),30%,0)),2))</f>
        <v/>
      </c>
      <c r="P147" s="20">
        <f>K147</f>
        <v/>
      </c>
      <c r="Q147" s="20">
        <f>L147</f>
        <v/>
      </c>
      <c r="R147" s="20">
        <f>M147</f>
        <v/>
      </c>
      <c r="S147" s="93">
        <f>IF($X147="","",INDEX('sheet2-计算明细'!$AQ$17:$AQ$330,$X147))</f>
        <v/>
      </c>
      <c r="T147" s="19">
        <f>IF($X147="","",INDEX('sheet2-计算明细'!$AR$17:$AR$330,$X147))</f>
        <v/>
      </c>
      <c r="U147" s="20">
        <f>IF(S147=0,"",ROUND(T147/S147,2))</f>
        <v/>
      </c>
      <c r="V147" s="20">
        <f>IF(S147=100%,T147,"")</f>
        <v/>
      </c>
      <c r="W147" s="22">
        <f>IF($X147="","",INDEX('sheet2-计算明细'!$AU$17:$AU$330,$X147))</f>
        <v/>
      </c>
      <c r="X147" s="18">
        <f>IF($A147&gt;COUNT('sheet2-计算明细'!$AT$17:$AT$330),"",MATCH($A147,'sheet2-计算明细'!$AT$17:$AT$330,0))</f>
        <v/>
      </c>
    </row>
    <row r="148" ht="28" customHeight="1" s="73">
      <c r="A148" s="2" t="n">
        <v>143</v>
      </c>
      <c r="B148" s="18">
        <f>IF($X148="","",INDEX('sheet2-计算明细'!$B$17:$B$330,$X148))</f>
        <v/>
      </c>
      <c r="C148" s="18">
        <f>IF($X148="","",INDEX('sheet2-计算明细'!$C$17:$C$330,$X148))</f>
        <v/>
      </c>
      <c r="D148" s="18">
        <f>IF($X148="","",INDEX('sheet2-计算明细'!$D$17:$D$330,$X148))</f>
        <v/>
      </c>
      <c r="E148" s="18">
        <f>IF($X148="","",INDEX('sheet2-计算明细'!$G$17:$G$330,$X148))</f>
        <v/>
      </c>
      <c r="F148" s="19">
        <f>IF($X148="","",INDEX('sheet2-计算明细'!$I$17:$I$330,$X148))</f>
        <v/>
      </c>
      <c r="G148" s="19">
        <f>IF($X148="","",INDEX('sheet2-计算明细'!$K$17:$K$330,$X148))</f>
        <v/>
      </c>
      <c r="H148" s="19">
        <f>IF($X148="","",INDEX('sheet2-计算明细'!$L$17:$L$330,$X148))</f>
        <v/>
      </c>
      <c r="I148" s="19">
        <f>IF($X148="","",INDEX('sheet2-计算明细'!$S$17:$S$330,$X148))</f>
        <v/>
      </c>
      <c r="J148" s="19">
        <f>IF($X148="","",INDEX('sheet2-计算明细'!$Y$17:$Y$330,$X148))</f>
        <v/>
      </c>
      <c r="K148" s="19">
        <f>IF($X148="","",INDEX('sheet2-计算明细'!$AC$17:$AC$330,$X148))</f>
        <v/>
      </c>
      <c r="L148" s="19">
        <f>IF($X148="","",INDEX('sheet2-计算明细'!$AI$17:$AI$330,$X148))</f>
        <v/>
      </c>
      <c r="M148" s="19">
        <f>IF($X148="","",INDEX('sheet2-计算明细'!$AK$17:$AK$330,$X148))</f>
        <v/>
      </c>
      <c r="N148" s="20">
        <f>IF(COUNT(F148:H148)=0,"",ROUND((IF(ISNUMBER(F148),F148*40%,0)+IF(ISNUMBER(G148),G148*30%,0)+IF(ISNUMBER(H148),H148*30%,0))/(IF(ISNUMBER(F148),40%,0)+IF(ISNUMBER(G148),30%,0)+IF(ISNUMBER(H148),30%,0)),2))</f>
        <v/>
      </c>
      <c r="O148" s="20">
        <f>IF(COUNT(I148:J148)=0,"",ROUND((IF(ISNUMBER(I148),I148*70%,0)+IF(ISNUMBER(J148),J148*30%,0))/(IF(ISNUMBER(I148),70%,0)+IF(ISNUMBER(J148),30%,0)),2))</f>
        <v/>
      </c>
      <c r="P148" s="20">
        <f>K148</f>
        <v/>
      </c>
      <c r="Q148" s="20">
        <f>L148</f>
        <v/>
      </c>
      <c r="R148" s="20">
        <f>M148</f>
        <v/>
      </c>
      <c r="S148" s="93">
        <f>IF($X148="","",INDEX('sheet2-计算明细'!$AQ$17:$AQ$330,$X148))</f>
        <v/>
      </c>
      <c r="T148" s="19">
        <f>IF($X148="","",INDEX('sheet2-计算明细'!$AR$17:$AR$330,$X148))</f>
        <v/>
      </c>
      <c r="U148" s="20">
        <f>IF(S148=0,"",ROUND(T148/S148,2))</f>
        <v/>
      </c>
      <c r="V148" s="20">
        <f>IF(S148=100%,T148,"")</f>
        <v/>
      </c>
      <c r="W148" s="22">
        <f>IF($X148="","",INDEX('sheet2-计算明细'!$AU$17:$AU$330,$X148))</f>
        <v/>
      </c>
      <c r="X148" s="18">
        <f>IF($A148&gt;COUNT('sheet2-计算明细'!$AT$17:$AT$330),"",MATCH($A148,'sheet2-计算明细'!$AT$17:$AT$330,0))</f>
        <v/>
      </c>
    </row>
    <row r="149" ht="28" customHeight="1" s="73">
      <c r="A149" s="2" t="n">
        <v>144</v>
      </c>
      <c r="B149" s="18">
        <f>IF($X149="","",INDEX('sheet2-计算明细'!$B$17:$B$330,$X149))</f>
        <v/>
      </c>
      <c r="C149" s="18">
        <f>IF($X149="","",INDEX('sheet2-计算明细'!$C$17:$C$330,$X149))</f>
        <v/>
      </c>
      <c r="D149" s="18">
        <f>IF($X149="","",INDEX('sheet2-计算明细'!$D$17:$D$330,$X149))</f>
        <v/>
      </c>
      <c r="E149" s="18">
        <f>IF($X149="","",INDEX('sheet2-计算明细'!$G$17:$G$330,$X149))</f>
        <v/>
      </c>
      <c r="F149" s="19">
        <f>IF($X149="","",INDEX('sheet2-计算明细'!$I$17:$I$330,$X149))</f>
        <v/>
      </c>
      <c r="G149" s="19">
        <f>IF($X149="","",INDEX('sheet2-计算明细'!$K$17:$K$330,$X149))</f>
        <v/>
      </c>
      <c r="H149" s="19">
        <f>IF($X149="","",INDEX('sheet2-计算明细'!$L$17:$L$330,$X149))</f>
        <v/>
      </c>
      <c r="I149" s="19">
        <f>IF($X149="","",INDEX('sheet2-计算明细'!$S$17:$S$330,$X149))</f>
        <v/>
      </c>
      <c r="J149" s="19">
        <f>IF($X149="","",INDEX('sheet2-计算明细'!$Y$17:$Y$330,$X149))</f>
        <v/>
      </c>
      <c r="K149" s="19">
        <f>IF($X149="","",INDEX('sheet2-计算明细'!$AC$17:$AC$330,$X149))</f>
        <v/>
      </c>
      <c r="L149" s="19">
        <f>IF($X149="","",INDEX('sheet2-计算明细'!$AI$17:$AI$330,$X149))</f>
        <v/>
      </c>
      <c r="M149" s="19">
        <f>IF($X149="","",INDEX('sheet2-计算明细'!$AK$17:$AK$330,$X149))</f>
        <v/>
      </c>
      <c r="N149" s="20">
        <f>IF(COUNT(F149:H149)=0,"",ROUND((IF(ISNUMBER(F149),F149*40%,0)+IF(ISNUMBER(G149),G149*30%,0)+IF(ISNUMBER(H149),H149*30%,0))/(IF(ISNUMBER(F149),40%,0)+IF(ISNUMBER(G149),30%,0)+IF(ISNUMBER(H149),30%,0)),2))</f>
        <v/>
      </c>
      <c r="O149" s="20">
        <f>IF(COUNT(I149:J149)=0,"",ROUND((IF(ISNUMBER(I149),I149*70%,0)+IF(ISNUMBER(J149),J149*30%,0))/(IF(ISNUMBER(I149),70%,0)+IF(ISNUMBER(J149),30%,0)),2))</f>
        <v/>
      </c>
      <c r="P149" s="20">
        <f>K149</f>
        <v/>
      </c>
      <c r="Q149" s="20">
        <f>L149</f>
        <v/>
      </c>
      <c r="R149" s="20">
        <f>M149</f>
        <v/>
      </c>
      <c r="S149" s="93">
        <f>IF($X149="","",INDEX('sheet2-计算明细'!$AQ$17:$AQ$330,$X149))</f>
        <v/>
      </c>
      <c r="T149" s="19">
        <f>IF($X149="","",INDEX('sheet2-计算明细'!$AR$17:$AR$330,$X149))</f>
        <v/>
      </c>
      <c r="U149" s="20">
        <f>IF(S149=0,"",ROUND(T149/S149,2))</f>
        <v/>
      </c>
      <c r="V149" s="20">
        <f>IF(S149=100%,T149,"")</f>
        <v/>
      </c>
      <c r="W149" s="22">
        <f>IF($X149="","",INDEX('sheet2-计算明细'!$AU$17:$AU$330,$X149))</f>
        <v/>
      </c>
      <c r="X149" s="18">
        <f>IF($A149&gt;COUNT('sheet2-计算明细'!$AT$17:$AT$330),"",MATCH($A149,'sheet2-计算明细'!$AT$17:$AT$330,0))</f>
        <v/>
      </c>
    </row>
    <row r="150" ht="28" customHeight="1" s="73">
      <c r="A150" s="2" t="n">
        <v>145</v>
      </c>
      <c r="B150" s="18">
        <f>IF($X150="","",INDEX('sheet2-计算明细'!$B$17:$B$330,$X150))</f>
        <v/>
      </c>
      <c r="C150" s="18">
        <f>IF($X150="","",INDEX('sheet2-计算明细'!$C$17:$C$330,$X150))</f>
        <v/>
      </c>
      <c r="D150" s="18">
        <f>IF($X150="","",INDEX('sheet2-计算明细'!$D$17:$D$330,$X150))</f>
        <v/>
      </c>
      <c r="E150" s="18">
        <f>IF($X150="","",INDEX('sheet2-计算明细'!$G$17:$G$330,$X150))</f>
        <v/>
      </c>
      <c r="F150" s="19">
        <f>IF($X150="","",INDEX('sheet2-计算明细'!$I$17:$I$330,$X150))</f>
        <v/>
      </c>
      <c r="G150" s="19">
        <f>IF($X150="","",INDEX('sheet2-计算明细'!$K$17:$K$330,$X150))</f>
        <v/>
      </c>
      <c r="H150" s="19">
        <f>IF($X150="","",INDEX('sheet2-计算明细'!$L$17:$L$330,$X150))</f>
        <v/>
      </c>
      <c r="I150" s="19">
        <f>IF($X150="","",INDEX('sheet2-计算明细'!$S$17:$S$330,$X150))</f>
        <v/>
      </c>
      <c r="J150" s="19">
        <f>IF($X150="","",INDEX('sheet2-计算明细'!$Y$17:$Y$330,$X150))</f>
        <v/>
      </c>
      <c r="K150" s="19">
        <f>IF($X150="","",INDEX('sheet2-计算明细'!$AC$17:$AC$330,$X150))</f>
        <v/>
      </c>
      <c r="L150" s="19">
        <f>IF($X150="","",INDEX('sheet2-计算明细'!$AI$17:$AI$330,$X150))</f>
        <v/>
      </c>
      <c r="M150" s="19">
        <f>IF($X150="","",INDEX('sheet2-计算明细'!$AK$17:$AK$330,$X150))</f>
        <v/>
      </c>
      <c r="N150" s="20">
        <f>IF(COUNT(F150:H150)=0,"",ROUND((IF(ISNUMBER(F150),F150*40%,0)+IF(ISNUMBER(G150),G150*30%,0)+IF(ISNUMBER(H150),H150*30%,0))/(IF(ISNUMBER(F150),40%,0)+IF(ISNUMBER(G150),30%,0)+IF(ISNUMBER(H150),30%,0)),2))</f>
        <v/>
      </c>
      <c r="O150" s="20">
        <f>IF(COUNT(I150:J150)=0,"",ROUND((IF(ISNUMBER(I150),I150*70%,0)+IF(ISNUMBER(J150),J150*30%,0))/(IF(ISNUMBER(I150),70%,0)+IF(ISNUMBER(J150),30%,0)),2))</f>
        <v/>
      </c>
      <c r="P150" s="20">
        <f>K150</f>
        <v/>
      </c>
      <c r="Q150" s="20">
        <f>L150</f>
        <v/>
      </c>
      <c r="R150" s="20">
        <f>M150</f>
        <v/>
      </c>
      <c r="S150" s="93">
        <f>IF($X150="","",INDEX('sheet2-计算明细'!$AQ$17:$AQ$330,$X150))</f>
        <v/>
      </c>
      <c r="T150" s="19">
        <f>IF($X150="","",INDEX('sheet2-计算明细'!$AR$17:$AR$330,$X150))</f>
        <v/>
      </c>
      <c r="U150" s="20">
        <f>IF(S150=0,"",ROUND(T150/S150,2))</f>
        <v/>
      </c>
      <c r="V150" s="20">
        <f>IF(S150=100%,T150,"")</f>
        <v/>
      </c>
      <c r="W150" s="22">
        <f>IF($X150="","",INDEX('sheet2-计算明细'!$AU$17:$AU$330,$X150))</f>
        <v/>
      </c>
      <c r="X150" s="18">
        <f>IF($A150&gt;COUNT('sheet2-计算明细'!$AT$17:$AT$330),"",MATCH($A150,'sheet2-计算明细'!$AT$17:$AT$330,0))</f>
        <v/>
      </c>
    </row>
    <row r="151" ht="28" customHeight="1" s="73">
      <c r="A151" s="2" t="n">
        <v>146</v>
      </c>
      <c r="B151" s="18">
        <f>IF($X151="","",INDEX('sheet2-计算明细'!$B$17:$B$330,$X151))</f>
        <v/>
      </c>
      <c r="C151" s="18">
        <f>IF($X151="","",INDEX('sheet2-计算明细'!$C$17:$C$330,$X151))</f>
        <v/>
      </c>
      <c r="D151" s="18">
        <f>IF($X151="","",INDEX('sheet2-计算明细'!$D$17:$D$330,$X151))</f>
        <v/>
      </c>
      <c r="E151" s="18">
        <f>IF($X151="","",INDEX('sheet2-计算明细'!$G$17:$G$330,$X151))</f>
        <v/>
      </c>
      <c r="F151" s="19">
        <f>IF($X151="","",INDEX('sheet2-计算明细'!$I$17:$I$330,$X151))</f>
        <v/>
      </c>
      <c r="G151" s="19">
        <f>IF($X151="","",INDEX('sheet2-计算明细'!$K$17:$K$330,$X151))</f>
        <v/>
      </c>
      <c r="H151" s="19">
        <f>IF($X151="","",INDEX('sheet2-计算明细'!$L$17:$L$330,$X151))</f>
        <v/>
      </c>
      <c r="I151" s="19">
        <f>IF($X151="","",INDEX('sheet2-计算明细'!$S$17:$S$330,$X151))</f>
        <v/>
      </c>
      <c r="J151" s="19">
        <f>IF($X151="","",INDEX('sheet2-计算明细'!$Y$17:$Y$330,$X151))</f>
        <v/>
      </c>
      <c r="K151" s="19">
        <f>IF($X151="","",INDEX('sheet2-计算明细'!$AC$17:$AC$330,$X151))</f>
        <v/>
      </c>
      <c r="L151" s="19">
        <f>IF($X151="","",INDEX('sheet2-计算明细'!$AI$17:$AI$330,$X151))</f>
        <v/>
      </c>
      <c r="M151" s="19">
        <f>IF($X151="","",INDEX('sheet2-计算明细'!$AK$17:$AK$330,$X151))</f>
        <v/>
      </c>
      <c r="N151" s="20">
        <f>IF(COUNT(F151:H151)=0,"",ROUND((IF(ISNUMBER(F151),F151*40%,0)+IF(ISNUMBER(G151),G151*30%,0)+IF(ISNUMBER(H151),H151*30%,0))/(IF(ISNUMBER(F151),40%,0)+IF(ISNUMBER(G151),30%,0)+IF(ISNUMBER(H151),30%,0)),2))</f>
        <v/>
      </c>
      <c r="O151" s="20">
        <f>IF(COUNT(I151:J151)=0,"",ROUND((IF(ISNUMBER(I151),I151*70%,0)+IF(ISNUMBER(J151),J151*30%,0))/(IF(ISNUMBER(I151),70%,0)+IF(ISNUMBER(J151),30%,0)),2))</f>
        <v/>
      </c>
      <c r="P151" s="20">
        <f>K151</f>
        <v/>
      </c>
      <c r="Q151" s="20">
        <f>L151</f>
        <v/>
      </c>
      <c r="R151" s="20">
        <f>M151</f>
        <v/>
      </c>
      <c r="S151" s="93">
        <f>IF($X151="","",INDEX('sheet2-计算明细'!$AQ$17:$AQ$330,$X151))</f>
        <v/>
      </c>
      <c r="T151" s="19">
        <f>IF($X151="","",INDEX('sheet2-计算明细'!$AR$17:$AR$330,$X151))</f>
        <v/>
      </c>
      <c r="U151" s="20">
        <f>IF(S151=0,"",ROUND(T151/S151,2))</f>
        <v/>
      </c>
      <c r="V151" s="20">
        <f>IF(S151=100%,T151,"")</f>
        <v/>
      </c>
      <c r="W151" s="22">
        <f>IF($X151="","",INDEX('sheet2-计算明细'!$AU$17:$AU$330,$X151))</f>
        <v/>
      </c>
      <c r="X151" s="18">
        <f>IF($A151&gt;COUNT('sheet2-计算明细'!$AT$17:$AT$330),"",MATCH($A151,'sheet2-计算明细'!$AT$17:$AT$330,0))</f>
        <v/>
      </c>
    </row>
    <row r="152" ht="28" customHeight="1" s="73">
      <c r="A152" s="2" t="n">
        <v>147</v>
      </c>
      <c r="B152" s="18">
        <f>IF($X152="","",INDEX('sheet2-计算明细'!$B$17:$B$330,$X152))</f>
        <v/>
      </c>
      <c r="C152" s="18">
        <f>IF($X152="","",INDEX('sheet2-计算明细'!$C$17:$C$330,$X152))</f>
        <v/>
      </c>
      <c r="D152" s="18">
        <f>IF($X152="","",INDEX('sheet2-计算明细'!$D$17:$D$330,$X152))</f>
        <v/>
      </c>
      <c r="E152" s="18">
        <f>IF($X152="","",INDEX('sheet2-计算明细'!$G$17:$G$330,$X152))</f>
        <v/>
      </c>
      <c r="F152" s="19">
        <f>IF($X152="","",INDEX('sheet2-计算明细'!$I$17:$I$330,$X152))</f>
        <v/>
      </c>
      <c r="G152" s="19">
        <f>IF($X152="","",INDEX('sheet2-计算明细'!$K$17:$K$330,$X152))</f>
        <v/>
      </c>
      <c r="H152" s="19">
        <f>IF($X152="","",INDEX('sheet2-计算明细'!$L$17:$L$330,$X152))</f>
        <v/>
      </c>
      <c r="I152" s="19">
        <f>IF($X152="","",INDEX('sheet2-计算明细'!$S$17:$S$330,$X152))</f>
        <v/>
      </c>
      <c r="J152" s="19">
        <f>IF($X152="","",INDEX('sheet2-计算明细'!$Y$17:$Y$330,$X152))</f>
        <v/>
      </c>
      <c r="K152" s="19">
        <f>IF($X152="","",INDEX('sheet2-计算明细'!$AC$17:$AC$330,$X152))</f>
        <v/>
      </c>
      <c r="L152" s="19">
        <f>IF($X152="","",INDEX('sheet2-计算明细'!$AI$17:$AI$330,$X152))</f>
        <v/>
      </c>
      <c r="M152" s="19">
        <f>IF($X152="","",INDEX('sheet2-计算明细'!$AK$17:$AK$330,$X152))</f>
        <v/>
      </c>
      <c r="N152" s="20">
        <f>IF(COUNT(F152:H152)=0,"",ROUND((IF(ISNUMBER(F152),F152*40%,0)+IF(ISNUMBER(G152),G152*30%,0)+IF(ISNUMBER(H152),H152*30%,0))/(IF(ISNUMBER(F152),40%,0)+IF(ISNUMBER(G152),30%,0)+IF(ISNUMBER(H152),30%,0)),2))</f>
        <v/>
      </c>
      <c r="O152" s="20">
        <f>IF(COUNT(I152:J152)=0,"",ROUND((IF(ISNUMBER(I152),I152*70%,0)+IF(ISNUMBER(J152),J152*30%,0))/(IF(ISNUMBER(I152),70%,0)+IF(ISNUMBER(J152),30%,0)),2))</f>
        <v/>
      </c>
      <c r="P152" s="20">
        <f>K152</f>
        <v/>
      </c>
      <c r="Q152" s="20">
        <f>L152</f>
        <v/>
      </c>
      <c r="R152" s="20">
        <f>M152</f>
        <v/>
      </c>
      <c r="S152" s="93">
        <f>IF($X152="","",INDEX('sheet2-计算明细'!$AQ$17:$AQ$330,$X152))</f>
        <v/>
      </c>
      <c r="T152" s="19">
        <f>IF($X152="","",INDEX('sheet2-计算明细'!$AR$17:$AR$330,$X152))</f>
        <v/>
      </c>
      <c r="U152" s="20">
        <f>IF(S152=0,"",ROUND(T152/S152,2))</f>
        <v/>
      </c>
      <c r="V152" s="20">
        <f>IF(S152=100%,T152,"")</f>
        <v/>
      </c>
      <c r="W152" s="22">
        <f>IF($X152="","",INDEX('sheet2-计算明细'!$AU$17:$AU$330,$X152))</f>
        <v/>
      </c>
      <c r="X152" s="18">
        <f>IF($A152&gt;COUNT('sheet2-计算明细'!$AT$17:$AT$330),"",MATCH($A152,'sheet2-计算明细'!$AT$17:$AT$330,0))</f>
        <v/>
      </c>
    </row>
    <row r="153" ht="28" customHeight="1" s="73">
      <c r="A153" s="2" t="n">
        <v>148</v>
      </c>
      <c r="B153" s="18">
        <f>IF($X153="","",INDEX('sheet2-计算明细'!$B$17:$B$330,$X153))</f>
        <v/>
      </c>
      <c r="C153" s="18">
        <f>IF($X153="","",INDEX('sheet2-计算明细'!$C$17:$C$330,$X153))</f>
        <v/>
      </c>
      <c r="D153" s="18">
        <f>IF($X153="","",INDEX('sheet2-计算明细'!$D$17:$D$330,$X153))</f>
        <v/>
      </c>
      <c r="E153" s="18">
        <f>IF($X153="","",INDEX('sheet2-计算明细'!$G$17:$G$330,$X153))</f>
        <v/>
      </c>
      <c r="F153" s="19">
        <f>IF($X153="","",INDEX('sheet2-计算明细'!$I$17:$I$330,$X153))</f>
        <v/>
      </c>
      <c r="G153" s="19">
        <f>IF($X153="","",INDEX('sheet2-计算明细'!$K$17:$K$330,$X153))</f>
        <v/>
      </c>
      <c r="H153" s="19">
        <f>IF($X153="","",INDEX('sheet2-计算明细'!$L$17:$L$330,$X153))</f>
        <v/>
      </c>
      <c r="I153" s="19">
        <f>IF($X153="","",INDEX('sheet2-计算明细'!$S$17:$S$330,$X153))</f>
        <v/>
      </c>
      <c r="J153" s="19">
        <f>IF($X153="","",INDEX('sheet2-计算明细'!$Y$17:$Y$330,$X153))</f>
        <v/>
      </c>
      <c r="K153" s="19">
        <f>IF($X153="","",INDEX('sheet2-计算明细'!$AC$17:$AC$330,$X153))</f>
        <v/>
      </c>
      <c r="L153" s="19">
        <f>IF($X153="","",INDEX('sheet2-计算明细'!$AI$17:$AI$330,$X153))</f>
        <v/>
      </c>
      <c r="M153" s="19">
        <f>IF($X153="","",INDEX('sheet2-计算明细'!$AK$17:$AK$330,$X153))</f>
        <v/>
      </c>
      <c r="N153" s="20">
        <f>IF(COUNT(F153:H153)=0,"",ROUND((IF(ISNUMBER(F153),F153*40%,0)+IF(ISNUMBER(G153),G153*30%,0)+IF(ISNUMBER(H153),H153*30%,0))/(IF(ISNUMBER(F153),40%,0)+IF(ISNUMBER(G153),30%,0)+IF(ISNUMBER(H153),30%,0)),2))</f>
        <v/>
      </c>
      <c r="O153" s="20">
        <f>IF(COUNT(I153:J153)=0,"",ROUND((IF(ISNUMBER(I153),I153*70%,0)+IF(ISNUMBER(J153),J153*30%,0))/(IF(ISNUMBER(I153),70%,0)+IF(ISNUMBER(J153),30%,0)),2))</f>
        <v/>
      </c>
      <c r="P153" s="20">
        <f>K153</f>
        <v/>
      </c>
      <c r="Q153" s="20">
        <f>L153</f>
        <v/>
      </c>
      <c r="R153" s="20">
        <f>M153</f>
        <v/>
      </c>
      <c r="S153" s="93">
        <f>IF($X153="","",INDEX('sheet2-计算明细'!$AQ$17:$AQ$330,$X153))</f>
        <v/>
      </c>
      <c r="T153" s="19">
        <f>IF($X153="","",INDEX('sheet2-计算明细'!$AR$17:$AR$330,$X153))</f>
        <v/>
      </c>
      <c r="U153" s="20">
        <f>IF(S153=0,"",ROUND(T153/S153,2))</f>
        <v/>
      </c>
      <c r="V153" s="20">
        <f>IF(S153=100%,T153,"")</f>
        <v/>
      </c>
      <c r="W153" s="22">
        <f>IF($X153="","",INDEX('sheet2-计算明细'!$AU$17:$AU$330,$X153))</f>
        <v/>
      </c>
      <c r="X153" s="18">
        <f>IF($A153&gt;COUNT('sheet2-计算明细'!$AT$17:$AT$330),"",MATCH($A153,'sheet2-计算明细'!$AT$17:$AT$330,0))</f>
        <v/>
      </c>
    </row>
    <row r="154" ht="28" customHeight="1" s="73">
      <c r="A154" s="2" t="n">
        <v>149</v>
      </c>
      <c r="B154" s="18">
        <f>IF($X154="","",INDEX('sheet2-计算明细'!$B$17:$B$330,$X154))</f>
        <v/>
      </c>
      <c r="C154" s="18">
        <f>IF($X154="","",INDEX('sheet2-计算明细'!$C$17:$C$330,$X154))</f>
        <v/>
      </c>
      <c r="D154" s="18">
        <f>IF($X154="","",INDEX('sheet2-计算明细'!$D$17:$D$330,$X154))</f>
        <v/>
      </c>
      <c r="E154" s="18">
        <f>IF($X154="","",INDEX('sheet2-计算明细'!$G$17:$G$330,$X154))</f>
        <v/>
      </c>
      <c r="F154" s="19">
        <f>IF($X154="","",INDEX('sheet2-计算明细'!$I$17:$I$330,$X154))</f>
        <v/>
      </c>
      <c r="G154" s="19">
        <f>IF($X154="","",INDEX('sheet2-计算明细'!$K$17:$K$330,$X154))</f>
        <v/>
      </c>
      <c r="H154" s="19">
        <f>IF($X154="","",INDEX('sheet2-计算明细'!$L$17:$L$330,$X154))</f>
        <v/>
      </c>
      <c r="I154" s="19">
        <f>IF($X154="","",INDEX('sheet2-计算明细'!$S$17:$S$330,$X154))</f>
        <v/>
      </c>
      <c r="J154" s="19">
        <f>IF($X154="","",INDEX('sheet2-计算明细'!$Y$17:$Y$330,$X154))</f>
        <v/>
      </c>
      <c r="K154" s="19">
        <f>IF($X154="","",INDEX('sheet2-计算明细'!$AC$17:$AC$330,$X154))</f>
        <v/>
      </c>
      <c r="L154" s="19">
        <f>IF($X154="","",INDEX('sheet2-计算明细'!$AI$17:$AI$330,$X154))</f>
        <v/>
      </c>
      <c r="M154" s="19">
        <f>IF($X154="","",INDEX('sheet2-计算明细'!$AK$17:$AK$330,$X154))</f>
        <v/>
      </c>
      <c r="N154" s="20">
        <f>IF(COUNT(F154:H154)=0,"",ROUND((IF(ISNUMBER(F154),F154*40%,0)+IF(ISNUMBER(G154),G154*30%,0)+IF(ISNUMBER(H154),H154*30%,0))/(IF(ISNUMBER(F154),40%,0)+IF(ISNUMBER(G154),30%,0)+IF(ISNUMBER(H154),30%,0)),2))</f>
        <v/>
      </c>
      <c r="O154" s="20">
        <f>IF(COUNT(I154:J154)=0,"",ROUND((IF(ISNUMBER(I154),I154*70%,0)+IF(ISNUMBER(J154),J154*30%,0))/(IF(ISNUMBER(I154),70%,0)+IF(ISNUMBER(J154),30%,0)),2))</f>
        <v/>
      </c>
      <c r="P154" s="20">
        <f>K154</f>
        <v/>
      </c>
      <c r="Q154" s="20">
        <f>L154</f>
        <v/>
      </c>
      <c r="R154" s="20">
        <f>M154</f>
        <v/>
      </c>
      <c r="S154" s="93">
        <f>IF($X154="","",INDEX('sheet2-计算明细'!$AQ$17:$AQ$330,$X154))</f>
        <v/>
      </c>
      <c r="T154" s="19">
        <f>IF($X154="","",INDEX('sheet2-计算明细'!$AR$17:$AR$330,$X154))</f>
        <v/>
      </c>
      <c r="U154" s="20">
        <f>IF(S154=0,"",ROUND(T154/S154,2))</f>
        <v/>
      </c>
      <c r="V154" s="20">
        <f>IF(S154=100%,T154,"")</f>
        <v/>
      </c>
      <c r="W154" s="22">
        <f>IF($X154="","",INDEX('sheet2-计算明细'!$AU$17:$AU$330,$X154))</f>
        <v/>
      </c>
      <c r="X154" s="18">
        <f>IF($A154&gt;COUNT('sheet2-计算明细'!$AT$17:$AT$330),"",MATCH($A154,'sheet2-计算明细'!$AT$17:$AT$330,0))</f>
        <v/>
      </c>
    </row>
    <row r="155" ht="28" customHeight="1" s="73">
      <c r="A155" s="2" t="n">
        <v>150</v>
      </c>
      <c r="B155" s="18">
        <f>IF($X155="","",INDEX('sheet2-计算明细'!$B$17:$B$330,$X155))</f>
        <v/>
      </c>
      <c r="C155" s="18">
        <f>IF($X155="","",INDEX('sheet2-计算明细'!$C$17:$C$330,$X155))</f>
        <v/>
      </c>
      <c r="D155" s="18">
        <f>IF($X155="","",INDEX('sheet2-计算明细'!$D$17:$D$330,$X155))</f>
        <v/>
      </c>
      <c r="E155" s="18">
        <f>IF($X155="","",INDEX('sheet2-计算明细'!$G$17:$G$330,$X155))</f>
        <v/>
      </c>
      <c r="F155" s="19">
        <f>IF($X155="","",INDEX('sheet2-计算明细'!$I$17:$I$330,$X155))</f>
        <v/>
      </c>
      <c r="G155" s="19">
        <f>IF($X155="","",INDEX('sheet2-计算明细'!$K$17:$K$330,$X155))</f>
        <v/>
      </c>
      <c r="H155" s="19">
        <f>IF($X155="","",INDEX('sheet2-计算明细'!$L$17:$L$330,$X155))</f>
        <v/>
      </c>
      <c r="I155" s="19">
        <f>IF($X155="","",INDEX('sheet2-计算明细'!$S$17:$S$330,$X155))</f>
        <v/>
      </c>
      <c r="J155" s="19">
        <f>IF($X155="","",INDEX('sheet2-计算明细'!$Y$17:$Y$330,$X155))</f>
        <v/>
      </c>
      <c r="K155" s="19">
        <f>IF($X155="","",INDEX('sheet2-计算明细'!$AC$17:$AC$330,$X155))</f>
        <v/>
      </c>
      <c r="L155" s="19">
        <f>IF($X155="","",INDEX('sheet2-计算明细'!$AI$17:$AI$330,$X155))</f>
        <v/>
      </c>
      <c r="M155" s="19">
        <f>IF($X155="","",INDEX('sheet2-计算明细'!$AK$17:$AK$330,$X155))</f>
        <v/>
      </c>
      <c r="N155" s="20">
        <f>IF(COUNT(F155:H155)=0,"",ROUND((IF(ISNUMBER(F155),F155*40%,0)+IF(ISNUMBER(G155),G155*30%,0)+IF(ISNUMBER(H155),H155*30%,0))/(IF(ISNUMBER(F155),40%,0)+IF(ISNUMBER(G155),30%,0)+IF(ISNUMBER(H155),30%,0)),2))</f>
        <v/>
      </c>
      <c r="O155" s="20">
        <f>IF(COUNT(I155:J155)=0,"",ROUND((IF(ISNUMBER(I155),I155*70%,0)+IF(ISNUMBER(J155),J155*30%,0))/(IF(ISNUMBER(I155),70%,0)+IF(ISNUMBER(J155),30%,0)),2))</f>
        <v/>
      </c>
      <c r="P155" s="20">
        <f>K155</f>
        <v/>
      </c>
      <c r="Q155" s="20">
        <f>L155</f>
        <v/>
      </c>
      <c r="R155" s="20">
        <f>M155</f>
        <v/>
      </c>
      <c r="S155" s="93">
        <f>IF($X155="","",INDEX('sheet2-计算明细'!$AQ$17:$AQ$330,$X155))</f>
        <v/>
      </c>
      <c r="T155" s="19">
        <f>IF($X155="","",INDEX('sheet2-计算明细'!$AR$17:$AR$330,$X155))</f>
        <v/>
      </c>
      <c r="U155" s="20">
        <f>IF(S155=0,"",ROUND(T155/S155,2))</f>
        <v/>
      </c>
      <c r="V155" s="20">
        <f>IF(S155=100%,T155,"")</f>
        <v/>
      </c>
      <c r="W155" s="22">
        <f>IF($X155="","",INDEX('sheet2-计算明细'!$AU$17:$AU$330,$X155))</f>
        <v/>
      </c>
      <c r="X155" s="18">
        <f>IF($A155&gt;COUNT('sheet2-计算明细'!$AT$17:$AT$330),"",MATCH($A155,'sheet2-计算明细'!$AT$17:$AT$330,0))</f>
        <v/>
      </c>
    </row>
    <row r="156" ht="28" customHeight="1" s="73">
      <c r="A156" s="2" t="n">
        <v>151</v>
      </c>
      <c r="B156" s="18">
        <f>IF($X156="","",INDEX('sheet2-计算明细'!$B$17:$B$330,$X156))</f>
        <v/>
      </c>
      <c r="C156" s="18">
        <f>IF($X156="","",INDEX('sheet2-计算明细'!$C$17:$C$330,$X156))</f>
        <v/>
      </c>
      <c r="D156" s="18">
        <f>IF($X156="","",INDEX('sheet2-计算明细'!$D$17:$D$330,$X156))</f>
        <v/>
      </c>
      <c r="E156" s="18">
        <f>IF($X156="","",INDEX('sheet2-计算明细'!$G$17:$G$330,$X156))</f>
        <v/>
      </c>
      <c r="F156" s="19">
        <f>IF($X156="","",INDEX('sheet2-计算明细'!$I$17:$I$330,$X156))</f>
        <v/>
      </c>
      <c r="G156" s="19">
        <f>IF($X156="","",INDEX('sheet2-计算明细'!$K$17:$K$330,$X156))</f>
        <v/>
      </c>
      <c r="H156" s="19">
        <f>IF($X156="","",INDEX('sheet2-计算明细'!$L$17:$L$330,$X156))</f>
        <v/>
      </c>
      <c r="I156" s="19">
        <f>IF($X156="","",INDEX('sheet2-计算明细'!$S$17:$S$330,$X156))</f>
        <v/>
      </c>
      <c r="J156" s="19">
        <f>IF($X156="","",INDEX('sheet2-计算明细'!$Y$17:$Y$330,$X156))</f>
        <v/>
      </c>
      <c r="K156" s="19">
        <f>IF($X156="","",INDEX('sheet2-计算明细'!$AC$17:$AC$330,$X156))</f>
        <v/>
      </c>
      <c r="L156" s="19">
        <f>IF($X156="","",INDEX('sheet2-计算明细'!$AI$17:$AI$330,$X156))</f>
        <v/>
      </c>
      <c r="M156" s="19">
        <f>IF($X156="","",INDEX('sheet2-计算明细'!$AK$17:$AK$330,$X156))</f>
        <v/>
      </c>
      <c r="N156" s="20">
        <f>IF(COUNT(F156:H156)=0,"",ROUND((IF(ISNUMBER(F156),F156*40%,0)+IF(ISNUMBER(G156),G156*30%,0)+IF(ISNUMBER(H156),H156*30%,0))/(IF(ISNUMBER(F156),40%,0)+IF(ISNUMBER(G156),30%,0)+IF(ISNUMBER(H156),30%,0)),2))</f>
        <v/>
      </c>
      <c r="O156" s="20">
        <f>IF(COUNT(I156:J156)=0,"",ROUND((IF(ISNUMBER(I156),I156*70%,0)+IF(ISNUMBER(J156),J156*30%,0))/(IF(ISNUMBER(I156),70%,0)+IF(ISNUMBER(J156),30%,0)),2))</f>
        <v/>
      </c>
      <c r="P156" s="20">
        <f>K156</f>
        <v/>
      </c>
      <c r="Q156" s="20">
        <f>L156</f>
        <v/>
      </c>
      <c r="R156" s="20">
        <f>M156</f>
        <v/>
      </c>
      <c r="S156" s="93">
        <f>IF($X156="","",INDEX('sheet2-计算明细'!$AQ$17:$AQ$330,$X156))</f>
        <v/>
      </c>
      <c r="T156" s="19">
        <f>IF($X156="","",INDEX('sheet2-计算明细'!$AR$17:$AR$330,$X156))</f>
        <v/>
      </c>
      <c r="U156" s="20">
        <f>IF(S156=0,"",ROUND(T156/S156,2))</f>
        <v/>
      </c>
      <c r="V156" s="20">
        <f>IF(S156=100%,T156,"")</f>
        <v/>
      </c>
      <c r="W156" s="22">
        <f>IF($X156="","",INDEX('sheet2-计算明细'!$AU$17:$AU$330,$X156))</f>
        <v/>
      </c>
      <c r="X156" s="18">
        <f>IF($A156&gt;COUNT('sheet2-计算明细'!$AT$17:$AT$330),"",MATCH($A156,'sheet2-计算明细'!$AT$17:$AT$330,0))</f>
        <v/>
      </c>
    </row>
    <row r="157" ht="28" customHeight="1" s="73">
      <c r="A157" s="2" t="n">
        <v>152</v>
      </c>
      <c r="B157" s="18">
        <f>IF($X157="","",INDEX('sheet2-计算明细'!$B$17:$B$330,$X157))</f>
        <v/>
      </c>
      <c r="C157" s="18">
        <f>IF($X157="","",INDEX('sheet2-计算明细'!$C$17:$C$330,$X157))</f>
        <v/>
      </c>
      <c r="D157" s="18">
        <f>IF($X157="","",INDEX('sheet2-计算明细'!$D$17:$D$330,$X157))</f>
        <v/>
      </c>
      <c r="E157" s="18">
        <f>IF($X157="","",INDEX('sheet2-计算明细'!$G$17:$G$330,$X157))</f>
        <v/>
      </c>
      <c r="F157" s="19">
        <f>IF($X157="","",INDEX('sheet2-计算明细'!$I$17:$I$330,$X157))</f>
        <v/>
      </c>
      <c r="G157" s="19">
        <f>IF($X157="","",INDEX('sheet2-计算明细'!$K$17:$K$330,$X157))</f>
        <v/>
      </c>
      <c r="H157" s="19">
        <f>IF($X157="","",INDEX('sheet2-计算明细'!$L$17:$L$330,$X157))</f>
        <v/>
      </c>
      <c r="I157" s="19">
        <f>IF($X157="","",INDEX('sheet2-计算明细'!$S$17:$S$330,$X157))</f>
        <v/>
      </c>
      <c r="J157" s="19">
        <f>IF($X157="","",INDEX('sheet2-计算明细'!$Y$17:$Y$330,$X157))</f>
        <v/>
      </c>
      <c r="K157" s="19">
        <f>IF($X157="","",INDEX('sheet2-计算明细'!$AC$17:$AC$330,$X157))</f>
        <v/>
      </c>
      <c r="L157" s="19">
        <f>IF($X157="","",INDEX('sheet2-计算明细'!$AI$17:$AI$330,$X157))</f>
        <v/>
      </c>
      <c r="M157" s="19">
        <f>IF($X157="","",INDEX('sheet2-计算明细'!$AK$17:$AK$330,$X157))</f>
        <v/>
      </c>
      <c r="N157" s="20">
        <f>IF(COUNT(F157:H157)=0,"",ROUND((IF(ISNUMBER(F157),F157*40%,0)+IF(ISNUMBER(G157),G157*30%,0)+IF(ISNUMBER(H157),H157*30%,0))/(IF(ISNUMBER(F157),40%,0)+IF(ISNUMBER(G157),30%,0)+IF(ISNUMBER(H157),30%,0)),2))</f>
        <v/>
      </c>
      <c r="O157" s="20">
        <f>IF(COUNT(I157:J157)=0,"",ROUND((IF(ISNUMBER(I157),I157*70%,0)+IF(ISNUMBER(J157),J157*30%,0))/(IF(ISNUMBER(I157),70%,0)+IF(ISNUMBER(J157),30%,0)),2))</f>
        <v/>
      </c>
      <c r="P157" s="20">
        <f>K157</f>
        <v/>
      </c>
      <c r="Q157" s="20">
        <f>L157</f>
        <v/>
      </c>
      <c r="R157" s="20">
        <f>M157</f>
        <v/>
      </c>
      <c r="S157" s="93">
        <f>IF($X157="","",INDEX('sheet2-计算明细'!$AQ$17:$AQ$330,$X157))</f>
        <v/>
      </c>
      <c r="T157" s="19">
        <f>IF($X157="","",INDEX('sheet2-计算明细'!$AR$17:$AR$330,$X157))</f>
        <v/>
      </c>
      <c r="U157" s="20">
        <f>IF(S157=0,"",ROUND(T157/S157,2))</f>
        <v/>
      </c>
      <c r="V157" s="20">
        <f>IF(S157=100%,T157,"")</f>
        <v/>
      </c>
      <c r="W157" s="22">
        <f>IF($X157="","",INDEX('sheet2-计算明细'!$AU$17:$AU$330,$X157))</f>
        <v/>
      </c>
      <c r="X157" s="18">
        <f>IF($A157&gt;COUNT('sheet2-计算明细'!$AT$17:$AT$330),"",MATCH($A157,'sheet2-计算明细'!$AT$17:$AT$330,0))</f>
        <v/>
      </c>
    </row>
    <row r="158" ht="28" customHeight="1" s="73">
      <c r="A158" s="2" t="n">
        <v>153</v>
      </c>
      <c r="B158" s="18">
        <f>IF($X158="","",INDEX('sheet2-计算明细'!$B$17:$B$330,$X158))</f>
        <v/>
      </c>
      <c r="C158" s="18">
        <f>IF($X158="","",INDEX('sheet2-计算明细'!$C$17:$C$330,$X158))</f>
        <v/>
      </c>
      <c r="D158" s="18">
        <f>IF($X158="","",INDEX('sheet2-计算明细'!$D$17:$D$330,$X158))</f>
        <v/>
      </c>
      <c r="E158" s="18">
        <f>IF($X158="","",INDEX('sheet2-计算明细'!$G$17:$G$330,$X158))</f>
        <v/>
      </c>
      <c r="F158" s="19">
        <f>IF($X158="","",INDEX('sheet2-计算明细'!$I$17:$I$330,$X158))</f>
        <v/>
      </c>
      <c r="G158" s="19">
        <f>IF($X158="","",INDEX('sheet2-计算明细'!$K$17:$K$330,$X158))</f>
        <v/>
      </c>
      <c r="H158" s="19">
        <f>IF($X158="","",INDEX('sheet2-计算明细'!$L$17:$L$330,$X158))</f>
        <v/>
      </c>
      <c r="I158" s="19">
        <f>IF($X158="","",INDEX('sheet2-计算明细'!$S$17:$S$330,$X158))</f>
        <v/>
      </c>
      <c r="J158" s="19">
        <f>IF($X158="","",INDEX('sheet2-计算明细'!$Y$17:$Y$330,$X158))</f>
        <v/>
      </c>
      <c r="K158" s="19">
        <f>IF($X158="","",INDEX('sheet2-计算明细'!$AC$17:$AC$330,$X158))</f>
        <v/>
      </c>
      <c r="L158" s="19">
        <f>IF($X158="","",INDEX('sheet2-计算明细'!$AI$17:$AI$330,$X158))</f>
        <v/>
      </c>
      <c r="M158" s="19">
        <f>IF($X158="","",INDEX('sheet2-计算明细'!$AK$17:$AK$330,$X158))</f>
        <v/>
      </c>
      <c r="N158" s="20">
        <f>IF(COUNT(F158:H158)=0,"",ROUND((IF(ISNUMBER(F158),F158*40%,0)+IF(ISNUMBER(G158),G158*30%,0)+IF(ISNUMBER(H158),H158*30%,0))/(IF(ISNUMBER(F158),40%,0)+IF(ISNUMBER(G158),30%,0)+IF(ISNUMBER(H158),30%,0)),2))</f>
        <v/>
      </c>
      <c r="O158" s="20">
        <f>IF(COUNT(I158:J158)=0,"",ROUND((IF(ISNUMBER(I158),I158*70%,0)+IF(ISNUMBER(J158),J158*30%,0))/(IF(ISNUMBER(I158),70%,0)+IF(ISNUMBER(J158),30%,0)),2))</f>
        <v/>
      </c>
      <c r="P158" s="20">
        <f>K158</f>
        <v/>
      </c>
      <c r="Q158" s="20">
        <f>L158</f>
        <v/>
      </c>
      <c r="R158" s="20">
        <f>M158</f>
        <v/>
      </c>
      <c r="S158" s="93">
        <f>IF($X158="","",INDEX('sheet2-计算明细'!$AQ$17:$AQ$330,$X158))</f>
        <v/>
      </c>
      <c r="T158" s="19">
        <f>IF($X158="","",INDEX('sheet2-计算明细'!$AR$17:$AR$330,$X158))</f>
        <v/>
      </c>
      <c r="U158" s="20">
        <f>IF(S158=0,"",ROUND(T158/S158,2))</f>
        <v/>
      </c>
      <c r="V158" s="20">
        <f>IF(S158=100%,T158,"")</f>
        <v/>
      </c>
      <c r="W158" s="22">
        <f>IF($X158="","",INDEX('sheet2-计算明细'!$AU$17:$AU$330,$X158))</f>
        <v/>
      </c>
      <c r="X158" s="18">
        <f>IF($A158&gt;COUNT('sheet2-计算明细'!$AT$17:$AT$330),"",MATCH($A158,'sheet2-计算明细'!$AT$17:$AT$330,0))</f>
        <v/>
      </c>
    </row>
    <row r="159" ht="28" customHeight="1" s="73">
      <c r="A159" s="2" t="n">
        <v>154</v>
      </c>
      <c r="B159" s="18">
        <f>IF($X159="","",INDEX('sheet2-计算明细'!$B$17:$B$330,$X159))</f>
        <v/>
      </c>
      <c r="C159" s="18">
        <f>IF($X159="","",INDEX('sheet2-计算明细'!$C$17:$C$330,$X159))</f>
        <v/>
      </c>
      <c r="D159" s="18">
        <f>IF($X159="","",INDEX('sheet2-计算明细'!$D$17:$D$330,$X159))</f>
        <v/>
      </c>
      <c r="E159" s="18">
        <f>IF($X159="","",INDEX('sheet2-计算明细'!$G$17:$G$330,$X159))</f>
        <v/>
      </c>
      <c r="F159" s="19">
        <f>IF($X159="","",INDEX('sheet2-计算明细'!$I$17:$I$330,$X159))</f>
        <v/>
      </c>
      <c r="G159" s="19">
        <f>IF($X159="","",INDEX('sheet2-计算明细'!$K$17:$K$330,$X159))</f>
        <v/>
      </c>
      <c r="H159" s="19">
        <f>IF($X159="","",INDEX('sheet2-计算明细'!$L$17:$L$330,$X159))</f>
        <v/>
      </c>
      <c r="I159" s="19">
        <f>IF($X159="","",INDEX('sheet2-计算明细'!$S$17:$S$330,$X159))</f>
        <v/>
      </c>
      <c r="J159" s="19">
        <f>IF($X159="","",INDEX('sheet2-计算明细'!$Y$17:$Y$330,$X159))</f>
        <v/>
      </c>
      <c r="K159" s="19">
        <f>IF($X159="","",INDEX('sheet2-计算明细'!$AC$17:$AC$330,$X159))</f>
        <v/>
      </c>
      <c r="L159" s="19">
        <f>IF($X159="","",INDEX('sheet2-计算明细'!$AI$17:$AI$330,$X159))</f>
        <v/>
      </c>
      <c r="M159" s="19">
        <f>IF($X159="","",INDEX('sheet2-计算明细'!$AK$17:$AK$330,$X159))</f>
        <v/>
      </c>
      <c r="N159" s="20">
        <f>IF(COUNT(F159:H159)=0,"",ROUND((IF(ISNUMBER(F159),F159*40%,0)+IF(ISNUMBER(G159),G159*30%,0)+IF(ISNUMBER(H159),H159*30%,0))/(IF(ISNUMBER(F159),40%,0)+IF(ISNUMBER(G159),30%,0)+IF(ISNUMBER(H159),30%,0)),2))</f>
        <v/>
      </c>
      <c r="O159" s="20">
        <f>IF(COUNT(I159:J159)=0,"",ROUND((IF(ISNUMBER(I159),I159*70%,0)+IF(ISNUMBER(J159),J159*30%,0))/(IF(ISNUMBER(I159),70%,0)+IF(ISNUMBER(J159),30%,0)),2))</f>
        <v/>
      </c>
      <c r="P159" s="20">
        <f>K159</f>
        <v/>
      </c>
      <c r="Q159" s="20">
        <f>L159</f>
        <v/>
      </c>
      <c r="R159" s="20">
        <f>M159</f>
        <v/>
      </c>
      <c r="S159" s="93">
        <f>IF($X159="","",INDEX('sheet2-计算明细'!$AQ$17:$AQ$330,$X159))</f>
        <v/>
      </c>
      <c r="T159" s="19">
        <f>IF($X159="","",INDEX('sheet2-计算明细'!$AR$17:$AR$330,$X159))</f>
        <v/>
      </c>
      <c r="U159" s="20">
        <f>IF(S159=0,"",ROUND(T159/S159,2))</f>
        <v/>
      </c>
      <c r="V159" s="20">
        <f>IF(S159=100%,T159,"")</f>
        <v/>
      </c>
      <c r="W159" s="22">
        <f>IF($X159="","",INDEX('sheet2-计算明细'!$AU$17:$AU$330,$X159))</f>
        <v/>
      </c>
      <c r="X159" s="18">
        <f>IF($A159&gt;COUNT('sheet2-计算明细'!$AT$17:$AT$330),"",MATCH($A159,'sheet2-计算明细'!$AT$17:$AT$330,0))</f>
        <v/>
      </c>
    </row>
    <row r="160" ht="28" customHeight="1" s="73">
      <c r="A160" s="2" t="n">
        <v>155</v>
      </c>
      <c r="B160" s="18">
        <f>IF($X160="","",INDEX('sheet2-计算明细'!$B$17:$B$330,$X160))</f>
        <v/>
      </c>
      <c r="C160" s="18">
        <f>IF($X160="","",INDEX('sheet2-计算明细'!$C$17:$C$330,$X160))</f>
        <v/>
      </c>
      <c r="D160" s="18">
        <f>IF($X160="","",INDEX('sheet2-计算明细'!$D$17:$D$330,$X160))</f>
        <v/>
      </c>
      <c r="E160" s="18">
        <f>IF($X160="","",INDEX('sheet2-计算明细'!$G$17:$G$330,$X160))</f>
        <v/>
      </c>
      <c r="F160" s="19">
        <f>IF($X160="","",INDEX('sheet2-计算明细'!$I$17:$I$330,$X160))</f>
        <v/>
      </c>
      <c r="G160" s="19">
        <f>IF($X160="","",INDEX('sheet2-计算明细'!$K$17:$K$330,$X160))</f>
        <v/>
      </c>
      <c r="H160" s="19">
        <f>IF($X160="","",INDEX('sheet2-计算明细'!$L$17:$L$330,$X160))</f>
        <v/>
      </c>
      <c r="I160" s="19">
        <f>IF($X160="","",INDEX('sheet2-计算明细'!$S$17:$S$330,$X160))</f>
        <v/>
      </c>
      <c r="J160" s="19">
        <f>IF($X160="","",INDEX('sheet2-计算明细'!$Y$17:$Y$330,$X160))</f>
        <v/>
      </c>
      <c r="K160" s="19">
        <f>IF($X160="","",INDEX('sheet2-计算明细'!$AC$17:$AC$330,$X160))</f>
        <v/>
      </c>
      <c r="L160" s="19">
        <f>IF($X160="","",INDEX('sheet2-计算明细'!$AI$17:$AI$330,$X160))</f>
        <v/>
      </c>
      <c r="M160" s="19">
        <f>IF($X160="","",INDEX('sheet2-计算明细'!$AK$17:$AK$330,$X160))</f>
        <v/>
      </c>
      <c r="N160" s="20">
        <f>IF(COUNT(F160:H160)=0,"",ROUND((IF(ISNUMBER(F160),F160*40%,0)+IF(ISNUMBER(G160),G160*30%,0)+IF(ISNUMBER(H160),H160*30%,0))/(IF(ISNUMBER(F160),40%,0)+IF(ISNUMBER(G160),30%,0)+IF(ISNUMBER(H160),30%,0)),2))</f>
        <v/>
      </c>
      <c r="O160" s="20">
        <f>IF(COUNT(I160:J160)=0,"",ROUND((IF(ISNUMBER(I160),I160*70%,0)+IF(ISNUMBER(J160),J160*30%,0))/(IF(ISNUMBER(I160),70%,0)+IF(ISNUMBER(J160),30%,0)),2))</f>
        <v/>
      </c>
      <c r="P160" s="20">
        <f>K160</f>
        <v/>
      </c>
      <c r="Q160" s="20">
        <f>L160</f>
        <v/>
      </c>
      <c r="R160" s="20">
        <f>M160</f>
        <v/>
      </c>
      <c r="S160" s="93">
        <f>IF($X160="","",INDEX('sheet2-计算明细'!$AQ$17:$AQ$330,$X160))</f>
        <v/>
      </c>
      <c r="T160" s="19">
        <f>IF($X160="","",INDEX('sheet2-计算明细'!$AR$17:$AR$330,$X160))</f>
        <v/>
      </c>
      <c r="U160" s="20">
        <f>IF(S160=0,"",ROUND(T160/S160,2))</f>
        <v/>
      </c>
      <c r="V160" s="20">
        <f>IF(S160=100%,T160,"")</f>
        <v/>
      </c>
      <c r="W160" s="22">
        <f>IF($X160="","",INDEX('sheet2-计算明细'!$AU$17:$AU$330,$X160))</f>
        <v/>
      </c>
      <c r="X160" s="18">
        <f>IF($A160&gt;COUNT('sheet2-计算明细'!$AT$17:$AT$330),"",MATCH($A160,'sheet2-计算明细'!$AT$17:$AT$330,0))</f>
        <v/>
      </c>
    </row>
    <row r="161" ht="28" customHeight="1" s="73">
      <c r="A161" s="2" t="n">
        <v>156</v>
      </c>
      <c r="B161" s="18">
        <f>IF($X161="","",INDEX('sheet2-计算明细'!$B$17:$B$330,$X161))</f>
        <v/>
      </c>
      <c r="C161" s="18">
        <f>IF($X161="","",INDEX('sheet2-计算明细'!$C$17:$C$330,$X161))</f>
        <v/>
      </c>
      <c r="D161" s="18">
        <f>IF($X161="","",INDEX('sheet2-计算明细'!$D$17:$D$330,$X161))</f>
        <v/>
      </c>
      <c r="E161" s="18">
        <f>IF($X161="","",INDEX('sheet2-计算明细'!$G$17:$G$330,$X161))</f>
        <v/>
      </c>
      <c r="F161" s="19">
        <f>IF($X161="","",INDEX('sheet2-计算明细'!$I$17:$I$330,$X161))</f>
        <v/>
      </c>
      <c r="G161" s="19">
        <f>IF($X161="","",INDEX('sheet2-计算明细'!$K$17:$K$330,$X161))</f>
        <v/>
      </c>
      <c r="H161" s="19">
        <f>IF($X161="","",INDEX('sheet2-计算明细'!$L$17:$L$330,$X161))</f>
        <v/>
      </c>
      <c r="I161" s="19">
        <f>IF($X161="","",INDEX('sheet2-计算明细'!$S$17:$S$330,$X161))</f>
        <v/>
      </c>
      <c r="J161" s="19">
        <f>IF($X161="","",INDEX('sheet2-计算明细'!$Y$17:$Y$330,$X161))</f>
        <v/>
      </c>
      <c r="K161" s="19">
        <f>IF($X161="","",INDEX('sheet2-计算明细'!$AC$17:$AC$330,$X161))</f>
        <v/>
      </c>
      <c r="L161" s="19">
        <f>IF($X161="","",INDEX('sheet2-计算明细'!$AI$17:$AI$330,$X161))</f>
        <v/>
      </c>
      <c r="M161" s="19">
        <f>IF($X161="","",INDEX('sheet2-计算明细'!$AK$17:$AK$330,$X161))</f>
        <v/>
      </c>
      <c r="N161" s="20">
        <f>IF(COUNT(F161:H161)=0,"",ROUND((IF(ISNUMBER(F161),F161*40%,0)+IF(ISNUMBER(G161),G161*30%,0)+IF(ISNUMBER(H161),H161*30%,0))/(IF(ISNUMBER(F161),40%,0)+IF(ISNUMBER(G161),30%,0)+IF(ISNUMBER(H161),30%,0)),2))</f>
        <v/>
      </c>
      <c r="O161" s="20">
        <f>IF(COUNT(I161:J161)=0,"",ROUND((IF(ISNUMBER(I161),I161*70%,0)+IF(ISNUMBER(J161),J161*30%,0))/(IF(ISNUMBER(I161),70%,0)+IF(ISNUMBER(J161),30%,0)),2))</f>
        <v/>
      </c>
      <c r="P161" s="20">
        <f>K161</f>
        <v/>
      </c>
      <c r="Q161" s="20">
        <f>L161</f>
        <v/>
      </c>
      <c r="R161" s="20">
        <f>M161</f>
        <v/>
      </c>
      <c r="S161" s="93">
        <f>IF($X161="","",INDEX('sheet2-计算明细'!$AQ$17:$AQ$330,$X161))</f>
        <v/>
      </c>
      <c r="T161" s="19">
        <f>IF($X161="","",INDEX('sheet2-计算明细'!$AR$17:$AR$330,$X161))</f>
        <v/>
      </c>
      <c r="U161" s="20">
        <f>IF(S161=0,"",ROUND(T161/S161,2))</f>
        <v/>
      </c>
      <c r="V161" s="20">
        <f>IF(S161=100%,T161,"")</f>
        <v/>
      </c>
      <c r="W161" s="22">
        <f>IF($X161="","",INDEX('sheet2-计算明细'!$AU$17:$AU$330,$X161))</f>
        <v/>
      </c>
      <c r="X161" s="18">
        <f>IF($A161&gt;COUNT('sheet2-计算明细'!$AT$17:$AT$330),"",MATCH($A161,'sheet2-计算明细'!$AT$17:$AT$330,0))</f>
        <v/>
      </c>
    </row>
    <row r="162" ht="28" customHeight="1" s="73">
      <c r="A162" s="2" t="n">
        <v>157</v>
      </c>
      <c r="B162" s="18">
        <f>IF($X162="","",INDEX('sheet2-计算明细'!$B$17:$B$330,$X162))</f>
        <v/>
      </c>
      <c r="C162" s="18">
        <f>IF($X162="","",INDEX('sheet2-计算明细'!$C$17:$C$330,$X162))</f>
        <v/>
      </c>
      <c r="D162" s="18">
        <f>IF($X162="","",INDEX('sheet2-计算明细'!$D$17:$D$330,$X162))</f>
        <v/>
      </c>
      <c r="E162" s="18">
        <f>IF($X162="","",INDEX('sheet2-计算明细'!$G$17:$G$330,$X162))</f>
        <v/>
      </c>
      <c r="F162" s="19">
        <f>IF($X162="","",INDEX('sheet2-计算明细'!$I$17:$I$330,$X162))</f>
        <v/>
      </c>
      <c r="G162" s="19">
        <f>IF($X162="","",INDEX('sheet2-计算明细'!$K$17:$K$330,$X162))</f>
        <v/>
      </c>
      <c r="H162" s="19">
        <f>IF($X162="","",INDEX('sheet2-计算明细'!$L$17:$L$330,$X162))</f>
        <v/>
      </c>
      <c r="I162" s="19">
        <f>IF($X162="","",INDEX('sheet2-计算明细'!$S$17:$S$330,$X162))</f>
        <v/>
      </c>
      <c r="J162" s="19">
        <f>IF($X162="","",INDEX('sheet2-计算明细'!$Y$17:$Y$330,$X162))</f>
        <v/>
      </c>
      <c r="K162" s="19">
        <f>IF($X162="","",INDEX('sheet2-计算明细'!$AC$17:$AC$330,$X162))</f>
        <v/>
      </c>
      <c r="L162" s="19">
        <f>IF($X162="","",INDEX('sheet2-计算明细'!$AI$17:$AI$330,$X162))</f>
        <v/>
      </c>
      <c r="M162" s="19">
        <f>IF($X162="","",INDEX('sheet2-计算明细'!$AK$17:$AK$330,$X162))</f>
        <v/>
      </c>
      <c r="N162" s="20">
        <f>IF(COUNT(F162:H162)=0,"",ROUND((IF(ISNUMBER(F162),F162*40%,0)+IF(ISNUMBER(G162),G162*30%,0)+IF(ISNUMBER(H162),H162*30%,0))/(IF(ISNUMBER(F162),40%,0)+IF(ISNUMBER(G162),30%,0)+IF(ISNUMBER(H162),30%,0)),2))</f>
        <v/>
      </c>
      <c r="O162" s="20">
        <f>IF(COUNT(I162:J162)=0,"",ROUND((IF(ISNUMBER(I162),I162*70%,0)+IF(ISNUMBER(J162),J162*30%,0))/(IF(ISNUMBER(I162),70%,0)+IF(ISNUMBER(J162),30%,0)),2))</f>
        <v/>
      </c>
      <c r="P162" s="20">
        <f>K162</f>
        <v/>
      </c>
      <c r="Q162" s="20">
        <f>L162</f>
        <v/>
      </c>
      <c r="R162" s="20">
        <f>M162</f>
        <v/>
      </c>
      <c r="S162" s="93">
        <f>IF($X162="","",INDEX('sheet2-计算明细'!$AQ$17:$AQ$330,$X162))</f>
        <v/>
      </c>
      <c r="T162" s="19">
        <f>IF($X162="","",INDEX('sheet2-计算明细'!$AR$17:$AR$330,$X162))</f>
        <v/>
      </c>
      <c r="U162" s="20">
        <f>IF(S162=0,"",ROUND(T162/S162,2))</f>
        <v/>
      </c>
      <c r="V162" s="20">
        <f>IF(S162=100%,T162,"")</f>
        <v/>
      </c>
      <c r="W162" s="22">
        <f>IF($X162="","",INDEX('sheet2-计算明细'!$AU$17:$AU$330,$X162))</f>
        <v/>
      </c>
      <c r="X162" s="18">
        <f>IF($A162&gt;COUNT('sheet2-计算明细'!$AT$17:$AT$330),"",MATCH($A162,'sheet2-计算明细'!$AT$17:$AT$330,0))</f>
        <v/>
      </c>
    </row>
    <row r="163" ht="28" customHeight="1" s="73">
      <c r="A163" s="2" t="n">
        <v>158</v>
      </c>
      <c r="B163" s="18">
        <f>IF($X163="","",INDEX('sheet2-计算明细'!$B$17:$B$330,$X163))</f>
        <v/>
      </c>
      <c r="C163" s="18">
        <f>IF($X163="","",INDEX('sheet2-计算明细'!$C$17:$C$330,$X163))</f>
        <v/>
      </c>
      <c r="D163" s="18">
        <f>IF($X163="","",INDEX('sheet2-计算明细'!$D$17:$D$330,$X163))</f>
        <v/>
      </c>
      <c r="E163" s="18">
        <f>IF($X163="","",INDEX('sheet2-计算明细'!$G$17:$G$330,$X163))</f>
        <v/>
      </c>
      <c r="F163" s="19">
        <f>IF($X163="","",INDEX('sheet2-计算明细'!$I$17:$I$330,$X163))</f>
        <v/>
      </c>
      <c r="G163" s="19">
        <f>IF($X163="","",INDEX('sheet2-计算明细'!$K$17:$K$330,$X163))</f>
        <v/>
      </c>
      <c r="H163" s="19">
        <f>IF($X163="","",INDEX('sheet2-计算明细'!$L$17:$L$330,$X163))</f>
        <v/>
      </c>
      <c r="I163" s="19">
        <f>IF($X163="","",INDEX('sheet2-计算明细'!$S$17:$S$330,$X163))</f>
        <v/>
      </c>
      <c r="J163" s="19">
        <f>IF($X163="","",INDEX('sheet2-计算明细'!$Y$17:$Y$330,$X163))</f>
        <v/>
      </c>
      <c r="K163" s="19">
        <f>IF($X163="","",INDEX('sheet2-计算明细'!$AC$17:$AC$330,$X163))</f>
        <v/>
      </c>
      <c r="L163" s="19">
        <f>IF($X163="","",INDEX('sheet2-计算明细'!$AI$17:$AI$330,$X163))</f>
        <v/>
      </c>
      <c r="M163" s="19">
        <f>IF($X163="","",INDEX('sheet2-计算明细'!$AK$17:$AK$330,$X163))</f>
        <v/>
      </c>
      <c r="N163" s="20">
        <f>IF(COUNT(F163:H163)=0,"",ROUND((IF(ISNUMBER(F163),F163*40%,0)+IF(ISNUMBER(G163),G163*30%,0)+IF(ISNUMBER(H163),H163*30%,0))/(IF(ISNUMBER(F163),40%,0)+IF(ISNUMBER(G163),30%,0)+IF(ISNUMBER(H163),30%,0)),2))</f>
        <v/>
      </c>
      <c r="O163" s="20">
        <f>IF(COUNT(I163:J163)=0,"",ROUND((IF(ISNUMBER(I163),I163*70%,0)+IF(ISNUMBER(J163),J163*30%,0))/(IF(ISNUMBER(I163),70%,0)+IF(ISNUMBER(J163),30%,0)),2))</f>
        <v/>
      </c>
      <c r="P163" s="20">
        <f>K163</f>
        <v/>
      </c>
      <c r="Q163" s="20">
        <f>L163</f>
        <v/>
      </c>
      <c r="R163" s="20">
        <f>M163</f>
        <v/>
      </c>
      <c r="S163" s="93">
        <f>IF($X163="","",INDEX('sheet2-计算明细'!$AQ$17:$AQ$330,$X163))</f>
        <v/>
      </c>
      <c r="T163" s="19">
        <f>IF($X163="","",INDEX('sheet2-计算明细'!$AR$17:$AR$330,$X163))</f>
        <v/>
      </c>
      <c r="U163" s="20">
        <f>IF(S163=0,"",ROUND(T163/S163,2))</f>
        <v/>
      </c>
      <c r="V163" s="20">
        <f>IF(S163=100%,T163,"")</f>
        <v/>
      </c>
      <c r="W163" s="22">
        <f>IF($X163="","",INDEX('sheet2-计算明细'!$AU$17:$AU$330,$X163))</f>
        <v/>
      </c>
      <c r="X163" s="18">
        <f>IF($A163&gt;COUNT('sheet2-计算明细'!$AT$17:$AT$330),"",MATCH($A163,'sheet2-计算明细'!$AT$17:$AT$330,0))</f>
        <v/>
      </c>
    </row>
    <row r="164" ht="28" customHeight="1" s="73">
      <c r="A164" s="2" t="n">
        <v>159</v>
      </c>
      <c r="B164" s="18">
        <f>IF($X164="","",INDEX('sheet2-计算明细'!$B$17:$B$330,$X164))</f>
        <v/>
      </c>
      <c r="C164" s="18">
        <f>IF($X164="","",INDEX('sheet2-计算明细'!$C$17:$C$330,$X164))</f>
        <v/>
      </c>
      <c r="D164" s="18">
        <f>IF($X164="","",INDEX('sheet2-计算明细'!$D$17:$D$330,$X164))</f>
        <v/>
      </c>
      <c r="E164" s="18">
        <f>IF($X164="","",INDEX('sheet2-计算明细'!$G$17:$G$330,$X164))</f>
        <v/>
      </c>
      <c r="F164" s="19">
        <f>IF($X164="","",INDEX('sheet2-计算明细'!$I$17:$I$330,$X164))</f>
        <v/>
      </c>
      <c r="G164" s="19">
        <f>IF($X164="","",INDEX('sheet2-计算明细'!$K$17:$K$330,$X164))</f>
        <v/>
      </c>
      <c r="H164" s="19">
        <f>IF($X164="","",INDEX('sheet2-计算明细'!$L$17:$L$330,$X164))</f>
        <v/>
      </c>
      <c r="I164" s="19">
        <f>IF($X164="","",INDEX('sheet2-计算明细'!$S$17:$S$330,$X164))</f>
        <v/>
      </c>
      <c r="J164" s="19">
        <f>IF($X164="","",INDEX('sheet2-计算明细'!$Y$17:$Y$330,$X164))</f>
        <v/>
      </c>
      <c r="K164" s="19">
        <f>IF($X164="","",INDEX('sheet2-计算明细'!$AC$17:$AC$330,$X164))</f>
        <v/>
      </c>
      <c r="L164" s="19">
        <f>IF($X164="","",INDEX('sheet2-计算明细'!$AI$17:$AI$330,$X164))</f>
        <v/>
      </c>
      <c r="M164" s="19">
        <f>IF($X164="","",INDEX('sheet2-计算明细'!$AK$17:$AK$330,$X164))</f>
        <v/>
      </c>
      <c r="N164" s="20">
        <f>IF(COUNT(F164:H164)=0,"",ROUND((IF(ISNUMBER(F164),F164*40%,0)+IF(ISNUMBER(G164),G164*30%,0)+IF(ISNUMBER(H164),H164*30%,0))/(IF(ISNUMBER(F164),40%,0)+IF(ISNUMBER(G164),30%,0)+IF(ISNUMBER(H164),30%,0)),2))</f>
        <v/>
      </c>
      <c r="O164" s="20">
        <f>IF(COUNT(I164:J164)=0,"",ROUND((IF(ISNUMBER(I164),I164*70%,0)+IF(ISNUMBER(J164),J164*30%,0))/(IF(ISNUMBER(I164),70%,0)+IF(ISNUMBER(J164),30%,0)),2))</f>
        <v/>
      </c>
      <c r="P164" s="20">
        <f>K164</f>
        <v/>
      </c>
      <c r="Q164" s="20">
        <f>L164</f>
        <v/>
      </c>
      <c r="R164" s="20">
        <f>M164</f>
        <v/>
      </c>
      <c r="S164" s="93">
        <f>IF($X164="","",INDEX('sheet2-计算明细'!$AQ$17:$AQ$330,$X164))</f>
        <v/>
      </c>
      <c r="T164" s="19">
        <f>IF($X164="","",INDEX('sheet2-计算明细'!$AR$17:$AR$330,$X164))</f>
        <v/>
      </c>
      <c r="U164" s="20">
        <f>IF(S164=0,"",ROUND(T164/S164,2))</f>
        <v/>
      </c>
      <c r="V164" s="20">
        <f>IF(S164=100%,T164,"")</f>
        <v/>
      </c>
      <c r="W164" s="22">
        <f>IF($X164="","",INDEX('sheet2-计算明细'!$AU$17:$AU$330,$X164))</f>
        <v/>
      </c>
      <c r="X164" s="18">
        <f>IF($A164&gt;COUNT('sheet2-计算明细'!$AT$17:$AT$330),"",MATCH($A164,'sheet2-计算明细'!$AT$17:$AT$330,0))</f>
        <v/>
      </c>
    </row>
    <row r="165" ht="28" customHeight="1" s="73">
      <c r="A165" s="2" t="n">
        <v>160</v>
      </c>
      <c r="B165" s="18">
        <f>IF($X165="","",INDEX('sheet2-计算明细'!$B$17:$B$330,$X165))</f>
        <v/>
      </c>
      <c r="C165" s="18">
        <f>IF($X165="","",INDEX('sheet2-计算明细'!$C$17:$C$330,$X165))</f>
        <v/>
      </c>
      <c r="D165" s="18">
        <f>IF($X165="","",INDEX('sheet2-计算明细'!$D$17:$D$330,$X165))</f>
        <v/>
      </c>
      <c r="E165" s="18">
        <f>IF($X165="","",INDEX('sheet2-计算明细'!$G$17:$G$330,$X165))</f>
        <v/>
      </c>
      <c r="F165" s="19">
        <f>IF($X165="","",INDEX('sheet2-计算明细'!$I$17:$I$330,$X165))</f>
        <v/>
      </c>
      <c r="G165" s="19">
        <f>IF($X165="","",INDEX('sheet2-计算明细'!$K$17:$K$330,$X165))</f>
        <v/>
      </c>
      <c r="H165" s="19">
        <f>IF($X165="","",INDEX('sheet2-计算明细'!$L$17:$L$330,$X165))</f>
        <v/>
      </c>
      <c r="I165" s="19">
        <f>IF($X165="","",INDEX('sheet2-计算明细'!$S$17:$S$330,$X165))</f>
        <v/>
      </c>
      <c r="J165" s="19">
        <f>IF($X165="","",INDEX('sheet2-计算明细'!$Y$17:$Y$330,$X165))</f>
        <v/>
      </c>
      <c r="K165" s="19">
        <f>IF($X165="","",INDEX('sheet2-计算明细'!$AC$17:$AC$330,$X165))</f>
        <v/>
      </c>
      <c r="L165" s="19">
        <f>IF($X165="","",INDEX('sheet2-计算明细'!$AI$17:$AI$330,$X165))</f>
        <v/>
      </c>
      <c r="M165" s="19">
        <f>IF($X165="","",INDEX('sheet2-计算明细'!$AK$17:$AK$330,$X165))</f>
        <v/>
      </c>
      <c r="N165" s="20">
        <f>IF(COUNT(F165:H165)=0,"",ROUND((IF(ISNUMBER(F165),F165*40%,0)+IF(ISNUMBER(G165),G165*30%,0)+IF(ISNUMBER(H165),H165*30%,0))/(IF(ISNUMBER(F165),40%,0)+IF(ISNUMBER(G165),30%,0)+IF(ISNUMBER(H165),30%,0)),2))</f>
        <v/>
      </c>
      <c r="O165" s="20">
        <f>IF(COUNT(I165:J165)=0,"",ROUND((IF(ISNUMBER(I165),I165*70%,0)+IF(ISNUMBER(J165),J165*30%,0))/(IF(ISNUMBER(I165),70%,0)+IF(ISNUMBER(J165),30%,0)),2))</f>
        <v/>
      </c>
      <c r="P165" s="20">
        <f>K165</f>
        <v/>
      </c>
      <c r="Q165" s="20">
        <f>L165</f>
        <v/>
      </c>
      <c r="R165" s="20">
        <f>M165</f>
        <v/>
      </c>
      <c r="S165" s="93">
        <f>IF($X165="","",INDEX('sheet2-计算明细'!$AQ$17:$AQ$330,$X165))</f>
        <v/>
      </c>
      <c r="T165" s="19">
        <f>IF($X165="","",INDEX('sheet2-计算明细'!$AR$17:$AR$330,$X165))</f>
        <v/>
      </c>
      <c r="U165" s="20">
        <f>IF(S165=0,"",ROUND(T165/S165,2))</f>
        <v/>
      </c>
      <c r="V165" s="20">
        <f>IF(S165=100%,T165,"")</f>
        <v/>
      </c>
      <c r="W165" s="22">
        <f>IF($X165="","",INDEX('sheet2-计算明细'!$AU$17:$AU$330,$X165))</f>
        <v/>
      </c>
      <c r="X165" s="18">
        <f>IF($A165&gt;COUNT('sheet2-计算明细'!$AT$17:$AT$330),"",MATCH($A165,'sheet2-计算明细'!$AT$17:$AT$330,0))</f>
        <v/>
      </c>
    </row>
    <row r="166" ht="28" customHeight="1" s="73">
      <c r="A166" s="2" t="n">
        <v>161</v>
      </c>
      <c r="B166" s="18">
        <f>IF($X166="","",INDEX('sheet2-计算明细'!$B$17:$B$330,$X166))</f>
        <v/>
      </c>
      <c r="C166" s="18">
        <f>IF($X166="","",INDEX('sheet2-计算明细'!$C$17:$C$330,$X166))</f>
        <v/>
      </c>
      <c r="D166" s="18">
        <f>IF($X166="","",INDEX('sheet2-计算明细'!$D$17:$D$330,$X166))</f>
        <v/>
      </c>
      <c r="E166" s="18">
        <f>IF($X166="","",INDEX('sheet2-计算明细'!$G$17:$G$330,$X166))</f>
        <v/>
      </c>
      <c r="F166" s="19">
        <f>IF($X166="","",INDEX('sheet2-计算明细'!$I$17:$I$330,$X166))</f>
        <v/>
      </c>
      <c r="G166" s="19">
        <f>IF($X166="","",INDEX('sheet2-计算明细'!$K$17:$K$330,$X166))</f>
        <v/>
      </c>
      <c r="H166" s="19">
        <f>IF($X166="","",INDEX('sheet2-计算明细'!$L$17:$L$330,$X166))</f>
        <v/>
      </c>
      <c r="I166" s="19">
        <f>IF($X166="","",INDEX('sheet2-计算明细'!$S$17:$S$330,$X166))</f>
        <v/>
      </c>
      <c r="J166" s="19">
        <f>IF($X166="","",INDEX('sheet2-计算明细'!$Y$17:$Y$330,$X166))</f>
        <v/>
      </c>
      <c r="K166" s="19">
        <f>IF($X166="","",INDEX('sheet2-计算明细'!$AC$17:$AC$330,$X166))</f>
        <v/>
      </c>
      <c r="L166" s="19">
        <f>IF($X166="","",INDEX('sheet2-计算明细'!$AI$17:$AI$330,$X166))</f>
        <v/>
      </c>
      <c r="M166" s="19">
        <f>IF($X166="","",INDEX('sheet2-计算明细'!$AK$17:$AK$330,$X166))</f>
        <v/>
      </c>
      <c r="N166" s="20">
        <f>IF(COUNT(F166:H166)=0,"",ROUND((IF(ISNUMBER(F166),F166*40%,0)+IF(ISNUMBER(G166),G166*30%,0)+IF(ISNUMBER(H166),H166*30%,0))/(IF(ISNUMBER(F166),40%,0)+IF(ISNUMBER(G166),30%,0)+IF(ISNUMBER(H166),30%,0)),2))</f>
        <v/>
      </c>
      <c r="O166" s="20">
        <f>IF(COUNT(I166:J166)=0,"",ROUND((IF(ISNUMBER(I166),I166*70%,0)+IF(ISNUMBER(J166),J166*30%,0))/(IF(ISNUMBER(I166),70%,0)+IF(ISNUMBER(J166),30%,0)),2))</f>
        <v/>
      </c>
      <c r="P166" s="20">
        <f>K166</f>
        <v/>
      </c>
      <c r="Q166" s="20">
        <f>L166</f>
        <v/>
      </c>
      <c r="R166" s="20">
        <f>M166</f>
        <v/>
      </c>
      <c r="S166" s="93">
        <f>IF($X166="","",INDEX('sheet2-计算明细'!$AQ$17:$AQ$330,$X166))</f>
        <v/>
      </c>
      <c r="T166" s="19">
        <f>IF($X166="","",INDEX('sheet2-计算明细'!$AR$17:$AR$330,$X166))</f>
        <v/>
      </c>
      <c r="U166" s="20">
        <f>IF(S166=0,"",ROUND(T166/S166,2))</f>
        <v/>
      </c>
      <c r="V166" s="20">
        <f>IF(S166=100%,T166,"")</f>
        <v/>
      </c>
      <c r="W166" s="22">
        <f>IF($X166="","",INDEX('sheet2-计算明细'!$AU$17:$AU$330,$X166))</f>
        <v/>
      </c>
      <c r="X166" s="18">
        <f>IF($A166&gt;COUNT('sheet2-计算明细'!$AT$17:$AT$330),"",MATCH($A166,'sheet2-计算明细'!$AT$17:$AT$330,0))</f>
        <v/>
      </c>
    </row>
    <row r="167" ht="28" customHeight="1" s="73">
      <c r="A167" s="2" t="n">
        <v>162</v>
      </c>
      <c r="B167" s="18">
        <f>IF($X167="","",INDEX('sheet2-计算明细'!$B$17:$B$330,$X167))</f>
        <v/>
      </c>
      <c r="C167" s="18">
        <f>IF($X167="","",INDEX('sheet2-计算明细'!$C$17:$C$330,$X167))</f>
        <v/>
      </c>
      <c r="D167" s="18">
        <f>IF($X167="","",INDEX('sheet2-计算明细'!$D$17:$D$330,$X167))</f>
        <v/>
      </c>
      <c r="E167" s="18">
        <f>IF($X167="","",INDEX('sheet2-计算明细'!$G$17:$G$330,$X167))</f>
        <v/>
      </c>
      <c r="F167" s="19">
        <f>IF($X167="","",INDEX('sheet2-计算明细'!$I$17:$I$330,$X167))</f>
        <v/>
      </c>
      <c r="G167" s="19">
        <f>IF($X167="","",INDEX('sheet2-计算明细'!$K$17:$K$330,$X167))</f>
        <v/>
      </c>
      <c r="H167" s="19">
        <f>IF($X167="","",INDEX('sheet2-计算明细'!$L$17:$L$330,$X167))</f>
        <v/>
      </c>
      <c r="I167" s="19">
        <f>IF($X167="","",INDEX('sheet2-计算明细'!$S$17:$S$330,$X167))</f>
        <v/>
      </c>
      <c r="J167" s="19">
        <f>IF($X167="","",INDEX('sheet2-计算明细'!$Y$17:$Y$330,$X167))</f>
        <v/>
      </c>
      <c r="K167" s="19">
        <f>IF($X167="","",INDEX('sheet2-计算明细'!$AC$17:$AC$330,$X167))</f>
        <v/>
      </c>
      <c r="L167" s="19">
        <f>IF($X167="","",INDEX('sheet2-计算明细'!$AI$17:$AI$330,$X167))</f>
        <v/>
      </c>
      <c r="M167" s="19">
        <f>IF($X167="","",INDEX('sheet2-计算明细'!$AK$17:$AK$330,$X167))</f>
        <v/>
      </c>
      <c r="N167" s="20">
        <f>IF(COUNT(F167:H167)=0,"",ROUND((IF(ISNUMBER(F167),F167*40%,0)+IF(ISNUMBER(G167),G167*30%,0)+IF(ISNUMBER(H167),H167*30%,0))/(IF(ISNUMBER(F167),40%,0)+IF(ISNUMBER(G167),30%,0)+IF(ISNUMBER(H167),30%,0)),2))</f>
        <v/>
      </c>
      <c r="O167" s="20">
        <f>IF(COUNT(I167:J167)=0,"",ROUND((IF(ISNUMBER(I167),I167*70%,0)+IF(ISNUMBER(J167),J167*30%,0))/(IF(ISNUMBER(I167),70%,0)+IF(ISNUMBER(J167),30%,0)),2))</f>
        <v/>
      </c>
      <c r="P167" s="20">
        <f>K167</f>
        <v/>
      </c>
      <c r="Q167" s="20">
        <f>L167</f>
        <v/>
      </c>
      <c r="R167" s="20">
        <f>M167</f>
        <v/>
      </c>
      <c r="S167" s="93">
        <f>IF($X167="","",INDEX('sheet2-计算明细'!$AQ$17:$AQ$330,$X167))</f>
        <v/>
      </c>
      <c r="T167" s="19">
        <f>IF($X167="","",INDEX('sheet2-计算明细'!$AR$17:$AR$330,$X167))</f>
        <v/>
      </c>
      <c r="U167" s="20">
        <f>IF(S167=0,"",ROUND(T167/S167,2))</f>
        <v/>
      </c>
      <c r="V167" s="20">
        <f>IF(S167=100%,T167,"")</f>
        <v/>
      </c>
      <c r="W167" s="22">
        <f>IF($X167="","",INDEX('sheet2-计算明细'!$AU$17:$AU$330,$X167))</f>
        <v/>
      </c>
      <c r="X167" s="18">
        <f>IF($A167&gt;COUNT('sheet2-计算明细'!$AT$17:$AT$330),"",MATCH($A167,'sheet2-计算明细'!$AT$17:$AT$330,0))</f>
        <v/>
      </c>
    </row>
    <row r="168" ht="28" customHeight="1" s="73">
      <c r="A168" s="2" t="n">
        <v>163</v>
      </c>
      <c r="B168" s="18">
        <f>IF($X168="","",INDEX('sheet2-计算明细'!$B$17:$B$330,$X168))</f>
        <v/>
      </c>
      <c r="C168" s="18">
        <f>IF($X168="","",INDEX('sheet2-计算明细'!$C$17:$C$330,$X168))</f>
        <v/>
      </c>
      <c r="D168" s="18">
        <f>IF($X168="","",INDEX('sheet2-计算明细'!$D$17:$D$330,$X168))</f>
        <v/>
      </c>
      <c r="E168" s="18">
        <f>IF($X168="","",INDEX('sheet2-计算明细'!$G$17:$G$330,$X168))</f>
        <v/>
      </c>
      <c r="F168" s="19">
        <f>IF($X168="","",INDEX('sheet2-计算明细'!$I$17:$I$330,$X168))</f>
        <v/>
      </c>
      <c r="G168" s="19">
        <f>IF($X168="","",INDEX('sheet2-计算明细'!$K$17:$K$330,$X168))</f>
        <v/>
      </c>
      <c r="H168" s="19">
        <f>IF($X168="","",INDEX('sheet2-计算明细'!$L$17:$L$330,$X168))</f>
        <v/>
      </c>
      <c r="I168" s="19">
        <f>IF($X168="","",INDEX('sheet2-计算明细'!$S$17:$S$330,$X168))</f>
        <v/>
      </c>
      <c r="J168" s="19">
        <f>IF($X168="","",INDEX('sheet2-计算明细'!$Y$17:$Y$330,$X168))</f>
        <v/>
      </c>
      <c r="K168" s="19">
        <f>IF($X168="","",INDEX('sheet2-计算明细'!$AC$17:$AC$330,$X168))</f>
        <v/>
      </c>
      <c r="L168" s="19">
        <f>IF($X168="","",INDEX('sheet2-计算明细'!$AI$17:$AI$330,$X168))</f>
        <v/>
      </c>
      <c r="M168" s="19">
        <f>IF($X168="","",INDEX('sheet2-计算明细'!$AK$17:$AK$330,$X168))</f>
        <v/>
      </c>
      <c r="N168" s="20">
        <f>IF(COUNT(F168:H168)=0,"",ROUND((IF(ISNUMBER(F168),F168*40%,0)+IF(ISNUMBER(G168),G168*30%,0)+IF(ISNUMBER(H168),H168*30%,0))/(IF(ISNUMBER(F168),40%,0)+IF(ISNUMBER(G168),30%,0)+IF(ISNUMBER(H168),30%,0)),2))</f>
        <v/>
      </c>
      <c r="O168" s="20">
        <f>IF(COUNT(I168:J168)=0,"",ROUND((IF(ISNUMBER(I168),I168*70%,0)+IF(ISNUMBER(J168),J168*30%,0))/(IF(ISNUMBER(I168),70%,0)+IF(ISNUMBER(J168),30%,0)),2))</f>
        <v/>
      </c>
      <c r="P168" s="20">
        <f>K168</f>
        <v/>
      </c>
      <c r="Q168" s="20">
        <f>L168</f>
        <v/>
      </c>
      <c r="R168" s="20">
        <f>M168</f>
        <v/>
      </c>
      <c r="S168" s="93">
        <f>IF($X168="","",INDEX('sheet2-计算明细'!$AQ$17:$AQ$330,$X168))</f>
        <v/>
      </c>
      <c r="T168" s="19">
        <f>IF($X168="","",INDEX('sheet2-计算明细'!$AR$17:$AR$330,$X168))</f>
        <v/>
      </c>
      <c r="U168" s="20">
        <f>IF(S168=0,"",ROUND(T168/S168,2))</f>
        <v/>
      </c>
      <c r="V168" s="20">
        <f>IF(S168=100%,T168,"")</f>
        <v/>
      </c>
      <c r="W168" s="22">
        <f>IF($X168="","",INDEX('sheet2-计算明细'!$AU$17:$AU$330,$X168))</f>
        <v/>
      </c>
      <c r="X168" s="18">
        <f>IF($A168&gt;COUNT('sheet2-计算明细'!$AT$17:$AT$330),"",MATCH($A168,'sheet2-计算明细'!$AT$17:$AT$330,0))</f>
        <v/>
      </c>
    </row>
    <row r="169" ht="28" customHeight="1" s="73">
      <c r="A169" s="2" t="n">
        <v>164</v>
      </c>
      <c r="B169" s="18">
        <f>IF($X169="","",INDEX('sheet2-计算明细'!$B$17:$B$330,$X169))</f>
        <v/>
      </c>
      <c r="C169" s="18">
        <f>IF($X169="","",INDEX('sheet2-计算明细'!$C$17:$C$330,$X169))</f>
        <v/>
      </c>
      <c r="D169" s="18">
        <f>IF($X169="","",INDEX('sheet2-计算明细'!$D$17:$D$330,$X169))</f>
        <v/>
      </c>
      <c r="E169" s="18">
        <f>IF($X169="","",INDEX('sheet2-计算明细'!$G$17:$G$330,$X169))</f>
        <v/>
      </c>
      <c r="F169" s="19">
        <f>IF($X169="","",INDEX('sheet2-计算明细'!$I$17:$I$330,$X169))</f>
        <v/>
      </c>
      <c r="G169" s="19">
        <f>IF($X169="","",INDEX('sheet2-计算明细'!$K$17:$K$330,$X169))</f>
        <v/>
      </c>
      <c r="H169" s="19">
        <f>IF($X169="","",INDEX('sheet2-计算明细'!$L$17:$L$330,$X169))</f>
        <v/>
      </c>
      <c r="I169" s="19">
        <f>IF($X169="","",INDEX('sheet2-计算明细'!$S$17:$S$330,$X169))</f>
        <v/>
      </c>
      <c r="J169" s="19">
        <f>IF($X169="","",INDEX('sheet2-计算明细'!$Y$17:$Y$330,$X169))</f>
        <v/>
      </c>
      <c r="K169" s="19">
        <f>IF($X169="","",INDEX('sheet2-计算明细'!$AC$17:$AC$330,$X169))</f>
        <v/>
      </c>
      <c r="L169" s="19">
        <f>IF($X169="","",INDEX('sheet2-计算明细'!$AI$17:$AI$330,$X169))</f>
        <v/>
      </c>
      <c r="M169" s="19">
        <f>IF($X169="","",INDEX('sheet2-计算明细'!$AK$17:$AK$330,$X169))</f>
        <v/>
      </c>
      <c r="N169" s="20">
        <f>IF(COUNT(F169:H169)=0,"",ROUND((IF(ISNUMBER(F169),F169*40%,0)+IF(ISNUMBER(G169),G169*30%,0)+IF(ISNUMBER(H169),H169*30%,0))/(IF(ISNUMBER(F169),40%,0)+IF(ISNUMBER(G169),30%,0)+IF(ISNUMBER(H169),30%,0)),2))</f>
        <v/>
      </c>
      <c r="O169" s="20">
        <f>IF(COUNT(I169:J169)=0,"",ROUND((IF(ISNUMBER(I169),I169*70%,0)+IF(ISNUMBER(J169),J169*30%,0))/(IF(ISNUMBER(I169),70%,0)+IF(ISNUMBER(J169),30%,0)),2))</f>
        <v/>
      </c>
      <c r="P169" s="20">
        <f>K169</f>
        <v/>
      </c>
      <c r="Q169" s="20">
        <f>L169</f>
        <v/>
      </c>
      <c r="R169" s="20">
        <f>M169</f>
        <v/>
      </c>
      <c r="S169" s="93">
        <f>IF($X169="","",INDEX('sheet2-计算明细'!$AQ$17:$AQ$330,$X169))</f>
        <v/>
      </c>
      <c r="T169" s="19">
        <f>IF($X169="","",INDEX('sheet2-计算明细'!$AR$17:$AR$330,$X169))</f>
        <v/>
      </c>
      <c r="U169" s="20">
        <f>IF(S169=0,"",ROUND(T169/S169,2))</f>
        <v/>
      </c>
      <c r="V169" s="20">
        <f>IF(S169=100%,T169,"")</f>
        <v/>
      </c>
      <c r="W169" s="22">
        <f>IF($X169="","",INDEX('sheet2-计算明细'!$AU$17:$AU$330,$X169))</f>
        <v/>
      </c>
      <c r="X169" s="18">
        <f>IF($A169&gt;COUNT('sheet2-计算明细'!$AT$17:$AT$330),"",MATCH($A169,'sheet2-计算明细'!$AT$17:$AT$330,0))</f>
        <v/>
      </c>
    </row>
    <row r="170" ht="28" customHeight="1" s="73">
      <c r="A170" s="2" t="n">
        <v>165</v>
      </c>
      <c r="B170" s="18">
        <f>IF($X170="","",INDEX('sheet2-计算明细'!$B$17:$B$330,$X170))</f>
        <v/>
      </c>
      <c r="C170" s="18">
        <f>IF($X170="","",INDEX('sheet2-计算明细'!$C$17:$C$330,$X170))</f>
        <v/>
      </c>
      <c r="D170" s="18">
        <f>IF($X170="","",INDEX('sheet2-计算明细'!$D$17:$D$330,$X170))</f>
        <v/>
      </c>
      <c r="E170" s="18">
        <f>IF($X170="","",INDEX('sheet2-计算明细'!$G$17:$G$330,$X170))</f>
        <v/>
      </c>
      <c r="F170" s="19">
        <f>IF($X170="","",INDEX('sheet2-计算明细'!$I$17:$I$330,$X170))</f>
        <v/>
      </c>
      <c r="G170" s="19">
        <f>IF($X170="","",INDEX('sheet2-计算明细'!$K$17:$K$330,$X170))</f>
        <v/>
      </c>
      <c r="H170" s="19">
        <f>IF($X170="","",INDEX('sheet2-计算明细'!$L$17:$L$330,$X170))</f>
        <v/>
      </c>
      <c r="I170" s="19">
        <f>IF($X170="","",INDEX('sheet2-计算明细'!$S$17:$S$330,$X170))</f>
        <v/>
      </c>
      <c r="J170" s="19">
        <f>IF($X170="","",INDEX('sheet2-计算明细'!$Y$17:$Y$330,$X170))</f>
        <v/>
      </c>
      <c r="K170" s="19">
        <f>IF($X170="","",INDEX('sheet2-计算明细'!$AC$17:$AC$330,$X170))</f>
        <v/>
      </c>
      <c r="L170" s="19">
        <f>IF($X170="","",INDEX('sheet2-计算明细'!$AI$17:$AI$330,$X170))</f>
        <v/>
      </c>
      <c r="M170" s="19">
        <f>IF($X170="","",INDEX('sheet2-计算明细'!$AK$17:$AK$330,$X170))</f>
        <v/>
      </c>
      <c r="N170" s="20">
        <f>IF(COUNT(F170:H170)=0,"",ROUND((IF(ISNUMBER(F170),F170*40%,0)+IF(ISNUMBER(G170),G170*30%,0)+IF(ISNUMBER(H170),H170*30%,0))/(IF(ISNUMBER(F170),40%,0)+IF(ISNUMBER(G170),30%,0)+IF(ISNUMBER(H170),30%,0)),2))</f>
        <v/>
      </c>
      <c r="O170" s="20">
        <f>IF(COUNT(I170:J170)=0,"",ROUND((IF(ISNUMBER(I170),I170*70%,0)+IF(ISNUMBER(J170),J170*30%,0))/(IF(ISNUMBER(I170),70%,0)+IF(ISNUMBER(J170),30%,0)),2))</f>
        <v/>
      </c>
      <c r="P170" s="20">
        <f>K170</f>
        <v/>
      </c>
      <c r="Q170" s="20">
        <f>L170</f>
        <v/>
      </c>
      <c r="R170" s="20">
        <f>M170</f>
        <v/>
      </c>
      <c r="S170" s="93">
        <f>IF($X170="","",INDEX('sheet2-计算明细'!$AQ$17:$AQ$330,$X170))</f>
        <v/>
      </c>
      <c r="T170" s="19">
        <f>IF($X170="","",INDEX('sheet2-计算明细'!$AR$17:$AR$330,$X170))</f>
        <v/>
      </c>
      <c r="U170" s="20">
        <f>IF(S170=0,"",ROUND(T170/S170,2))</f>
        <v/>
      </c>
      <c r="V170" s="20">
        <f>IF(S170=100%,T170,"")</f>
        <v/>
      </c>
      <c r="W170" s="22">
        <f>IF($X170="","",INDEX('sheet2-计算明细'!$AU$17:$AU$330,$X170))</f>
        <v/>
      </c>
      <c r="X170" s="18">
        <f>IF($A170&gt;COUNT('sheet2-计算明细'!$AT$17:$AT$330),"",MATCH($A170,'sheet2-计算明细'!$AT$17:$AT$330,0))</f>
        <v/>
      </c>
    </row>
    <row r="171" ht="28" customHeight="1" s="73">
      <c r="A171" s="2" t="n">
        <v>166</v>
      </c>
      <c r="B171" s="18">
        <f>IF($X171="","",INDEX('sheet2-计算明细'!$B$17:$B$330,$X171))</f>
        <v/>
      </c>
      <c r="C171" s="18">
        <f>IF($X171="","",INDEX('sheet2-计算明细'!$C$17:$C$330,$X171))</f>
        <v/>
      </c>
      <c r="D171" s="18">
        <f>IF($X171="","",INDEX('sheet2-计算明细'!$D$17:$D$330,$X171))</f>
        <v/>
      </c>
      <c r="E171" s="18">
        <f>IF($X171="","",INDEX('sheet2-计算明细'!$G$17:$G$330,$X171))</f>
        <v/>
      </c>
      <c r="F171" s="19">
        <f>IF($X171="","",INDEX('sheet2-计算明细'!$I$17:$I$330,$X171))</f>
        <v/>
      </c>
      <c r="G171" s="19">
        <f>IF($X171="","",INDEX('sheet2-计算明细'!$K$17:$K$330,$X171))</f>
        <v/>
      </c>
      <c r="H171" s="19">
        <f>IF($X171="","",INDEX('sheet2-计算明细'!$L$17:$L$330,$X171))</f>
        <v/>
      </c>
      <c r="I171" s="19">
        <f>IF($X171="","",INDEX('sheet2-计算明细'!$S$17:$S$330,$X171))</f>
        <v/>
      </c>
      <c r="J171" s="19">
        <f>IF($X171="","",INDEX('sheet2-计算明细'!$Y$17:$Y$330,$X171))</f>
        <v/>
      </c>
      <c r="K171" s="19">
        <f>IF($X171="","",INDEX('sheet2-计算明细'!$AC$17:$AC$330,$X171))</f>
        <v/>
      </c>
      <c r="L171" s="19">
        <f>IF($X171="","",INDEX('sheet2-计算明细'!$AI$17:$AI$330,$X171))</f>
        <v/>
      </c>
      <c r="M171" s="19">
        <f>IF($X171="","",INDEX('sheet2-计算明细'!$AK$17:$AK$330,$X171))</f>
        <v/>
      </c>
      <c r="N171" s="20">
        <f>IF(COUNT(F171:H171)=0,"",ROUND((IF(ISNUMBER(F171),F171*40%,0)+IF(ISNUMBER(G171),G171*30%,0)+IF(ISNUMBER(H171),H171*30%,0))/(IF(ISNUMBER(F171),40%,0)+IF(ISNUMBER(G171),30%,0)+IF(ISNUMBER(H171),30%,0)),2))</f>
        <v/>
      </c>
      <c r="O171" s="20">
        <f>IF(COUNT(I171:J171)=0,"",ROUND((IF(ISNUMBER(I171),I171*70%,0)+IF(ISNUMBER(J171),J171*30%,0))/(IF(ISNUMBER(I171),70%,0)+IF(ISNUMBER(J171),30%,0)),2))</f>
        <v/>
      </c>
      <c r="P171" s="20">
        <f>K171</f>
        <v/>
      </c>
      <c r="Q171" s="20">
        <f>L171</f>
        <v/>
      </c>
      <c r="R171" s="20">
        <f>M171</f>
        <v/>
      </c>
      <c r="S171" s="93">
        <f>IF($X171="","",INDEX('sheet2-计算明细'!$AQ$17:$AQ$330,$X171))</f>
        <v/>
      </c>
      <c r="T171" s="19">
        <f>IF($X171="","",INDEX('sheet2-计算明细'!$AR$17:$AR$330,$X171))</f>
        <v/>
      </c>
      <c r="U171" s="20">
        <f>IF(S171=0,"",ROUND(T171/S171,2))</f>
        <v/>
      </c>
      <c r="V171" s="20">
        <f>IF(S171=100%,T171,"")</f>
        <v/>
      </c>
      <c r="W171" s="22">
        <f>IF($X171="","",INDEX('sheet2-计算明细'!$AU$17:$AU$330,$X171))</f>
        <v/>
      </c>
      <c r="X171" s="18">
        <f>IF($A171&gt;COUNT('sheet2-计算明细'!$AT$17:$AT$330),"",MATCH($A171,'sheet2-计算明细'!$AT$17:$AT$330,0))</f>
        <v/>
      </c>
    </row>
    <row r="172" ht="28" customHeight="1" s="73">
      <c r="A172" s="2" t="n">
        <v>167</v>
      </c>
      <c r="B172" s="18">
        <f>IF($X172="","",INDEX('sheet2-计算明细'!$B$17:$B$330,$X172))</f>
        <v/>
      </c>
      <c r="C172" s="18">
        <f>IF($X172="","",INDEX('sheet2-计算明细'!$C$17:$C$330,$X172))</f>
        <v/>
      </c>
      <c r="D172" s="18">
        <f>IF($X172="","",INDEX('sheet2-计算明细'!$D$17:$D$330,$X172))</f>
        <v/>
      </c>
      <c r="E172" s="18">
        <f>IF($X172="","",INDEX('sheet2-计算明细'!$G$17:$G$330,$X172))</f>
        <v/>
      </c>
      <c r="F172" s="19">
        <f>IF($X172="","",INDEX('sheet2-计算明细'!$I$17:$I$330,$X172))</f>
        <v/>
      </c>
      <c r="G172" s="19">
        <f>IF($X172="","",INDEX('sheet2-计算明细'!$K$17:$K$330,$X172))</f>
        <v/>
      </c>
      <c r="H172" s="19">
        <f>IF($X172="","",INDEX('sheet2-计算明细'!$L$17:$L$330,$X172))</f>
        <v/>
      </c>
      <c r="I172" s="19">
        <f>IF($X172="","",INDEX('sheet2-计算明细'!$S$17:$S$330,$X172))</f>
        <v/>
      </c>
      <c r="J172" s="19">
        <f>IF($X172="","",INDEX('sheet2-计算明细'!$Y$17:$Y$330,$X172))</f>
        <v/>
      </c>
      <c r="K172" s="19">
        <f>IF($X172="","",INDEX('sheet2-计算明细'!$AC$17:$AC$330,$X172))</f>
        <v/>
      </c>
      <c r="L172" s="19">
        <f>IF($X172="","",INDEX('sheet2-计算明细'!$AI$17:$AI$330,$X172))</f>
        <v/>
      </c>
      <c r="M172" s="19">
        <f>IF($X172="","",INDEX('sheet2-计算明细'!$AK$17:$AK$330,$X172))</f>
        <v/>
      </c>
      <c r="N172" s="20">
        <f>IF(COUNT(F172:H172)=0,"",ROUND((IF(ISNUMBER(F172),F172*40%,0)+IF(ISNUMBER(G172),G172*30%,0)+IF(ISNUMBER(H172),H172*30%,0))/(IF(ISNUMBER(F172),40%,0)+IF(ISNUMBER(G172),30%,0)+IF(ISNUMBER(H172),30%,0)),2))</f>
        <v/>
      </c>
      <c r="O172" s="20">
        <f>IF(COUNT(I172:J172)=0,"",ROUND((IF(ISNUMBER(I172),I172*70%,0)+IF(ISNUMBER(J172),J172*30%,0))/(IF(ISNUMBER(I172),70%,0)+IF(ISNUMBER(J172),30%,0)),2))</f>
        <v/>
      </c>
      <c r="P172" s="20">
        <f>K172</f>
        <v/>
      </c>
      <c r="Q172" s="20">
        <f>L172</f>
        <v/>
      </c>
      <c r="R172" s="20">
        <f>M172</f>
        <v/>
      </c>
      <c r="S172" s="93">
        <f>IF($X172="","",INDEX('sheet2-计算明细'!$AQ$17:$AQ$330,$X172))</f>
        <v/>
      </c>
      <c r="T172" s="19">
        <f>IF($X172="","",INDEX('sheet2-计算明细'!$AR$17:$AR$330,$X172))</f>
        <v/>
      </c>
      <c r="U172" s="20">
        <f>IF(S172=0,"",ROUND(T172/S172,2))</f>
        <v/>
      </c>
      <c r="V172" s="20">
        <f>IF(S172=100%,T172,"")</f>
        <v/>
      </c>
      <c r="W172" s="22">
        <f>IF($X172="","",INDEX('sheet2-计算明细'!$AU$17:$AU$330,$X172))</f>
        <v/>
      </c>
      <c r="X172" s="18">
        <f>IF($A172&gt;COUNT('sheet2-计算明细'!$AT$17:$AT$330),"",MATCH($A172,'sheet2-计算明细'!$AT$17:$AT$330,0))</f>
        <v/>
      </c>
    </row>
    <row r="173" ht="28" customHeight="1" s="73">
      <c r="A173" s="2" t="n">
        <v>168</v>
      </c>
      <c r="B173" s="18">
        <f>IF($X173="","",INDEX('sheet2-计算明细'!$B$17:$B$330,$X173))</f>
        <v/>
      </c>
      <c r="C173" s="18">
        <f>IF($X173="","",INDEX('sheet2-计算明细'!$C$17:$C$330,$X173))</f>
        <v/>
      </c>
      <c r="D173" s="18">
        <f>IF($X173="","",INDEX('sheet2-计算明细'!$D$17:$D$330,$X173))</f>
        <v/>
      </c>
      <c r="E173" s="18">
        <f>IF($X173="","",INDEX('sheet2-计算明细'!$G$17:$G$330,$X173))</f>
        <v/>
      </c>
      <c r="F173" s="19">
        <f>IF($X173="","",INDEX('sheet2-计算明细'!$I$17:$I$330,$X173))</f>
        <v/>
      </c>
      <c r="G173" s="19">
        <f>IF($X173="","",INDEX('sheet2-计算明细'!$K$17:$K$330,$X173))</f>
        <v/>
      </c>
      <c r="H173" s="19">
        <f>IF($X173="","",INDEX('sheet2-计算明细'!$L$17:$L$330,$X173))</f>
        <v/>
      </c>
      <c r="I173" s="19">
        <f>IF($X173="","",INDEX('sheet2-计算明细'!$S$17:$S$330,$X173))</f>
        <v/>
      </c>
      <c r="J173" s="19">
        <f>IF($X173="","",INDEX('sheet2-计算明细'!$Y$17:$Y$330,$X173))</f>
        <v/>
      </c>
      <c r="K173" s="19">
        <f>IF($X173="","",INDEX('sheet2-计算明细'!$AC$17:$AC$330,$X173))</f>
        <v/>
      </c>
      <c r="L173" s="19">
        <f>IF($X173="","",INDEX('sheet2-计算明细'!$AI$17:$AI$330,$X173))</f>
        <v/>
      </c>
      <c r="M173" s="19">
        <f>IF($X173="","",INDEX('sheet2-计算明细'!$AK$17:$AK$330,$X173))</f>
        <v/>
      </c>
      <c r="N173" s="20">
        <f>IF(COUNT(F173:H173)=0,"",ROUND((IF(ISNUMBER(F173),F173*40%,0)+IF(ISNUMBER(G173),G173*30%,0)+IF(ISNUMBER(H173),H173*30%,0))/(IF(ISNUMBER(F173),40%,0)+IF(ISNUMBER(G173),30%,0)+IF(ISNUMBER(H173),30%,0)),2))</f>
        <v/>
      </c>
      <c r="O173" s="20">
        <f>IF(COUNT(I173:J173)=0,"",ROUND((IF(ISNUMBER(I173),I173*70%,0)+IF(ISNUMBER(J173),J173*30%,0))/(IF(ISNUMBER(I173),70%,0)+IF(ISNUMBER(J173),30%,0)),2))</f>
        <v/>
      </c>
      <c r="P173" s="20">
        <f>K173</f>
        <v/>
      </c>
      <c r="Q173" s="20">
        <f>L173</f>
        <v/>
      </c>
      <c r="R173" s="20">
        <f>M173</f>
        <v/>
      </c>
      <c r="S173" s="93">
        <f>IF($X173="","",INDEX('sheet2-计算明细'!$AQ$17:$AQ$330,$X173))</f>
        <v/>
      </c>
      <c r="T173" s="19">
        <f>IF($X173="","",INDEX('sheet2-计算明细'!$AR$17:$AR$330,$X173))</f>
        <v/>
      </c>
      <c r="U173" s="20">
        <f>IF(S173=0,"",ROUND(T173/S173,2))</f>
        <v/>
      </c>
      <c r="V173" s="20">
        <f>IF(S173=100%,T173,"")</f>
        <v/>
      </c>
      <c r="W173" s="22">
        <f>IF($X173="","",INDEX('sheet2-计算明细'!$AU$17:$AU$330,$X173))</f>
        <v/>
      </c>
      <c r="X173" s="18">
        <f>IF($A173&gt;COUNT('sheet2-计算明细'!$AT$17:$AT$330),"",MATCH($A173,'sheet2-计算明细'!$AT$17:$AT$330,0))</f>
        <v/>
      </c>
    </row>
    <row r="174" ht="28" customHeight="1" s="73">
      <c r="A174" s="2" t="n">
        <v>169</v>
      </c>
      <c r="B174" s="18">
        <f>IF($X174="","",INDEX('sheet2-计算明细'!$B$17:$B$330,$X174))</f>
        <v/>
      </c>
      <c r="C174" s="18">
        <f>IF($X174="","",INDEX('sheet2-计算明细'!$C$17:$C$330,$X174))</f>
        <v/>
      </c>
      <c r="D174" s="18">
        <f>IF($X174="","",INDEX('sheet2-计算明细'!$D$17:$D$330,$X174))</f>
        <v/>
      </c>
      <c r="E174" s="18">
        <f>IF($X174="","",INDEX('sheet2-计算明细'!$G$17:$G$330,$X174))</f>
        <v/>
      </c>
      <c r="F174" s="19">
        <f>IF($X174="","",INDEX('sheet2-计算明细'!$I$17:$I$330,$X174))</f>
        <v/>
      </c>
      <c r="G174" s="19">
        <f>IF($X174="","",INDEX('sheet2-计算明细'!$K$17:$K$330,$X174))</f>
        <v/>
      </c>
      <c r="H174" s="19">
        <f>IF($X174="","",INDEX('sheet2-计算明细'!$L$17:$L$330,$X174))</f>
        <v/>
      </c>
      <c r="I174" s="19">
        <f>IF($X174="","",INDEX('sheet2-计算明细'!$S$17:$S$330,$X174))</f>
        <v/>
      </c>
      <c r="J174" s="19">
        <f>IF($X174="","",INDEX('sheet2-计算明细'!$Y$17:$Y$330,$X174))</f>
        <v/>
      </c>
      <c r="K174" s="19">
        <f>IF($X174="","",INDEX('sheet2-计算明细'!$AC$17:$AC$330,$X174))</f>
        <v/>
      </c>
      <c r="L174" s="19">
        <f>IF($X174="","",INDEX('sheet2-计算明细'!$AI$17:$AI$330,$X174))</f>
        <v/>
      </c>
      <c r="M174" s="19">
        <f>IF($X174="","",INDEX('sheet2-计算明细'!$AK$17:$AK$330,$X174))</f>
        <v/>
      </c>
      <c r="N174" s="20">
        <f>IF(COUNT(F174:H174)=0,"",ROUND((IF(ISNUMBER(F174),F174*40%,0)+IF(ISNUMBER(G174),G174*30%,0)+IF(ISNUMBER(H174),H174*30%,0))/(IF(ISNUMBER(F174),40%,0)+IF(ISNUMBER(G174),30%,0)+IF(ISNUMBER(H174),30%,0)),2))</f>
        <v/>
      </c>
      <c r="O174" s="20">
        <f>IF(COUNT(I174:J174)=0,"",ROUND((IF(ISNUMBER(I174),I174*70%,0)+IF(ISNUMBER(J174),J174*30%,0))/(IF(ISNUMBER(I174),70%,0)+IF(ISNUMBER(J174),30%,0)),2))</f>
        <v/>
      </c>
      <c r="P174" s="20">
        <f>K174</f>
        <v/>
      </c>
      <c r="Q174" s="20">
        <f>L174</f>
        <v/>
      </c>
      <c r="R174" s="20">
        <f>M174</f>
        <v/>
      </c>
      <c r="S174" s="93">
        <f>IF($X174="","",INDEX('sheet2-计算明细'!$AQ$17:$AQ$330,$X174))</f>
        <v/>
      </c>
      <c r="T174" s="19">
        <f>IF($X174="","",INDEX('sheet2-计算明细'!$AR$17:$AR$330,$X174))</f>
        <v/>
      </c>
      <c r="U174" s="20">
        <f>IF(S174=0,"",ROUND(T174/S174,2))</f>
        <v/>
      </c>
      <c r="V174" s="20">
        <f>IF(S174=100%,T174,"")</f>
        <v/>
      </c>
      <c r="W174" s="22">
        <f>IF($X174="","",INDEX('sheet2-计算明细'!$AU$17:$AU$330,$X174))</f>
        <v/>
      </c>
      <c r="X174" s="18">
        <f>IF($A174&gt;COUNT('sheet2-计算明细'!$AT$17:$AT$330),"",MATCH($A174,'sheet2-计算明细'!$AT$17:$AT$330,0))</f>
        <v/>
      </c>
    </row>
    <row r="175" ht="28" customHeight="1" s="73">
      <c r="A175" s="2" t="n">
        <v>170</v>
      </c>
      <c r="B175" s="18">
        <f>IF($X175="","",INDEX('sheet2-计算明细'!$B$17:$B$330,$X175))</f>
        <v/>
      </c>
      <c r="C175" s="18">
        <f>IF($X175="","",INDEX('sheet2-计算明细'!$C$17:$C$330,$X175))</f>
        <v/>
      </c>
      <c r="D175" s="18">
        <f>IF($X175="","",INDEX('sheet2-计算明细'!$D$17:$D$330,$X175))</f>
        <v/>
      </c>
      <c r="E175" s="18">
        <f>IF($X175="","",INDEX('sheet2-计算明细'!$G$17:$G$330,$X175))</f>
        <v/>
      </c>
      <c r="F175" s="19">
        <f>IF($X175="","",INDEX('sheet2-计算明细'!$I$17:$I$330,$X175))</f>
        <v/>
      </c>
      <c r="G175" s="19">
        <f>IF($X175="","",INDEX('sheet2-计算明细'!$K$17:$K$330,$X175))</f>
        <v/>
      </c>
      <c r="H175" s="19">
        <f>IF($X175="","",INDEX('sheet2-计算明细'!$L$17:$L$330,$X175))</f>
        <v/>
      </c>
      <c r="I175" s="19">
        <f>IF($X175="","",INDEX('sheet2-计算明细'!$S$17:$S$330,$X175))</f>
        <v/>
      </c>
      <c r="J175" s="19">
        <f>IF($X175="","",INDEX('sheet2-计算明细'!$Y$17:$Y$330,$X175))</f>
        <v/>
      </c>
      <c r="K175" s="19">
        <f>IF($X175="","",INDEX('sheet2-计算明细'!$AC$17:$AC$330,$X175))</f>
        <v/>
      </c>
      <c r="L175" s="19">
        <f>IF($X175="","",INDEX('sheet2-计算明细'!$AI$17:$AI$330,$X175))</f>
        <v/>
      </c>
      <c r="M175" s="19">
        <f>IF($X175="","",INDEX('sheet2-计算明细'!$AK$17:$AK$330,$X175))</f>
        <v/>
      </c>
      <c r="N175" s="20">
        <f>IF(COUNT(F175:H175)=0,"",ROUND((IF(ISNUMBER(F175),F175*40%,0)+IF(ISNUMBER(G175),G175*30%,0)+IF(ISNUMBER(H175),H175*30%,0))/(IF(ISNUMBER(F175),40%,0)+IF(ISNUMBER(G175),30%,0)+IF(ISNUMBER(H175),30%,0)),2))</f>
        <v/>
      </c>
      <c r="O175" s="20">
        <f>IF(COUNT(I175:J175)=0,"",ROUND((IF(ISNUMBER(I175),I175*70%,0)+IF(ISNUMBER(J175),J175*30%,0))/(IF(ISNUMBER(I175),70%,0)+IF(ISNUMBER(J175),30%,0)),2))</f>
        <v/>
      </c>
      <c r="P175" s="20">
        <f>K175</f>
        <v/>
      </c>
      <c r="Q175" s="20">
        <f>L175</f>
        <v/>
      </c>
      <c r="R175" s="20">
        <f>M175</f>
        <v/>
      </c>
      <c r="S175" s="93">
        <f>IF($X175="","",INDEX('sheet2-计算明细'!$AQ$17:$AQ$330,$X175))</f>
        <v/>
      </c>
      <c r="T175" s="19">
        <f>IF($X175="","",INDEX('sheet2-计算明细'!$AR$17:$AR$330,$X175))</f>
        <v/>
      </c>
      <c r="U175" s="20">
        <f>IF(S175=0,"",ROUND(T175/S175,2))</f>
        <v/>
      </c>
      <c r="V175" s="20">
        <f>IF(S175=100%,T175,"")</f>
        <v/>
      </c>
      <c r="W175" s="22">
        <f>IF($X175="","",INDEX('sheet2-计算明细'!$AU$17:$AU$330,$X175))</f>
        <v/>
      </c>
      <c r="X175" s="18">
        <f>IF($A175&gt;COUNT('sheet2-计算明细'!$AT$17:$AT$330),"",MATCH($A175,'sheet2-计算明细'!$AT$17:$AT$330,0))</f>
        <v/>
      </c>
    </row>
    <row r="176" ht="28" customHeight="1" s="73">
      <c r="A176" s="2" t="n">
        <v>171</v>
      </c>
      <c r="B176" s="18">
        <f>IF($X176="","",INDEX('sheet2-计算明细'!$B$17:$B$330,$X176))</f>
        <v/>
      </c>
      <c r="C176" s="18">
        <f>IF($X176="","",INDEX('sheet2-计算明细'!$C$17:$C$330,$X176))</f>
        <v/>
      </c>
      <c r="D176" s="18">
        <f>IF($X176="","",INDEX('sheet2-计算明细'!$D$17:$D$330,$X176))</f>
        <v/>
      </c>
      <c r="E176" s="18">
        <f>IF($X176="","",INDEX('sheet2-计算明细'!$G$17:$G$330,$X176))</f>
        <v/>
      </c>
      <c r="F176" s="19">
        <f>IF($X176="","",INDEX('sheet2-计算明细'!$I$17:$I$330,$X176))</f>
        <v/>
      </c>
      <c r="G176" s="19">
        <f>IF($X176="","",INDEX('sheet2-计算明细'!$K$17:$K$330,$X176))</f>
        <v/>
      </c>
      <c r="H176" s="19">
        <f>IF($X176="","",INDEX('sheet2-计算明细'!$L$17:$L$330,$X176))</f>
        <v/>
      </c>
      <c r="I176" s="19">
        <f>IF($X176="","",INDEX('sheet2-计算明细'!$S$17:$S$330,$X176))</f>
        <v/>
      </c>
      <c r="J176" s="19">
        <f>IF($X176="","",INDEX('sheet2-计算明细'!$Y$17:$Y$330,$X176))</f>
        <v/>
      </c>
      <c r="K176" s="19">
        <f>IF($X176="","",INDEX('sheet2-计算明细'!$AC$17:$AC$330,$X176))</f>
        <v/>
      </c>
      <c r="L176" s="19">
        <f>IF($X176="","",INDEX('sheet2-计算明细'!$AI$17:$AI$330,$X176))</f>
        <v/>
      </c>
      <c r="M176" s="19">
        <f>IF($X176="","",INDEX('sheet2-计算明细'!$AK$17:$AK$330,$X176))</f>
        <v/>
      </c>
      <c r="N176" s="20">
        <f>IF(COUNT(F176:H176)=0,"",ROUND((IF(ISNUMBER(F176),F176*40%,0)+IF(ISNUMBER(G176),G176*30%,0)+IF(ISNUMBER(H176),H176*30%,0))/(IF(ISNUMBER(F176),40%,0)+IF(ISNUMBER(G176),30%,0)+IF(ISNUMBER(H176),30%,0)),2))</f>
        <v/>
      </c>
      <c r="O176" s="20">
        <f>IF(COUNT(I176:J176)=0,"",ROUND((IF(ISNUMBER(I176),I176*70%,0)+IF(ISNUMBER(J176),J176*30%,0))/(IF(ISNUMBER(I176),70%,0)+IF(ISNUMBER(J176),30%,0)),2))</f>
        <v/>
      </c>
      <c r="P176" s="20">
        <f>K176</f>
        <v/>
      </c>
      <c r="Q176" s="20">
        <f>L176</f>
        <v/>
      </c>
      <c r="R176" s="20">
        <f>M176</f>
        <v/>
      </c>
      <c r="S176" s="93">
        <f>IF($X176="","",INDEX('sheet2-计算明细'!$AQ$17:$AQ$330,$X176))</f>
        <v/>
      </c>
      <c r="T176" s="19">
        <f>IF($X176="","",INDEX('sheet2-计算明细'!$AR$17:$AR$330,$X176))</f>
        <v/>
      </c>
      <c r="U176" s="20">
        <f>IF(S176=0,"",ROUND(T176/S176,2))</f>
        <v/>
      </c>
      <c r="V176" s="20">
        <f>IF(S176=100%,T176,"")</f>
        <v/>
      </c>
      <c r="W176" s="22">
        <f>IF($X176="","",INDEX('sheet2-计算明细'!$AU$17:$AU$330,$X176))</f>
        <v/>
      </c>
      <c r="X176" s="18">
        <f>IF($A176&gt;COUNT('sheet2-计算明细'!$AT$17:$AT$330),"",MATCH($A176,'sheet2-计算明细'!$AT$17:$AT$330,0))</f>
        <v/>
      </c>
    </row>
    <row r="177" ht="28" customHeight="1" s="73">
      <c r="A177" s="2" t="n">
        <v>172</v>
      </c>
      <c r="B177" s="18">
        <f>IF($X177="","",INDEX('sheet2-计算明细'!$B$17:$B$330,$X177))</f>
        <v/>
      </c>
      <c r="C177" s="18">
        <f>IF($X177="","",INDEX('sheet2-计算明细'!$C$17:$C$330,$X177))</f>
        <v/>
      </c>
      <c r="D177" s="18">
        <f>IF($X177="","",INDEX('sheet2-计算明细'!$D$17:$D$330,$X177))</f>
        <v/>
      </c>
      <c r="E177" s="18">
        <f>IF($X177="","",INDEX('sheet2-计算明细'!$G$17:$G$330,$X177))</f>
        <v/>
      </c>
      <c r="F177" s="19">
        <f>IF($X177="","",INDEX('sheet2-计算明细'!$I$17:$I$330,$X177))</f>
        <v/>
      </c>
      <c r="G177" s="19">
        <f>IF($X177="","",INDEX('sheet2-计算明细'!$K$17:$K$330,$X177))</f>
        <v/>
      </c>
      <c r="H177" s="19">
        <f>IF($X177="","",INDEX('sheet2-计算明细'!$L$17:$L$330,$X177))</f>
        <v/>
      </c>
      <c r="I177" s="19">
        <f>IF($X177="","",INDEX('sheet2-计算明细'!$S$17:$S$330,$X177))</f>
        <v/>
      </c>
      <c r="J177" s="19">
        <f>IF($X177="","",INDEX('sheet2-计算明细'!$Y$17:$Y$330,$X177))</f>
        <v/>
      </c>
      <c r="K177" s="19">
        <f>IF($X177="","",INDEX('sheet2-计算明细'!$AC$17:$AC$330,$X177))</f>
        <v/>
      </c>
      <c r="L177" s="19">
        <f>IF($X177="","",INDEX('sheet2-计算明细'!$AI$17:$AI$330,$X177))</f>
        <v/>
      </c>
      <c r="M177" s="19">
        <f>IF($X177="","",INDEX('sheet2-计算明细'!$AK$17:$AK$330,$X177))</f>
        <v/>
      </c>
      <c r="N177" s="20">
        <f>IF(COUNT(F177:H177)=0,"",ROUND((IF(ISNUMBER(F177),F177*40%,0)+IF(ISNUMBER(G177),G177*30%,0)+IF(ISNUMBER(H177),H177*30%,0))/(IF(ISNUMBER(F177),40%,0)+IF(ISNUMBER(G177),30%,0)+IF(ISNUMBER(H177),30%,0)),2))</f>
        <v/>
      </c>
      <c r="O177" s="20">
        <f>IF(COUNT(I177:J177)=0,"",ROUND((IF(ISNUMBER(I177),I177*70%,0)+IF(ISNUMBER(J177),J177*30%,0))/(IF(ISNUMBER(I177),70%,0)+IF(ISNUMBER(J177),30%,0)),2))</f>
        <v/>
      </c>
      <c r="P177" s="20">
        <f>K177</f>
        <v/>
      </c>
      <c r="Q177" s="20">
        <f>L177</f>
        <v/>
      </c>
      <c r="R177" s="20">
        <f>M177</f>
        <v/>
      </c>
      <c r="S177" s="93">
        <f>IF($X177="","",INDEX('sheet2-计算明细'!$AQ$17:$AQ$330,$X177))</f>
        <v/>
      </c>
      <c r="T177" s="19">
        <f>IF($X177="","",INDEX('sheet2-计算明细'!$AR$17:$AR$330,$X177))</f>
        <v/>
      </c>
      <c r="U177" s="20">
        <f>IF(S177=0,"",ROUND(T177/S177,2))</f>
        <v/>
      </c>
      <c r="V177" s="20">
        <f>IF(S177=100%,T177,"")</f>
        <v/>
      </c>
      <c r="W177" s="22">
        <f>IF($X177="","",INDEX('sheet2-计算明细'!$AU$17:$AU$330,$X177))</f>
        <v/>
      </c>
      <c r="X177" s="18">
        <f>IF($A177&gt;COUNT('sheet2-计算明细'!$AT$17:$AT$330),"",MATCH($A177,'sheet2-计算明细'!$AT$17:$AT$330,0))</f>
        <v/>
      </c>
    </row>
    <row r="178" ht="28" customHeight="1" s="73">
      <c r="A178" s="2" t="n">
        <v>173</v>
      </c>
      <c r="B178" s="18">
        <f>IF($X178="","",INDEX('sheet2-计算明细'!$B$17:$B$330,$X178))</f>
        <v/>
      </c>
      <c r="C178" s="18">
        <f>IF($X178="","",INDEX('sheet2-计算明细'!$C$17:$C$330,$X178))</f>
        <v/>
      </c>
      <c r="D178" s="18">
        <f>IF($X178="","",INDEX('sheet2-计算明细'!$D$17:$D$330,$X178))</f>
        <v/>
      </c>
      <c r="E178" s="18">
        <f>IF($X178="","",INDEX('sheet2-计算明细'!$G$17:$G$330,$X178))</f>
        <v/>
      </c>
      <c r="F178" s="19">
        <f>IF($X178="","",INDEX('sheet2-计算明细'!$I$17:$I$330,$X178))</f>
        <v/>
      </c>
      <c r="G178" s="19">
        <f>IF($X178="","",INDEX('sheet2-计算明细'!$K$17:$K$330,$X178))</f>
        <v/>
      </c>
      <c r="H178" s="19">
        <f>IF($X178="","",INDEX('sheet2-计算明细'!$L$17:$L$330,$X178))</f>
        <v/>
      </c>
      <c r="I178" s="19">
        <f>IF($X178="","",INDEX('sheet2-计算明细'!$S$17:$S$330,$X178))</f>
        <v/>
      </c>
      <c r="J178" s="19">
        <f>IF($X178="","",INDEX('sheet2-计算明细'!$Y$17:$Y$330,$X178))</f>
        <v/>
      </c>
      <c r="K178" s="19">
        <f>IF($X178="","",INDEX('sheet2-计算明细'!$AC$17:$AC$330,$X178))</f>
        <v/>
      </c>
      <c r="L178" s="19">
        <f>IF($X178="","",INDEX('sheet2-计算明细'!$AI$17:$AI$330,$X178))</f>
        <v/>
      </c>
      <c r="M178" s="19">
        <f>IF($X178="","",INDEX('sheet2-计算明细'!$AK$17:$AK$330,$X178))</f>
        <v/>
      </c>
      <c r="N178" s="20">
        <f>IF(COUNT(F178:H178)=0,"",ROUND((IF(ISNUMBER(F178),F178*40%,0)+IF(ISNUMBER(G178),G178*30%,0)+IF(ISNUMBER(H178),H178*30%,0))/(IF(ISNUMBER(F178),40%,0)+IF(ISNUMBER(G178),30%,0)+IF(ISNUMBER(H178),30%,0)),2))</f>
        <v/>
      </c>
      <c r="O178" s="20">
        <f>IF(COUNT(I178:J178)=0,"",ROUND((IF(ISNUMBER(I178),I178*70%,0)+IF(ISNUMBER(J178),J178*30%,0))/(IF(ISNUMBER(I178),70%,0)+IF(ISNUMBER(J178),30%,0)),2))</f>
        <v/>
      </c>
      <c r="P178" s="20">
        <f>K178</f>
        <v/>
      </c>
      <c r="Q178" s="20">
        <f>L178</f>
        <v/>
      </c>
      <c r="R178" s="20">
        <f>M178</f>
        <v/>
      </c>
      <c r="S178" s="93">
        <f>IF($X178="","",INDEX('sheet2-计算明细'!$AQ$17:$AQ$330,$X178))</f>
        <v/>
      </c>
      <c r="T178" s="19">
        <f>IF($X178="","",INDEX('sheet2-计算明细'!$AR$17:$AR$330,$X178))</f>
        <v/>
      </c>
      <c r="U178" s="20">
        <f>IF(S178=0,"",ROUND(T178/S178,2))</f>
        <v/>
      </c>
      <c r="V178" s="20">
        <f>IF(S178=100%,T178,"")</f>
        <v/>
      </c>
      <c r="W178" s="22">
        <f>IF($X178="","",INDEX('sheet2-计算明细'!$AU$17:$AU$330,$X178))</f>
        <v/>
      </c>
      <c r="X178" s="18">
        <f>IF($A178&gt;COUNT('sheet2-计算明细'!$AT$17:$AT$330),"",MATCH($A178,'sheet2-计算明细'!$AT$17:$AT$330,0))</f>
        <v/>
      </c>
    </row>
    <row r="179" ht="28" customHeight="1" s="73">
      <c r="A179" s="2" t="n">
        <v>174</v>
      </c>
      <c r="B179" s="18">
        <f>IF($X179="","",INDEX('sheet2-计算明细'!$B$17:$B$330,$X179))</f>
        <v/>
      </c>
      <c r="C179" s="18">
        <f>IF($X179="","",INDEX('sheet2-计算明细'!$C$17:$C$330,$X179))</f>
        <v/>
      </c>
      <c r="D179" s="18">
        <f>IF($X179="","",INDEX('sheet2-计算明细'!$D$17:$D$330,$X179))</f>
        <v/>
      </c>
      <c r="E179" s="18">
        <f>IF($X179="","",INDEX('sheet2-计算明细'!$G$17:$G$330,$X179))</f>
        <v/>
      </c>
      <c r="F179" s="19">
        <f>IF($X179="","",INDEX('sheet2-计算明细'!$I$17:$I$330,$X179))</f>
        <v/>
      </c>
      <c r="G179" s="19">
        <f>IF($X179="","",INDEX('sheet2-计算明细'!$K$17:$K$330,$X179))</f>
        <v/>
      </c>
      <c r="H179" s="19">
        <f>IF($X179="","",INDEX('sheet2-计算明细'!$L$17:$L$330,$X179))</f>
        <v/>
      </c>
      <c r="I179" s="19">
        <f>IF($X179="","",INDEX('sheet2-计算明细'!$S$17:$S$330,$X179))</f>
        <v/>
      </c>
      <c r="J179" s="19">
        <f>IF($X179="","",INDEX('sheet2-计算明细'!$Y$17:$Y$330,$X179))</f>
        <v/>
      </c>
      <c r="K179" s="19">
        <f>IF($X179="","",INDEX('sheet2-计算明细'!$AC$17:$AC$330,$X179))</f>
        <v/>
      </c>
      <c r="L179" s="19">
        <f>IF($X179="","",INDEX('sheet2-计算明细'!$AI$17:$AI$330,$X179))</f>
        <v/>
      </c>
      <c r="M179" s="19">
        <f>IF($X179="","",INDEX('sheet2-计算明细'!$AK$17:$AK$330,$X179))</f>
        <v/>
      </c>
      <c r="N179" s="20">
        <f>IF(COUNT(F179:H179)=0,"",ROUND((IF(ISNUMBER(F179),F179*40%,0)+IF(ISNUMBER(G179),G179*30%,0)+IF(ISNUMBER(H179),H179*30%,0))/(IF(ISNUMBER(F179),40%,0)+IF(ISNUMBER(G179),30%,0)+IF(ISNUMBER(H179),30%,0)),2))</f>
        <v/>
      </c>
      <c r="O179" s="20">
        <f>IF(COUNT(I179:J179)=0,"",ROUND((IF(ISNUMBER(I179),I179*70%,0)+IF(ISNUMBER(J179),J179*30%,0))/(IF(ISNUMBER(I179),70%,0)+IF(ISNUMBER(J179),30%,0)),2))</f>
        <v/>
      </c>
      <c r="P179" s="20">
        <f>K179</f>
        <v/>
      </c>
      <c r="Q179" s="20">
        <f>L179</f>
        <v/>
      </c>
      <c r="R179" s="20">
        <f>M179</f>
        <v/>
      </c>
      <c r="S179" s="93">
        <f>IF($X179="","",INDEX('sheet2-计算明细'!$AQ$17:$AQ$330,$X179))</f>
        <v/>
      </c>
      <c r="T179" s="19">
        <f>IF($X179="","",INDEX('sheet2-计算明细'!$AR$17:$AR$330,$X179))</f>
        <v/>
      </c>
      <c r="U179" s="20">
        <f>IF(S179=0,"",ROUND(T179/S179,2))</f>
        <v/>
      </c>
      <c r="V179" s="20">
        <f>IF(S179=100%,T179,"")</f>
        <v/>
      </c>
      <c r="W179" s="22">
        <f>IF($X179="","",INDEX('sheet2-计算明细'!$AU$17:$AU$330,$X179))</f>
        <v/>
      </c>
      <c r="X179" s="18">
        <f>IF($A179&gt;COUNT('sheet2-计算明细'!$AT$17:$AT$330),"",MATCH($A179,'sheet2-计算明细'!$AT$17:$AT$330,0))</f>
        <v/>
      </c>
    </row>
    <row r="180" ht="28" customHeight="1" s="73">
      <c r="A180" s="2" t="n">
        <v>175</v>
      </c>
      <c r="B180" s="18">
        <f>IF($X180="","",INDEX('sheet2-计算明细'!$B$17:$B$330,$X180))</f>
        <v/>
      </c>
      <c r="C180" s="18">
        <f>IF($X180="","",INDEX('sheet2-计算明细'!$C$17:$C$330,$X180))</f>
        <v/>
      </c>
      <c r="D180" s="18">
        <f>IF($X180="","",INDEX('sheet2-计算明细'!$D$17:$D$330,$X180))</f>
        <v/>
      </c>
      <c r="E180" s="18">
        <f>IF($X180="","",INDEX('sheet2-计算明细'!$G$17:$G$330,$X180))</f>
        <v/>
      </c>
      <c r="F180" s="19">
        <f>IF($X180="","",INDEX('sheet2-计算明细'!$I$17:$I$330,$X180))</f>
        <v/>
      </c>
      <c r="G180" s="19">
        <f>IF($X180="","",INDEX('sheet2-计算明细'!$K$17:$K$330,$X180))</f>
        <v/>
      </c>
      <c r="H180" s="19">
        <f>IF($X180="","",INDEX('sheet2-计算明细'!$L$17:$L$330,$X180))</f>
        <v/>
      </c>
      <c r="I180" s="19">
        <f>IF($X180="","",INDEX('sheet2-计算明细'!$S$17:$S$330,$X180))</f>
        <v/>
      </c>
      <c r="J180" s="19">
        <f>IF($X180="","",INDEX('sheet2-计算明细'!$Y$17:$Y$330,$X180))</f>
        <v/>
      </c>
      <c r="K180" s="19">
        <f>IF($X180="","",INDEX('sheet2-计算明细'!$AC$17:$AC$330,$X180))</f>
        <v/>
      </c>
      <c r="L180" s="19">
        <f>IF($X180="","",INDEX('sheet2-计算明细'!$AI$17:$AI$330,$X180))</f>
        <v/>
      </c>
      <c r="M180" s="19">
        <f>IF($X180="","",INDEX('sheet2-计算明细'!$AK$17:$AK$330,$X180))</f>
        <v/>
      </c>
      <c r="N180" s="20">
        <f>IF(COUNT(F180:H180)=0,"",ROUND((IF(ISNUMBER(F180),F180*40%,0)+IF(ISNUMBER(G180),G180*30%,0)+IF(ISNUMBER(H180),H180*30%,0))/(IF(ISNUMBER(F180),40%,0)+IF(ISNUMBER(G180),30%,0)+IF(ISNUMBER(H180),30%,0)),2))</f>
        <v/>
      </c>
      <c r="O180" s="20">
        <f>IF(COUNT(I180:J180)=0,"",ROUND((IF(ISNUMBER(I180),I180*70%,0)+IF(ISNUMBER(J180),J180*30%,0))/(IF(ISNUMBER(I180),70%,0)+IF(ISNUMBER(J180),30%,0)),2))</f>
        <v/>
      </c>
      <c r="P180" s="20">
        <f>K180</f>
        <v/>
      </c>
      <c r="Q180" s="20">
        <f>L180</f>
        <v/>
      </c>
      <c r="R180" s="20">
        <f>M180</f>
        <v/>
      </c>
      <c r="S180" s="93">
        <f>IF($X180="","",INDEX('sheet2-计算明细'!$AQ$17:$AQ$330,$X180))</f>
        <v/>
      </c>
      <c r="T180" s="19">
        <f>IF($X180="","",INDEX('sheet2-计算明细'!$AR$17:$AR$330,$X180))</f>
        <v/>
      </c>
      <c r="U180" s="20">
        <f>IF(S180=0,"",ROUND(T180/S180,2))</f>
        <v/>
      </c>
      <c r="V180" s="20">
        <f>IF(S180=100%,T180,"")</f>
        <v/>
      </c>
      <c r="W180" s="22">
        <f>IF($X180="","",INDEX('sheet2-计算明细'!$AU$17:$AU$330,$X180))</f>
        <v/>
      </c>
      <c r="X180" s="18">
        <f>IF($A180&gt;COUNT('sheet2-计算明细'!$AT$17:$AT$330),"",MATCH($A180,'sheet2-计算明细'!$AT$17:$AT$330,0))</f>
        <v/>
      </c>
    </row>
    <row r="181" ht="28" customHeight="1" s="73">
      <c r="A181" s="2" t="n">
        <v>176</v>
      </c>
      <c r="B181" s="18">
        <f>IF($X181="","",INDEX('sheet2-计算明细'!$B$17:$B$330,$X181))</f>
        <v/>
      </c>
      <c r="C181" s="18">
        <f>IF($X181="","",INDEX('sheet2-计算明细'!$C$17:$C$330,$X181))</f>
        <v/>
      </c>
      <c r="D181" s="18">
        <f>IF($X181="","",INDEX('sheet2-计算明细'!$D$17:$D$330,$X181))</f>
        <v/>
      </c>
      <c r="E181" s="18">
        <f>IF($X181="","",INDEX('sheet2-计算明细'!$G$17:$G$330,$X181))</f>
        <v/>
      </c>
      <c r="F181" s="19">
        <f>IF($X181="","",INDEX('sheet2-计算明细'!$I$17:$I$330,$X181))</f>
        <v/>
      </c>
      <c r="G181" s="19">
        <f>IF($X181="","",INDEX('sheet2-计算明细'!$K$17:$K$330,$X181))</f>
        <v/>
      </c>
      <c r="H181" s="19">
        <f>IF($X181="","",INDEX('sheet2-计算明细'!$L$17:$L$330,$X181))</f>
        <v/>
      </c>
      <c r="I181" s="19">
        <f>IF($X181="","",INDEX('sheet2-计算明细'!$S$17:$S$330,$X181))</f>
        <v/>
      </c>
      <c r="J181" s="19">
        <f>IF($X181="","",INDEX('sheet2-计算明细'!$Y$17:$Y$330,$X181))</f>
        <v/>
      </c>
      <c r="K181" s="19">
        <f>IF($X181="","",INDEX('sheet2-计算明细'!$AC$17:$AC$330,$X181))</f>
        <v/>
      </c>
      <c r="L181" s="19">
        <f>IF($X181="","",INDEX('sheet2-计算明细'!$AI$17:$AI$330,$X181))</f>
        <v/>
      </c>
      <c r="M181" s="19">
        <f>IF($X181="","",INDEX('sheet2-计算明细'!$AK$17:$AK$330,$X181))</f>
        <v/>
      </c>
      <c r="N181" s="20">
        <f>IF(COUNT(F181:H181)=0,"",ROUND((IF(ISNUMBER(F181),F181*40%,0)+IF(ISNUMBER(G181),G181*30%,0)+IF(ISNUMBER(H181),H181*30%,0))/(IF(ISNUMBER(F181),40%,0)+IF(ISNUMBER(G181),30%,0)+IF(ISNUMBER(H181),30%,0)),2))</f>
        <v/>
      </c>
      <c r="O181" s="20">
        <f>IF(COUNT(I181:J181)=0,"",ROUND((IF(ISNUMBER(I181),I181*70%,0)+IF(ISNUMBER(J181),J181*30%,0))/(IF(ISNUMBER(I181),70%,0)+IF(ISNUMBER(J181),30%,0)),2))</f>
        <v/>
      </c>
      <c r="P181" s="20">
        <f>K181</f>
        <v/>
      </c>
      <c r="Q181" s="20">
        <f>L181</f>
        <v/>
      </c>
      <c r="R181" s="20">
        <f>M181</f>
        <v/>
      </c>
      <c r="S181" s="93">
        <f>IF($X181="","",INDEX('sheet2-计算明细'!$AQ$17:$AQ$330,$X181))</f>
        <v/>
      </c>
      <c r="T181" s="19">
        <f>IF($X181="","",INDEX('sheet2-计算明细'!$AR$17:$AR$330,$X181))</f>
        <v/>
      </c>
      <c r="U181" s="20">
        <f>IF(S181=0,"",ROUND(T181/S181,2))</f>
        <v/>
      </c>
      <c r="V181" s="20">
        <f>IF(S181=100%,T181,"")</f>
        <v/>
      </c>
      <c r="W181" s="22">
        <f>IF($X181="","",INDEX('sheet2-计算明细'!$AU$17:$AU$330,$X181))</f>
        <v/>
      </c>
      <c r="X181" s="18">
        <f>IF($A181&gt;COUNT('sheet2-计算明细'!$AT$17:$AT$330),"",MATCH($A181,'sheet2-计算明细'!$AT$17:$AT$330,0))</f>
        <v/>
      </c>
    </row>
    <row r="182" ht="28" customHeight="1" s="73">
      <c r="A182" s="2" t="n">
        <v>177</v>
      </c>
      <c r="B182" s="18">
        <f>IF($X182="","",INDEX('sheet2-计算明细'!$B$17:$B$330,$X182))</f>
        <v/>
      </c>
      <c r="C182" s="18">
        <f>IF($X182="","",INDEX('sheet2-计算明细'!$C$17:$C$330,$X182))</f>
        <v/>
      </c>
      <c r="D182" s="18">
        <f>IF($X182="","",INDEX('sheet2-计算明细'!$D$17:$D$330,$X182))</f>
        <v/>
      </c>
      <c r="E182" s="18">
        <f>IF($X182="","",INDEX('sheet2-计算明细'!$G$17:$G$330,$X182))</f>
        <v/>
      </c>
      <c r="F182" s="19">
        <f>IF($X182="","",INDEX('sheet2-计算明细'!$I$17:$I$330,$X182))</f>
        <v/>
      </c>
      <c r="G182" s="19">
        <f>IF($X182="","",INDEX('sheet2-计算明细'!$K$17:$K$330,$X182))</f>
        <v/>
      </c>
      <c r="H182" s="19">
        <f>IF($X182="","",INDEX('sheet2-计算明细'!$L$17:$L$330,$X182))</f>
        <v/>
      </c>
      <c r="I182" s="19">
        <f>IF($X182="","",INDEX('sheet2-计算明细'!$S$17:$S$330,$X182))</f>
        <v/>
      </c>
      <c r="J182" s="19">
        <f>IF($X182="","",INDEX('sheet2-计算明细'!$Y$17:$Y$330,$X182))</f>
        <v/>
      </c>
      <c r="K182" s="19">
        <f>IF($X182="","",INDEX('sheet2-计算明细'!$AC$17:$AC$330,$X182))</f>
        <v/>
      </c>
      <c r="L182" s="19">
        <f>IF($X182="","",INDEX('sheet2-计算明细'!$AI$17:$AI$330,$X182))</f>
        <v/>
      </c>
      <c r="M182" s="19">
        <f>IF($X182="","",INDEX('sheet2-计算明细'!$AK$17:$AK$330,$X182))</f>
        <v/>
      </c>
      <c r="N182" s="20">
        <f>IF(COUNT(F182:H182)=0,"",ROUND((IF(ISNUMBER(F182),F182*40%,0)+IF(ISNUMBER(G182),G182*30%,0)+IF(ISNUMBER(H182),H182*30%,0))/(IF(ISNUMBER(F182),40%,0)+IF(ISNUMBER(G182),30%,0)+IF(ISNUMBER(H182),30%,0)),2))</f>
        <v/>
      </c>
      <c r="O182" s="20">
        <f>IF(COUNT(I182:J182)=0,"",ROUND((IF(ISNUMBER(I182),I182*70%,0)+IF(ISNUMBER(J182),J182*30%,0))/(IF(ISNUMBER(I182),70%,0)+IF(ISNUMBER(J182),30%,0)),2))</f>
        <v/>
      </c>
      <c r="P182" s="20">
        <f>K182</f>
        <v/>
      </c>
      <c r="Q182" s="20">
        <f>L182</f>
        <v/>
      </c>
      <c r="R182" s="20">
        <f>M182</f>
        <v/>
      </c>
      <c r="S182" s="93">
        <f>IF($X182="","",INDEX('sheet2-计算明细'!$AQ$17:$AQ$330,$X182))</f>
        <v/>
      </c>
      <c r="T182" s="19">
        <f>IF($X182="","",INDEX('sheet2-计算明细'!$AR$17:$AR$330,$X182))</f>
        <v/>
      </c>
      <c r="U182" s="20">
        <f>IF(S182=0,"",ROUND(T182/S182,2))</f>
        <v/>
      </c>
      <c r="V182" s="20">
        <f>IF(S182=100%,T182,"")</f>
        <v/>
      </c>
      <c r="W182" s="22">
        <f>IF($X182="","",INDEX('sheet2-计算明细'!$AU$17:$AU$330,$X182))</f>
        <v/>
      </c>
      <c r="X182" s="18">
        <f>IF($A182&gt;COUNT('sheet2-计算明细'!$AT$17:$AT$330),"",MATCH($A182,'sheet2-计算明细'!$AT$17:$AT$330,0))</f>
        <v/>
      </c>
    </row>
    <row r="183" ht="28" customHeight="1" s="73">
      <c r="A183" s="2" t="n">
        <v>178</v>
      </c>
      <c r="B183" s="18">
        <f>IF($X183="","",INDEX('sheet2-计算明细'!$B$17:$B$330,$X183))</f>
        <v/>
      </c>
      <c r="C183" s="18">
        <f>IF($X183="","",INDEX('sheet2-计算明细'!$C$17:$C$330,$X183))</f>
        <v/>
      </c>
      <c r="D183" s="18">
        <f>IF($X183="","",INDEX('sheet2-计算明细'!$D$17:$D$330,$X183))</f>
        <v/>
      </c>
      <c r="E183" s="18">
        <f>IF($X183="","",INDEX('sheet2-计算明细'!$G$17:$G$330,$X183))</f>
        <v/>
      </c>
      <c r="F183" s="19">
        <f>IF($X183="","",INDEX('sheet2-计算明细'!$I$17:$I$330,$X183))</f>
        <v/>
      </c>
      <c r="G183" s="19">
        <f>IF($X183="","",INDEX('sheet2-计算明细'!$K$17:$K$330,$X183))</f>
        <v/>
      </c>
      <c r="H183" s="19">
        <f>IF($X183="","",INDEX('sheet2-计算明细'!$L$17:$L$330,$X183))</f>
        <v/>
      </c>
      <c r="I183" s="19">
        <f>IF($X183="","",INDEX('sheet2-计算明细'!$S$17:$S$330,$X183))</f>
        <v/>
      </c>
      <c r="J183" s="19">
        <f>IF($X183="","",INDEX('sheet2-计算明细'!$Y$17:$Y$330,$X183))</f>
        <v/>
      </c>
      <c r="K183" s="19">
        <f>IF($X183="","",INDEX('sheet2-计算明细'!$AC$17:$AC$330,$X183))</f>
        <v/>
      </c>
      <c r="L183" s="19">
        <f>IF($X183="","",INDEX('sheet2-计算明细'!$AI$17:$AI$330,$X183))</f>
        <v/>
      </c>
      <c r="M183" s="19">
        <f>IF($X183="","",INDEX('sheet2-计算明细'!$AK$17:$AK$330,$X183))</f>
        <v/>
      </c>
      <c r="N183" s="20">
        <f>IF(COUNT(F183:H183)=0,"",ROUND((IF(ISNUMBER(F183),F183*40%,0)+IF(ISNUMBER(G183),G183*30%,0)+IF(ISNUMBER(H183),H183*30%,0))/(IF(ISNUMBER(F183),40%,0)+IF(ISNUMBER(G183),30%,0)+IF(ISNUMBER(H183),30%,0)),2))</f>
        <v/>
      </c>
      <c r="O183" s="20">
        <f>IF(COUNT(I183:J183)=0,"",ROUND((IF(ISNUMBER(I183),I183*70%,0)+IF(ISNUMBER(J183),J183*30%,0))/(IF(ISNUMBER(I183),70%,0)+IF(ISNUMBER(J183),30%,0)),2))</f>
        <v/>
      </c>
      <c r="P183" s="20">
        <f>K183</f>
        <v/>
      </c>
      <c r="Q183" s="20">
        <f>L183</f>
        <v/>
      </c>
      <c r="R183" s="20">
        <f>M183</f>
        <v/>
      </c>
      <c r="S183" s="93">
        <f>IF($X183="","",INDEX('sheet2-计算明细'!$AQ$17:$AQ$330,$X183))</f>
        <v/>
      </c>
      <c r="T183" s="19">
        <f>IF($X183="","",INDEX('sheet2-计算明细'!$AR$17:$AR$330,$X183))</f>
        <v/>
      </c>
      <c r="U183" s="20">
        <f>IF(S183=0,"",ROUND(T183/S183,2))</f>
        <v/>
      </c>
      <c r="V183" s="20">
        <f>IF(S183=100%,T183,"")</f>
        <v/>
      </c>
      <c r="W183" s="22">
        <f>IF($X183="","",INDEX('sheet2-计算明细'!$AU$17:$AU$330,$X183))</f>
        <v/>
      </c>
      <c r="X183" s="18">
        <f>IF($A183&gt;COUNT('sheet2-计算明细'!$AT$17:$AT$330),"",MATCH($A183,'sheet2-计算明细'!$AT$17:$AT$330,0))</f>
        <v/>
      </c>
    </row>
    <row r="184" ht="28" customHeight="1" s="73">
      <c r="A184" s="2" t="n">
        <v>179</v>
      </c>
      <c r="B184" s="18">
        <f>IF($X184="","",INDEX('sheet2-计算明细'!$B$17:$B$330,$X184))</f>
        <v/>
      </c>
      <c r="C184" s="18">
        <f>IF($X184="","",INDEX('sheet2-计算明细'!$C$17:$C$330,$X184))</f>
        <v/>
      </c>
      <c r="D184" s="18">
        <f>IF($X184="","",INDEX('sheet2-计算明细'!$D$17:$D$330,$X184))</f>
        <v/>
      </c>
      <c r="E184" s="18">
        <f>IF($X184="","",INDEX('sheet2-计算明细'!$G$17:$G$330,$X184))</f>
        <v/>
      </c>
      <c r="F184" s="19">
        <f>IF($X184="","",INDEX('sheet2-计算明细'!$I$17:$I$330,$X184))</f>
        <v/>
      </c>
      <c r="G184" s="19">
        <f>IF($X184="","",INDEX('sheet2-计算明细'!$K$17:$K$330,$X184))</f>
        <v/>
      </c>
      <c r="H184" s="19">
        <f>IF($X184="","",INDEX('sheet2-计算明细'!$L$17:$L$330,$X184))</f>
        <v/>
      </c>
      <c r="I184" s="19">
        <f>IF($X184="","",INDEX('sheet2-计算明细'!$S$17:$S$330,$X184))</f>
        <v/>
      </c>
      <c r="J184" s="19">
        <f>IF($X184="","",INDEX('sheet2-计算明细'!$Y$17:$Y$330,$X184))</f>
        <v/>
      </c>
      <c r="K184" s="19">
        <f>IF($X184="","",INDEX('sheet2-计算明细'!$AC$17:$AC$330,$X184))</f>
        <v/>
      </c>
      <c r="L184" s="19">
        <f>IF($X184="","",INDEX('sheet2-计算明细'!$AI$17:$AI$330,$X184))</f>
        <v/>
      </c>
      <c r="M184" s="19">
        <f>IF($X184="","",INDEX('sheet2-计算明细'!$AK$17:$AK$330,$X184))</f>
        <v/>
      </c>
      <c r="N184" s="20">
        <f>IF(COUNT(F184:H184)=0,"",ROUND((IF(ISNUMBER(F184),F184*40%,0)+IF(ISNUMBER(G184),G184*30%,0)+IF(ISNUMBER(H184),H184*30%,0))/(IF(ISNUMBER(F184),40%,0)+IF(ISNUMBER(G184),30%,0)+IF(ISNUMBER(H184),30%,0)),2))</f>
        <v/>
      </c>
      <c r="O184" s="20">
        <f>IF(COUNT(I184:J184)=0,"",ROUND((IF(ISNUMBER(I184),I184*70%,0)+IF(ISNUMBER(J184),J184*30%,0))/(IF(ISNUMBER(I184),70%,0)+IF(ISNUMBER(J184),30%,0)),2))</f>
        <v/>
      </c>
      <c r="P184" s="20">
        <f>K184</f>
        <v/>
      </c>
      <c r="Q184" s="20">
        <f>L184</f>
        <v/>
      </c>
      <c r="R184" s="20">
        <f>M184</f>
        <v/>
      </c>
      <c r="S184" s="93">
        <f>IF($X184="","",INDEX('sheet2-计算明细'!$AQ$17:$AQ$330,$X184))</f>
        <v/>
      </c>
      <c r="T184" s="19">
        <f>IF($X184="","",INDEX('sheet2-计算明细'!$AR$17:$AR$330,$X184))</f>
        <v/>
      </c>
      <c r="U184" s="20">
        <f>IF(S184=0,"",ROUND(T184/S184,2))</f>
        <v/>
      </c>
      <c r="V184" s="20">
        <f>IF(S184=100%,T184,"")</f>
        <v/>
      </c>
      <c r="W184" s="22">
        <f>IF($X184="","",INDEX('sheet2-计算明细'!$AU$17:$AU$330,$X184))</f>
        <v/>
      </c>
      <c r="X184" s="18">
        <f>IF($A184&gt;COUNT('sheet2-计算明细'!$AT$17:$AT$330),"",MATCH($A184,'sheet2-计算明细'!$AT$17:$AT$330,0))</f>
        <v/>
      </c>
    </row>
    <row r="185" ht="28" customHeight="1" s="73">
      <c r="A185" s="2" t="n">
        <v>180</v>
      </c>
      <c r="B185" s="18">
        <f>IF($X185="","",INDEX('sheet2-计算明细'!$B$17:$B$330,$X185))</f>
        <v/>
      </c>
      <c r="C185" s="18">
        <f>IF($X185="","",INDEX('sheet2-计算明细'!$C$17:$C$330,$X185))</f>
        <v/>
      </c>
      <c r="D185" s="18">
        <f>IF($X185="","",INDEX('sheet2-计算明细'!$D$17:$D$330,$X185))</f>
        <v/>
      </c>
      <c r="E185" s="18">
        <f>IF($X185="","",INDEX('sheet2-计算明细'!$G$17:$G$330,$X185))</f>
        <v/>
      </c>
      <c r="F185" s="19">
        <f>IF($X185="","",INDEX('sheet2-计算明细'!$I$17:$I$330,$X185))</f>
        <v/>
      </c>
      <c r="G185" s="19">
        <f>IF($X185="","",INDEX('sheet2-计算明细'!$K$17:$K$330,$X185))</f>
        <v/>
      </c>
      <c r="H185" s="19">
        <f>IF($X185="","",INDEX('sheet2-计算明细'!$L$17:$L$330,$X185))</f>
        <v/>
      </c>
      <c r="I185" s="19">
        <f>IF($X185="","",INDEX('sheet2-计算明细'!$S$17:$S$330,$X185))</f>
        <v/>
      </c>
      <c r="J185" s="19">
        <f>IF($X185="","",INDEX('sheet2-计算明细'!$Y$17:$Y$330,$X185))</f>
        <v/>
      </c>
      <c r="K185" s="19">
        <f>IF($X185="","",INDEX('sheet2-计算明细'!$AC$17:$AC$330,$X185))</f>
        <v/>
      </c>
      <c r="L185" s="19">
        <f>IF($X185="","",INDEX('sheet2-计算明细'!$AI$17:$AI$330,$X185))</f>
        <v/>
      </c>
      <c r="M185" s="19">
        <f>IF($X185="","",INDEX('sheet2-计算明细'!$AK$17:$AK$330,$X185))</f>
        <v/>
      </c>
      <c r="N185" s="20">
        <f>IF(COUNT(F185:H185)=0,"",ROUND((IF(ISNUMBER(F185),F185*40%,0)+IF(ISNUMBER(G185),G185*30%,0)+IF(ISNUMBER(H185),H185*30%,0))/(IF(ISNUMBER(F185),40%,0)+IF(ISNUMBER(G185),30%,0)+IF(ISNUMBER(H185),30%,0)),2))</f>
        <v/>
      </c>
      <c r="O185" s="20">
        <f>IF(COUNT(I185:J185)=0,"",ROUND((IF(ISNUMBER(I185),I185*70%,0)+IF(ISNUMBER(J185),J185*30%,0))/(IF(ISNUMBER(I185),70%,0)+IF(ISNUMBER(J185),30%,0)),2))</f>
        <v/>
      </c>
      <c r="P185" s="20">
        <f>K185</f>
        <v/>
      </c>
      <c r="Q185" s="20">
        <f>L185</f>
        <v/>
      </c>
      <c r="R185" s="20">
        <f>M185</f>
        <v/>
      </c>
      <c r="S185" s="93">
        <f>IF($X185="","",INDEX('sheet2-计算明细'!$AQ$17:$AQ$330,$X185))</f>
        <v/>
      </c>
      <c r="T185" s="19">
        <f>IF($X185="","",INDEX('sheet2-计算明细'!$AR$17:$AR$330,$X185))</f>
        <v/>
      </c>
      <c r="U185" s="20">
        <f>IF(S185=0,"",ROUND(T185/S185,2))</f>
        <v/>
      </c>
      <c r="V185" s="20">
        <f>IF(S185=100%,T185,"")</f>
        <v/>
      </c>
      <c r="W185" s="22">
        <f>IF($X185="","",INDEX('sheet2-计算明细'!$AU$17:$AU$330,$X185))</f>
        <v/>
      </c>
      <c r="X185" s="18">
        <f>IF($A185&gt;COUNT('sheet2-计算明细'!$AT$17:$AT$330),"",MATCH($A185,'sheet2-计算明细'!$AT$17:$AT$330,0))</f>
        <v/>
      </c>
    </row>
    <row r="186" ht="28" customHeight="1" s="73">
      <c r="A186" s="2" t="n">
        <v>181</v>
      </c>
      <c r="B186" s="18">
        <f>IF($X186="","",INDEX('sheet2-计算明细'!$B$17:$B$330,$X186))</f>
        <v/>
      </c>
      <c r="C186" s="18">
        <f>IF($X186="","",INDEX('sheet2-计算明细'!$C$17:$C$330,$X186))</f>
        <v/>
      </c>
      <c r="D186" s="18">
        <f>IF($X186="","",INDEX('sheet2-计算明细'!$D$17:$D$330,$X186))</f>
        <v/>
      </c>
      <c r="E186" s="18">
        <f>IF($X186="","",INDEX('sheet2-计算明细'!$G$17:$G$330,$X186))</f>
        <v/>
      </c>
      <c r="F186" s="19">
        <f>IF($X186="","",INDEX('sheet2-计算明细'!$I$17:$I$330,$X186))</f>
        <v/>
      </c>
      <c r="G186" s="19">
        <f>IF($X186="","",INDEX('sheet2-计算明细'!$K$17:$K$330,$X186))</f>
        <v/>
      </c>
      <c r="H186" s="19">
        <f>IF($X186="","",INDEX('sheet2-计算明细'!$L$17:$L$330,$X186))</f>
        <v/>
      </c>
      <c r="I186" s="19">
        <f>IF($X186="","",INDEX('sheet2-计算明细'!$S$17:$S$330,$X186))</f>
        <v/>
      </c>
      <c r="J186" s="19">
        <f>IF($X186="","",INDEX('sheet2-计算明细'!$Y$17:$Y$330,$X186))</f>
        <v/>
      </c>
      <c r="K186" s="19">
        <f>IF($X186="","",INDEX('sheet2-计算明细'!$AC$17:$AC$330,$X186))</f>
        <v/>
      </c>
      <c r="L186" s="19">
        <f>IF($X186="","",INDEX('sheet2-计算明细'!$AI$17:$AI$330,$X186))</f>
        <v/>
      </c>
      <c r="M186" s="19">
        <f>IF($X186="","",INDEX('sheet2-计算明细'!$AK$17:$AK$330,$X186))</f>
        <v/>
      </c>
      <c r="N186" s="20">
        <f>IF(COUNT(F186:H186)=0,"",ROUND((IF(ISNUMBER(F186),F186*40%,0)+IF(ISNUMBER(G186),G186*30%,0)+IF(ISNUMBER(H186),H186*30%,0))/(IF(ISNUMBER(F186),40%,0)+IF(ISNUMBER(G186),30%,0)+IF(ISNUMBER(H186),30%,0)),2))</f>
        <v/>
      </c>
      <c r="O186" s="20">
        <f>IF(COUNT(I186:J186)=0,"",ROUND((IF(ISNUMBER(I186),I186*70%,0)+IF(ISNUMBER(J186),J186*30%,0))/(IF(ISNUMBER(I186),70%,0)+IF(ISNUMBER(J186),30%,0)),2))</f>
        <v/>
      </c>
      <c r="P186" s="20">
        <f>K186</f>
        <v/>
      </c>
      <c r="Q186" s="20">
        <f>L186</f>
        <v/>
      </c>
      <c r="R186" s="20">
        <f>M186</f>
        <v/>
      </c>
      <c r="S186" s="93">
        <f>IF($X186="","",INDEX('sheet2-计算明细'!$AQ$17:$AQ$330,$X186))</f>
        <v/>
      </c>
      <c r="T186" s="19">
        <f>IF($X186="","",INDEX('sheet2-计算明细'!$AR$17:$AR$330,$X186))</f>
        <v/>
      </c>
      <c r="U186" s="20">
        <f>IF(S186=0,"",ROUND(T186/S186,2))</f>
        <v/>
      </c>
      <c r="V186" s="20">
        <f>IF(S186=100%,T186,"")</f>
        <v/>
      </c>
      <c r="W186" s="22">
        <f>IF($X186="","",INDEX('sheet2-计算明细'!$AU$17:$AU$330,$X186))</f>
        <v/>
      </c>
      <c r="X186" s="18">
        <f>IF($A186&gt;COUNT('sheet2-计算明细'!$AT$17:$AT$330),"",MATCH($A186,'sheet2-计算明细'!$AT$17:$AT$330,0))</f>
        <v/>
      </c>
    </row>
    <row r="187" ht="28" customHeight="1" s="73">
      <c r="A187" s="2" t="n">
        <v>182</v>
      </c>
      <c r="B187" s="18">
        <f>IF($X187="","",INDEX('sheet2-计算明细'!$B$17:$B$330,$X187))</f>
        <v/>
      </c>
      <c r="C187" s="18">
        <f>IF($X187="","",INDEX('sheet2-计算明细'!$C$17:$C$330,$X187))</f>
        <v/>
      </c>
      <c r="D187" s="18">
        <f>IF($X187="","",INDEX('sheet2-计算明细'!$D$17:$D$330,$X187))</f>
        <v/>
      </c>
      <c r="E187" s="18">
        <f>IF($X187="","",INDEX('sheet2-计算明细'!$G$17:$G$330,$X187))</f>
        <v/>
      </c>
      <c r="F187" s="19">
        <f>IF($X187="","",INDEX('sheet2-计算明细'!$I$17:$I$330,$X187))</f>
        <v/>
      </c>
      <c r="G187" s="19">
        <f>IF($X187="","",INDEX('sheet2-计算明细'!$K$17:$K$330,$X187))</f>
        <v/>
      </c>
      <c r="H187" s="19">
        <f>IF($X187="","",INDEX('sheet2-计算明细'!$L$17:$L$330,$X187))</f>
        <v/>
      </c>
      <c r="I187" s="19">
        <f>IF($X187="","",INDEX('sheet2-计算明细'!$S$17:$S$330,$X187))</f>
        <v/>
      </c>
      <c r="J187" s="19">
        <f>IF($X187="","",INDEX('sheet2-计算明细'!$Y$17:$Y$330,$X187))</f>
        <v/>
      </c>
      <c r="K187" s="19">
        <f>IF($X187="","",INDEX('sheet2-计算明细'!$AC$17:$AC$330,$X187))</f>
        <v/>
      </c>
      <c r="L187" s="19">
        <f>IF($X187="","",INDEX('sheet2-计算明细'!$AI$17:$AI$330,$X187))</f>
        <v/>
      </c>
      <c r="M187" s="19">
        <f>IF($X187="","",INDEX('sheet2-计算明细'!$AK$17:$AK$330,$X187))</f>
        <v/>
      </c>
      <c r="N187" s="20">
        <f>IF(COUNT(F187:H187)=0,"",ROUND((IF(ISNUMBER(F187),F187*40%,0)+IF(ISNUMBER(G187),G187*30%,0)+IF(ISNUMBER(H187),H187*30%,0))/(IF(ISNUMBER(F187),40%,0)+IF(ISNUMBER(G187),30%,0)+IF(ISNUMBER(H187),30%,0)),2))</f>
        <v/>
      </c>
      <c r="O187" s="20">
        <f>IF(COUNT(I187:J187)=0,"",ROUND((IF(ISNUMBER(I187),I187*70%,0)+IF(ISNUMBER(J187),J187*30%,0))/(IF(ISNUMBER(I187),70%,0)+IF(ISNUMBER(J187),30%,0)),2))</f>
        <v/>
      </c>
      <c r="P187" s="20">
        <f>K187</f>
        <v/>
      </c>
      <c r="Q187" s="20">
        <f>L187</f>
        <v/>
      </c>
      <c r="R187" s="20">
        <f>M187</f>
        <v/>
      </c>
      <c r="S187" s="93">
        <f>IF($X187="","",INDEX('sheet2-计算明细'!$AQ$17:$AQ$330,$X187))</f>
        <v/>
      </c>
      <c r="T187" s="19">
        <f>IF($X187="","",INDEX('sheet2-计算明细'!$AR$17:$AR$330,$X187))</f>
        <v/>
      </c>
      <c r="U187" s="20">
        <f>IF(S187=0,"",ROUND(T187/S187,2))</f>
        <v/>
      </c>
      <c r="V187" s="20">
        <f>IF(S187=100%,T187,"")</f>
        <v/>
      </c>
      <c r="W187" s="22">
        <f>IF($X187="","",INDEX('sheet2-计算明细'!$AU$17:$AU$330,$X187))</f>
        <v/>
      </c>
      <c r="X187" s="18">
        <f>IF($A187&gt;COUNT('sheet2-计算明细'!$AT$17:$AT$330),"",MATCH($A187,'sheet2-计算明细'!$AT$17:$AT$330,0))</f>
        <v/>
      </c>
    </row>
    <row r="188" ht="28" customHeight="1" s="73">
      <c r="A188" s="2" t="n">
        <v>183</v>
      </c>
      <c r="B188" s="18">
        <f>IF($X188="","",INDEX('sheet2-计算明细'!$B$17:$B$330,$X188))</f>
        <v/>
      </c>
      <c r="C188" s="18">
        <f>IF($X188="","",INDEX('sheet2-计算明细'!$C$17:$C$330,$X188))</f>
        <v/>
      </c>
      <c r="D188" s="18">
        <f>IF($X188="","",INDEX('sheet2-计算明细'!$D$17:$D$330,$X188))</f>
        <v/>
      </c>
      <c r="E188" s="18">
        <f>IF($X188="","",INDEX('sheet2-计算明细'!$G$17:$G$330,$X188))</f>
        <v/>
      </c>
      <c r="F188" s="19">
        <f>IF($X188="","",INDEX('sheet2-计算明细'!$I$17:$I$330,$X188))</f>
        <v/>
      </c>
      <c r="G188" s="19">
        <f>IF($X188="","",INDEX('sheet2-计算明细'!$K$17:$K$330,$X188))</f>
        <v/>
      </c>
      <c r="H188" s="19">
        <f>IF($X188="","",INDEX('sheet2-计算明细'!$L$17:$L$330,$X188))</f>
        <v/>
      </c>
      <c r="I188" s="19">
        <f>IF($X188="","",INDEX('sheet2-计算明细'!$S$17:$S$330,$X188))</f>
        <v/>
      </c>
      <c r="J188" s="19">
        <f>IF($X188="","",INDEX('sheet2-计算明细'!$Y$17:$Y$330,$X188))</f>
        <v/>
      </c>
      <c r="K188" s="19">
        <f>IF($X188="","",INDEX('sheet2-计算明细'!$AC$17:$AC$330,$X188))</f>
        <v/>
      </c>
      <c r="L188" s="19">
        <f>IF($X188="","",INDEX('sheet2-计算明细'!$AI$17:$AI$330,$X188))</f>
        <v/>
      </c>
      <c r="M188" s="19">
        <f>IF($X188="","",INDEX('sheet2-计算明细'!$AK$17:$AK$330,$X188))</f>
        <v/>
      </c>
      <c r="N188" s="20">
        <f>IF(COUNT(F188:H188)=0,"",ROUND((IF(ISNUMBER(F188),F188*40%,0)+IF(ISNUMBER(G188),G188*30%,0)+IF(ISNUMBER(H188),H188*30%,0))/(IF(ISNUMBER(F188),40%,0)+IF(ISNUMBER(G188),30%,0)+IF(ISNUMBER(H188),30%,0)),2))</f>
        <v/>
      </c>
      <c r="O188" s="20">
        <f>IF(COUNT(I188:J188)=0,"",ROUND((IF(ISNUMBER(I188),I188*70%,0)+IF(ISNUMBER(J188),J188*30%,0))/(IF(ISNUMBER(I188),70%,0)+IF(ISNUMBER(J188),30%,0)),2))</f>
        <v/>
      </c>
      <c r="P188" s="20">
        <f>K188</f>
        <v/>
      </c>
      <c r="Q188" s="20">
        <f>L188</f>
        <v/>
      </c>
      <c r="R188" s="20">
        <f>M188</f>
        <v/>
      </c>
      <c r="S188" s="93">
        <f>IF($X188="","",INDEX('sheet2-计算明细'!$AQ$17:$AQ$330,$X188))</f>
        <v/>
      </c>
      <c r="T188" s="19">
        <f>IF($X188="","",INDEX('sheet2-计算明细'!$AR$17:$AR$330,$X188))</f>
        <v/>
      </c>
      <c r="U188" s="20">
        <f>IF(S188=0,"",ROUND(T188/S188,2))</f>
        <v/>
      </c>
      <c r="V188" s="20">
        <f>IF(S188=100%,T188,"")</f>
        <v/>
      </c>
      <c r="W188" s="22">
        <f>IF($X188="","",INDEX('sheet2-计算明细'!$AU$17:$AU$330,$X188))</f>
        <v/>
      </c>
      <c r="X188" s="18">
        <f>IF($A188&gt;COUNT('sheet2-计算明细'!$AT$17:$AT$330),"",MATCH($A188,'sheet2-计算明细'!$AT$17:$AT$330,0))</f>
        <v/>
      </c>
    </row>
    <row r="189" ht="28" customHeight="1" s="73">
      <c r="A189" s="2" t="n">
        <v>184</v>
      </c>
      <c r="B189" s="18">
        <f>IF($X189="","",INDEX('sheet2-计算明细'!$B$17:$B$330,$X189))</f>
        <v/>
      </c>
      <c r="C189" s="18">
        <f>IF($X189="","",INDEX('sheet2-计算明细'!$C$17:$C$330,$X189))</f>
        <v/>
      </c>
      <c r="D189" s="18">
        <f>IF($X189="","",INDEX('sheet2-计算明细'!$D$17:$D$330,$X189))</f>
        <v/>
      </c>
      <c r="E189" s="18">
        <f>IF($X189="","",INDEX('sheet2-计算明细'!$G$17:$G$330,$X189))</f>
        <v/>
      </c>
      <c r="F189" s="19">
        <f>IF($X189="","",INDEX('sheet2-计算明细'!$I$17:$I$330,$X189))</f>
        <v/>
      </c>
      <c r="G189" s="19">
        <f>IF($X189="","",INDEX('sheet2-计算明细'!$K$17:$K$330,$X189))</f>
        <v/>
      </c>
      <c r="H189" s="19">
        <f>IF($X189="","",INDEX('sheet2-计算明细'!$L$17:$L$330,$X189))</f>
        <v/>
      </c>
      <c r="I189" s="19">
        <f>IF($X189="","",INDEX('sheet2-计算明细'!$S$17:$S$330,$X189))</f>
        <v/>
      </c>
      <c r="J189" s="19">
        <f>IF($X189="","",INDEX('sheet2-计算明细'!$Y$17:$Y$330,$X189))</f>
        <v/>
      </c>
      <c r="K189" s="19">
        <f>IF($X189="","",INDEX('sheet2-计算明细'!$AC$17:$AC$330,$X189))</f>
        <v/>
      </c>
      <c r="L189" s="19">
        <f>IF($X189="","",INDEX('sheet2-计算明细'!$AI$17:$AI$330,$X189))</f>
        <v/>
      </c>
      <c r="M189" s="19">
        <f>IF($X189="","",INDEX('sheet2-计算明细'!$AK$17:$AK$330,$X189))</f>
        <v/>
      </c>
      <c r="N189" s="20">
        <f>IF(COUNT(F189:H189)=0,"",ROUND((IF(ISNUMBER(F189),F189*40%,0)+IF(ISNUMBER(G189),G189*30%,0)+IF(ISNUMBER(H189),H189*30%,0))/(IF(ISNUMBER(F189),40%,0)+IF(ISNUMBER(G189),30%,0)+IF(ISNUMBER(H189),30%,0)),2))</f>
        <v/>
      </c>
      <c r="O189" s="20">
        <f>IF(COUNT(I189:J189)=0,"",ROUND((IF(ISNUMBER(I189),I189*70%,0)+IF(ISNUMBER(J189),J189*30%,0))/(IF(ISNUMBER(I189),70%,0)+IF(ISNUMBER(J189),30%,0)),2))</f>
        <v/>
      </c>
      <c r="P189" s="20">
        <f>K189</f>
        <v/>
      </c>
      <c r="Q189" s="20">
        <f>L189</f>
        <v/>
      </c>
      <c r="R189" s="20">
        <f>M189</f>
        <v/>
      </c>
      <c r="S189" s="93">
        <f>IF($X189="","",INDEX('sheet2-计算明细'!$AQ$17:$AQ$330,$X189))</f>
        <v/>
      </c>
      <c r="T189" s="19">
        <f>IF($X189="","",INDEX('sheet2-计算明细'!$AR$17:$AR$330,$X189))</f>
        <v/>
      </c>
      <c r="U189" s="20">
        <f>IF(S189=0,"",ROUND(T189/S189,2))</f>
        <v/>
      </c>
      <c r="V189" s="20">
        <f>IF(S189=100%,T189,"")</f>
        <v/>
      </c>
      <c r="W189" s="22">
        <f>IF($X189="","",INDEX('sheet2-计算明细'!$AU$17:$AU$330,$X189))</f>
        <v/>
      </c>
      <c r="X189" s="18">
        <f>IF($A189&gt;COUNT('sheet2-计算明细'!$AT$17:$AT$330),"",MATCH($A189,'sheet2-计算明细'!$AT$17:$AT$330,0))</f>
        <v/>
      </c>
    </row>
    <row r="190" ht="28" customHeight="1" s="73">
      <c r="A190" s="2" t="n">
        <v>185</v>
      </c>
      <c r="B190" s="18">
        <f>IF($X190="","",INDEX('sheet2-计算明细'!$B$17:$B$330,$X190))</f>
        <v/>
      </c>
      <c r="C190" s="18">
        <f>IF($X190="","",INDEX('sheet2-计算明细'!$C$17:$C$330,$X190))</f>
        <v/>
      </c>
      <c r="D190" s="18">
        <f>IF($X190="","",INDEX('sheet2-计算明细'!$D$17:$D$330,$X190))</f>
        <v/>
      </c>
      <c r="E190" s="18">
        <f>IF($X190="","",INDEX('sheet2-计算明细'!$G$17:$G$330,$X190))</f>
        <v/>
      </c>
      <c r="F190" s="19">
        <f>IF($X190="","",INDEX('sheet2-计算明细'!$I$17:$I$330,$X190))</f>
        <v/>
      </c>
      <c r="G190" s="19">
        <f>IF($X190="","",INDEX('sheet2-计算明细'!$K$17:$K$330,$X190))</f>
        <v/>
      </c>
      <c r="H190" s="19">
        <f>IF($X190="","",INDEX('sheet2-计算明细'!$L$17:$L$330,$X190))</f>
        <v/>
      </c>
      <c r="I190" s="19">
        <f>IF($X190="","",INDEX('sheet2-计算明细'!$S$17:$S$330,$X190))</f>
        <v/>
      </c>
      <c r="J190" s="19">
        <f>IF($X190="","",INDEX('sheet2-计算明细'!$Y$17:$Y$330,$X190))</f>
        <v/>
      </c>
      <c r="K190" s="19">
        <f>IF($X190="","",INDEX('sheet2-计算明细'!$AC$17:$AC$330,$X190))</f>
        <v/>
      </c>
      <c r="L190" s="19">
        <f>IF($X190="","",INDEX('sheet2-计算明细'!$AI$17:$AI$330,$X190))</f>
        <v/>
      </c>
      <c r="M190" s="19">
        <f>IF($X190="","",INDEX('sheet2-计算明细'!$AK$17:$AK$330,$X190))</f>
        <v/>
      </c>
      <c r="N190" s="20">
        <f>IF(COUNT(F190:H190)=0,"",ROUND((IF(ISNUMBER(F190),F190*40%,0)+IF(ISNUMBER(G190),G190*30%,0)+IF(ISNUMBER(H190),H190*30%,0))/(IF(ISNUMBER(F190),40%,0)+IF(ISNUMBER(G190),30%,0)+IF(ISNUMBER(H190),30%,0)),2))</f>
        <v/>
      </c>
      <c r="O190" s="20">
        <f>IF(COUNT(I190:J190)=0,"",ROUND((IF(ISNUMBER(I190),I190*70%,0)+IF(ISNUMBER(J190),J190*30%,0))/(IF(ISNUMBER(I190),70%,0)+IF(ISNUMBER(J190),30%,0)),2))</f>
        <v/>
      </c>
      <c r="P190" s="20">
        <f>K190</f>
        <v/>
      </c>
      <c r="Q190" s="20">
        <f>L190</f>
        <v/>
      </c>
      <c r="R190" s="20">
        <f>M190</f>
        <v/>
      </c>
      <c r="S190" s="93">
        <f>IF($X190="","",INDEX('sheet2-计算明细'!$AQ$17:$AQ$330,$X190))</f>
        <v/>
      </c>
      <c r="T190" s="19">
        <f>IF($X190="","",INDEX('sheet2-计算明细'!$AR$17:$AR$330,$X190))</f>
        <v/>
      </c>
      <c r="U190" s="20">
        <f>IF(S190=0,"",ROUND(T190/S190,2))</f>
        <v/>
      </c>
      <c r="V190" s="20">
        <f>IF(S190=100%,T190,"")</f>
        <v/>
      </c>
      <c r="W190" s="22">
        <f>IF($X190="","",INDEX('sheet2-计算明细'!$AU$17:$AU$330,$X190))</f>
        <v/>
      </c>
      <c r="X190" s="18">
        <f>IF($A190&gt;COUNT('sheet2-计算明细'!$AT$17:$AT$330),"",MATCH($A190,'sheet2-计算明细'!$AT$17:$AT$330,0))</f>
        <v/>
      </c>
    </row>
    <row r="191" ht="28" customHeight="1" s="73">
      <c r="A191" s="2" t="n">
        <v>186</v>
      </c>
      <c r="B191" s="18">
        <f>IF($X191="","",INDEX('sheet2-计算明细'!$B$17:$B$330,$X191))</f>
        <v/>
      </c>
      <c r="C191" s="18">
        <f>IF($X191="","",INDEX('sheet2-计算明细'!$C$17:$C$330,$X191))</f>
        <v/>
      </c>
      <c r="D191" s="18">
        <f>IF($X191="","",INDEX('sheet2-计算明细'!$D$17:$D$330,$X191))</f>
        <v/>
      </c>
      <c r="E191" s="18">
        <f>IF($X191="","",INDEX('sheet2-计算明细'!$G$17:$G$330,$X191))</f>
        <v/>
      </c>
      <c r="F191" s="19">
        <f>IF($X191="","",INDEX('sheet2-计算明细'!$I$17:$I$330,$X191))</f>
        <v/>
      </c>
      <c r="G191" s="19">
        <f>IF($X191="","",INDEX('sheet2-计算明细'!$K$17:$K$330,$X191))</f>
        <v/>
      </c>
      <c r="H191" s="19">
        <f>IF($X191="","",INDEX('sheet2-计算明细'!$L$17:$L$330,$X191))</f>
        <v/>
      </c>
      <c r="I191" s="19">
        <f>IF($X191="","",INDEX('sheet2-计算明细'!$S$17:$S$330,$X191))</f>
        <v/>
      </c>
      <c r="J191" s="19">
        <f>IF($X191="","",INDEX('sheet2-计算明细'!$Y$17:$Y$330,$X191))</f>
        <v/>
      </c>
      <c r="K191" s="19">
        <f>IF($X191="","",INDEX('sheet2-计算明细'!$AC$17:$AC$330,$X191))</f>
        <v/>
      </c>
      <c r="L191" s="19">
        <f>IF($X191="","",INDEX('sheet2-计算明细'!$AI$17:$AI$330,$X191))</f>
        <v/>
      </c>
      <c r="M191" s="19">
        <f>IF($X191="","",INDEX('sheet2-计算明细'!$AK$17:$AK$330,$X191))</f>
        <v/>
      </c>
      <c r="N191" s="20">
        <f>IF(COUNT(F191:H191)=0,"",ROUND((IF(ISNUMBER(F191),F191*40%,0)+IF(ISNUMBER(G191),G191*30%,0)+IF(ISNUMBER(H191),H191*30%,0))/(IF(ISNUMBER(F191),40%,0)+IF(ISNUMBER(G191),30%,0)+IF(ISNUMBER(H191),30%,0)),2))</f>
        <v/>
      </c>
      <c r="O191" s="20">
        <f>IF(COUNT(I191:J191)=0,"",ROUND((IF(ISNUMBER(I191),I191*70%,0)+IF(ISNUMBER(J191),J191*30%,0))/(IF(ISNUMBER(I191),70%,0)+IF(ISNUMBER(J191),30%,0)),2))</f>
        <v/>
      </c>
      <c r="P191" s="20">
        <f>K191</f>
        <v/>
      </c>
      <c r="Q191" s="20">
        <f>L191</f>
        <v/>
      </c>
      <c r="R191" s="20">
        <f>M191</f>
        <v/>
      </c>
      <c r="S191" s="93">
        <f>IF($X191="","",INDEX('sheet2-计算明细'!$AQ$17:$AQ$330,$X191))</f>
        <v/>
      </c>
      <c r="T191" s="19">
        <f>IF($X191="","",INDEX('sheet2-计算明细'!$AR$17:$AR$330,$X191))</f>
        <v/>
      </c>
      <c r="U191" s="20">
        <f>IF(S191=0,"",ROUND(T191/S191,2))</f>
        <v/>
      </c>
      <c r="V191" s="20">
        <f>IF(S191=100%,T191,"")</f>
        <v/>
      </c>
      <c r="W191" s="22">
        <f>IF($X191="","",INDEX('sheet2-计算明细'!$AU$17:$AU$330,$X191))</f>
        <v/>
      </c>
      <c r="X191" s="18">
        <f>IF($A191&gt;COUNT('sheet2-计算明细'!$AT$17:$AT$330),"",MATCH($A191,'sheet2-计算明细'!$AT$17:$AT$330,0))</f>
        <v/>
      </c>
    </row>
    <row r="192" ht="28" customHeight="1" s="73">
      <c r="A192" s="2" t="n">
        <v>187</v>
      </c>
      <c r="B192" s="18">
        <f>IF($X192="","",INDEX('sheet2-计算明细'!$B$17:$B$330,$X192))</f>
        <v/>
      </c>
      <c r="C192" s="18">
        <f>IF($X192="","",INDEX('sheet2-计算明细'!$C$17:$C$330,$X192))</f>
        <v/>
      </c>
      <c r="D192" s="18">
        <f>IF($X192="","",INDEX('sheet2-计算明细'!$D$17:$D$330,$X192))</f>
        <v/>
      </c>
      <c r="E192" s="18">
        <f>IF($X192="","",INDEX('sheet2-计算明细'!$G$17:$G$330,$X192))</f>
        <v/>
      </c>
      <c r="F192" s="19">
        <f>IF($X192="","",INDEX('sheet2-计算明细'!$I$17:$I$330,$X192))</f>
        <v/>
      </c>
      <c r="G192" s="19">
        <f>IF($X192="","",INDEX('sheet2-计算明细'!$K$17:$K$330,$X192))</f>
        <v/>
      </c>
      <c r="H192" s="19">
        <f>IF($X192="","",INDEX('sheet2-计算明细'!$L$17:$L$330,$X192))</f>
        <v/>
      </c>
      <c r="I192" s="19">
        <f>IF($X192="","",INDEX('sheet2-计算明细'!$S$17:$S$330,$X192))</f>
        <v/>
      </c>
      <c r="J192" s="19">
        <f>IF($X192="","",INDEX('sheet2-计算明细'!$Y$17:$Y$330,$X192))</f>
        <v/>
      </c>
      <c r="K192" s="19">
        <f>IF($X192="","",INDEX('sheet2-计算明细'!$AC$17:$AC$330,$X192))</f>
        <v/>
      </c>
      <c r="L192" s="19">
        <f>IF($X192="","",INDEX('sheet2-计算明细'!$AI$17:$AI$330,$X192))</f>
        <v/>
      </c>
      <c r="M192" s="19">
        <f>IF($X192="","",INDEX('sheet2-计算明细'!$AK$17:$AK$330,$X192))</f>
        <v/>
      </c>
      <c r="N192" s="20">
        <f>IF(COUNT(F192:H192)=0,"",ROUND((IF(ISNUMBER(F192),F192*40%,0)+IF(ISNUMBER(G192),G192*30%,0)+IF(ISNUMBER(H192),H192*30%,0))/(IF(ISNUMBER(F192),40%,0)+IF(ISNUMBER(G192),30%,0)+IF(ISNUMBER(H192),30%,0)),2))</f>
        <v/>
      </c>
      <c r="O192" s="20">
        <f>IF(COUNT(I192:J192)=0,"",ROUND((IF(ISNUMBER(I192),I192*70%,0)+IF(ISNUMBER(J192),J192*30%,0))/(IF(ISNUMBER(I192),70%,0)+IF(ISNUMBER(J192),30%,0)),2))</f>
        <v/>
      </c>
      <c r="P192" s="20">
        <f>K192</f>
        <v/>
      </c>
      <c r="Q192" s="20">
        <f>L192</f>
        <v/>
      </c>
      <c r="R192" s="20">
        <f>M192</f>
        <v/>
      </c>
      <c r="S192" s="93">
        <f>IF($X192="","",INDEX('sheet2-计算明细'!$AQ$17:$AQ$330,$X192))</f>
        <v/>
      </c>
      <c r="T192" s="19">
        <f>IF($X192="","",INDEX('sheet2-计算明细'!$AR$17:$AR$330,$X192))</f>
        <v/>
      </c>
      <c r="U192" s="20">
        <f>IF(S192=0,"",ROUND(T192/S192,2))</f>
        <v/>
      </c>
      <c r="V192" s="20">
        <f>IF(S192=100%,T192,"")</f>
        <v/>
      </c>
      <c r="W192" s="22">
        <f>IF($X192="","",INDEX('sheet2-计算明细'!$AU$17:$AU$330,$X192))</f>
        <v/>
      </c>
      <c r="X192" s="18">
        <f>IF($A192&gt;COUNT('sheet2-计算明细'!$AT$17:$AT$330),"",MATCH($A192,'sheet2-计算明细'!$AT$17:$AT$330,0))</f>
        <v/>
      </c>
    </row>
    <row r="193" ht="28" customHeight="1" s="73">
      <c r="A193" s="2" t="n">
        <v>188</v>
      </c>
      <c r="B193" s="18">
        <f>IF($X193="","",INDEX('sheet2-计算明细'!$B$17:$B$330,$X193))</f>
        <v/>
      </c>
      <c r="C193" s="18">
        <f>IF($X193="","",INDEX('sheet2-计算明细'!$C$17:$C$330,$X193))</f>
        <v/>
      </c>
      <c r="D193" s="18">
        <f>IF($X193="","",INDEX('sheet2-计算明细'!$D$17:$D$330,$X193))</f>
        <v/>
      </c>
      <c r="E193" s="18">
        <f>IF($X193="","",INDEX('sheet2-计算明细'!$G$17:$G$330,$X193))</f>
        <v/>
      </c>
      <c r="F193" s="19">
        <f>IF($X193="","",INDEX('sheet2-计算明细'!$I$17:$I$330,$X193))</f>
        <v/>
      </c>
      <c r="G193" s="19">
        <f>IF($X193="","",INDEX('sheet2-计算明细'!$K$17:$K$330,$X193))</f>
        <v/>
      </c>
      <c r="H193" s="19">
        <f>IF($X193="","",INDEX('sheet2-计算明细'!$L$17:$L$330,$X193))</f>
        <v/>
      </c>
      <c r="I193" s="19">
        <f>IF($X193="","",INDEX('sheet2-计算明细'!$S$17:$S$330,$X193))</f>
        <v/>
      </c>
      <c r="J193" s="19">
        <f>IF($X193="","",INDEX('sheet2-计算明细'!$Y$17:$Y$330,$X193))</f>
        <v/>
      </c>
      <c r="K193" s="19">
        <f>IF($X193="","",INDEX('sheet2-计算明细'!$AC$17:$AC$330,$X193))</f>
        <v/>
      </c>
      <c r="L193" s="19">
        <f>IF($X193="","",INDEX('sheet2-计算明细'!$AI$17:$AI$330,$X193))</f>
        <v/>
      </c>
      <c r="M193" s="19">
        <f>IF($X193="","",INDEX('sheet2-计算明细'!$AK$17:$AK$330,$X193))</f>
        <v/>
      </c>
      <c r="N193" s="20">
        <f>IF(COUNT(F193:H193)=0,"",ROUND((IF(ISNUMBER(F193),F193*40%,0)+IF(ISNUMBER(G193),G193*30%,0)+IF(ISNUMBER(H193),H193*30%,0))/(IF(ISNUMBER(F193),40%,0)+IF(ISNUMBER(G193),30%,0)+IF(ISNUMBER(H193),30%,0)),2))</f>
        <v/>
      </c>
      <c r="O193" s="20">
        <f>IF(COUNT(I193:J193)=0,"",ROUND((IF(ISNUMBER(I193),I193*70%,0)+IF(ISNUMBER(J193),J193*30%,0))/(IF(ISNUMBER(I193),70%,0)+IF(ISNUMBER(J193),30%,0)),2))</f>
        <v/>
      </c>
      <c r="P193" s="20">
        <f>K193</f>
        <v/>
      </c>
      <c r="Q193" s="20">
        <f>L193</f>
        <v/>
      </c>
      <c r="R193" s="20">
        <f>M193</f>
        <v/>
      </c>
      <c r="S193" s="93">
        <f>IF($X193="","",INDEX('sheet2-计算明细'!$AQ$17:$AQ$330,$X193))</f>
        <v/>
      </c>
      <c r="T193" s="19">
        <f>IF($X193="","",INDEX('sheet2-计算明细'!$AR$17:$AR$330,$X193))</f>
        <v/>
      </c>
      <c r="U193" s="20">
        <f>IF(S193=0,"",ROUND(T193/S193,2))</f>
        <v/>
      </c>
      <c r="V193" s="20">
        <f>IF(S193=100%,T193,"")</f>
        <v/>
      </c>
      <c r="W193" s="22">
        <f>IF($X193="","",INDEX('sheet2-计算明细'!$AU$17:$AU$330,$X193))</f>
        <v/>
      </c>
      <c r="X193" s="18">
        <f>IF($A193&gt;COUNT('sheet2-计算明细'!$AT$17:$AT$330),"",MATCH($A193,'sheet2-计算明细'!$AT$17:$AT$330,0))</f>
        <v/>
      </c>
    </row>
    <row r="194" ht="28" customHeight="1" s="73">
      <c r="A194" s="2" t="n">
        <v>189</v>
      </c>
      <c r="B194" s="18">
        <f>IF($X194="","",INDEX('sheet2-计算明细'!$B$17:$B$330,$X194))</f>
        <v/>
      </c>
      <c r="C194" s="18">
        <f>IF($X194="","",INDEX('sheet2-计算明细'!$C$17:$C$330,$X194))</f>
        <v/>
      </c>
      <c r="D194" s="18">
        <f>IF($X194="","",INDEX('sheet2-计算明细'!$D$17:$D$330,$X194))</f>
        <v/>
      </c>
      <c r="E194" s="18">
        <f>IF($X194="","",INDEX('sheet2-计算明细'!$G$17:$G$330,$X194))</f>
        <v/>
      </c>
      <c r="F194" s="19">
        <f>IF($X194="","",INDEX('sheet2-计算明细'!$I$17:$I$330,$X194))</f>
        <v/>
      </c>
      <c r="G194" s="19">
        <f>IF($X194="","",INDEX('sheet2-计算明细'!$K$17:$K$330,$X194))</f>
        <v/>
      </c>
      <c r="H194" s="19">
        <f>IF($X194="","",INDEX('sheet2-计算明细'!$L$17:$L$330,$X194))</f>
        <v/>
      </c>
      <c r="I194" s="19">
        <f>IF($X194="","",INDEX('sheet2-计算明细'!$S$17:$S$330,$X194))</f>
        <v/>
      </c>
      <c r="J194" s="19">
        <f>IF($X194="","",INDEX('sheet2-计算明细'!$Y$17:$Y$330,$X194))</f>
        <v/>
      </c>
      <c r="K194" s="19">
        <f>IF($X194="","",INDEX('sheet2-计算明细'!$AC$17:$AC$330,$X194))</f>
        <v/>
      </c>
      <c r="L194" s="19">
        <f>IF($X194="","",INDEX('sheet2-计算明细'!$AI$17:$AI$330,$X194))</f>
        <v/>
      </c>
      <c r="M194" s="19">
        <f>IF($X194="","",INDEX('sheet2-计算明细'!$AK$17:$AK$330,$X194))</f>
        <v/>
      </c>
      <c r="N194" s="20">
        <f>IF(COUNT(F194:H194)=0,"",ROUND((IF(ISNUMBER(F194),F194*40%,0)+IF(ISNUMBER(G194),G194*30%,0)+IF(ISNUMBER(H194),H194*30%,0))/(IF(ISNUMBER(F194),40%,0)+IF(ISNUMBER(G194),30%,0)+IF(ISNUMBER(H194),30%,0)),2))</f>
        <v/>
      </c>
      <c r="O194" s="20">
        <f>IF(COUNT(I194:J194)=0,"",ROUND((IF(ISNUMBER(I194),I194*70%,0)+IF(ISNUMBER(J194),J194*30%,0))/(IF(ISNUMBER(I194),70%,0)+IF(ISNUMBER(J194),30%,0)),2))</f>
        <v/>
      </c>
      <c r="P194" s="20">
        <f>K194</f>
        <v/>
      </c>
      <c r="Q194" s="20">
        <f>L194</f>
        <v/>
      </c>
      <c r="R194" s="20">
        <f>M194</f>
        <v/>
      </c>
      <c r="S194" s="93">
        <f>IF($X194="","",INDEX('sheet2-计算明细'!$AQ$17:$AQ$330,$X194))</f>
        <v/>
      </c>
      <c r="T194" s="19">
        <f>IF($X194="","",INDEX('sheet2-计算明细'!$AR$17:$AR$330,$X194))</f>
        <v/>
      </c>
      <c r="U194" s="20">
        <f>IF(S194=0,"",ROUND(T194/S194,2))</f>
        <v/>
      </c>
      <c r="V194" s="20">
        <f>IF(S194=100%,T194,"")</f>
        <v/>
      </c>
      <c r="W194" s="22">
        <f>IF($X194="","",INDEX('sheet2-计算明细'!$AU$17:$AU$330,$X194))</f>
        <v/>
      </c>
      <c r="X194" s="18">
        <f>IF($A194&gt;COUNT('sheet2-计算明细'!$AT$17:$AT$330),"",MATCH($A194,'sheet2-计算明细'!$AT$17:$AT$330,0))</f>
        <v/>
      </c>
    </row>
    <row r="195" ht="28" customHeight="1" s="73">
      <c r="A195" s="2" t="n">
        <v>190</v>
      </c>
      <c r="B195" s="18">
        <f>IF($X195="","",INDEX('sheet2-计算明细'!$B$17:$B$330,$X195))</f>
        <v/>
      </c>
      <c r="C195" s="18">
        <f>IF($X195="","",INDEX('sheet2-计算明细'!$C$17:$C$330,$X195))</f>
        <v/>
      </c>
      <c r="D195" s="18">
        <f>IF($X195="","",INDEX('sheet2-计算明细'!$D$17:$D$330,$X195))</f>
        <v/>
      </c>
      <c r="E195" s="18">
        <f>IF($X195="","",INDEX('sheet2-计算明细'!$G$17:$G$330,$X195))</f>
        <v/>
      </c>
      <c r="F195" s="19">
        <f>IF($X195="","",INDEX('sheet2-计算明细'!$I$17:$I$330,$X195))</f>
        <v/>
      </c>
      <c r="G195" s="19">
        <f>IF($X195="","",INDEX('sheet2-计算明细'!$K$17:$K$330,$X195))</f>
        <v/>
      </c>
      <c r="H195" s="19">
        <f>IF($X195="","",INDEX('sheet2-计算明细'!$L$17:$L$330,$X195))</f>
        <v/>
      </c>
      <c r="I195" s="19">
        <f>IF($X195="","",INDEX('sheet2-计算明细'!$S$17:$S$330,$X195))</f>
        <v/>
      </c>
      <c r="J195" s="19">
        <f>IF($X195="","",INDEX('sheet2-计算明细'!$Y$17:$Y$330,$X195))</f>
        <v/>
      </c>
      <c r="K195" s="19">
        <f>IF($X195="","",INDEX('sheet2-计算明细'!$AC$17:$AC$330,$X195))</f>
        <v/>
      </c>
      <c r="L195" s="19">
        <f>IF($X195="","",INDEX('sheet2-计算明细'!$AI$17:$AI$330,$X195))</f>
        <v/>
      </c>
      <c r="M195" s="19">
        <f>IF($X195="","",INDEX('sheet2-计算明细'!$AK$17:$AK$330,$X195))</f>
        <v/>
      </c>
      <c r="N195" s="20">
        <f>IF(COUNT(F195:H195)=0,"",ROUND((IF(ISNUMBER(F195),F195*40%,0)+IF(ISNUMBER(G195),G195*30%,0)+IF(ISNUMBER(H195),H195*30%,0))/(IF(ISNUMBER(F195),40%,0)+IF(ISNUMBER(G195),30%,0)+IF(ISNUMBER(H195),30%,0)),2))</f>
        <v/>
      </c>
      <c r="O195" s="20">
        <f>IF(COUNT(I195:J195)=0,"",ROUND((IF(ISNUMBER(I195),I195*70%,0)+IF(ISNUMBER(J195),J195*30%,0))/(IF(ISNUMBER(I195),70%,0)+IF(ISNUMBER(J195),30%,0)),2))</f>
        <v/>
      </c>
      <c r="P195" s="20">
        <f>K195</f>
        <v/>
      </c>
      <c r="Q195" s="20">
        <f>L195</f>
        <v/>
      </c>
      <c r="R195" s="20">
        <f>M195</f>
        <v/>
      </c>
      <c r="S195" s="93">
        <f>IF($X195="","",INDEX('sheet2-计算明细'!$AQ$17:$AQ$330,$X195))</f>
        <v/>
      </c>
      <c r="T195" s="19">
        <f>IF($X195="","",INDEX('sheet2-计算明细'!$AR$17:$AR$330,$X195))</f>
        <v/>
      </c>
      <c r="U195" s="20">
        <f>IF(S195=0,"",ROUND(T195/S195,2))</f>
        <v/>
      </c>
      <c r="V195" s="20">
        <f>IF(S195=100%,T195,"")</f>
        <v/>
      </c>
      <c r="W195" s="22">
        <f>IF($X195="","",INDEX('sheet2-计算明细'!$AU$17:$AU$330,$X195))</f>
        <v/>
      </c>
      <c r="X195" s="18">
        <f>IF($A195&gt;COUNT('sheet2-计算明细'!$AT$17:$AT$330),"",MATCH($A195,'sheet2-计算明细'!$AT$17:$AT$330,0))</f>
        <v/>
      </c>
    </row>
    <row r="196" ht="28" customHeight="1" s="73">
      <c r="A196" s="2" t="n">
        <v>191</v>
      </c>
      <c r="B196" s="18">
        <f>IF($X196="","",INDEX('sheet2-计算明细'!$B$17:$B$330,$X196))</f>
        <v/>
      </c>
      <c r="C196" s="18">
        <f>IF($X196="","",INDEX('sheet2-计算明细'!$C$17:$C$330,$X196))</f>
        <v/>
      </c>
      <c r="D196" s="18">
        <f>IF($X196="","",INDEX('sheet2-计算明细'!$D$17:$D$330,$X196))</f>
        <v/>
      </c>
      <c r="E196" s="18">
        <f>IF($X196="","",INDEX('sheet2-计算明细'!$G$17:$G$330,$X196))</f>
        <v/>
      </c>
      <c r="F196" s="19">
        <f>IF($X196="","",INDEX('sheet2-计算明细'!$I$17:$I$330,$X196))</f>
        <v/>
      </c>
      <c r="G196" s="19">
        <f>IF($X196="","",INDEX('sheet2-计算明细'!$K$17:$K$330,$X196))</f>
        <v/>
      </c>
      <c r="H196" s="19">
        <f>IF($X196="","",INDEX('sheet2-计算明细'!$L$17:$L$330,$X196))</f>
        <v/>
      </c>
      <c r="I196" s="19">
        <f>IF($X196="","",INDEX('sheet2-计算明细'!$S$17:$S$330,$X196))</f>
        <v/>
      </c>
      <c r="J196" s="19">
        <f>IF($X196="","",INDEX('sheet2-计算明细'!$Y$17:$Y$330,$X196))</f>
        <v/>
      </c>
      <c r="K196" s="19">
        <f>IF($X196="","",INDEX('sheet2-计算明细'!$AC$17:$AC$330,$X196))</f>
        <v/>
      </c>
      <c r="L196" s="19">
        <f>IF($X196="","",INDEX('sheet2-计算明细'!$AI$17:$AI$330,$X196))</f>
        <v/>
      </c>
      <c r="M196" s="19">
        <f>IF($X196="","",INDEX('sheet2-计算明细'!$AK$17:$AK$330,$X196))</f>
        <v/>
      </c>
      <c r="N196" s="20">
        <f>IF(COUNT(F196:H196)=0,"",ROUND((IF(ISNUMBER(F196),F196*40%,0)+IF(ISNUMBER(G196),G196*30%,0)+IF(ISNUMBER(H196),H196*30%,0))/(IF(ISNUMBER(F196),40%,0)+IF(ISNUMBER(G196),30%,0)+IF(ISNUMBER(H196),30%,0)),2))</f>
        <v/>
      </c>
      <c r="O196" s="20">
        <f>IF(COUNT(I196:J196)=0,"",ROUND((IF(ISNUMBER(I196),I196*70%,0)+IF(ISNUMBER(J196),J196*30%,0))/(IF(ISNUMBER(I196),70%,0)+IF(ISNUMBER(J196),30%,0)),2))</f>
        <v/>
      </c>
      <c r="P196" s="20">
        <f>K196</f>
        <v/>
      </c>
      <c r="Q196" s="20">
        <f>L196</f>
        <v/>
      </c>
      <c r="R196" s="20">
        <f>M196</f>
        <v/>
      </c>
      <c r="S196" s="93">
        <f>IF($X196="","",INDEX('sheet2-计算明细'!$AQ$17:$AQ$330,$X196))</f>
        <v/>
      </c>
      <c r="T196" s="19">
        <f>IF($X196="","",INDEX('sheet2-计算明细'!$AR$17:$AR$330,$X196))</f>
        <v/>
      </c>
      <c r="U196" s="20">
        <f>IF(S196=0,"",ROUND(T196/S196,2))</f>
        <v/>
      </c>
      <c r="V196" s="20">
        <f>IF(S196=100%,T196,"")</f>
        <v/>
      </c>
      <c r="W196" s="22">
        <f>IF($X196="","",INDEX('sheet2-计算明细'!$AU$17:$AU$330,$X196))</f>
        <v/>
      </c>
      <c r="X196" s="18">
        <f>IF($A196&gt;COUNT('sheet2-计算明细'!$AT$17:$AT$330),"",MATCH($A196,'sheet2-计算明细'!$AT$17:$AT$330,0))</f>
        <v/>
      </c>
    </row>
    <row r="197" ht="28" customHeight="1" s="73">
      <c r="A197" s="2" t="n">
        <v>192</v>
      </c>
      <c r="B197" s="18">
        <f>IF($X197="","",INDEX('sheet2-计算明细'!$B$17:$B$330,$X197))</f>
        <v/>
      </c>
      <c r="C197" s="18">
        <f>IF($X197="","",INDEX('sheet2-计算明细'!$C$17:$C$330,$X197))</f>
        <v/>
      </c>
      <c r="D197" s="18">
        <f>IF($X197="","",INDEX('sheet2-计算明细'!$D$17:$D$330,$X197))</f>
        <v/>
      </c>
      <c r="E197" s="18">
        <f>IF($X197="","",INDEX('sheet2-计算明细'!$G$17:$G$330,$X197))</f>
        <v/>
      </c>
      <c r="F197" s="19">
        <f>IF($X197="","",INDEX('sheet2-计算明细'!$I$17:$I$330,$X197))</f>
        <v/>
      </c>
      <c r="G197" s="19">
        <f>IF($X197="","",INDEX('sheet2-计算明细'!$K$17:$K$330,$X197))</f>
        <v/>
      </c>
      <c r="H197" s="19">
        <f>IF($X197="","",INDEX('sheet2-计算明细'!$L$17:$L$330,$X197))</f>
        <v/>
      </c>
      <c r="I197" s="19">
        <f>IF($X197="","",INDEX('sheet2-计算明细'!$S$17:$S$330,$X197))</f>
        <v/>
      </c>
      <c r="J197" s="19">
        <f>IF($X197="","",INDEX('sheet2-计算明细'!$Y$17:$Y$330,$X197))</f>
        <v/>
      </c>
      <c r="K197" s="19">
        <f>IF($X197="","",INDEX('sheet2-计算明细'!$AC$17:$AC$330,$X197))</f>
        <v/>
      </c>
      <c r="L197" s="19">
        <f>IF($X197="","",INDEX('sheet2-计算明细'!$AI$17:$AI$330,$X197))</f>
        <v/>
      </c>
      <c r="M197" s="19">
        <f>IF($X197="","",INDEX('sheet2-计算明细'!$AK$17:$AK$330,$X197))</f>
        <v/>
      </c>
      <c r="N197" s="20">
        <f>IF(COUNT(F197:H197)=0,"",ROUND((IF(ISNUMBER(F197),F197*40%,0)+IF(ISNUMBER(G197),G197*30%,0)+IF(ISNUMBER(H197),H197*30%,0))/(IF(ISNUMBER(F197),40%,0)+IF(ISNUMBER(G197),30%,0)+IF(ISNUMBER(H197),30%,0)),2))</f>
        <v/>
      </c>
      <c r="O197" s="20">
        <f>IF(COUNT(I197:J197)=0,"",ROUND((IF(ISNUMBER(I197),I197*70%,0)+IF(ISNUMBER(J197),J197*30%,0))/(IF(ISNUMBER(I197),70%,0)+IF(ISNUMBER(J197),30%,0)),2))</f>
        <v/>
      </c>
      <c r="P197" s="20">
        <f>K197</f>
        <v/>
      </c>
      <c r="Q197" s="20">
        <f>L197</f>
        <v/>
      </c>
      <c r="R197" s="20">
        <f>M197</f>
        <v/>
      </c>
      <c r="S197" s="93">
        <f>IF($X197="","",INDEX('sheet2-计算明细'!$AQ$17:$AQ$330,$X197))</f>
        <v/>
      </c>
      <c r="T197" s="19">
        <f>IF($X197="","",INDEX('sheet2-计算明细'!$AR$17:$AR$330,$X197))</f>
        <v/>
      </c>
      <c r="U197" s="20">
        <f>IF(S197=0,"",ROUND(T197/S197,2))</f>
        <v/>
      </c>
      <c r="V197" s="20">
        <f>IF(S197=100%,T197,"")</f>
        <v/>
      </c>
      <c r="W197" s="22">
        <f>IF($X197="","",INDEX('sheet2-计算明细'!$AU$17:$AU$330,$X197))</f>
        <v/>
      </c>
      <c r="X197" s="18">
        <f>IF($A197&gt;COUNT('sheet2-计算明细'!$AT$17:$AT$330),"",MATCH($A197,'sheet2-计算明细'!$AT$17:$AT$330,0))</f>
        <v/>
      </c>
    </row>
    <row r="198" ht="28" customHeight="1" s="73">
      <c r="A198" s="2" t="n">
        <v>193</v>
      </c>
      <c r="B198" s="18">
        <f>IF($X198="","",INDEX('sheet2-计算明细'!$B$17:$B$330,$X198))</f>
        <v/>
      </c>
      <c r="C198" s="18">
        <f>IF($X198="","",INDEX('sheet2-计算明细'!$C$17:$C$330,$X198))</f>
        <v/>
      </c>
      <c r="D198" s="18">
        <f>IF($X198="","",INDEX('sheet2-计算明细'!$D$17:$D$330,$X198))</f>
        <v/>
      </c>
      <c r="E198" s="18">
        <f>IF($X198="","",INDEX('sheet2-计算明细'!$G$17:$G$330,$X198))</f>
        <v/>
      </c>
      <c r="F198" s="19">
        <f>IF($X198="","",INDEX('sheet2-计算明细'!$I$17:$I$330,$X198))</f>
        <v/>
      </c>
      <c r="G198" s="19">
        <f>IF($X198="","",INDEX('sheet2-计算明细'!$K$17:$K$330,$X198))</f>
        <v/>
      </c>
      <c r="H198" s="19">
        <f>IF($X198="","",INDEX('sheet2-计算明细'!$L$17:$L$330,$X198))</f>
        <v/>
      </c>
      <c r="I198" s="19">
        <f>IF($X198="","",INDEX('sheet2-计算明细'!$S$17:$S$330,$X198))</f>
        <v/>
      </c>
      <c r="J198" s="19">
        <f>IF($X198="","",INDEX('sheet2-计算明细'!$Y$17:$Y$330,$X198))</f>
        <v/>
      </c>
      <c r="K198" s="19">
        <f>IF($X198="","",INDEX('sheet2-计算明细'!$AC$17:$AC$330,$X198))</f>
        <v/>
      </c>
      <c r="L198" s="19">
        <f>IF($X198="","",INDEX('sheet2-计算明细'!$AI$17:$AI$330,$X198))</f>
        <v/>
      </c>
      <c r="M198" s="19">
        <f>IF($X198="","",INDEX('sheet2-计算明细'!$AK$17:$AK$330,$X198))</f>
        <v/>
      </c>
      <c r="N198" s="20">
        <f>IF(COUNT(F198:H198)=0,"",ROUND((IF(ISNUMBER(F198),F198*40%,0)+IF(ISNUMBER(G198),G198*30%,0)+IF(ISNUMBER(H198),H198*30%,0))/(IF(ISNUMBER(F198),40%,0)+IF(ISNUMBER(G198),30%,0)+IF(ISNUMBER(H198),30%,0)),2))</f>
        <v/>
      </c>
      <c r="O198" s="20">
        <f>IF(COUNT(I198:J198)=0,"",ROUND((IF(ISNUMBER(I198),I198*70%,0)+IF(ISNUMBER(J198),J198*30%,0))/(IF(ISNUMBER(I198),70%,0)+IF(ISNUMBER(J198),30%,0)),2))</f>
        <v/>
      </c>
      <c r="P198" s="20">
        <f>K198</f>
        <v/>
      </c>
      <c r="Q198" s="20">
        <f>L198</f>
        <v/>
      </c>
      <c r="R198" s="20">
        <f>M198</f>
        <v/>
      </c>
      <c r="S198" s="93">
        <f>IF($X198="","",INDEX('sheet2-计算明细'!$AQ$17:$AQ$330,$X198))</f>
        <v/>
      </c>
      <c r="T198" s="19">
        <f>IF($X198="","",INDEX('sheet2-计算明细'!$AR$17:$AR$330,$X198))</f>
        <v/>
      </c>
      <c r="U198" s="20">
        <f>IF(S198=0,"",ROUND(T198/S198,2))</f>
        <v/>
      </c>
      <c r="V198" s="20">
        <f>IF(S198=100%,T198,"")</f>
        <v/>
      </c>
      <c r="W198" s="22">
        <f>IF($X198="","",INDEX('sheet2-计算明细'!$AU$17:$AU$330,$X198))</f>
        <v/>
      </c>
      <c r="X198" s="18">
        <f>IF($A198&gt;COUNT('sheet2-计算明细'!$AT$17:$AT$330),"",MATCH($A198,'sheet2-计算明细'!$AT$17:$AT$330,0))</f>
        <v/>
      </c>
    </row>
    <row r="199" ht="28" customHeight="1" s="73">
      <c r="A199" s="2" t="n">
        <v>194</v>
      </c>
      <c r="B199" s="18">
        <f>IF($X199="","",INDEX('sheet2-计算明细'!$B$17:$B$330,$X199))</f>
        <v/>
      </c>
      <c r="C199" s="18">
        <f>IF($X199="","",INDEX('sheet2-计算明细'!$C$17:$C$330,$X199))</f>
        <v/>
      </c>
      <c r="D199" s="18">
        <f>IF($X199="","",INDEX('sheet2-计算明细'!$D$17:$D$330,$X199))</f>
        <v/>
      </c>
      <c r="E199" s="18">
        <f>IF($X199="","",INDEX('sheet2-计算明细'!$G$17:$G$330,$X199))</f>
        <v/>
      </c>
      <c r="F199" s="19">
        <f>IF($X199="","",INDEX('sheet2-计算明细'!$I$17:$I$330,$X199))</f>
        <v/>
      </c>
      <c r="G199" s="19">
        <f>IF($X199="","",INDEX('sheet2-计算明细'!$K$17:$K$330,$X199))</f>
        <v/>
      </c>
      <c r="H199" s="19">
        <f>IF($X199="","",INDEX('sheet2-计算明细'!$L$17:$L$330,$X199))</f>
        <v/>
      </c>
      <c r="I199" s="19">
        <f>IF($X199="","",INDEX('sheet2-计算明细'!$S$17:$S$330,$X199))</f>
        <v/>
      </c>
      <c r="J199" s="19">
        <f>IF($X199="","",INDEX('sheet2-计算明细'!$Y$17:$Y$330,$X199))</f>
        <v/>
      </c>
      <c r="K199" s="19">
        <f>IF($X199="","",INDEX('sheet2-计算明细'!$AC$17:$AC$330,$X199))</f>
        <v/>
      </c>
      <c r="L199" s="19">
        <f>IF($X199="","",INDEX('sheet2-计算明细'!$AI$17:$AI$330,$X199))</f>
        <v/>
      </c>
      <c r="M199" s="19">
        <f>IF($X199="","",INDEX('sheet2-计算明细'!$AK$17:$AK$330,$X199))</f>
        <v/>
      </c>
      <c r="N199" s="20">
        <f>IF(COUNT(F199:H199)=0,"",ROUND((IF(ISNUMBER(F199),F199*40%,0)+IF(ISNUMBER(G199),G199*30%,0)+IF(ISNUMBER(H199),H199*30%,0))/(IF(ISNUMBER(F199),40%,0)+IF(ISNUMBER(G199),30%,0)+IF(ISNUMBER(H199),30%,0)),2))</f>
        <v/>
      </c>
      <c r="O199" s="20">
        <f>IF(COUNT(I199:J199)=0,"",ROUND((IF(ISNUMBER(I199),I199*70%,0)+IF(ISNUMBER(J199),J199*30%,0))/(IF(ISNUMBER(I199),70%,0)+IF(ISNUMBER(J199),30%,0)),2))</f>
        <v/>
      </c>
      <c r="P199" s="20">
        <f>K199</f>
        <v/>
      </c>
      <c r="Q199" s="20">
        <f>L199</f>
        <v/>
      </c>
      <c r="R199" s="20">
        <f>M199</f>
        <v/>
      </c>
      <c r="S199" s="93">
        <f>IF($X199="","",INDEX('sheet2-计算明细'!$AQ$17:$AQ$330,$X199))</f>
        <v/>
      </c>
      <c r="T199" s="19">
        <f>IF($X199="","",INDEX('sheet2-计算明细'!$AR$17:$AR$330,$X199))</f>
        <v/>
      </c>
      <c r="U199" s="20">
        <f>IF(S199=0,"",ROUND(T199/S199,2))</f>
        <v/>
      </c>
      <c r="V199" s="20">
        <f>IF(S199=100%,T199,"")</f>
        <v/>
      </c>
      <c r="W199" s="22">
        <f>IF($X199="","",INDEX('sheet2-计算明细'!$AU$17:$AU$330,$X199))</f>
        <v/>
      </c>
      <c r="X199" s="18">
        <f>IF($A199&gt;COUNT('sheet2-计算明细'!$AT$17:$AT$330),"",MATCH($A199,'sheet2-计算明细'!$AT$17:$AT$330,0))</f>
        <v/>
      </c>
    </row>
    <row r="200" ht="28" customHeight="1" s="73">
      <c r="A200" s="2" t="n">
        <v>195</v>
      </c>
      <c r="B200" s="18">
        <f>IF($X200="","",INDEX('sheet2-计算明细'!$B$17:$B$330,$X200))</f>
        <v/>
      </c>
      <c r="C200" s="18">
        <f>IF($X200="","",INDEX('sheet2-计算明细'!$C$17:$C$330,$X200))</f>
        <v/>
      </c>
      <c r="D200" s="18">
        <f>IF($X200="","",INDEX('sheet2-计算明细'!$D$17:$D$330,$X200))</f>
        <v/>
      </c>
      <c r="E200" s="18">
        <f>IF($X200="","",INDEX('sheet2-计算明细'!$G$17:$G$330,$X200))</f>
        <v/>
      </c>
      <c r="F200" s="19">
        <f>IF($X200="","",INDEX('sheet2-计算明细'!$I$17:$I$330,$X200))</f>
        <v/>
      </c>
      <c r="G200" s="19">
        <f>IF($X200="","",INDEX('sheet2-计算明细'!$K$17:$K$330,$X200))</f>
        <v/>
      </c>
      <c r="H200" s="19">
        <f>IF($X200="","",INDEX('sheet2-计算明细'!$L$17:$L$330,$X200))</f>
        <v/>
      </c>
      <c r="I200" s="19">
        <f>IF($X200="","",INDEX('sheet2-计算明细'!$S$17:$S$330,$X200))</f>
        <v/>
      </c>
      <c r="J200" s="19">
        <f>IF($X200="","",INDEX('sheet2-计算明细'!$Y$17:$Y$330,$X200))</f>
        <v/>
      </c>
      <c r="K200" s="19">
        <f>IF($X200="","",INDEX('sheet2-计算明细'!$AC$17:$AC$330,$X200))</f>
        <v/>
      </c>
      <c r="L200" s="19">
        <f>IF($X200="","",INDEX('sheet2-计算明细'!$AI$17:$AI$330,$X200))</f>
        <v/>
      </c>
      <c r="M200" s="19">
        <f>IF($X200="","",INDEX('sheet2-计算明细'!$AK$17:$AK$330,$X200))</f>
        <v/>
      </c>
      <c r="N200" s="20">
        <f>IF(COUNT(F200:H200)=0,"",ROUND((IF(ISNUMBER(F200),F200*40%,0)+IF(ISNUMBER(G200),G200*30%,0)+IF(ISNUMBER(H200),H200*30%,0))/(IF(ISNUMBER(F200),40%,0)+IF(ISNUMBER(G200),30%,0)+IF(ISNUMBER(H200),30%,0)),2))</f>
        <v/>
      </c>
      <c r="O200" s="20">
        <f>IF(COUNT(I200:J200)=0,"",ROUND((IF(ISNUMBER(I200),I200*70%,0)+IF(ISNUMBER(J200),J200*30%,0))/(IF(ISNUMBER(I200),70%,0)+IF(ISNUMBER(J200),30%,0)),2))</f>
        <v/>
      </c>
      <c r="P200" s="20">
        <f>K200</f>
        <v/>
      </c>
      <c r="Q200" s="20">
        <f>L200</f>
        <v/>
      </c>
      <c r="R200" s="20">
        <f>M200</f>
        <v/>
      </c>
      <c r="S200" s="93">
        <f>IF($X200="","",INDEX('sheet2-计算明细'!$AQ$17:$AQ$330,$X200))</f>
        <v/>
      </c>
      <c r="T200" s="19">
        <f>IF($X200="","",INDEX('sheet2-计算明细'!$AR$17:$AR$330,$X200))</f>
        <v/>
      </c>
      <c r="U200" s="20">
        <f>IF(S200=0,"",ROUND(T200/S200,2))</f>
        <v/>
      </c>
      <c r="V200" s="20">
        <f>IF(S200=100%,T200,"")</f>
        <v/>
      </c>
      <c r="W200" s="22">
        <f>IF($X200="","",INDEX('sheet2-计算明细'!$AU$17:$AU$330,$X200))</f>
        <v/>
      </c>
      <c r="X200" s="18">
        <f>IF($A200&gt;COUNT('sheet2-计算明细'!$AT$17:$AT$330),"",MATCH($A200,'sheet2-计算明细'!$AT$17:$AT$330,0))</f>
        <v/>
      </c>
    </row>
    <row r="201" ht="28" customHeight="1" s="73">
      <c r="A201" s="2" t="n">
        <v>196</v>
      </c>
      <c r="B201" s="18">
        <f>IF($X201="","",INDEX('sheet2-计算明细'!$B$17:$B$330,$X201))</f>
        <v/>
      </c>
      <c r="C201" s="18">
        <f>IF($X201="","",INDEX('sheet2-计算明细'!$C$17:$C$330,$X201))</f>
        <v/>
      </c>
      <c r="D201" s="18">
        <f>IF($X201="","",INDEX('sheet2-计算明细'!$D$17:$D$330,$X201))</f>
        <v/>
      </c>
      <c r="E201" s="18">
        <f>IF($X201="","",INDEX('sheet2-计算明细'!$G$17:$G$330,$X201))</f>
        <v/>
      </c>
      <c r="F201" s="19">
        <f>IF($X201="","",INDEX('sheet2-计算明细'!$I$17:$I$330,$X201))</f>
        <v/>
      </c>
      <c r="G201" s="19">
        <f>IF($X201="","",INDEX('sheet2-计算明细'!$K$17:$K$330,$X201))</f>
        <v/>
      </c>
      <c r="H201" s="19">
        <f>IF($X201="","",INDEX('sheet2-计算明细'!$L$17:$L$330,$X201))</f>
        <v/>
      </c>
      <c r="I201" s="19">
        <f>IF($X201="","",INDEX('sheet2-计算明细'!$S$17:$S$330,$X201))</f>
        <v/>
      </c>
      <c r="J201" s="19">
        <f>IF($X201="","",INDEX('sheet2-计算明细'!$Y$17:$Y$330,$X201))</f>
        <v/>
      </c>
      <c r="K201" s="19">
        <f>IF($X201="","",INDEX('sheet2-计算明细'!$AC$17:$AC$330,$X201))</f>
        <v/>
      </c>
      <c r="L201" s="19">
        <f>IF($X201="","",INDEX('sheet2-计算明细'!$AI$17:$AI$330,$X201))</f>
        <v/>
      </c>
      <c r="M201" s="19">
        <f>IF($X201="","",INDEX('sheet2-计算明细'!$AK$17:$AK$330,$X201))</f>
        <v/>
      </c>
      <c r="N201" s="20">
        <f>IF(COUNT(F201:H201)=0,"",ROUND((IF(ISNUMBER(F201),F201*40%,0)+IF(ISNUMBER(G201),G201*30%,0)+IF(ISNUMBER(H201),H201*30%,0))/(IF(ISNUMBER(F201),40%,0)+IF(ISNUMBER(G201),30%,0)+IF(ISNUMBER(H201),30%,0)),2))</f>
        <v/>
      </c>
      <c r="O201" s="20">
        <f>IF(COUNT(I201:J201)=0,"",ROUND((IF(ISNUMBER(I201),I201*70%,0)+IF(ISNUMBER(J201),J201*30%,0))/(IF(ISNUMBER(I201),70%,0)+IF(ISNUMBER(J201),30%,0)),2))</f>
        <v/>
      </c>
      <c r="P201" s="20">
        <f>K201</f>
        <v/>
      </c>
      <c r="Q201" s="20">
        <f>L201</f>
        <v/>
      </c>
      <c r="R201" s="20">
        <f>M201</f>
        <v/>
      </c>
      <c r="S201" s="93">
        <f>IF($X201="","",INDEX('sheet2-计算明细'!$AQ$17:$AQ$330,$X201))</f>
        <v/>
      </c>
      <c r="T201" s="19">
        <f>IF($X201="","",INDEX('sheet2-计算明细'!$AR$17:$AR$330,$X201))</f>
        <v/>
      </c>
      <c r="U201" s="20">
        <f>IF(S201=0,"",ROUND(T201/S201,2))</f>
        <v/>
      </c>
      <c r="V201" s="20">
        <f>IF(S201=100%,T201,"")</f>
        <v/>
      </c>
      <c r="W201" s="22">
        <f>IF($X201="","",INDEX('sheet2-计算明细'!$AU$17:$AU$330,$X201))</f>
        <v/>
      </c>
      <c r="X201" s="18">
        <f>IF($A201&gt;COUNT('sheet2-计算明细'!$AT$17:$AT$330),"",MATCH($A201,'sheet2-计算明细'!$AT$17:$AT$330,0))</f>
        <v/>
      </c>
    </row>
    <row r="202" ht="28" customHeight="1" s="73">
      <c r="A202" s="2" t="n">
        <v>197</v>
      </c>
      <c r="B202" s="18">
        <f>IF($X202="","",INDEX('sheet2-计算明细'!$B$17:$B$330,$X202))</f>
        <v/>
      </c>
      <c r="C202" s="18">
        <f>IF($X202="","",INDEX('sheet2-计算明细'!$C$17:$C$330,$X202))</f>
        <v/>
      </c>
      <c r="D202" s="18">
        <f>IF($X202="","",INDEX('sheet2-计算明细'!$D$17:$D$330,$X202))</f>
        <v/>
      </c>
      <c r="E202" s="18">
        <f>IF($X202="","",INDEX('sheet2-计算明细'!$G$17:$G$330,$X202))</f>
        <v/>
      </c>
      <c r="F202" s="19">
        <f>IF($X202="","",INDEX('sheet2-计算明细'!$I$17:$I$330,$X202))</f>
        <v/>
      </c>
      <c r="G202" s="19">
        <f>IF($X202="","",INDEX('sheet2-计算明细'!$K$17:$K$330,$X202))</f>
        <v/>
      </c>
      <c r="H202" s="19">
        <f>IF($X202="","",INDEX('sheet2-计算明细'!$L$17:$L$330,$X202))</f>
        <v/>
      </c>
      <c r="I202" s="19">
        <f>IF($X202="","",INDEX('sheet2-计算明细'!$S$17:$S$330,$X202))</f>
        <v/>
      </c>
      <c r="J202" s="19">
        <f>IF($X202="","",INDEX('sheet2-计算明细'!$Y$17:$Y$330,$X202))</f>
        <v/>
      </c>
      <c r="K202" s="19">
        <f>IF($X202="","",INDEX('sheet2-计算明细'!$AC$17:$AC$330,$X202))</f>
        <v/>
      </c>
      <c r="L202" s="19">
        <f>IF($X202="","",INDEX('sheet2-计算明细'!$AI$17:$AI$330,$X202))</f>
        <v/>
      </c>
      <c r="M202" s="19">
        <f>IF($X202="","",INDEX('sheet2-计算明细'!$AK$17:$AK$330,$X202))</f>
        <v/>
      </c>
      <c r="N202" s="20">
        <f>IF(COUNT(F202:H202)=0,"",ROUND((IF(ISNUMBER(F202),F202*40%,0)+IF(ISNUMBER(G202),G202*30%,0)+IF(ISNUMBER(H202),H202*30%,0))/(IF(ISNUMBER(F202),40%,0)+IF(ISNUMBER(G202),30%,0)+IF(ISNUMBER(H202),30%,0)),2))</f>
        <v/>
      </c>
      <c r="O202" s="20">
        <f>IF(COUNT(I202:J202)=0,"",ROUND((IF(ISNUMBER(I202),I202*70%,0)+IF(ISNUMBER(J202),J202*30%,0))/(IF(ISNUMBER(I202),70%,0)+IF(ISNUMBER(J202),30%,0)),2))</f>
        <v/>
      </c>
      <c r="P202" s="20">
        <f>K202</f>
        <v/>
      </c>
      <c r="Q202" s="20">
        <f>L202</f>
        <v/>
      </c>
      <c r="R202" s="20">
        <f>M202</f>
        <v/>
      </c>
      <c r="S202" s="93">
        <f>IF($X202="","",INDEX('sheet2-计算明细'!$AQ$17:$AQ$330,$X202))</f>
        <v/>
      </c>
      <c r="T202" s="19">
        <f>IF($X202="","",INDEX('sheet2-计算明细'!$AR$17:$AR$330,$X202))</f>
        <v/>
      </c>
      <c r="U202" s="20">
        <f>IF(S202=0,"",ROUND(T202/S202,2))</f>
        <v/>
      </c>
      <c r="V202" s="20">
        <f>IF(S202=100%,T202,"")</f>
        <v/>
      </c>
      <c r="W202" s="22">
        <f>IF($X202="","",INDEX('sheet2-计算明细'!$AU$17:$AU$330,$X202))</f>
        <v/>
      </c>
      <c r="X202" s="18">
        <f>IF($A202&gt;COUNT('sheet2-计算明细'!$AT$17:$AT$330),"",MATCH($A202,'sheet2-计算明细'!$AT$17:$AT$330,0))</f>
        <v/>
      </c>
    </row>
    <row r="203" ht="28" customHeight="1" s="73">
      <c r="A203" s="2" t="n">
        <v>198</v>
      </c>
      <c r="B203" s="18">
        <f>IF($X203="","",INDEX('sheet2-计算明细'!$B$17:$B$330,$X203))</f>
        <v/>
      </c>
      <c r="C203" s="18">
        <f>IF($X203="","",INDEX('sheet2-计算明细'!$C$17:$C$330,$X203))</f>
        <v/>
      </c>
      <c r="D203" s="18">
        <f>IF($X203="","",INDEX('sheet2-计算明细'!$D$17:$D$330,$X203))</f>
        <v/>
      </c>
      <c r="E203" s="18">
        <f>IF($X203="","",INDEX('sheet2-计算明细'!$G$17:$G$330,$X203))</f>
        <v/>
      </c>
      <c r="F203" s="19">
        <f>IF($X203="","",INDEX('sheet2-计算明细'!$I$17:$I$330,$X203))</f>
        <v/>
      </c>
      <c r="G203" s="19">
        <f>IF($X203="","",INDEX('sheet2-计算明细'!$K$17:$K$330,$X203))</f>
        <v/>
      </c>
      <c r="H203" s="19">
        <f>IF($X203="","",INDEX('sheet2-计算明细'!$L$17:$L$330,$X203))</f>
        <v/>
      </c>
      <c r="I203" s="19">
        <f>IF($X203="","",INDEX('sheet2-计算明细'!$S$17:$S$330,$X203))</f>
        <v/>
      </c>
      <c r="J203" s="19">
        <f>IF($X203="","",INDEX('sheet2-计算明细'!$Y$17:$Y$330,$X203))</f>
        <v/>
      </c>
      <c r="K203" s="19">
        <f>IF($X203="","",INDEX('sheet2-计算明细'!$AC$17:$AC$330,$X203))</f>
        <v/>
      </c>
      <c r="L203" s="19">
        <f>IF($X203="","",INDEX('sheet2-计算明细'!$AI$17:$AI$330,$X203))</f>
        <v/>
      </c>
      <c r="M203" s="19">
        <f>IF($X203="","",INDEX('sheet2-计算明细'!$AK$17:$AK$330,$X203))</f>
        <v/>
      </c>
      <c r="N203" s="20">
        <f>IF(COUNT(F203:H203)=0,"",ROUND((IF(ISNUMBER(F203),F203*40%,0)+IF(ISNUMBER(G203),G203*30%,0)+IF(ISNUMBER(H203),H203*30%,0))/(IF(ISNUMBER(F203),40%,0)+IF(ISNUMBER(G203),30%,0)+IF(ISNUMBER(H203),30%,0)),2))</f>
        <v/>
      </c>
      <c r="O203" s="20">
        <f>IF(COUNT(I203:J203)=0,"",ROUND((IF(ISNUMBER(I203),I203*70%,0)+IF(ISNUMBER(J203),J203*30%,0))/(IF(ISNUMBER(I203),70%,0)+IF(ISNUMBER(J203),30%,0)),2))</f>
        <v/>
      </c>
      <c r="P203" s="20">
        <f>K203</f>
        <v/>
      </c>
      <c r="Q203" s="20">
        <f>L203</f>
        <v/>
      </c>
      <c r="R203" s="20">
        <f>M203</f>
        <v/>
      </c>
      <c r="S203" s="93">
        <f>IF($X203="","",INDEX('sheet2-计算明细'!$AQ$17:$AQ$330,$X203))</f>
        <v/>
      </c>
      <c r="T203" s="19">
        <f>IF($X203="","",INDEX('sheet2-计算明细'!$AR$17:$AR$330,$X203))</f>
        <v/>
      </c>
      <c r="U203" s="20">
        <f>IF(S203=0,"",ROUND(T203/S203,2))</f>
        <v/>
      </c>
      <c r="V203" s="20">
        <f>IF(S203=100%,T203,"")</f>
        <v/>
      </c>
      <c r="W203" s="22">
        <f>IF($X203="","",INDEX('sheet2-计算明细'!$AU$17:$AU$330,$X203))</f>
        <v/>
      </c>
      <c r="X203" s="18">
        <f>IF($A203&gt;COUNT('sheet2-计算明细'!$AT$17:$AT$330),"",MATCH($A203,'sheet2-计算明细'!$AT$17:$AT$330,0))</f>
        <v/>
      </c>
    </row>
    <row r="204" ht="28" customHeight="1" s="73">
      <c r="A204" s="2" t="n">
        <v>199</v>
      </c>
      <c r="B204" s="18">
        <f>IF($X204="","",INDEX('sheet2-计算明细'!$B$17:$B$330,$X204))</f>
        <v/>
      </c>
      <c r="C204" s="18">
        <f>IF($X204="","",INDEX('sheet2-计算明细'!$C$17:$C$330,$X204))</f>
        <v/>
      </c>
      <c r="D204" s="18">
        <f>IF($X204="","",INDEX('sheet2-计算明细'!$D$17:$D$330,$X204))</f>
        <v/>
      </c>
      <c r="E204" s="18">
        <f>IF($X204="","",INDEX('sheet2-计算明细'!$G$17:$G$330,$X204))</f>
        <v/>
      </c>
      <c r="F204" s="19">
        <f>IF($X204="","",INDEX('sheet2-计算明细'!$I$17:$I$330,$X204))</f>
        <v/>
      </c>
      <c r="G204" s="19">
        <f>IF($X204="","",INDEX('sheet2-计算明细'!$K$17:$K$330,$X204))</f>
        <v/>
      </c>
      <c r="H204" s="19">
        <f>IF($X204="","",INDEX('sheet2-计算明细'!$L$17:$L$330,$X204))</f>
        <v/>
      </c>
      <c r="I204" s="19">
        <f>IF($X204="","",INDEX('sheet2-计算明细'!$S$17:$S$330,$X204))</f>
        <v/>
      </c>
      <c r="J204" s="19">
        <f>IF($X204="","",INDEX('sheet2-计算明细'!$Y$17:$Y$330,$X204))</f>
        <v/>
      </c>
      <c r="K204" s="19">
        <f>IF($X204="","",INDEX('sheet2-计算明细'!$AC$17:$AC$330,$X204))</f>
        <v/>
      </c>
      <c r="L204" s="19">
        <f>IF($X204="","",INDEX('sheet2-计算明细'!$AI$17:$AI$330,$X204))</f>
        <v/>
      </c>
      <c r="M204" s="19">
        <f>IF($X204="","",INDEX('sheet2-计算明细'!$AK$17:$AK$330,$X204))</f>
        <v/>
      </c>
      <c r="N204" s="20">
        <f>IF(COUNT(F204:H204)=0,"",ROUND((IF(ISNUMBER(F204),F204*40%,0)+IF(ISNUMBER(G204),G204*30%,0)+IF(ISNUMBER(H204),H204*30%,0))/(IF(ISNUMBER(F204),40%,0)+IF(ISNUMBER(G204),30%,0)+IF(ISNUMBER(H204),30%,0)),2))</f>
        <v/>
      </c>
      <c r="O204" s="20">
        <f>IF(COUNT(I204:J204)=0,"",ROUND((IF(ISNUMBER(I204),I204*70%,0)+IF(ISNUMBER(J204),J204*30%,0))/(IF(ISNUMBER(I204),70%,0)+IF(ISNUMBER(J204),30%,0)),2))</f>
        <v/>
      </c>
      <c r="P204" s="20">
        <f>K204</f>
        <v/>
      </c>
      <c r="Q204" s="20">
        <f>L204</f>
        <v/>
      </c>
      <c r="R204" s="20">
        <f>M204</f>
        <v/>
      </c>
      <c r="S204" s="93">
        <f>IF($X204="","",INDEX('sheet2-计算明细'!$AQ$17:$AQ$330,$X204))</f>
        <v/>
      </c>
      <c r="T204" s="19">
        <f>IF($X204="","",INDEX('sheet2-计算明细'!$AR$17:$AR$330,$X204))</f>
        <v/>
      </c>
      <c r="U204" s="20">
        <f>IF(S204=0,"",ROUND(T204/S204,2))</f>
        <v/>
      </c>
      <c r="V204" s="20">
        <f>IF(S204=100%,T204,"")</f>
        <v/>
      </c>
      <c r="W204" s="22">
        <f>IF($X204="","",INDEX('sheet2-计算明细'!$AU$17:$AU$330,$X204))</f>
        <v/>
      </c>
      <c r="X204" s="18">
        <f>IF($A204&gt;COUNT('sheet2-计算明细'!$AT$17:$AT$330),"",MATCH($A204,'sheet2-计算明细'!$AT$17:$AT$330,0))</f>
        <v/>
      </c>
    </row>
    <row r="205" ht="28" customHeight="1" s="73">
      <c r="A205" s="2" t="n">
        <v>200</v>
      </c>
      <c r="B205" s="18">
        <f>IF($X205="","",INDEX('sheet2-计算明细'!$B$17:$B$330,$X205))</f>
        <v/>
      </c>
      <c r="C205" s="18">
        <f>IF($X205="","",INDEX('sheet2-计算明细'!$C$17:$C$330,$X205))</f>
        <v/>
      </c>
      <c r="D205" s="18">
        <f>IF($X205="","",INDEX('sheet2-计算明细'!$D$17:$D$330,$X205))</f>
        <v/>
      </c>
      <c r="E205" s="18">
        <f>IF($X205="","",INDEX('sheet2-计算明细'!$G$17:$G$330,$X205))</f>
        <v/>
      </c>
      <c r="F205" s="19">
        <f>IF($X205="","",INDEX('sheet2-计算明细'!$I$17:$I$330,$X205))</f>
        <v/>
      </c>
      <c r="G205" s="19">
        <f>IF($X205="","",INDEX('sheet2-计算明细'!$K$17:$K$330,$X205))</f>
        <v/>
      </c>
      <c r="H205" s="19">
        <f>IF($X205="","",INDEX('sheet2-计算明细'!$L$17:$L$330,$X205))</f>
        <v/>
      </c>
      <c r="I205" s="19">
        <f>IF($X205="","",INDEX('sheet2-计算明细'!$S$17:$S$330,$X205))</f>
        <v/>
      </c>
      <c r="J205" s="19">
        <f>IF($X205="","",INDEX('sheet2-计算明细'!$Y$17:$Y$330,$X205))</f>
        <v/>
      </c>
      <c r="K205" s="19">
        <f>IF($X205="","",INDEX('sheet2-计算明细'!$AC$17:$AC$330,$X205))</f>
        <v/>
      </c>
      <c r="L205" s="19">
        <f>IF($X205="","",INDEX('sheet2-计算明细'!$AI$17:$AI$330,$X205))</f>
        <v/>
      </c>
      <c r="M205" s="19">
        <f>IF($X205="","",INDEX('sheet2-计算明细'!$AK$17:$AK$330,$X205))</f>
        <v/>
      </c>
      <c r="N205" s="20">
        <f>IF(COUNT(F205:H205)=0,"",ROUND((IF(ISNUMBER(F205),F205*40%,0)+IF(ISNUMBER(G205),G205*30%,0)+IF(ISNUMBER(H205),H205*30%,0))/(IF(ISNUMBER(F205),40%,0)+IF(ISNUMBER(G205),30%,0)+IF(ISNUMBER(H205),30%,0)),2))</f>
        <v/>
      </c>
      <c r="O205" s="20">
        <f>IF(COUNT(I205:J205)=0,"",ROUND((IF(ISNUMBER(I205),I205*70%,0)+IF(ISNUMBER(J205),J205*30%,0))/(IF(ISNUMBER(I205),70%,0)+IF(ISNUMBER(J205),30%,0)),2))</f>
        <v/>
      </c>
      <c r="P205" s="20">
        <f>K205</f>
        <v/>
      </c>
      <c r="Q205" s="20">
        <f>L205</f>
        <v/>
      </c>
      <c r="R205" s="20">
        <f>M205</f>
        <v/>
      </c>
      <c r="S205" s="93">
        <f>IF($X205="","",INDEX('sheet2-计算明细'!$AQ$17:$AQ$330,$X205))</f>
        <v/>
      </c>
      <c r="T205" s="19">
        <f>IF($X205="","",INDEX('sheet2-计算明细'!$AR$17:$AR$330,$X205))</f>
        <v/>
      </c>
      <c r="U205" s="20">
        <f>IF(S205=0,"",ROUND(T205/S205,2))</f>
        <v/>
      </c>
      <c r="V205" s="20">
        <f>IF(S205=100%,T205,"")</f>
        <v/>
      </c>
      <c r="W205" s="22">
        <f>IF($X205="","",INDEX('sheet2-计算明细'!$AU$17:$AU$330,$X205))</f>
        <v/>
      </c>
      <c r="X205" s="18">
        <f>IF($A205&gt;COUNT('sheet2-计算明细'!$AT$17:$AT$330),"",MATCH($A205,'sheet2-计算明细'!$AT$17:$AT$330,0))</f>
        <v/>
      </c>
    </row>
    <row r="206" ht="28" customHeight="1" s="73">
      <c r="A206" s="2" t="n">
        <v>201</v>
      </c>
      <c r="B206" s="18">
        <f>IF($X206="","",INDEX('sheet2-计算明细'!$B$17:$B$330,$X206))</f>
        <v/>
      </c>
      <c r="C206" s="18">
        <f>IF($X206="","",INDEX('sheet2-计算明细'!$C$17:$C$330,$X206))</f>
        <v/>
      </c>
      <c r="D206" s="18">
        <f>IF($X206="","",INDEX('sheet2-计算明细'!$D$17:$D$330,$X206))</f>
        <v/>
      </c>
      <c r="E206" s="18">
        <f>IF($X206="","",INDEX('sheet2-计算明细'!$G$17:$G$330,$X206))</f>
        <v/>
      </c>
      <c r="F206" s="19">
        <f>IF($X206="","",INDEX('sheet2-计算明细'!$I$17:$I$330,$X206))</f>
        <v/>
      </c>
      <c r="G206" s="19">
        <f>IF($X206="","",INDEX('sheet2-计算明细'!$K$17:$K$330,$X206))</f>
        <v/>
      </c>
      <c r="H206" s="19">
        <f>IF($X206="","",INDEX('sheet2-计算明细'!$L$17:$L$330,$X206))</f>
        <v/>
      </c>
      <c r="I206" s="19">
        <f>IF($X206="","",INDEX('sheet2-计算明细'!$S$17:$S$330,$X206))</f>
        <v/>
      </c>
      <c r="J206" s="19">
        <f>IF($X206="","",INDEX('sheet2-计算明细'!$Y$17:$Y$330,$X206))</f>
        <v/>
      </c>
      <c r="K206" s="19">
        <f>IF($X206="","",INDEX('sheet2-计算明细'!$AC$17:$AC$330,$X206))</f>
        <v/>
      </c>
      <c r="L206" s="19">
        <f>IF($X206="","",INDEX('sheet2-计算明细'!$AI$17:$AI$330,$X206))</f>
        <v/>
      </c>
      <c r="M206" s="19">
        <f>IF($X206="","",INDEX('sheet2-计算明细'!$AK$17:$AK$330,$X206))</f>
        <v/>
      </c>
      <c r="N206" s="20">
        <f>IF(COUNT(F206:H206)=0,"",ROUND((IF(ISNUMBER(F206),F206*40%,0)+IF(ISNUMBER(G206),G206*30%,0)+IF(ISNUMBER(H206),H206*30%,0))/(IF(ISNUMBER(F206),40%,0)+IF(ISNUMBER(G206),30%,0)+IF(ISNUMBER(H206),30%,0)),2))</f>
        <v/>
      </c>
      <c r="O206" s="20">
        <f>IF(COUNT(I206:J206)=0,"",ROUND((IF(ISNUMBER(I206),I206*70%,0)+IF(ISNUMBER(J206),J206*30%,0))/(IF(ISNUMBER(I206),70%,0)+IF(ISNUMBER(J206),30%,0)),2))</f>
        <v/>
      </c>
      <c r="P206" s="20">
        <f>K206</f>
        <v/>
      </c>
      <c r="Q206" s="20">
        <f>L206</f>
        <v/>
      </c>
      <c r="R206" s="20">
        <f>M206</f>
        <v/>
      </c>
      <c r="S206" s="93">
        <f>IF($X206="","",INDEX('sheet2-计算明细'!$AQ$17:$AQ$330,$X206))</f>
        <v/>
      </c>
      <c r="T206" s="19">
        <f>IF($X206="","",INDEX('sheet2-计算明细'!$AR$17:$AR$330,$X206))</f>
        <v/>
      </c>
      <c r="U206" s="20">
        <f>IF(S206=0,"",ROUND(T206/S206,2))</f>
        <v/>
      </c>
      <c r="V206" s="20">
        <f>IF(S206=100%,T206,"")</f>
        <v/>
      </c>
      <c r="W206" s="22">
        <f>IF($X206="","",INDEX('sheet2-计算明细'!$AU$17:$AU$330,$X206))</f>
        <v/>
      </c>
      <c r="X206" s="18">
        <f>IF($A206&gt;COUNT('sheet2-计算明细'!$AT$17:$AT$330),"",MATCH($A206,'sheet2-计算明细'!$AT$17:$AT$330,0))</f>
        <v/>
      </c>
    </row>
    <row r="207" ht="28" customHeight="1" s="73">
      <c r="A207" s="2" t="n">
        <v>202</v>
      </c>
      <c r="B207" s="18">
        <f>IF($X207="","",INDEX('sheet2-计算明细'!$B$17:$B$330,$X207))</f>
        <v/>
      </c>
      <c r="C207" s="18">
        <f>IF($X207="","",INDEX('sheet2-计算明细'!$C$17:$C$330,$X207))</f>
        <v/>
      </c>
      <c r="D207" s="18">
        <f>IF($X207="","",INDEX('sheet2-计算明细'!$D$17:$D$330,$X207))</f>
        <v/>
      </c>
      <c r="E207" s="18">
        <f>IF($X207="","",INDEX('sheet2-计算明细'!$G$17:$G$330,$X207))</f>
        <v/>
      </c>
      <c r="F207" s="19">
        <f>IF($X207="","",INDEX('sheet2-计算明细'!$I$17:$I$330,$X207))</f>
        <v/>
      </c>
      <c r="G207" s="19">
        <f>IF($X207="","",INDEX('sheet2-计算明细'!$K$17:$K$330,$X207))</f>
        <v/>
      </c>
      <c r="H207" s="19">
        <f>IF($X207="","",INDEX('sheet2-计算明细'!$L$17:$L$330,$X207))</f>
        <v/>
      </c>
      <c r="I207" s="19">
        <f>IF($X207="","",INDEX('sheet2-计算明细'!$S$17:$S$330,$X207))</f>
        <v/>
      </c>
      <c r="J207" s="19">
        <f>IF($X207="","",INDEX('sheet2-计算明细'!$Y$17:$Y$330,$X207))</f>
        <v/>
      </c>
      <c r="K207" s="19">
        <f>IF($X207="","",INDEX('sheet2-计算明细'!$AC$17:$AC$330,$X207))</f>
        <v/>
      </c>
      <c r="L207" s="19">
        <f>IF($X207="","",INDEX('sheet2-计算明细'!$AI$17:$AI$330,$X207))</f>
        <v/>
      </c>
      <c r="M207" s="19">
        <f>IF($X207="","",INDEX('sheet2-计算明细'!$AK$17:$AK$330,$X207))</f>
        <v/>
      </c>
      <c r="N207" s="20">
        <f>IF(COUNT(F207:H207)=0,"",ROUND((IF(ISNUMBER(F207),F207*40%,0)+IF(ISNUMBER(G207),G207*30%,0)+IF(ISNUMBER(H207),H207*30%,0))/(IF(ISNUMBER(F207),40%,0)+IF(ISNUMBER(G207),30%,0)+IF(ISNUMBER(H207),30%,0)),2))</f>
        <v/>
      </c>
      <c r="O207" s="20">
        <f>IF(COUNT(I207:J207)=0,"",ROUND((IF(ISNUMBER(I207),I207*70%,0)+IF(ISNUMBER(J207),J207*30%,0))/(IF(ISNUMBER(I207),70%,0)+IF(ISNUMBER(J207),30%,0)),2))</f>
        <v/>
      </c>
      <c r="P207" s="20">
        <f>K207</f>
        <v/>
      </c>
      <c r="Q207" s="20">
        <f>L207</f>
        <v/>
      </c>
      <c r="R207" s="20">
        <f>M207</f>
        <v/>
      </c>
      <c r="S207" s="93">
        <f>IF($X207="","",INDEX('sheet2-计算明细'!$AQ$17:$AQ$330,$X207))</f>
        <v/>
      </c>
      <c r="T207" s="19">
        <f>IF($X207="","",INDEX('sheet2-计算明细'!$AR$17:$AR$330,$X207))</f>
        <v/>
      </c>
      <c r="U207" s="20">
        <f>IF(S207=0,"",ROUND(T207/S207,2))</f>
        <v/>
      </c>
      <c r="V207" s="20">
        <f>IF(S207=100%,T207,"")</f>
        <v/>
      </c>
      <c r="W207" s="22">
        <f>IF($X207="","",INDEX('sheet2-计算明细'!$AU$17:$AU$330,$X207))</f>
        <v/>
      </c>
      <c r="X207" s="18">
        <f>IF($A207&gt;COUNT('sheet2-计算明细'!$AT$17:$AT$330),"",MATCH($A207,'sheet2-计算明细'!$AT$17:$AT$330,0))</f>
        <v/>
      </c>
    </row>
    <row r="208" ht="28" customHeight="1" s="73">
      <c r="A208" s="2" t="n">
        <v>203</v>
      </c>
      <c r="B208" s="18">
        <f>IF($X208="","",INDEX('sheet2-计算明细'!$B$17:$B$330,$X208))</f>
        <v/>
      </c>
      <c r="C208" s="18">
        <f>IF($X208="","",INDEX('sheet2-计算明细'!$C$17:$C$330,$X208))</f>
        <v/>
      </c>
      <c r="D208" s="18">
        <f>IF($X208="","",INDEX('sheet2-计算明细'!$D$17:$D$330,$X208))</f>
        <v/>
      </c>
      <c r="E208" s="18">
        <f>IF($X208="","",INDEX('sheet2-计算明细'!$G$17:$G$330,$X208))</f>
        <v/>
      </c>
      <c r="F208" s="19">
        <f>IF($X208="","",INDEX('sheet2-计算明细'!$I$17:$I$330,$X208))</f>
        <v/>
      </c>
      <c r="G208" s="19">
        <f>IF($X208="","",INDEX('sheet2-计算明细'!$K$17:$K$330,$X208))</f>
        <v/>
      </c>
      <c r="H208" s="19">
        <f>IF($X208="","",INDEX('sheet2-计算明细'!$L$17:$L$330,$X208))</f>
        <v/>
      </c>
      <c r="I208" s="19">
        <f>IF($X208="","",INDEX('sheet2-计算明细'!$S$17:$S$330,$X208))</f>
        <v/>
      </c>
      <c r="J208" s="19">
        <f>IF($X208="","",INDEX('sheet2-计算明细'!$Y$17:$Y$330,$X208))</f>
        <v/>
      </c>
      <c r="K208" s="19">
        <f>IF($X208="","",INDEX('sheet2-计算明细'!$AC$17:$AC$330,$X208))</f>
        <v/>
      </c>
      <c r="L208" s="19">
        <f>IF($X208="","",INDEX('sheet2-计算明细'!$AI$17:$AI$330,$X208))</f>
        <v/>
      </c>
      <c r="M208" s="19">
        <f>IF($X208="","",INDEX('sheet2-计算明细'!$AK$17:$AK$330,$X208))</f>
        <v/>
      </c>
      <c r="N208" s="20">
        <f>IF(COUNT(F208:H208)=0,"",ROUND((IF(ISNUMBER(F208),F208*40%,0)+IF(ISNUMBER(G208),G208*30%,0)+IF(ISNUMBER(H208),H208*30%,0))/(IF(ISNUMBER(F208),40%,0)+IF(ISNUMBER(G208),30%,0)+IF(ISNUMBER(H208),30%,0)),2))</f>
        <v/>
      </c>
      <c r="O208" s="20">
        <f>IF(COUNT(I208:J208)=0,"",ROUND((IF(ISNUMBER(I208),I208*70%,0)+IF(ISNUMBER(J208),J208*30%,0))/(IF(ISNUMBER(I208),70%,0)+IF(ISNUMBER(J208),30%,0)),2))</f>
        <v/>
      </c>
      <c r="P208" s="20">
        <f>K208</f>
        <v/>
      </c>
      <c r="Q208" s="20">
        <f>L208</f>
        <v/>
      </c>
      <c r="R208" s="20">
        <f>M208</f>
        <v/>
      </c>
      <c r="S208" s="93">
        <f>IF($X208="","",INDEX('sheet2-计算明细'!$AQ$17:$AQ$330,$X208))</f>
        <v/>
      </c>
      <c r="T208" s="19">
        <f>IF($X208="","",INDEX('sheet2-计算明细'!$AR$17:$AR$330,$X208))</f>
        <v/>
      </c>
      <c r="U208" s="20">
        <f>IF(S208=0,"",ROUND(T208/S208,2))</f>
        <v/>
      </c>
      <c r="V208" s="20">
        <f>IF(S208=100%,T208,"")</f>
        <v/>
      </c>
      <c r="W208" s="22">
        <f>IF($X208="","",INDEX('sheet2-计算明细'!$AU$17:$AU$330,$X208))</f>
        <v/>
      </c>
      <c r="X208" s="18">
        <f>IF($A208&gt;COUNT('sheet2-计算明细'!$AT$17:$AT$330),"",MATCH($A208,'sheet2-计算明细'!$AT$17:$AT$330,0))</f>
        <v/>
      </c>
    </row>
    <row r="209" ht="28" customHeight="1" s="73">
      <c r="A209" s="2" t="n">
        <v>204</v>
      </c>
      <c r="B209" s="18">
        <f>IF($X209="","",INDEX('sheet2-计算明细'!$B$17:$B$330,$X209))</f>
        <v/>
      </c>
      <c r="C209" s="18">
        <f>IF($X209="","",INDEX('sheet2-计算明细'!$C$17:$C$330,$X209))</f>
        <v/>
      </c>
      <c r="D209" s="18">
        <f>IF($X209="","",INDEX('sheet2-计算明细'!$D$17:$D$330,$X209))</f>
        <v/>
      </c>
      <c r="E209" s="18">
        <f>IF($X209="","",INDEX('sheet2-计算明细'!$G$17:$G$330,$X209))</f>
        <v/>
      </c>
      <c r="F209" s="19">
        <f>IF($X209="","",INDEX('sheet2-计算明细'!$I$17:$I$330,$X209))</f>
        <v/>
      </c>
      <c r="G209" s="19">
        <f>IF($X209="","",INDEX('sheet2-计算明细'!$K$17:$K$330,$X209))</f>
        <v/>
      </c>
      <c r="H209" s="19">
        <f>IF($X209="","",INDEX('sheet2-计算明细'!$L$17:$L$330,$X209))</f>
        <v/>
      </c>
      <c r="I209" s="19">
        <f>IF($X209="","",INDEX('sheet2-计算明细'!$S$17:$S$330,$X209))</f>
        <v/>
      </c>
      <c r="J209" s="19">
        <f>IF($X209="","",INDEX('sheet2-计算明细'!$Y$17:$Y$330,$X209))</f>
        <v/>
      </c>
      <c r="K209" s="19">
        <f>IF($X209="","",INDEX('sheet2-计算明细'!$AC$17:$AC$330,$X209))</f>
        <v/>
      </c>
      <c r="L209" s="19">
        <f>IF($X209="","",INDEX('sheet2-计算明细'!$AI$17:$AI$330,$X209))</f>
        <v/>
      </c>
      <c r="M209" s="19">
        <f>IF($X209="","",INDEX('sheet2-计算明细'!$AK$17:$AK$330,$X209))</f>
        <v/>
      </c>
      <c r="N209" s="20">
        <f>IF(COUNT(F209:H209)=0,"",ROUND((IF(ISNUMBER(F209),F209*40%,0)+IF(ISNUMBER(G209),G209*30%,0)+IF(ISNUMBER(H209),H209*30%,0))/(IF(ISNUMBER(F209),40%,0)+IF(ISNUMBER(G209),30%,0)+IF(ISNUMBER(H209),30%,0)),2))</f>
        <v/>
      </c>
      <c r="O209" s="20">
        <f>IF(COUNT(I209:J209)=0,"",ROUND((IF(ISNUMBER(I209),I209*70%,0)+IF(ISNUMBER(J209),J209*30%,0))/(IF(ISNUMBER(I209),70%,0)+IF(ISNUMBER(J209),30%,0)),2))</f>
        <v/>
      </c>
      <c r="P209" s="20">
        <f>K209</f>
        <v/>
      </c>
      <c r="Q209" s="20">
        <f>L209</f>
        <v/>
      </c>
      <c r="R209" s="20">
        <f>M209</f>
        <v/>
      </c>
      <c r="S209" s="93">
        <f>IF($X209="","",INDEX('sheet2-计算明细'!$AQ$17:$AQ$330,$X209))</f>
        <v/>
      </c>
      <c r="T209" s="19">
        <f>IF($X209="","",INDEX('sheet2-计算明细'!$AR$17:$AR$330,$X209))</f>
        <v/>
      </c>
      <c r="U209" s="20">
        <f>IF(S209=0,"",ROUND(T209/S209,2))</f>
        <v/>
      </c>
      <c r="V209" s="20">
        <f>IF(S209=100%,T209,"")</f>
        <v/>
      </c>
      <c r="W209" s="22">
        <f>IF($X209="","",INDEX('sheet2-计算明细'!$AU$17:$AU$330,$X209))</f>
        <v/>
      </c>
      <c r="X209" s="18">
        <f>IF($A209&gt;COUNT('sheet2-计算明细'!$AT$17:$AT$330),"",MATCH($A209,'sheet2-计算明细'!$AT$17:$AT$330,0))</f>
        <v/>
      </c>
    </row>
    <row r="210" ht="28" customHeight="1" s="73">
      <c r="A210" s="2" t="n">
        <v>205</v>
      </c>
      <c r="B210" s="18">
        <f>IF($X210="","",INDEX('sheet2-计算明细'!$B$17:$B$330,$X210))</f>
        <v/>
      </c>
      <c r="C210" s="18">
        <f>IF($X210="","",INDEX('sheet2-计算明细'!$C$17:$C$330,$X210))</f>
        <v/>
      </c>
      <c r="D210" s="18">
        <f>IF($X210="","",INDEX('sheet2-计算明细'!$D$17:$D$330,$X210))</f>
        <v/>
      </c>
      <c r="E210" s="18">
        <f>IF($X210="","",INDEX('sheet2-计算明细'!$G$17:$G$330,$X210))</f>
        <v/>
      </c>
      <c r="F210" s="19">
        <f>IF($X210="","",INDEX('sheet2-计算明细'!$I$17:$I$330,$X210))</f>
        <v/>
      </c>
      <c r="G210" s="19">
        <f>IF($X210="","",INDEX('sheet2-计算明细'!$K$17:$K$330,$X210))</f>
        <v/>
      </c>
      <c r="H210" s="19">
        <f>IF($X210="","",INDEX('sheet2-计算明细'!$L$17:$L$330,$X210))</f>
        <v/>
      </c>
      <c r="I210" s="19">
        <f>IF($X210="","",INDEX('sheet2-计算明细'!$S$17:$S$330,$X210))</f>
        <v/>
      </c>
      <c r="J210" s="19">
        <f>IF($X210="","",INDEX('sheet2-计算明细'!$Y$17:$Y$330,$X210))</f>
        <v/>
      </c>
      <c r="K210" s="19">
        <f>IF($X210="","",INDEX('sheet2-计算明细'!$AC$17:$AC$330,$X210))</f>
        <v/>
      </c>
      <c r="L210" s="19">
        <f>IF($X210="","",INDEX('sheet2-计算明细'!$AI$17:$AI$330,$X210))</f>
        <v/>
      </c>
      <c r="M210" s="19">
        <f>IF($X210="","",INDEX('sheet2-计算明细'!$AK$17:$AK$330,$X210))</f>
        <v/>
      </c>
      <c r="N210" s="20">
        <f>IF(COUNT(F210:H210)=0,"",ROUND((IF(ISNUMBER(F210),F210*40%,0)+IF(ISNUMBER(G210),G210*30%,0)+IF(ISNUMBER(H210),H210*30%,0))/(IF(ISNUMBER(F210),40%,0)+IF(ISNUMBER(G210),30%,0)+IF(ISNUMBER(H210),30%,0)),2))</f>
        <v/>
      </c>
      <c r="O210" s="20">
        <f>IF(COUNT(I210:J210)=0,"",ROUND((IF(ISNUMBER(I210),I210*70%,0)+IF(ISNUMBER(J210),J210*30%,0))/(IF(ISNUMBER(I210),70%,0)+IF(ISNUMBER(J210),30%,0)),2))</f>
        <v/>
      </c>
      <c r="P210" s="20">
        <f>K210</f>
        <v/>
      </c>
      <c r="Q210" s="20">
        <f>L210</f>
        <v/>
      </c>
      <c r="R210" s="20">
        <f>M210</f>
        <v/>
      </c>
      <c r="S210" s="93">
        <f>IF($X210="","",INDEX('sheet2-计算明细'!$AQ$17:$AQ$330,$X210))</f>
        <v/>
      </c>
      <c r="T210" s="19">
        <f>IF($X210="","",INDEX('sheet2-计算明细'!$AR$17:$AR$330,$X210))</f>
        <v/>
      </c>
      <c r="U210" s="20">
        <f>IF(S210=0,"",ROUND(T210/S210,2))</f>
        <v/>
      </c>
      <c r="V210" s="20">
        <f>IF(S210=100%,T210,"")</f>
        <v/>
      </c>
      <c r="W210" s="22">
        <f>IF($X210="","",INDEX('sheet2-计算明细'!$AU$17:$AU$330,$X210))</f>
        <v/>
      </c>
      <c r="X210" s="18">
        <f>IF($A210&gt;COUNT('sheet2-计算明细'!$AT$17:$AT$330),"",MATCH($A210,'sheet2-计算明细'!$AT$17:$AT$330,0))</f>
        <v/>
      </c>
    </row>
    <row r="211" ht="28" customHeight="1" s="73">
      <c r="A211" s="2" t="n">
        <v>206</v>
      </c>
      <c r="B211" s="18">
        <f>IF($X211="","",INDEX('sheet2-计算明细'!$B$17:$B$330,$X211))</f>
        <v/>
      </c>
      <c r="C211" s="18">
        <f>IF($X211="","",INDEX('sheet2-计算明细'!$C$17:$C$330,$X211))</f>
        <v/>
      </c>
      <c r="D211" s="18">
        <f>IF($X211="","",INDEX('sheet2-计算明细'!$D$17:$D$330,$X211))</f>
        <v/>
      </c>
      <c r="E211" s="18">
        <f>IF($X211="","",INDEX('sheet2-计算明细'!$G$17:$G$330,$X211))</f>
        <v/>
      </c>
      <c r="F211" s="19">
        <f>IF($X211="","",INDEX('sheet2-计算明细'!$I$17:$I$330,$X211))</f>
        <v/>
      </c>
      <c r="G211" s="19">
        <f>IF($X211="","",INDEX('sheet2-计算明细'!$K$17:$K$330,$X211))</f>
        <v/>
      </c>
      <c r="H211" s="19">
        <f>IF($X211="","",INDEX('sheet2-计算明细'!$L$17:$L$330,$X211))</f>
        <v/>
      </c>
      <c r="I211" s="19">
        <f>IF($X211="","",INDEX('sheet2-计算明细'!$S$17:$S$330,$X211))</f>
        <v/>
      </c>
      <c r="J211" s="19">
        <f>IF($X211="","",INDEX('sheet2-计算明细'!$Y$17:$Y$330,$X211))</f>
        <v/>
      </c>
      <c r="K211" s="19">
        <f>IF($X211="","",INDEX('sheet2-计算明细'!$AC$17:$AC$330,$X211))</f>
        <v/>
      </c>
      <c r="L211" s="19">
        <f>IF($X211="","",INDEX('sheet2-计算明细'!$AI$17:$AI$330,$X211))</f>
        <v/>
      </c>
      <c r="M211" s="19">
        <f>IF($X211="","",INDEX('sheet2-计算明细'!$AK$17:$AK$330,$X211))</f>
        <v/>
      </c>
      <c r="N211" s="20">
        <f>IF(COUNT(F211:H211)=0,"",ROUND((IF(ISNUMBER(F211),F211*40%,0)+IF(ISNUMBER(G211),G211*30%,0)+IF(ISNUMBER(H211),H211*30%,0))/(IF(ISNUMBER(F211),40%,0)+IF(ISNUMBER(G211),30%,0)+IF(ISNUMBER(H211),30%,0)),2))</f>
        <v/>
      </c>
      <c r="O211" s="20">
        <f>IF(COUNT(I211:J211)=0,"",ROUND((IF(ISNUMBER(I211),I211*70%,0)+IF(ISNUMBER(J211),J211*30%,0))/(IF(ISNUMBER(I211),70%,0)+IF(ISNUMBER(J211),30%,0)),2))</f>
        <v/>
      </c>
      <c r="P211" s="20">
        <f>K211</f>
        <v/>
      </c>
      <c r="Q211" s="20">
        <f>L211</f>
        <v/>
      </c>
      <c r="R211" s="20">
        <f>M211</f>
        <v/>
      </c>
      <c r="S211" s="93">
        <f>IF($X211="","",INDEX('sheet2-计算明细'!$AQ$17:$AQ$330,$X211))</f>
        <v/>
      </c>
      <c r="T211" s="19">
        <f>IF($X211="","",INDEX('sheet2-计算明细'!$AR$17:$AR$330,$X211))</f>
        <v/>
      </c>
      <c r="U211" s="20">
        <f>IF(S211=0,"",ROUND(T211/S211,2))</f>
        <v/>
      </c>
      <c r="V211" s="20">
        <f>IF(S211=100%,T211,"")</f>
        <v/>
      </c>
      <c r="W211" s="22">
        <f>IF($X211="","",INDEX('sheet2-计算明细'!$AU$17:$AU$330,$X211))</f>
        <v/>
      </c>
      <c r="X211" s="18">
        <f>IF($A211&gt;COUNT('sheet2-计算明细'!$AT$17:$AT$330),"",MATCH($A211,'sheet2-计算明细'!$AT$17:$AT$330,0))</f>
        <v/>
      </c>
    </row>
    <row r="212" ht="28" customHeight="1" s="73">
      <c r="A212" s="2" t="n">
        <v>207</v>
      </c>
      <c r="B212" s="18">
        <f>IF($X212="","",INDEX('sheet2-计算明细'!$B$17:$B$330,$X212))</f>
        <v/>
      </c>
      <c r="C212" s="18">
        <f>IF($X212="","",INDEX('sheet2-计算明细'!$C$17:$C$330,$X212))</f>
        <v/>
      </c>
      <c r="D212" s="18">
        <f>IF($X212="","",INDEX('sheet2-计算明细'!$D$17:$D$330,$X212))</f>
        <v/>
      </c>
      <c r="E212" s="18">
        <f>IF($X212="","",INDEX('sheet2-计算明细'!$G$17:$G$330,$X212))</f>
        <v/>
      </c>
      <c r="F212" s="19">
        <f>IF($X212="","",INDEX('sheet2-计算明细'!$I$17:$I$330,$X212))</f>
        <v/>
      </c>
      <c r="G212" s="19">
        <f>IF($X212="","",INDEX('sheet2-计算明细'!$K$17:$K$330,$X212))</f>
        <v/>
      </c>
      <c r="H212" s="19">
        <f>IF($X212="","",INDEX('sheet2-计算明细'!$L$17:$L$330,$X212))</f>
        <v/>
      </c>
      <c r="I212" s="19">
        <f>IF($X212="","",INDEX('sheet2-计算明细'!$S$17:$S$330,$X212))</f>
        <v/>
      </c>
      <c r="J212" s="19">
        <f>IF($X212="","",INDEX('sheet2-计算明细'!$Y$17:$Y$330,$X212))</f>
        <v/>
      </c>
      <c r="K212" s="19">
        <f>IF($X212="","",INDEX('sheet2-计算明细'!$AC$17:$AC$330,$X212))</f>
        <v/>
      </c>
      <c r="L212" s="19">
        <f>IF($X212="","",INDEX('sheet2-计算明细'!$AI$17:$AI$330,$X212))</f>
        <v/>
      </c>
      <c r="M212" s="19">
        <f>IF($X212="","",INDEX('sheet2-计算明细'!$AK$17:$AK$330,$X212))</f>
        <v/>
      </c>
      <c r="N212" s="20">
        <f>IF(COUNT(F212:H212)=0,"",ROUND((IF(ISNUMBER(F212),F212*40%,0)+IF(ISNUMBER(G212),G212*30%,0)+IF(ISNUMBER(H212),H212*30%,0))/(IF(ISNUMBER(F212),40%,0)+IF(ISNUMBER(G212),30%,0)+IF(ISNUMBER(H212),30%,0)),2))</f>
        <v/>
      </c>
      <c r="O212" s="20">
        <f>IF(COUNT(I212:J212)=0,"",ROUND((IF(ISNUMBER(I212),I212*70%,0)+IF(ISNUMBER(J212),J212*30%,0))/(IF(ISNUMBER(I212),70%,0)+IF(ISNUMBER(J212),30%,0)),2))</f>
        <v/>
      </c>
      <c r="P212" s="20">
        <f>K212</f>
        <v/>
      </c>
      <c r="Q212" s="20">
        <f>L212</f>
        <v/>
      </c>
      <c r="R212" s="20">
        <f>M212</f>
        <v/>
      </c>
      <c r="S212" s="93">
        <f>IF($X212="","",INDEX('sheet2-计算明细'!$AQ$17:$AQ$330,$X212))</f>
        <v/>
      </c>
      <c r="T212" s="19">
        <f>IF($X212="","",INDEX('sheet2-计算明细'!$AR$17:$AR$330,$X212))</f>
        <v/>
      </c>
      <c r="U212" s="20">
        <f>IF(S212=0,"",ROUND(T212/S212,2))</f>
        <v/>
      </c>
      <c r="V212" s="20">
        <f>IF(S212=100%,T212,"")</f>
        <v/>
      </c>
      <c r="W212" s="22">
        <f>IF($X212="","",INDEX('sheet2-计算明细'!$AU$17:$AU$330,$X212))</f>
        <v/>
      </c>
      <c r="X212" s="18">
        <f>IF($A212&gt;COUNT('sheet2-计算明细'!$AT$17:$AT$330),"",MATCH($A212,'sheet2-计算明细'!$AT$17:$AT$330,0))</f>
        <v/>
      </c>
    </row>
    <row r="213" ht="28" customHeight="1" s="73">
      <c r="A213" s="2" t="n">
        <v>208</v>
      </c>
      <c r="B213" s="18">
        <f>IF($X213="","",INDEX('sheet2-计算明细'!$B$17:$B$330,$X213))</f>
        <v/>
      </c>
      <c r="C213" s="18">
        <f>IF($X213="","",INDEX('sheet2-计算明细'!$C$17:$C$330,$X213))</f>
        <v/>
      </c>
      <c r="D213" s="18">
        <f>IF($X213="","",INDEX('sheet2-计算明细'!$D$17:$D$330,$X213))</f>
        <v/>
      </c>
      <c r="E213" s="18">
        <f>IF($X213="","",INDEX('sheet2-计算明细'!$G$17:$G$330,$X213))</f>
        <v/>
      </c>
      <c r="F213" s="19">
        <f>IF($X213="","",INDEX('sheet2-计算明细'!$I$17:$I$330,$X213))</f>
        <v/>
      </c>
      <c r="G213" s="19">
        <f>IF($X213="","",INDEX('sheet2-计算明细'!$K$17:$K$330,$X213))</f>
        <v/>
      </c>
      <c r="H213" s="19">
        <f>IF($X213="","",INDEX('sheet2-计算明细'!$L$17:$L$330,$X213))</f>
        <v/>
      </c>
      <c r="I213" s="19">
        <f>IF($X213="","",INDEX('sheet2-计算明细'!$S$17:$S$330,$X213))</f>
        <v/>
      </c>
      <c r="J213" s="19">
        <f>IF($X213="","",INDEX('sheet2-计算明细'!$Y$17:$Y$330,$X213))</f>
        <v/>
      </c>
      <c r="K213" s="19">
        <f>IF($X213="","",INDEX('sheet2-计算明细'!$AC$17:$AC$330,$X213))</f>
        <v/>
      </c>
      <c r="L213" s="19">
        <f>IF($X213="","",INDEX('sheet2-计算明细'!$AI$17:$AI$330,$X213))</f>
        <v/>
      </c>
      <c r="M213" s="19">
        <f>IF($X213="","",INDEX('sheet2-计算明细'!$AK$17:$AK$330,$X213))</f>
        <v/>
      </c>
      <c r="N213" s="20">
        <f>IF(COUNT(F213:H213)=0,"",ROUND((IF(ISNUMBER(F213),F213*40%,0)+IF(ISNUMBER(G213),G213*30%,0)+IF(ISNUMBER(H213),H213*30%,0))/(IF(ISNUMBER(F213),40%,0)+IF(ISNUMBER(G213),30%,0)+IF(ISNUMBER(H213),30%,0)),2))</f>
        <v/>
      </c>
      <c r="O213" s="20">
        <f>IF(COUNT(I213:J213)=0,"",ROUND((IF(ISNUMBER(I213),I213*70%,0)+IF(ISNUMBER(J213),J213*30%,0))/(IF(ISNUMBER(I213),70%,0)+IF(ISNUMBER(J213),30%,0)),2))</f>
        <v/>
      </c>
      <c r="P213" s="20">
        <f>K213</f>
        <v/>
      </c>
      <c r="Q213" s="20">
        <f>L213</f>
        <v/>
      </c>
      <c r="R213" s="20">
        <f>M213</f>
        <v/>
      </c>
      <c r="S213" s="93">
        <f>IF($X213="","",INDEX('sheet2-计算明细'!$AQ$17:$AQ$330,$X213))</f>
        <v/>
      </c>
      <c r="T213" s="19">
        <f>IF($X213="","",INDEX('sheet2-计算明细'!$AR$17:$AR$330,$X213))</f>
        <v/>
      </c>
      <c r="U213" s="20">
        <f>IF(S213=0,"",ROUND(T213/S213,2))</f>
        <v/>
      </c>
      <c r="V213" s="20">
        <f>IF(S213=100%,T213,"")</f>
        <v/>
      </c>
      <c r="W213" s="22">
        <f>IF($X213="","",INDEX('sheet2-计算明细'!$AU$17:$AU$330,$X213))</f>
        <v/>
      </c>
      <c r="X213" s="18">
        <f>IF($A213&gt;COUNT('sheet2-计算明细'!$AT$17:$AT$330),"",MATCH($A213,'sheet2-计算明细'!$AT$17:$AT$330,0))</f>
        <v/>
      </c>
    </row>
    <row r="214" ht="28" customHeight="1" s="73">
      <c r="A214" s="2" t="n">
        <v>209</v>
      </c>
      <c r="B214" s="18">
        <f>IF($X214="","",INDEX('sheet2-计算明细'!$B$17:$B$330,$X214))</f>
        <v/>
      </c>
      <c r="C214" s="18">
        <f>IF($X214="","",INDEX('sheet2-计算明细'!$C$17:$C$330,$X214))</f>
        <v/>
      </c>
      <c r="D214" s="18">
        <f>IF($X214="","",INDEX('sheet2-计算明细'!$D$17:$D$330,$X214))</f>
        <v/>
      </c>
      <c r="E214" s="18">
        <f>IF($X214="","",INDEX('sheet2-计算明细'!$G$17:$G$330,$X214))</f>
        <v/>
      </c>
      <c r="F214" s="19">
        <f>IF($X214="","",INDEX('sheet2-计算明细'!$I$17:$I$330,$X214))</f>
        <v/>
      </c>
      <c r="G214" s="19">
        <f>IF($X214="","",INDEX('sheet2-计算明细'!$K$17:$K$330,$X214))</f>
        <v/>
      </c>
      <c r="H214" s="19">
        <f>IF($X214="","",INDEX('sheet2-计算明细'!$L$17:$L$330,$X214))</f>
        <v/>
      </c>
      <c r="I214" s="19">
        <f>IF($X214="","",INDEX('sheet2-计算明细'!$S$17:$S$330,$X214))</f>
        <v/>
      </c>
      <c r="J214" s="19">
        <f>IF($X214="","",INDEX('sheet2-计算明细'!$Y$17:$Y$330,$X214))</f>
        <v/>
      </c>
      <c r="K214" s="19">
        <f>IF($X214="","",INDEX('sheet2-计算明细'!$AC$17:$AC$330,$X214))</f>
        <v/>
      </c>
      <c r="L214" s="19">
        <f>IF($X214="","",INDEX('sheet2-计算明细'!$AI$17:$AI$330,$X214))</f>
        <v/>
      </c>
      <c r="M214" s="19">
        <f>IF($X214="","",INDEX('sheet2-计算明细'!$AK$17:$AK$330,$X214))</f>
        <v/>
      </c>
      <c r="N214" s="20">
        <f>IF(COUNT(F214:H214)=0,"",ROUND((IF(ISNUMBER(F214),F214*40%,0)+IF(ISNUMBER(G214),G214*30%,0)+IF(ISNUMBER(H214),H214*30%,0))/(IF(ISNUMBER(F214),40%,0)+IF(ISNUMBER(G214),30%,0)+IF(ISNUMBER(H214),30%,0)),2))</f>
        <v/>
      </c>
      <c r="O214" s="20">
        <f>IF(COUNT(I214:J214)=0,"",ROUND((IF(ISNUMBER(I214),I214*70%,0)+IF(ISNUMBER(J214),J214*30%,0))/(IF(ISNUMBER(I214),70%,0)+IF(ISNUMBER(J214),30%,0)),2))</f>
        <v/>
      </c>
      <c r="P214" s="20">
        <f>K214</f>
        <v/>
      </c>
      <c r="Q214" s="20">
        <f>L214</f>
        <v/>
      </c>
      <c r="R214" s="20">
        <f>M214</f>
        <v/>
      </c>
      <c r="S214" s="93">
        <f>IF($X214="","",INDEX('sheet2-计算明细'!$AQ$17:$AQ$330,$X214))</f>
        <v/>
      </c>
      <c r="T214" s="19">
        <f>IF($X214="","",INDEX('sheet2-计算明细'!$AR$17:$AR$330,$X214))</f>
        <v/>
      </c>
      <c r="U214" s="20">
        <f>IF(S214=0,"",ROUND(T214/S214,2))</f>
        <v/>
      </c>
      <c r="V214" s="20">
        <f>IF(S214=100%,T214,"")</f>
        <v/>
      </c>
      <c r="W214" s="22">
        <f>IF($X214="","",INDEX('sheet2-计算明细'!$AU$17:$AU$330,$X214))</f>
        <v/>
      </c>
      <c r="X214" s="18">
        <f>IF($A214&gt;COUNT('sheet2-计算明细'!$AT$17:$AT$330),"",MATCH($A214,'sheet2-计算明细'!$AT$17:$AT$330,0))</f>
        <v/>
      </c>
    </row>
    <row r="215" ht="28" customHeight="1" s="73">
      <c r="A215" s="2" t="n">
        <v>210</v>
      </c>
      <c r="B215" s="18">
        <f>IF($X215="","",INDEX('sheet2-计算明细'!$B$17:$B$330,$X215))</f>
        <v/>
      </c>
      <c r="C215" s="18">
        <f>IF($X215="","",INDEX('sheet2-计算明细'!$C$17:$C$330,$X215))</f>
        <v/>
      </c>
      <c r="D215" s="18">
        <f>IF($X215="","",INDEX('sheet2-计算明细'!$D$17:$D$330,$X215))</f>
        <v/>
      </c>
      <c r="E215" s="18">
        <f>IF($X215="","",INDEX('sheet2-计算明细'!$G$17:$G$330,$X215))</f>
        <v/>
      </c>
      <c r="F215" s="19">
        <f>IF($X215="","",INDEX('sheet2-计算明细'!$I$17:$I$330,$X215))</f>
        <v/>
      </c>
      <c r="G215" s="19">
        <f>IF($X215="","",INDEX('sheet2-计算明细'!$K$17:$K$330,$X215))</f>
        <v/>
      </c>
      <c r="H215" s="19">
        <f>IF($X215="","",INDEX('sheet2-计算明细'!$L$17:$L$330,$X215))</f>
        <v/>
      </c>
      <c r="I215" s="19">
        <f>IF($X215="","",INDEX('sheet2-计算明细'!$S$17:$S$330,$X215))</f>
        <v/>
      </c>
      <c r="J215" s="19">
        <f>IF($X215="","",INDEX('sheet2-计算明细'!$Y$17:$Y$330,$X215))</f>
        <v/>
      </c>
      <c r="K215" s="19">
        <f>IF($X215="","",INDEX('sheet2-计算明细'!$AC$17:$AC$330,$X215))</f>
        <v/>
      </c>
      <c r="L215" s="19">
        <f>IF($X215="","",INDEX('sheet2-计算明细'!$AI$17:$AI$330,$X215))</f>
        <v/>
      </c>
      <c r="M215" s="19">
        <f>IF($X215="","",INDEX('sheet2-计算明细'!$AK$17:$AK$330,$X215))</f>
        <v/>
      </c>
      <c r="N215" s="20">
        <f>IF(COUNT(F215:H215)=0,"",ROUND((IF(ISNUMBER(F215),F215*40%,0)+IF(ISNUMBER(G215),G215*30%,0)+IF(ISNUMBER(H215),H215*30%,0))/(IF(ISNUMBER(F215),40%,0)+IF(ISNUMBER(G215),30%,0)+IF(ISNUMBER(H215),30%,0)),2))</f>
        <v/>
      </c>
      <c r="O215" s="20">
        <f>IF(COUNT(I215:J215)=0,"",ROUND((IF(ISNUMBER(I215),I215*70%,0)+IF(ISNUMBER(J215),J215*30%,0))/(IF(ISNUMBER(I215),70%,0)+IF(ISNUMBER(J215),30%,0)),2))</f>
        <v/>
      </c>
      <c r="P215" s="20">
        <f>K215</f>
        <v/>
      </c>
      <c r="Q215" s="20">
        <f>L215</f>
        <v/>
      </c>
      <c r="R215" s="20">
        <f>M215</f>
        <v/>
      </c>
      <c r="S215" s="93">
        <f>IF($X215="","",INDEX('sheet2-计算明细'!$AQ$17:$AQ$330,$X215))</f>
        <v/>
      </c>
      <c r="T215" s="19">
        <f>IF($X215="","",INDEX('sheet2-计算明细'!$AR$17:$AR$330,$X215))</f>
        <v/>
      </c>
      <c r="U215" s="20">
        <f>IF(S215=0,"",ROUND(T215/S215,2))</f>
        <v/>
      </c>
      <c r="V215" s="20">
        <f>IF(S215=100%,T215,"")</f>
        <v/>
      </c>
      <c r="W215" s="22">
        <f>IF($X215="","",INDEX('sheet2-计算明细'!$AU$17:$AU$330,$X215))</f>
        <v/>
      </c>
      <c r="X215" s="18">
        <f>IF($A215&gt;COUNT('sheet2-计算明细'!$AT$17:$AT$330),"",MATCH($A215,'sheet2-计算明细'!$AT$17:$AT$330,0))</f>
        <v/>
      </c>
    </row>
    <row r="216" ht="28" customHeight="1" s="73">
      <c r="A216" s="2" t="n">
        <v>211</v>
      </c>
      <c r="B216" s="18">
        <f>IF($X216="","",INDEX('sheet2-计算明细'!$B$17:$B$330,$X216))</f>
        <v/>
      </c>
      <c r="C216" s="18">
        <f>IF($X216="","",INDEX('sheet2-计算明细'!$C$17:$C$330,$X216))</f>
        <v/>
      </c>
      <c r="D216" s="18">
        <f>IF($X216="","",INDEX('sheet2-计算明细'!$D$17:$D$330,$X216))</f>
        <v/>
      </c>
      <c r="E216" s="18">
        <f>IF($X216="","",INDEX('sheet2-计算明细'!$G$17:$G$330,$X216))</f>
        <v/>
      </c>
      <c r="F216" s="19">
        <f>IF($X216="","",INDEX('sheet2-计算明细'!$I$17:$I$330,$X216))</f>
        <v/>
      </c>
      <c r="G216" s="19">
        <f>IF($X216="","",INDEX('sheet2-计算明细'!$K$17:$K$330,$X216))</f>
        <v/>
      </c>
      <c r="H216" s="19">
        <f>IF($X216="","",INDEX('sheet2-计算明细'!$L$17:$L$330,$X216))</f>
        <v/>
      </c>
      <c r="I216" s="19">
        <f>IF($X216="","",INDEX('sheet2-计算明细'!$S$17:$S$330,$X216))</f>
        <v/>
      </c>
      <c r="J216" s="19">
        <f>IF($X216="","",INDEX('sheet2-计算明细'!$Y$17:$Y$330,$X216))</f>
        <v/>
      </c>
      <c r="K216" s="19">
        <f>IF($X216="","",INDEX('sheet2-计算明细'!$AC$17:$AC$330,$X216))</f>
        <v/>
      </c>
      <c r="L216" s="19">
        <f>IF($X216="","",INDEX('sheet2-计算明细'!$AI$17:$AI$330,$X216))</f>
        <v/>
      </c>
      <c r="M216" s="19">
        <f>IF($X216="","",INDEX('sheet2-计算明细'!$AK$17:$AK$330,$X216))</f>
        <v/>
      </c>
      <c r="N216" s="20">
        <f>IF(COUNT(F216:H216)=0,"",ROUND((IF(ISNUMBER(F216),F216*40%,0)+IF(ISNUMBER(G216),G216*30%,0)+IF(ISNUMBER(H216),H216*30%,0))/(IF(ISNUMBER(F216),40%,0)+IF(ISNUMBER(G216),30%,0)+IF(ISNUMBER(H216),30%,0)),2))</f>
        <v/>
      </c>
      <c r="O216" s="20">
        <f>IF(COUNT(I216:J216)=0,"",ROUND((IF(ISNUMBER(I216),I216*70%,0)+IF(ISNUMBER(J216),J216*30%,0))/(IF(ISNUMBER(I216),70%,0)+IF(ISNUMBER(J216),30%,0)),2))</f>
        <v/>
      </c>
      <c r="P216" s="20">
        <f>K216</f>
        <v/>
      </c>
      <c r="Q216" s="20">
        <f>L216</f>
        <v/>
      </c>
      <c r="R216" s="20">
        <f>M216</f>
        <v/>
      </c>
      <c r="S216" s="93">
        <f>IF($X216="","",INDEX('sheet2-计算明细'!$AQ$17:$AQ$330,$X216))</f>
        <v/>
      </c>
      <c r="T216" s="19">
        <f>IF($X216="","",INDEX('sheet2-计算明细'!$AR$17:$AR$330,$X216))</f>
        <v/>
      </c>
      <c r="U216" s="20">
        <f>IF(S216=0,"",ROUND(T216/S216,2))</f>
        <v/>
      </c>
      <c r="V216" s="20">
        <f>IF(S216=100%,T216,"")</f>
        <v/>
      </c>
      <c r="W216" s="22">
        <f>IF($X216="","",INDEX('sheet2-计算明细'!$AU$17:$AU$330,$X216))</f>
        <v/>
      </c>
      <c r="X216" s="18">
        <f>IF($A216&gt;COUNT('sheet2-计算明细'!$AT$17:$AT$330),"",MATCH($A216,'sheet2-计算明细'!$AT$17:$AT$330,0))</f>
        <v/>
      </c>
    </row>
    <row r="217" ht="28" customHeight="1" s="73">
      <c r="A217" s="2" t="n">
        <v>212</v>
      </c>
      <c r="B217" s="18">
        <f>IF($X217="","",INDEX('sheet2-计算明细'!$B$17:$B$330,$X217))</f>
        <v/>
      </c>
      <c r="C217" s="18">
        <f>IF($X217="","",INDEX('sheet2-计算明细'!$C$17:$C$330,$X217))</f>
        <v/>
      </c>
      <c r="D217" s="18">
        <f>IF($X217="","",INDEX('sheet2-计算明细'!$D$17:$D$330,$X217))</f>
        <v/>
      </c>
      <c r="E217" s="18">
        <f>IF($X217="","",INDEX('sheet2-计算明细'!$G$17:$G$330,$X217))</f>
        <v/>
      </c>
      <c r="F217" s="19">
        <f>IF($X217="","",INDEX('sheet2-计算明细'!$I$17:$I$330,$X217))</f>
        <v/>
      </c>
      <c r="G217" s="19">
        <f>IF($X217="","",INDEX('sheet2-计算明细'!$K$17:$K$330,$X217))</f>
        <v/>
      </c>
      <c r="H217" s="19">
        <f>IF($X217="","",INDEX('sheet2-计算明细'!$L$17:$L$330,$X217))</f>
        <v/>
      </c>
      <c r="I217" s="19">
        <f>IF($X217="","",INDEX('sheet2-计算明细'!$S$17:$S$330,$X217))</f>
        <v/>
      </c>
      <c r="J217" s="19">
        <f>IF($X217="","",INDEX('sheet2-计算明细'!$Y$17:$Y$330,$X217))</f>
        <v/>
      </c>
      <c r="K217" s="19">
        <f>IF($X217="","",INDEX('sheet2-计算明细'!$AC$17:$AC$330,$X217))</f>
        <v/>
      </c>
      <c r="L217" s="19">
        <f>IF($X217="","",INDEX('sheet2-计算明细'!$AI$17:$AI$330,$X217))</f>
        <v/>
      </c>
      <c r="M217" s="19">
        <f>IF($X217="","",INDEX('sheet2-计算明细'!$AK$17:$AK$330,$X217))</f>
        <v/>
      </c>
      <c r="N217" s="20">
        <f>IF(COUNT(F217:H217)=0,"",ROUND((IF(ISNUMBER(F217),F217*40%,0)+IF(ISNUMBER(G217),G217*30%,0)+IF(ISNUMBER(H217),H217*30%,0))/(IF(ISNUMBER(F217),40%,0)+IF(ISNUMBER(G217),30%,0)+IF(ISNUMBER(H217),30%,0)),2))</f>
        <v/>
      </c>
      <c r="O217" s="20">
        <f>IF(COUNT(I217:J217)=0,"",ROUND((IF(ISNUMBER(I217),I217*70%,0)+IF(ISNUMBER(J217),J217*30%,0))/(IF(ISNUMBER(I217),70%,0)+IF(ISNUMBER(J217),30%,0)),2))</f>
        <v/>
      </c>
      <c r="P217" s="20">
        <f>K217</f>
        <v/>
      </c>
      <c r="Q217" s="20">
        <f>L217</f>
        <v/>
      </c>
      <c r="R217" s="20">
        <f>M217</f>
        <v/>
      </c>
      <c r="S217" s="93">
        <f>IF($X217="","",INDEX('sheet2-计算明细'!$AQ$17:$AQ$330,$X217))</f>
        <v/>
      </c>
      <c r="T217" s="19">
        <f>IF($X217="","",INDEX('sheet2-计算明细'!$AR$17:$AR$330,$X217))</f>
        <v/>
      </c>
      <c r="U217" s="20">
        <f>IF(S217=0,"",ROUND(T217/S217,2))</f>
        <v/>
      </c>
      <c r="V217" s="20">
        <f>IF(S217=100%,T217,"")</f>
        <v/>
      </c>
      <c r="W217" s="22">
        <f>IF($X217="","",INDEX('sheet2-计算明细'!$AU$17:$AU$330,$X217))</f>
        <v/>
      </c>
      <c r="X217" s="18">
        <f>IF($A217&gt;COUNT('sheet2-计算明细'!$AT$17:$AT$330),"",MATCH($A217,'sheet2-计算明细'!$AT$17:$AT$330,0))</f>
        <v/>
      </c>
    </row>
    <row r="218" ht="28" customHeight="1" s="73">
      <c r="A218" s="2" t="n">
        <v>213</v>
      </c>
      <c r="B218" s="18">
        <f>IF($X218="","",INDEX('sheet2-计算明细'!$B$17:$B$330,$X218))</f>
        <v/>
      </c>
      <c r="C218" s="18">
        <f>IF($X218="","",INDEX('sheet2-计算明细'!$C$17:$C$330,$X218))</f>
        <v/>
      </c>
      <c r="D218" s="18">
        <f>IF($X218="","",INDEX('sheet2-计算明细'!$D$17:$D$330,$X218))</f>
        <v/>
      </c>
      <c r="E218" s="18">
        <f>IF($X218="","",INDEX('sheet2-计算明细'!$G$17:$G$330,$X218))</f>
        <v/>
      </c>
      <c r="F218" s="19">
        <f>IF($X218="","",INDEX('sheet2-计算明细'!$I$17:$I$330,$X218))</f>
        <v/>
      </c>
      <c r="G218" s="19">
        <f>IF($X218="","",INDEX('sheet2-计算明细'!$K$17:$K$330,$X218))</f>
        <v/>
      </c>
      <c r="H218" s="19">
        <f>IF($X218="","",INDEX('sheet2-计算明细'!$L$17:$L$330,$X218))</f>
        <v/>
      </c>
      <c r="I218" s="19">
        <f>IF($X218="","",INDEX('sheet2-计算明细'!$S$17:$S$330,$X218))</f>
        <v/>
      </c>
      <c r="J218" s="19">
        <f>IF($X218="","",INDEX('sheet2-计算明细'!$Y$17:$Y$330,$X218))</f>
        <v/>
      </c>
      <c r="K218" s="19">
        <f>IF($X218="","",INDEX('sheet2-计算明细'!$AC$17:$AC$330,$X218))</f>
        <v/>
      </c>
      <c r="L218" s="19">
        <f>IF($X218="","",INDEX('sheet2-计算明细'!$AI$17:$AI$330,$X218))</f>
        <v/>
      </c>
      <c r="M218" s="19">
        <f>IF($X218="","",INDEX('sheet2-计算明细'!$AK$17:$AK$330,$X218))</f>
        <v/>
      </c>
      <c r="N218" s="20">
        <f>IF(COUNT(F218:H218)=0,"",ROUND((IF(ISNUMBER(F218),F218*40%,0)+IF(ISNUMBER(G218),G218*30%,0)+IF(ISNUMBER(H218),H218*30%,0))/(IF(ISNUMBER(F218),40%,0)+IF(ISNUMBER(G218),30%,0)+IF(ISNUMBER(H218),30%,0)),2))</f>
        <v/>
      </c>
      <c r="O218" s="20">
        <f>IF(COUNT(I218:J218)=0,"",ROUND((IF(ISNUMBER(I218),I218*70%,0)+IF(ISNUMBER(J218),J218*30%,0))/(IF(ISNUMBER(I218),70%,0)+IF(ISNUMBER(J218),30%,0)),2))</f>
        <v/>
      </c>
      <c r="P218" s="20">
        <f>K218</f>
        <v/>
      </c>
      <c r="Q218" s="20">
        <f>L218</f>
        <v/>
      </c>
      <c r="R218" s="20">
        <f>M218</f>
        <v/>
      </c>
      <c r="S218" s="93">
        <f>IF($X218="","",INDEX('sheet2-计算明细'!$AQ$17:$AQ$330,$X218))</f>
        <v/>
      </c>
      <c r="T218" s="19">
        <f>IF($X218="","",INDEX('sheet2-计算明细'!$AR$17:$AR$330,$X218))</f>
        <v/>
      </c>
      <c r="U218" s="20">
        <f>IF(S218=0,"",ROUND(T218/S218,2))</f>
        <v/>
      </c>
      <c r="V218" s="20">
        <f>IF(S218=100%,T218,"")</f>
        <v/>
      </c>
      <c r="W218" s="22">
        <f>IF($X218="","",INDEX('sheet2-计算明细'!$AU$17:$AU$330,$X218))</f>
        <v/>
      </c>
      <c r="X218" s="18">
        <f>IF($A218&gt;COUNT('sheet2-计算明细'!$AT$17:$AT$330),"",MATCH($A218,'sheet2-计算明细'!$AT$17:$AT$330,0))</f>
        <v/>
      </c>
    </row>
    <row r="219" ht="28" customHeight="1" s="73">
      <c r="A219" s="2" t="n">
        <v>214</v>
      </c>
      <c r="B219" s="18">
        <f>IF($X219="","",INDEX('sheet2-计算明细'!$B$17:$B$330,$X219))</f>
        <v/>
      </c>
      <c r="C219" s="18">
        <f>IF($X219="","",INDEX('sheet2-计算明细'!$C$17:$C$330,$X219))</f>
        <v/>
      </c>
      <c r="D219" s="18">
        <f>IF($X219="","",INDEX('sheet2-计算明细'!$D$17:$D$330,$X219))</f>
        <v/>
      </c>
      <c r="E219" s="18">
        <f>IF($X219="","",INDEX('sheet2-计算明细'!$G$17:$G$330,$X219))</f>
        <v/>
      </c>
      <c r="F219" s="19">
        <f>IF($X219="","",INDEX('sheet2-计算明细'!$I$17:$I$330,$X219))</f>
        <v/>
      </c>
      <c r="G219" s="19">
        <f>IF($X219="","",INDEX('sheet2-计算明细'!$K$17:$K$330,$X219))</f>
        <v/>
      </c>
      <c r="H219" s="19">
        <f>IF($X219="","",INDEX('sheet2-计算明细'!$L$17:$L$330,$X219))</f>
        <v/>
      </c>
      <c r="I219" s="19">
        <f>IF($X219="","",INDEX('sheet2-计算明细'!$S$17:$S$330,$X219))</f>
        <v/>
      </c>
      <c r="J219" s="19">
        <f>IF($X219="","",INDEX('sheet2-计算明细'!$Y$17:$Y$330,$X219))</f>
        <v/>
      </c>
      <c r="K219" s="19">
        <f>IF($X219="","",INDEX('sheet2-计算明细'!$AC$17:$AC$330,$X219))</f>
        <v/>
      </c>
      <c r="L219" s="19">
        <f>IF($X219="","",INDEX('sheet2-计算明细'!$AI$17:$AI$330,$X219))</f>
        <v/>
      </c>
      <c r="M219" s="19">
        <f>IF($X219="","",INDEX('sheet2-计算明细'!$AK$17:$AK$330,$X219))</f>
        <v/>
      </c>
      <c r="N219" s="20">
        <f>IF(COUNT(F219:H219)=0,"",ROUND((IF(ISNUMBER(F219),F219*40%,0)+IF(ISNUMBER(G219),G219*30%,0)+IF(ISNUMBER(H219),H219*30%,0))/(IF(ISNUMBER(F219),40%,0)+IF(ISNUMBER(G219),30%,0)+IF(ISNUMBER(H219),30%,0)),2))</f>
        <v/>
      </c>
      <c r="O219" s="20">
        <f>IF(COUNT(I219:J219)=0,"",ROUND((IF(ISNUMBER(I219),I219*70%,0)+IF(ISNUMBER(J219),J219*30%,0))/(IF(ISNUMBER(I219),70%,0)+IF(ISNUMBER(J219),30%,0)),2))</f>
        <v/>
      </c>
      <c r="P219" s="20">
        <f>K219</f>
        <v/>
      </c>
      <c r="Q219" s="20">
        <f>L219</f>
        <v/>
      </c>
      <c r="R219" s="20">
        <f>M219</f>
        <v/>
      </c>
      <c r="S219" s="93">
        <f>IF($X219="","",INDEX('sheet2-计算明细'!$AQ$17:$AQ$330,$X219))</f>
        <v/>
      </c>
      <c r="T219" s="19">
        <f>IF($X219="","",INDEX('sheet2-计算明细'!$AR$17:$AR$330,$X219))</f>
        <v/>
      </c>
      <c r="U219" s="20">
        <f>IF(S219=0,"",ROUND(T219/S219,2))</f>
        <v/>
      </c>
      <c r="V219" s="20">
        <f>IF(S219=100%,T219,"")</f>
        <v/>
      </c>
      <c r="W219" s="22">
        <f>IF($X219="","",INDEX('sheet2-计算明细'!$AU$17:$AU$330,$X219))</f>
        <v/>
      </c>
      <c r="X219" s="18">
        <f>IF($A219&gt;COUNT('sheet2-计算明细'!$AT$17:$AT$330),"",MATCH($A219,'sheet2-计算明细'!$AT$17:$AT$330,0))</f>
        <v/>
      </c>
    </row>
    <row r="220" ht="28" customHeight="1" s="73">
      <c r="A220" s="2" t="n">
        <v>215</v>
      </c>
      <c r="B220" s="18">
        <f>IF($X220="","",INDEX('sheet2-计算明细'!$B$17:$B$330,$X220))</f>
        <v/>
      </c>
      <c r="C220" s="18">
        <f>IF($X220="","",INDEX('sheet2-计算明细'!$C$17:$C$330,$X220))</f>
        <v/>
      </c>
      <c r="D220" s="18">
        <f>IF($X220="","",INDEX('sheet2-计算明细'!$D$17:$D$330,$X220))</f>
        <v/>
      </c>
      <c r="E220" s="18">
        <f>IF($X220="","",INDEX('sheet2-计算明细'!$G$17:$G$330,$X220))</f>
        <v/>
      </c>
      <c r="F220" s="19">
        <f>IF($X220="","",INDEX('sheet2-计算明细'!$I$17:$I$330,$X220))</f>
        <v/>
      </c>
      <c r="G220" s="19">
        <f>IF($X220="","",INDEX('sheet2-计算明细'!$K$17:$K$330,$X220))</f>
        <v/>
      </c>
      <c r="H220" s="19">
        <f>IF($X220="","",INDEX('sheet2-计算明细'!$L$17:$L$330,$X220))</f>
        <v/>
      </c>
      <c r="I220" s="19">
        <f>IF($X220="","",INDEX('sheet2-计算明细'!$S$17:$S$330,$X220))</f>
        <v/>
      </c>
      <c r="J220" s="19">
        <f>IF($X220="","",INDEX('sheet2-计算明细'!$Y$17:$Y$330,$X220))</f>
        <v/>
      </c>
      <c r="K220" s="19">
        <f>IF($X220="","",INDEX('sheet2-计算明细'!$AC$17:$AC$330,$X220))</f>
        <v/>
      </c>
      <c r="L220" s="19">
        <f>IF($X220="","",INDEX('sheet2-计算明细'!$AI$17:$AI$330,$X220))</f>
        <v/>
      </c>
      <c r="M220" s="19">
        <f>IF($X220="","",INDEX('sheet2-计算明细'!$AK$17:$AK$330,$X220))</f>
        <v/>
      </c>
      <c r="N220" s="20">
        <f>IF(COUNT(F220:H220)=0,"",ROUND((IF(ISNUMBER(F220),F220*40%,0)+IF(ISNUMBER(G220),G220*30%,0)+IF(ISNUMBER(H220),H220*30%,0))/(IF(ISNUMBER(F220),40%,0)+IF(ISNUMBER(G220),30%,0)+IF(ISNUMBER(H220),30%,0)),2))</f>
        <v/>
      </c>
      <c r="O220" s="20">
        <f>IF(COUNT(I220:J220)=0,"",ROUND((IF(ISNUMBER(I220),I220*70%,0)+IF(ISNUMBER(J220),J220*30%,0))/(IF(ISNUMBER(I220),70%,0)+IF(ISNUMBER(J220),30%,0)),2))</f>
        <v/>
      </c>
      <c r="P220" s="20">
        <f>K220</f>
        <v/>
      </c>
      <c r="Q220" s="20">
        <f>L220</f>
        <v/>
      </c>
      <c r="R220" s="20">
        <f>M220</f>
        <v/>
      </c>
      <c r="S220" s="93">
        <f>IF($X220="","",INDEX('sheet2-计算明细'!$AQ$17:$AQ$330,$X220))</f>
        <v/>
      </c>
      <c r="T220" s="19">
        <f>IF($X220="","",INDEX('sheet2-计算明细'!$AR$17:$AR$330,$X220))</f>
        <v/>
      </c>
      <c r="U220" s="20">
        <f>IF(S220=0,"",ROUND(T220/S220,2))</f>
        <v/>
      </c>
      <c r="V220" s="20">
        <f>IF(S220=100%,T220,"")</f>
        <v/>
      </c>
      <c r="W220" s="22">
        <f>IF($X220="","",INDEX('sheet2-计算明细'!$AU$17:$AU$330,$X220))</f>
        <v/>
      </c>
      <c r="X220" s="18">
        <f>IF($A220&gt;COUNT('sheet2-计算明细'!$AT$17:$AT$330),"",MATCH($A220,'sheet2-计算明细'!$AT$17:$AT$330,0))</f>
        <v/>
      </c>
    </row>
    <row r="221" ht="28" customHeight="1" s="73">
      <c r="A221" s="2" t="n">
        <v>216</v>
      </c>
      <c r="B221" s="18">
        <f>IF($X221="","",INDEX('sheet2-计算明细'!$B$17:$B$330,$X221))</f>
        <v/>
      </c>
      <c r="C221" s="18">
        <f>IF($X221="","",INDEX('sheet2-计算明细'!$C$17:$C$330,$X221))</f>
        <v/>
      </c>
      <c r="D221" s="18">
        <f>IF($X221="","",INDEX('sheet2-计算明细'!$D$17:$D$330,$X221))</f>
        <v/>
      </c>
      <c r="E221" s="18">
        <f>IF($X221="","",INDEX('sheet2-计算明细'!$G$17:$G$330,$X221))</f>
        <v/>
      </c>
      <c r="F221" s="19">
        <f>IF($X221="","",INDEX('sheet2-计算明细'!$I$17:$I$330,$X221))</f>
        <v/>
      </c>
      <c r="G221" s="19">
        <f>IF($X221="","",INDEX('sheet2-计算明细'!$K$17:$K$330,$X221))</f>
        <v/>
      </c>
      <c r="H221" s="19">
        <f>IF($X221="","",INDEX('sheet2-计算明细'!$L$17:$L$330,$X221))</f>
        <v/>
      </c>
      <c r="I221" s="19">
        <f>IF($X221="","",INDEX('sheet2-计算明细'!$S$17:$S$330,$X221))</f>
        <v/>
      </c>
      <c r="J221" s="19">
        <f>IF($X221="","",INDEX('sheet2-计算明细'!$Y$17:$Y$330,$X221))</f>
        <v/>
      </c>
      <c r="K221" s="19">
        <f>IF($X221="","",INDEX('sheet2-计算明细'!$AC$17:$AC$330,$X221))</f>
        <v/>
      </c>
      <c r="L221" s="19">
        <f>IF($X221="","",INDEX('sheet2-计算明细'!$AI$17:$AI$330,$X221))</f>
        <v/>
      </c>
      <c r="M221" s="19">
        <f>IF($X221="","",INDEX('sheet2-计算明细'!$AK$17:$AK$330,$X221))</f>
        <v/>
      </c>
      <c r="N221" s="20">
        <f>IF(COUNT(F221:H221)=0,"",ROUND((IF(ISNUMBER(F221),F221*40%,0)+IF(ISNUMBER(G221),G221*30%,0)+IF(ISNUMBER(H221),H221*30%,0))/(IF(ISNUMBER(F221),40%,0)+IF(ISNUMBER(G221),30%,0)+IF(ISNUMBER(H221),30%,0)),2))</f>
        <v/>
      </c>
      <c r="O221" s="20">
        <f>IF(COUNT(I221:J221)=0,"",ROUND((IF(ISNUMBER(I221),I221*70%,0)+IF(ISNUMBER(J221),J221*30%,0))/(IF(ISNUMBER(I221),70%,0)+IF(ISNUMBER(J221),30%,0)),2))</f>
        <v/>
      </c>
      <c r="P221" s="20">
        <f>K221</f>
        <v/>
      </c>
      <c r="Q221" s="20">
        <f>L221</f>
        <v/>
      </c>
      <c r="R221" s="20">
        <f>M221</f>
        <v/>
      </c>
      <c r="S221" s="93">
        <f>IF($X221="","",INDEX('sheet2-计算明细'!$AQ$17:$AQ$330,$X221))</f>
        <v/>
      </c>
      <c r="T221" s="19">
        <f>IF($X221="","",INDEX('sheet2-计算明细'!$AR$17:$AR$330,$X221))</f>
        <v/>
      </c>
      <c r="U221" s="20">
        <f>IF(S221=0,"",ROUND(T221/S221,2))</f>
        <v/>
      </c>
      <c r="V221" s="20">
        <f>IF(S221=100%,T221,"")</f>
        <v/>
      </c>
      <c r="W221" s="22">
        <f>IF($X221="","",INDEX('sheet2-计算明细'!$AU$17:$AU$330,$X221))</f>
        <v/>
      </c>
      <c r="X221" s="18">
        <f>IF($A221&gt;COUNT('sheet2-计算明细'!$AT$17:$AT$330),"",MATCH($A221,'sheet2-计算明细'!$AT$17:$AT$330,0))</f>
        <v/>
      </c>
    </row>
    <row r="222" ht="28" customHeight="1" s="73">
      <c r="A222" s="2" t="n">
        <v>217</v>
      </c>
      <c r="B222" s="18">
        <f>IF($X222="","",INDEX('sheet2-计算明细'!$B$17:$B$330,$X222))</f>
        <v/>
      </c>
      <c r="C222" s="18">
        <f>IF($X222="","",INDEX('sheet2-计算明细'!$C$17:$C$330,$X222))</f>
        <v/>
      </c>
      <c r="D222" s="18">
        <f>IF($X222="","",INDEX('sheet2-计算明细'!$D$17:$D$330,$X222))</f>
        <v/>
      </c>
      <c r="E222" s="18">
        <f>IF($X222="","",INDEX('sheet2-计算明细'!$G$17:$G$330,$X222))</f>
        <v/>
      </c>
      <c r="F222" s="19">
        <f>IF($X222="","",INDEX('sheet2-计算明细'!$I$17:$I$330,$X222))</f>
        <v/>
      </c>
      <c r="G222" s="19">
        <f>IF($X222="","",INDEX('sheet2-计算明细'!$K$17:$K$330,$X222))</f>
        <v/>
      </c>
      <c r="H222" s="19">
        <f>IF($X222="","",INDEX('sheet2-计算明细'!$L$17:$L$330,$X222))</f>
        <v/>
      </c>
      <c r="I222" s="19">
        <f>IF($X222="","",INDEX('sheet2-计算明细'!$S$17:$S$330,$X222))</f>
        <v/>
      </c>
      <c r="J222" s="19">
        <f>IF($X222="","",INDEX('sheet2-计算明细'!$Y$17:$Y$330,$X222))</f>
        <v/>
      </c>
      <c r="K222" s="19">
        <f>IF($X222="","",INDEX('sheet2-计算明细'!$AC$17:$AC$330,$X222))</f>
        <v/>
      </c>
      <c r="L222" s="19">
        <f>IF($X222="","",INDEX('sheet2-计算明细'!$AI$17:$AI$330,$X222))</f>
        <v/>
      </c>
      <c r="M222" s="19">
        <f>IF($X222="","",INDEX('sheet2-计算明细'!$AK$17:$AK$330,$X222))</f>
        <v/>
      </c>
      <c r="N222" s="20">
        <f>IF(COUNT(F222:H222)=0,"",ROUND((IF(ISNUMBER(F222),F222*40%,0)+IF(ISNUMBER(G222),G222*30%,0)+IF(ISNUMBER(H222),H222*30%,0))/(IF(ISNUMBER(F222),40%,0)+IF(ISNUMBER(G222),30%,0)+IF(ISNUMBER(H222),30%,0)),2))</f>
        <v/>
      </c>
      <c r="O222" s="20">
        <f>IF(COUNT(I222:J222)=0,"",ROUND((IF(ISNUMBER(I222),I222*70%,0)+IF(ISNUMBER(J222),J222*30%,0))/(IF(ISNUMBER(I222),70%,0)+IF(ISNUMBER(J222),30%,0)),2))</f>
        <v/>
      </c>
      <c r="P222" s="20">
        <f>K222</f>
        <v/>
      </c>
      <c r="Q222" s="20">
        <f>L222</f>
        <v/>
      </c>
      <c r="R222" s="20">
        <f>M222</f>
        <v/>
      </c>
      <c r="S222" s="93">
        <f>IF($X222="","",INDEX('sheet2-计算明细'!$AQ$17:$AQ$330,$X222))</f>
        <v/>
      </c>
      <c r="T222" s="19">
        <f>IF($X222="","",INDEX('sheet2-计算明细'!$AR$17:$AR$330,$X222))</f>
        <v/>
      </c>
      <c r="U222" s="20">
        <f>IF(S222=0,"",ROUND(T222/S222,2))</f>
        <v/>
      </c>
      <c r="V222" s="20">
        <f>IF(S222=100%,T222,"")</f>
        <v/>
      </c>
      <c r="W222" s="22">
        <f>IF($X222="","",INDEX('sheet2-计算明细'!$AU$17:$AU$330,$X222))</f>
        <v/>
      </c>
      <c r="X222" s="18">
        <f>IF($A222&gt;COUNT('sheet2-计算明细'!$AT$17:$AT$330),"",MATCH($A222,'sheet2-计算明细'!$AT$17:$AT$330,0))</f>
        <v/>
      </c>
    </row>
    <row r="223" ht="28" customHeight="1" s="73">
      <c r="A223" s="2" t="n">
        <v>218</v>
      </c>
      <c r="B223" s="18">
        <f>IF($X223="","",INDEX('sheet2-计算明细'!$B$17:$B$330,$X223))</f>
        <v/>
      </c>
      <c r="C223" s="18">
        <f>IF($X223="","",INDEX('sheet2-计算明细'!$C$17:$C$330,$X223))</f>
        <v/>
      </c>
      <c r="D223" s="18">
        <f>IF($X223="","",INDEX('sheet2-计算明细'!$D$17:$D$330,$X223))</f>
        <v/>
      </c>
      <c r="E223" s="18">
        <f>IF($X223="","",INDEX('sheet2-计算明细'!$G$17:$G$330,$X223))</f>
        <v/>
      </c>
      <c r="F223" s="19">
        <f>IF($X223="","",INDEX('sheet2-计算明细'!$I$17:$I$330,$X223))</f>
        <v/>
      </c>
      <c r="G223" s="19">
        <f>IF($X223="","",INDEX('sheet2-计算明细'!$K$17:$K$330,$X223))</f>
        <v/>
      </c>
      <c r="H223" s="19">
        <f>IF($X223="","",INDEX('sheet2-计算明细'!$L$17:$L$330,$X223))</f>
        <v/>
      </c>
      <c r="I223" s="19">
        <f>IF($X223="","",INDEX('sheet2-计算明细'!$S$17:$S$330,$X223))</f>
        <v/>
      </c>
      <c r="J223" s="19">
        <f>IF($X223="","",INDEX('sheet2-计算明细'!$Y$17:$Y$330,$X223))</f>
        <v/>
      </c>
      <c r="K223" s="19">
        <f>IF($X223="","",INDEX('sheet2-计算明细'!$AC$17:$AC$330,$X223))</f>
        <v/>
      </c>
      <c r="L223" s="19">
        <f>IF($X223="","",INDEX('sheet2-计算明细'!$AI$17:$AI$330,$X223))</f>
        <v/>
      </c>
      <c r="M223" s="19">
        <f>IF($X223="","",INDEX('sheet2-计算明细'!$AK$17:$AK$330,$X223))</f>
        <v/>
      </c>
      <c r="N223" s="20">
        <f>IF(COUNT(F223:H223)=0,"",ROUND((IF(ISNUMBER(F223),F223*40%,0)+IF(ISNUMBER(G223),G223*30%,0)+IF(ISNUMBER(H223),H223*30%,0))/(IF(ISNUMBER(F223),40%,0)+IF(ISNUMBER(G223),30%,0)+IF(ISNUMBER(H223),30%,0)),2))</f>
        <v/>
      </c>
      <c r="O223" s="20">
        <f>IF(COUNT(I223:J223)=0,"",ROUND((IF(ISNUMBER(I223),I223*70%,0)+IF(ISNUMBER(J223),J223*30%,0))/(IF(ISNUMBER(I223),70%,0)+IF(ISNUMBER(J223),30%,0)),2))</f>
        <v/>
      </c>
      <c r="P223" s="20">
        <f>K223</f>
        <v/>
      </c>
      <c r="Q223" s="20">
        <f>L223</f>
        <v/>
      </c>
      <c r="R223" s="20">
        <f>M223</f>
        <v/>
      </c>
      <c r="S223" s="93">
        <f>IF($X223="","",INDEX('sheet2-计算明细'!$AQ$17:$AQ$330,$X223))</f>
        <v/>
      </c>
      <c r="T223" s="19">
        <f>IF($X223="","",INDEX('sheet2-计算明细'!$AR$17:$AR$330,$X223))</f>
        <v/>
      </c>
      <c r="U223" s="20">
        <f>IF(S223=0,"",ROUND(T223/S223,2))</f>
        <v/>
      </c>
      <c r="V223" s="20">
        <f>IF(S223=100%,T223,"")</f>
        <v/>
      </c>
      <c r="W223" s="22">
        <f>IF($X223="","",INDEX('sheet2-计算明细'!$AU$17:$AU$330,$X223))</f>
        <v/>
      </c>
      <c r="X223" s="18">
        <f>IF($A223&gt;COUNT('sheet2-计算明细'!$AT$17:$AT$330),"",MATCH($A223,'sheet2-计算明细'!$AT$17:$AT$330,0))</f>
        <v/>
      </c>
    </row>
    <row r="224" ht="28" customHeight="1" s="73">
      <c r="A224" s="2" t="n">
        <v>219</v>
      </c>
      <c r="B224" s="18">
        <f>IF($X224="","",INDEX('sheet2-计算明细'!$B$17:$B$330,$X224))</f>
        <v/>
      </c>
      <c r="C224" s="18">
        <f>IF($X224="","",INDEX('sheet2-计算明细'!$C$17:$C$330,$X224))</f>
        <v/>
      </c>
      <c r="D224" s="18">
        <f>IF($X224="","",INDEX('sheet2-计算明细'!$D$17:$D$330,$X224))</f>
        <v/>
      </c>
      <c r="E224" s="18">
        <f>IF($X224="","",INDEX('sheet2-计算明细'!$G$17:$G$330,$X224))</f>
        <v/>
      </c>
      <c r="F224" s="19">
        <f>IF($X224="","",INDEX('sheet2-计算明细'!$I$17:$I$330,$X224))</f>
        <v/>
      </c>
      <c r="G224" s="19">
        <f>IF($X224="","",INDEX('sheet2-计算明细'!$K$17:$K$330,$X224))</f>
        <v/>
      </c>
      <c r="H224" s="19">
        <f>IF($X224="","",INDEX('sheet2-计算明细'!$L$17:$L$330,$X224))</f>
        <v/>
      </c>
      <c r="I224" s="19">
        <f>IF($X224="","",INDEX('sheet2-计算明细'!$S$17:$S$330,$X224))</f>
        <v/>
      </c>
      <c r="J224" s="19">
        <f>IF($X224="","",INDEX('sheet2-计算明细'!$Y$17:$Y$330,$X224))</f>
        <v/>
      </c>
      <c r="K224" s="19">
        <f>IF($X224="","",INDEX('sheet2-计算明细'!$AC$17:$AC$330,$X224))</f>
        <v/>
      </c>
      <c r="L224" s="19">
        <f>IF($X224="","",INDEX('sheet2-计算明细'!$AI$17:$AI$330,$X224))</f>
        <v/>
      </c>
      <c r="M224" s="19">
        <f>IF($X224="","",INDEX('sheet2-计算明细'!$AK$17:$AK$330,$X224))</f>
        <v/>
      </c>
      <c r="N224" s="20">
        <f>IF(COUNT(F224:H224)=0,"",ROUND((IF(ISNUMBER(F224),F224*40%,0)+IF(ISNUMBER(G224),G224*30%,0)+IF(ISNUMBER(H224),H224*30%,0))/(IF(ISNUMBER(F224),40%,0)+IF(ISNUMBER(G224),30%,0)+IF(ISNUMBER(H224),30%,0)),2))</f>
        <v/>
      </c>
      <c r="O224" s="20">
        <f>IF(COUNT(I224:J224)=0,"",ROUND((IF(ISNUMBER(I224),I224*70%,0)+IF(ISNUMBER(J224),J224*30%,0))/(IF(ISNUMBER(I224),70%,0)+IF(ISNUMBER(J224),30%,0)),2))</f>
        <v/>
      </c>
      <c r="P224" s="20">
        <f>K224</f>
        <v/>
      </c>
      <c r="Q224" s="20">
        <f>L224</f>
        <v/>
      </c>
      <c r="R224" s="20">
        <f>M224</f>
        <v/>
      </c>
      <c r="S224" s="93">
        <f>IF($X224="","",INDEX('sheet2-计算明细'!$AQ$17:$AQ$330,$X224))</f>
        <v/>
      </c>
      <c r="T224" s="19">
        <f>IF($X224="","",INDEX('sheet2-计算明细'!$AR$17:$AR$330,$X224))</f>
        <v/>
      </c>
      <c r="U224" s="20">
        <f>IF(S224=0,"",ROUND(T224/S224,2))</f>
        <v/>
      </c>
      <c r="V224" s="20">
        <f>IF(S224=100%,T224,"")</f>
        <v/>
      </c>
      <c r="W224" s="22">
        <f>IF($X224="","",INDEX('sheet2-计算明细'!$AU$17:$AU$330,$X224))</f>
        <v/>
      </c>
      <c r="X224" s="18">
        <f>IF($A224&gt;COUNT('sheet2-计算明细'!$AT$17:$AT$330),"",MATCH($A224,'sheet2-计算明细'!$AT$17:$AT$330,0))</f>
        <v/>
      </c>
    </row>
    <row r="225" ht="28" customHeight="1" s="73">
      <c r="A225" s="2" t="n">
        <v>220</v>
      </c>
      <c r="B225" s="18">
        <f>IF($X225="","",INDEX('sheet2-计算明细'!$B$17:$B$330,$X225))</f>
        <v/>
      </c>
      <c r="C225" s="18">
        <f>IF($X225="","",INDEX('sheet2-计算明细'!$C$17:$C$330,$X225))</f>
        <v/>
      </c>
      <c r="D225" s="18">
        <f>IF($X225="","",INDEX('sheet2-计算明细'!$D$17:$D$330,$X225))</f>
        <v/>
      </c>
      <c r="E225" s="18">
        <f>IF($X225="","",INDEX('sheet2-计算明细'!$G$17:$G$330,$X225))</f>
        <v/>
      </c>
      <c r="F225" s="19">
        <f>IF($X225="","",INDEX('sheet2-计算明细'!$I$17:$I$330,$X225))</f>
        <v/>
      </c>
      <c r="G225" s="19">
        <f>IF($X225="","",INDEX('sheet2-计算明细'!$K$17:$K$330,$X225))</f>
        <v/>
      </c>
      <c r="H225" s="19">
        <f>IF($X225="","",INDEX('sheet2-计算明细'!$L$17:$L$330,$X225))</f>
        <v/>
      </c>
      <c r="I225" s="19">
        <f>IF($X225="","",INDEX('sheet2-计算明细'!$S$17:$S$330,$X225))</f>
        <v/>
      </c>
      <c r="J225" s="19">
        <f>IF($X225="","",INDEX('sheet2-计算明细'!$Y$17:$Y$330,$X225))</f>
        <v/>
      </c>
      <c r="K225" s="19">
        <f>IF($X225="","",INDEX('sheet2-计算明细'!$AC$17:$AC$330,$X225))</f>
        <v/>
      </c>
      <c r="L225" s="19">
        <f>IF($X225="","",INDEX('sheet2-计算明细'!$AI$17:$AI$330,$X225))</f>
        <v/>
      </c>
      <c r="M225" s="19">
        <f>IF($X225="","",INDEX('sheet2-计算明细'!$AK$17:$AK$330,$X225))</f>
        <v/>
      </c>
      <c r="N225" s="20">
        <f>IF(COUNT(F225:H225)=0,"",ROUND((IF(ISNUMBER(F225),F225*40%,0)+IF(ISNUMBER(G225),G225*30%,0)+IF(ISNUMBER(H225),H225*30%,0))/(IF(ISNUMBER(F225),40%,0)+IF(ISNUMBER(G225),30%,0)+IF(ISNUMBER(H225),30%,0)),2))</f>
        <v/>
      </c>
      <c r="O225" s="20">
        <f>IF(COUNT(I225:J225)=0,"",ROUND((IF(ISNUMBER(I225),I225*70%,0)+IF(ISNUMBER(J225),J225*30%,0))/(IF(ISNUMBER(I225),70%,0)+IF(ISNUMBER(J225),30%,0)),2))</f>
        <v/>
      </c>
      <c r="P225" s="20">
        <f>K225</f>
        <v/>
      </c>
      <c r="Q225" s="20">
        <f>L225</f>
        <v/>
      </c>
      <c r="R225" s="20">
        <f>M225</f>
        <v/>
      </c>
      <c r="S225" s="93">
        <f>IF($X225="","",INDEX('sheet2-计算明细'!$AQ$17:$AQ$330,$X225))</f>
        <v/>
      </c>
      <c r="T225" s="19">
        <f>IF($X225="","",INDEX('sheet2-计算明细'!$AR$17:$AR$330,$X225))</f>
        <v/>
      </c>
      <c r="U225" s="20">
        <f>IF(S225=0,"",ROUND(T225/S225,2))</f>
        <v/>
      </c>
      <c r="V225" s="20">
        <f>IF(S225=100%,T225,"")</f>
        <v/>
      </c>
      <c r="W225" s="22">
        <f>IF($X225="","",INDEX('sheet2-计算明细'!$AU$17:$AU$330,$X225))</f>
        <v/>
      </c>
      <c r="X225" s="18">
        <f>IF($A225&gt;COUNT('sheet2-计算明细'!$AT$17:$AT$330),"",MATCH($A225,'sheet2-计算明细'!$AT$17:$AT$330,0))</f>
        <v/>
      </c>
    </row>
    <row r="226" ht="28" customHeight="1" s="73">
      <c r="A226" s="2" t="n">
        <v>221</v>
      </c>
      <c r="B226" s="18">
        <f>IF($X226="","",INDEX('sheet2-计算明细'!$B$17:$B$330,$X226))</f>
        <v/>
      </c>
      <c r="C226" s="18">
        <f>IF($X226="","",INDEX('sheet2-计算明细'!$C$17:$C$330,$X226))</f>
        <v/>
      </c>
      <c r="D226" s="18">
        <f>IF($X226="","",INDEX('sheet2-计算明细'!$D$17:$D$330,$X226))</f>
        <v/>
      </c>
      <c r="E226" s="18">
        <f>IF($X226="","",INDEX('sheet2-计算明细'!$G$17:$G$330,$X226))</f>
        <v/>
      </c>
      <c r="F226" s="19">
        <f>IF($X226="","",INDEX('sheet2-计算明细'!$I$17:$I$330,$X226))</f>
        <v/>
      </c>
      <c r="G226" s="19">
        <f>IF($X226="","",INDEX('sheet2-计算明细'!$K$17:$K$330,$X226))</f>
        <v/>
      </c>
      <c r="H226" s="19">
        <f>IF($X226="","",INDEX('sheet2-计算明细'!$L$17:$L$330,$X226))</f>
        <v/>
      </c>
      <c r="I226" s="19">
        <f>IF($X226="","",INDEX('sheet2-计算明细'!$S$17:$S$330,$X226))</f>
        <v/>
      </c>
      <c r="J226" s="19">
        <f>IF($X226="","",INDEX('sheet2-计算明细'!$Y$17:$Y$330,$X226))</f>
        <v/>
      </c>
      <c r="K226" s="19">
        <f>IF($X226="","",INDEX('sheet2-计算明细'!$AC$17:$AC$330,$X226))</f>
        <v/>
      </c>
      <c r="L226" s="19">
        <f>IF($X226="","",INDEX('sheet2-计算明细'!$AI$17:$AI$330,$X226))</f>
        <v/>
      </c>
      <c r="M226" s="19">
        <f>IF($X226="","",INDEX('sheet2-计算明细'!$AK$17:$AK$330,$X226))</f>
        <v/>
      </c>
      <c r="N226" s="20">
        <f>IF(COUNT(F226:H226)=0,"",ROUND((IF(ISNUMBER(F226),F226*40%,0)+IF(ISNUMBER(G226),G226*30%,0)+IF(ISNUMBER(H226),H226*30%,0))/(IF(ISNUMBER(F226),40%,0)+IF(ISNUMBER(G226),30%,0)+IF(ISNUMBER(H226),30%,0)),2))</f>
        <v/>
      </c>
      <c r="O226" s="20">
        <f>IF(COUNT(I226:J226)=0,"",ROUND((IF(ISNUMBER(I226),I226*70%,0)+IF(ISNUMBER(J226),J226*30%,0))/(IF(ISNUMBER(I226),70%,0)+IF(ISNUMBER(J226),30%,0)),2))</f>
        <v/>
      </c>
      <c r="P226" s="20">
        <f>K226</f>
        <v/>
      </c>
      <c r="Q226" s="20">
        <f>L226</f>
        <v/>
      </c>
      <c r="R226" s="20">
        <f>M226</f>
        <v/>
      </c>
      <c r="S226" s="93">
        <f>IF($X226="","",INDEX('sheet2-计算明细'!$AQ$17:$AQ$330,$X226))</f>
        <v/>
      </c>
      <c r="T226" s="19">
        <f>IF($X226="","",INDEX('sheet2-计算明细'!$AR$17:$AR$330,$X226))</f>
        <v/>
      </c>
      <c r="U226" s="20">
        <f>IF(S226=0,"",ROUND(T226/S226,2))</f>
        <v/>
      </c>
      <c r="V226" s="20">
        <f>IF(S226=100%,T226,"")</f>
        <v/>
      </c>
      <c r="W226" s="22">
        <f>IF($X226="","",INDEX('sheet2-计算明细'!$AU$17:$AU$330,$X226))</f>
        <v/>
      </c>
      <c r="X226" s="18">
        <f>IF($A226&gt;COUNT('sheet2-计算明细'!$AT$17:$AT$330),"",MATCH($A226,'sheet2-计算明细'!$AT$17:$AT$330,0))</f>
        <v/>
      </c>
    </row>
    <row r="227" ht="28" customHeight="1" s="73">
      <c r="A227" s="2" t="n">
        <v>222</v>
      </c>
      <c r="B227" s="18">
        <f>IF($X227="","",INDEX('sheet2-计算明细'!$B$17:$B$330,$X227))</f>
        <v/>
      </c>
      <c r="C227" s="18">
        <f>IF($X227="","",INDEX('sheet2-计算明细'!$C$17:$C$330,$X227))</f>
        <v/>
      </c>
      <c r="D227" s="18">
        <f>IF($X227="","",INDEX('sheet2-计算明细'!$D$17:$D$330,$X227))</f>
        <v/>
      </c>
      <c r="E227" s="18">
        <f>IF($X227="","",INDEX('sheet2-计算明细'!$G$17:$G$330,$X227))</f>
        <v/>
      </c>
      <c r="F227" s="19">
        <f>IF($X227="","",INDEX('sheet2-计算明细'!$I$17:$I$330,$X227))</f>
        <v/>
      </c>
      <c r="G227" s="19">
        <f>IF($X227="","",INDEX('sheet2-计算明细'!$K$17:$K$330,$X227))</f>
        <v/>
      </c>
      <c r="H227" s="19">
        <f>IF($X227="","",INDEX('sheet2-计算明细'!$L$17:$L$330,$X227))</f>
        <v/>
      </c>
      <c r="I227" s="19">
        <f>IF($X227="","",INDEX('sheet2-计算明细'!$S$17:$S$330,$X227))</f>
        <v/>
      </c>
      <c r="J227" s="19">
        <f>IF($X227="","",INDEX('sheet2-计算明细'!$Y$17:$Y$330,$X227))</f>
        <v/>
      </c>
      <c r="K227" s="19">
        <f>IF($X227="","",INDEX('sheet2-计算明细'!$AC$17:$AC$330,$X227))</f>
        <v/>
      </c>
      <c r="L227" s="19">
        <f>IF($X227="","",INDEX('sheet2-计算明细'!$AI$17:$AI$330,$X227))</f>
        <v/>
      </c>
      <c r="M227" s="19">
        <f>IF($X227="","",INDEX('sheet2-计算明细'!$AK$17:$AK$330,$X227))</f>
        <v/>
      </c>
      <c r="N227" s="20">
        <f>IF(COUNT(F227:H227)=0,"",ROUND((IF(ISNUMBER(F227),F227*40%,0)+IF(ISNUMBER(G227),G227*30%,0)+IF(ISNUMBER(H227),H227*30%,0))/(IF(ISNUMBER(F227),40%,0)+IF(ISNUMBER(G227),30%,0)+IF(ISNUMBER(H227),30%,0)),2))</f>
        <v/>
      </c>
      <c r="O227" s="20">
        <f>IF(COUNT(I227:J227)=0,"",ROUND((IF(ISNUMBER(I227),I227*70%,0)+IF(ISNUMBER(J227),J227*30%,0))/(IF(ISNUMBER(I227),70%,0)+IF(ISNUMBER(J227),30%,0)),2))</f>
        <v/>
      </c>
      <c r="P227" s="20">
        <f>K227</f>
        <v/>
      </c>
      <c r="Q227" s="20">
        <f>L227</f>
        <v/>
      </c>
      <c r="R227" s="20">
        <f>M227</f>
        <v/>
      </c>
      <c r="S227" s="93">
        <f>IF($X227="","",INDEX('sheet2-计算明细'!$AQ$17:$AQ$330,$X227))</f>
        <v/>
      </c>
      <c r="T227" s="19">
        <f>IF($X227="","",INDEX('sheet2-计算明细'!$AR$17:$AR$330,$X227))</f>
        <v/>
      </c>
      <c r="U227" s="20">
        <f>IF(S227=0,"",ROUND(T227/S227,2))</f>
        <v/>
      </c>
      <c r="V227" s="20">
        <f>IF(S227=100%,T227,"")</f>
        <v/>
      </c>
      <c r="W227" s="22">
        <f>IF($X227="","",INDEX('sheet2-计算明细'!$AU$17:$AU$330,$X227))</f>
        <v/>
      </c>
      <c r="X227" s="18">
        <f>IF($A227&gt;COUNT('sheet2-计算明细'!$AT$17:$AT$330),"",MATCH($A227,'sheet2-计算明细'!$AT$17:$AT$330,0))</f>
        <v/>
      </c>
    </row>
    <row r="228" ht="28" customHeight="1" s="73">
      <c r="A228" s="2" t="n">
        <v>223</v>
      </c>
      <c r="B228" s="18">
        <f>IF($X228="","",INDEX('sheet2-计算明细'!$B$17:$B$330,$X228))</f>
        <v/>
      </c>
      <c r="C228" s="18">
        <f>IF($X228="","",INDEX('sheet2-计算明细'!$C$17:$C$330,$X228))</f>
        <v/>
      </c>
      <c r="D228" s="18">
        <f>IF($X228="","",INDEX('sheet2-计算明细'!$D$17:$D$330,$X228))</f>
        <v/>
      </c>
      <c r="E228" s="18">
        <f>IF($X228="","",INDEX('sheet2-计算明细'!$G$17:$G$330,$X228))</f>
        <v/>
      </c>
      <c r="F228" s="19">
        <f>IF($X228="","",INDEX('sheet2-计算明细'!$I$17:$I$330,$X228))</f>
        <v/>
      </c>
      <c r="G228" s="19">
        <f>IF($X228="","",INDEX('sheet2-计算明细'!$K$17:$K$330,$X228))</f>
        <v/>
      </c>
      <c r="H228" s="19">
        <f>IF($X228="","",INDEX('sheet2-计算明细'!$L$17:$L$330,$X228))</f>
        <v/>
      </c>
      <c r="I228" s="19">
        <f>IF($X228="","",INDEX('sheet2-计算明细'!$S$17:$S$330,$X228))</f>
        <v/>
      </c>
      <c r="J228" s="19">
        <f>IF($X228="","",INDEX('sheet2-计算明细'!$Y$17:$Y$330,$X228))</f>
        <v/>
      </c>
      <c r="K228" s="19">
        <f>IF($X228="","",INDEX('sheet2-计算明细'!$AC$17:$AC$330,$X228))</f>
        <v/>
      </c>
      <c r="L228" s="19">
        <f>IF($X228="","",INDEX('sheet2-计算明细'!$AI$17:$AI$330,$X228))</f>
        <v/>
      </c>
      <c r="M228" s="19">
        <f>IF($X228="","",INDEX('sheet2-计算明细'!$AK$17:$AK$330,$X228))</f>
        <v/>
      </c>
      <c r="N228" s="20">
        <f>IF(COUNT(F228:H228)=0,"",ROUND((IF(ISNUMBER(F228),F228*40%,0)+IF(ISNUMBER(G228),G228*30%,0)+IF(ISNUMBER(H228),H228*30%,0))/(IF(ISNUMBER(F228),40%,0)+IF(ISNUMBER(G228),30%,0)+IF(ISNUMBER(H228),30%,0)),2))</f>
        <v/>
      </c>
      <c r="O228" s="20">
        <f>IF(COUNT(I228:J228)=0,"",ROUND((IF(ISNUMBER(I228),I228*70%,0)+IF(ISNUMBER(J228),J228*30%,0))/(IF(ISNUMBER(I228),70%,0)+IF(ISNUMBER(J228),30%,0)),2))</f>
        <v/>
      </c>
      <c r="P228" s="20">
        <f>K228</f>
        <v/>
      </c>
      <c r="Q228" s="20">
        <f>L228</f>
        <v/>
      </c>
      <c r="R228" s="20">
        <f>M228</f>
        <v/>
      </c>
      <c r="S228" s="93">
        <f>IF($X228="","",INDEX('sheet2-计算明细'!$AQ$17:$AQ$330,$X228))</f>
        <v/>
      </c>
      <c r="T228" s="19">
        <f>IF($X228="","",INDEX('sheet2-计算明细'!$AR$17:$AR$330,$X228))</f>
        <v/>
      </c>
      <c r="U228" s="20">
        <f>IF(S228=0,"",ROUND(T228/S228,2))</f>
        <v/>
      </c>
      <c r="V228" s="20">
        <f>IF(S228=100%,T228,"")</f>
        <v/>
      </c>
      <c r="W228" s="22">
        <f>IF($X228="","",INDEX('sheet2-计算明细'!$AU$17:$AU$330,$X228))</f>
        <v/>
      </c>
      <c r="X228" s="18">
        <f>IF($A228&gt;COUNT('sheet2-计算明细'!$AT$17:$AT$330),"",MATCH($A228,'sheet2-计算明细'!$AT$17:$AT$330,0))</f>
        <v/>
      </c>
    </row>
    <row r="229" ht="28" customHeight="1" s="73">
      <c r="A229" s="2" t="n">
        <v>224</v>
      </c>
      <c r="B229" s="18">
        <f>IF($X229="","",INDEX('sheet2-计算明细'!$B$17:$B$330,$X229))</f>
        <v/>
      </c>
      <c r="C229" s="18">
        <f>IF($X229="","",INDEX('sheet2-计算明细'!$C$17:$C$330,$X229))</f>
        <v/>
      </c>
      <c r="D229" s="18">
        <f>IF($X229="","",INDEX('sheet2-计算明细'!$D$17:$D$330,$X229))</f>
        <v/>
      </c>
      <c r="E229" s="18">
        <f>IF($X229="","",INDEX('sheet2-计算明细'!$G$17:$G$330,$X229))</f>
        <v/>
      </c>
      <c r="F229" s="19">
        <f>IF($X229="","",INDEX('sheet2-计算明细'!$I$17:$I$330,$X229))</f>
        <v/>
      </c>
      <c r="G229" s="19">
        <f>IF($X229="","",INDEX('sheet2-计算明细'!$K$17:$K$330,$X229))</f>
        <v/>
      </c>
      <c r="H229" s="19">
        <f>IF($X229="","",INDEX('sheet2-计算明细'!$L$17:$L$330,$X229))</f>
        <v/>
      </c>
      <c r="I229" s="19">
        <f>IF($X229="","",INDEX('sheet2-计算明细'!$S$17:$S$330,$X229))</f>
        <v/>
      </c>
      <c r="J229" s="19">
        <f>IF($X229="","",INDEX('sheet2-计算明细'!$Y$17:$Y$330,$X229))</f>
        <v/>
      </c>
      <c r="K229" s="19">
        <f>IF($X229="","",INDEX('sheet2-计算明细'!$AC$17:$AC$330,$X229))</f>
        <v/>
      </c>
      <c r="L229" s="19">
        <f>IF($X229="","",INDEX('sheet2-计算明细'!$AI$17:$AI$330,$X229))</f>
        <v/>
      </c>
      <c r="M229" s="19">
        <f>IF($X229="","",INDEX('sheet2-计算明细'!$AK$17:$AK$330,$X229))</f>
        <v/>
      </c>
      <c r="N229" s="20">
        <f>IF(COUNT(F229:H229)=0,"",ROUND((IF(ISNUMBER(F229),F229*40%,0)+IF(ISNUMBER(G229),G229*30%,0)+IF(ISNUMBER(H229),H229*30%,0))/(IF(ISNUMBER(F229),40%,0)+IF(ISNUMBER(G229),30%,0)+IF(ISNUMBER(H229),30%,0)),2))</f>
        <v/>
      </c>
      <c r="O229" s="20">
        <f>IF(COUNT(I229:J229)=0,"",ROUND((IF(ISNUMBER(I229),I229*70%,0)+IF(ISNUMBER(J229),J229*30%,0))/(IF(ISNUMBER(I229),70%,0)+IF(ISNUMBER(J229),30%,0)),2))</f>
        <v/>
      </c>
      <c r="P229" s="20">
        <f>K229</f>
        <v/>
      </c>
      <c r="Q229" s="20">
        <f>L229</f>
        <v/>
      </c>
      <c r="R229" s="20">
        <f>M229</f>
        <v/>
      </c>
      <c r="S229" s="93">
        <f>IF($X229="","",INDEX('sheet2-计算明细'!$AQ$17:$AQ$330,$X229))</f>
        <v/>
      </c>
      <c r="T229" s="19">
        <f>IF($X229="","",INDEX('sheet2-计算明细'!$AR$17:$AR$330,$X229))</f>
        <v/>
      </c>
      <c r="U229" s="20">
        <f>IF(S229=0,"",ROUND(T229/S229,2))</f>
        <v/>
      </c>
      <c r="V229" s="20">
        <f>IF(S229=100%,T229,"")</f>
        <v/>
      </c>
      <c r="W229" s="22">
        <f>IF($X229="","",INDEX('sheet2-计算明细'!$AU$17:$AU$330,$X229))</f>
        <v/>
      </c>
      <c r="X229" s="18">
        <f>IF($A229&gt;COUNT('sheet2-计算明细'!$AT$17:$AT$330),"",MATCH($A229,'sheet2-计算明细'!$AT$17:$AT$330,0))</f>
        <v/>
      </c>
    </row>
    <row r="230" ht="28" customHeight="1" s="73">
      <c r="A230" s="2" t="n">
        <v>225</v>
      </c>
      <c r="B230" s="18">
        <f>IF($X230="","",INDEX('sheet2-计算明细'!$B$17:$B$330,$X230))</f>
        <v/>
      </c>
      <c r="C230" s="18">
        <f>IF($X230="","",INDEX('sheet2-计算明细'!$C$17:$C$330,$X230))</f>
        <v/>
      </c>
      <c r="D230" s="18">
        <f>IF($X230="","",INDEX('sheet2-计算明细'!$D$17:$D$330,$X230))</f>
        <v/>
      </c>
      <c r="E230" s="18">
        <f>IF($X230="","",INDEX('sheet2-计算明细'!$G$17:$G$330,$X230))</f>
        <v/>
      </c>
      <c r="F230" s="19">
        <f>IF($X230="","",INDEX('sheet2-计算明细'!$I$17:$I$330,$X230))</f>
        <v/>
      </c>
      <c r="G230" s="19">
        <f>IF($X230="","",INDEX('sheet2-计算明细'!$K$17:$K$330,$X230))</f>
        <v/>
      </c>
      <c r="H230" s="19">
        <f>IF($X230="","",INDEX('sheet2-计算明细'!$L$17:$L$330,$X230))</f>
        <v/>
      </c>
      <c r="I230" s="19">
        <f>IF($X230="","",INDEX('sheet2-计算明细'!$S$17:$S$330,$X230))</f>
        <v/>
      </c>
      <c r="J230" s="19">
        <f>IF($X230="","",INDEX('sheet2-计算明细'!$Y$17:$Y$330,$X230))</f>
        <v/>
      </c>
      <c r="K230" s="19">
        <f>IF($X230="","",INDEX('sheet2-计算明细'!$AC$17:$AC$330,$X230))</f>
        <v/>
      </c>
      <c r="L230" s="19">
        <f>IF($X230="","",INDEX('sheet2-计算明细'!$AI$17:$AI$330,$X230))</f>
        <v/>
      </c>
      <c r="M230" s="19">
        <f>IF($X230="","",INDEX('sheet2-计算明细'!$AK$17:$AK$330,$X230))</f>
        <v/>
      </c>
      <c r="N230" s="20">
        <f>IF(COUNT(F230:H230)=0,"",ROUND((IF(ISNUMBER(F230),F230*40%,0)+IF(ISNUMBER(G230),G230*30%,0)+IF(ISNUMBER(H230),H230*30%,0))/(IF(ISNUMBER(F230),40%,0)+IF(ISNUMBER(G230),30%,0)+IF(ISNUMBER(H230),30%,0)),2))</f>
        <v/>
      </c>
      <c r="O230" s="20">
        <f>IF(COUNT(I230:J230)=0,"",ROUND((IF(ISNUMBER(I230),I230*70%,0)+IF(ISNUMBER(J230),J230*30%,0))/(IF(ISNUMBER(I230),70%,0)+IF(ISNUMBER(J230),30%,0)),2))</f>
        <v/>
      </c>
      <c r="P230" s="20">
        <f>K230</f>
        <v/>
      </c>
      <c r="Q230" s="20">
        <f>L230</f>
        <v/>
      </c>
      <c r="R230" s="20">
        <f>M230</f>
        <v/>
      </c>
      <c r="S230" s="93">
        <f>IF($X230="","",INDEX('sheet2-计算明细'!$AQ$17:$AQ$330,$X230))</f>
        <v/>
      </c>
      <c r="T230" s="19">
        <f>IF($X230="","",INDEX('sheet2-计算明细'!$AR$17:$AR$330,$X230))</f>
        <v/>
      </c>
      <c r="U230" s="20">
        <f>IF(S230=0,"",ROUND(T230/S230,2))</f>
        <v/>
      </c>
      <c r="V230" s="20">
        <f>IF(S230=100%,T230,"")</f>
        <v/>
      </c>
      <c r="W230" s="22">
        <f>IF($X230="","",INDEX('sheet2-计算明细'!$AU$17:$AU$330,$X230))</f>
        <v/>
      </c>
      <c r="X230" s="18">
        <f>IF($A230&gt;COUNT('sheet2-计算明细'!$AT$17:$AT$330),"",MATCH($A230,'sheet2-计算明细'!$AT$17:$AT$330,0))</f>
        <v/>
      </c>
    </row>
    <row r="231" ht="28" customHeight="1" s="73">
      <c r="A231" s="2" t="n">
        <v>226</v>
      </c>
      <c r="B231" s="18">
        <f>IF($X231="","",INDEX('sheet2-计算明细'!$B$17:$B$330,$X231))</f>
        <v/>
      </c>
      <c r="C231" s="18">
        <f>IF($X231="","",INDEX('sheet2-计算明细'!$C$17:$C$330,$X231))</f>
        <v/>
      </c>
      <c r="D231" s="18">
        <f>IF($X231="","",INDEX('sheet2-计算明细'!$D$17:$D$330,$X231))</f>
        <v/>
      </c>
      <c r="E231" s="18">
        <f>IF($X231="","",INDEX('sheet2-计算明细'!$G$17:$G$330,$X231))</f>
        <v/>
      </c>
      <c r="F231" s="19">
        <f>IF($X231="","",INDEX('sheet2-计算明细'!$I$17:$I$330,$X231))</f>
        <v/>
      </c>
      <c r="G231" s="19">
        <f>IF($X231="","",INDEX('sheet2-计算明细'!$K$17:$K$330,$X231))</f>
        <v/>
      </c>
      <c r="H231" s="19">
        <f>IF($X231="","",INDEX('sheet2-计算明细'!$L$17:$L$330,$X231))</f>
        <v/>
      </c>
      <c r="I231" s="19">
        <f>IF($X231="","",INDEX('sheet2-计算明细'!$S$17:$S$330,$X231))</f>
        <v/>
      </c>
      <c r="J231" s="19">
        <f>IF($X231="","",INDEX('sheet2-计算明细'!$Y$17:$Y$330,$X231))</f>
        <v/>
      </c>
      <c r="K231" s="19">
        <f>IF($X231="","",INDEX('sheet2-计算明细'!$AC$17:$AC$330,$X231))</f>
        <v/>
      </c>
      <c r="L231" s="19">
        <f>IF($X231="","",INDEX('sheet2-计算明细'!$AI$17:$AI$330,$X231))</f>
        <v/>
      </c>
      <c r="M231" s="19">
        <f>IF($X231="","",INDEX('sheet2-计算明细'!$AK$17:$AK$330,$X231))</f>
        <v/>
      </c>
      <c r="N231" s="20">
        <f>IF(COUNT(F231:H231)=0,"",ROUND((IF(ISNUMBER(F231),F231*40%,0)+IF(ISNUMBER(G231),G231*30%,0)+IF(ISNUMBER(H231),H231*30%,0))/(IF(ISNUMBER(F231),40%,0)+IF(ISNUMBER(G231),30%,0)+IF(ISNUMBER(H231),30%,0)),2))</f>
        <v/>
      </c>
      <c r="O231" s="20">
        <f>IF(COUNT(I231:J231)=0,"",ROUND((IF(ISNUMBER(I231),I231*70%,0)+IF(ISNUMBER(J231),J231*30%,0))/(IF(ISNUMBER(I231),70%,0)+IF(ISNUMBER(J231),30%,0)),2))</f>
        <v/>
      </c>
      <c r="P231" s="20">
        <f>K231</f>
        <v/>
      </c>
      <c r="Q231" s="20">
        <f>L231</f>
        <v/>
      </c>
      <c r="R231" s="20">
        <f>M231</f>
        <v/>
      </c>
      <c r="S231" s="93">
        <f>IF($X231="","",INDEX('sheet2-计算明细'!$AQ$17:$AQ$330,$X231))</f>
        <v/>
      </c>
      <c r="T231" s="19">
        <f>IF($X231="","",INDEX('sheet2-计算明细'!$AR$17:$AR$330,$X231))</f>
        <v/>
      </c>
      <c r="U231" s="20">
        <f>IF(S231=0,"",ROUND(T231/S231,2))</f>
        <v/>
      </c>
      <c r="V231" s="20">
        <f>IF(S231=100%,T231,"")</f>
        <v/>
      </c>
      <c r="W231" s="22">
        <f>IF($X231="","",INDEX('sheet2-计算明细'!$AU$17:$AU$330,$X231))</f>
        <v/>
      </c>
      <c r="X231" s="18">
        <f>IF($A231&gt;COUNT('sheet2-计算明细'!$AT$17:$AT$330),"",MATCH($A231,'sheet2-计算明细'!$AT$17:$AT$330,0))</f>
        <v/>
      </c>
    </row>
    <row r="232" ht="28" customHeight="1" s="73">
      <c r="A232" s="2" t="n">
        <v>227</v>
      </c>
      <c r="B232" s="18">
        <f>IF($X232="","",INDEX('sheet2-计算明细'!$B$17:$B$330,$X232))</f>
        <v/>
      </c>
      <c r="C232" s="18">
        <f>IF($X232="","",INDEX('sheet2-计算明细'!$C$17:$C$330,$X232))</f>
        <v/>
      </c>
      <c r="D232" s="18">
        <f>IF($X232="","",INDEX('sheet2-计算明细'!$D$17:$D$330,$X232))</f>
        <v/>
      </c>
      <c r="E232" s="18">
        <f>IF($X232="","",INDEX('sheet2-计算明细'!$G$17:$G$330,$X232))</f>
        <v/>
      </c>
      <c r="F232" s="19">
        <f>IF($X232="","",INDEX('sheet2-计算明细'!$I$17:$I$330,$X232))</f>
        <v/>
      </c>
      <c r="G232" s="19">
        <f>IF($X232="","",INDEX('sheet2-计算明细'!$K$17:$K$330,$X232))</f>
        <v/>
      </c>
      <c r="H232" s="19">
        <f>IF($X232="","",INDEX('sheet2-计算明细'!$L$17:$L$330,$X232))</f>
        <v/>
      </c>
      <c r="I232" s="19">
        <f>IF($X232="","",INDEX('sheet2-计算明细'!$S$17:$S$330,$X232))</f>
        <v/>
      </c>
      <c r="J232" s="19">
        <f>IF($X232="","",INDEX('sheet2-计算明细'!$Y$17:$Y$330,$X232))</f>
        <v/>
      </c>
      <c r="K232" s="19">
        <f>IF($X232="","",INDEX('sheet2-计算明细'!$AC$17:$AC$330,$X232))</f>
        <v/>
      </c>
      <c r="L232" s="19">
        <f>IF($X232="","",INDEX('sheet2-计算明细'!$AI$17:$AI$330,$X232))</f>
        <v/>
      </c>
      <c r="M232" s="19">
        <f>IF($X232="","",INDEX('sheet2-计算明细'!$AK$17:$AK$330,$X232))</f>
        <v/>
      </c>
      <c r="N232" s="20">
        <f>IF(COUNT(F232:H232)=0,"",ROUND((IF(ISNUMBER(F232),F232*40%,0)+IF(ISNUMBER(G232),G232*30%,0)+IF(ISNUMBER(H232),H232*30%,0))/(IF(ISNUMBER(F232),40%,0)+IF(ISNUMBER(G232),30%,0)+IF(ISNUMBER(H232),30%,0)),2))</f>
        <v/>
      </c>
      <c r="O232" s="20">
        <f>IF(COUNT(I232:J232)=0,"",ROUND((IF(ISNUMBER(I232),I232*70%,0)+IF(ISNUMBER(J232),J232*30%,0))/(IF(ISNUMBER(I232),70%,0)+IF(ISNUMBER(J232),30%,0)),2))</f>
        <v/>
      </c>
      <c r="P232" s="20">
        <f>K232</f>
        <v/>
      </c>
      <c r="Q232" s="20">
        <f>L232</f>
        <v/>
      </c>
      <c r="R232" s="20">
        <f>M232</f>
        <v/>
      </c>
      <c r="S232" s="93">
        <f>IF($X232="","",INDEX('sheet2-计算明细'!$AQ$17:$AQ$330,$X232))</f>
        <v/>
      </c>
      <c r="T232" s="19">
        <f>IF($X232="","",INDEX('sheet2-计算明细'!$AR$17:$AR$330,$X232))</f>
        <v/>
      </c>
      <c r="U232" s="20">
        <f>IF(S232=0,"",ROUND(T232/S232,2))</f>
        <v/>
      </c>
      <c r="V232" s="20">
        <f>IF(S232=100%,T232,"")</f>
        <v/>
      </c>
      <c r="W232" s="22">
        <f>IF($X232="","",INDEX('sheet2-计算明细'!$AU$17:$AU$330,$X232))</f>
        <v/>
      </c>
      <c r="X232" s="18">
        <f>IF($A232&gt;COUNT('sheet2-计算明细'!$AT$17:$AT$330),"",MATCH($A232,'sheet2-计算明细'!$AT$17:$AT$330,0))</f>
        <v/>
      </c>
    </row>
    <row r="233" ht="28" customHeight="1" s="73">
      <c r="A233" s="2" t="n">
        <v>228</v>
      </c>
      <c r="B233" s="18">
        <f>IF($X233="","",INDEX('sheet2-计算明细'!$B$17:$B$330,$X233))</f>
        <v/>
      </c>
      <c r="C233" s="18">
        <f>IF($X233="","",INDEX('sheet2-计算明细'!$C$17:$C$330,$X233))</f>
        <v/>
      </c>
      <c r="D233" s="18">
        <f>IF($X233="","",INDEX('sheet2-计算明细'!$D$17:$D$330,$X233))</f>
        <v/>
      </c>
      <c r="E233" s="18">
        <f>IF($X233="","",INDEX('sheet2-计算明细'!$G$17:$G$330,$X233))</f>
        <v/>
      </c>
      <c r="F233" s="19">
        <f>IF($X233="","",INDEX('sheet2-计算明细'!$I$17:$I$330,$X233))</f>
        <v/>
      </c>
      <c r="G233" s="19">
        <f>IF($X233="","",INDEX('sheet2-计算明细'!$K$17:$K$330,$X233))</f>
        <v/>
      </c>
      <c r="H233" s="19">
        <f>IF($X233="","",INDEX('sheet2-计算明细'!$L$17:$L$330,$X233))</f>
        <v/>
      </c>
      <c r="I233" s="19">
        <f>IF($X233="","",INDEX('sheet2-计算明细'!$S$17:$S$330,$X233))</f>
        <v/>
      </c>
      <c r="J233" s="19">
        <f>IF($X233="","",INDEX('sheet2-计算明细'!$Y$17:$Y$330,$X233))</f>
        <v/>
      </c>
      <c r="K233" s="19">
        <f>IF($X233="","",INDEX('sheet2-计算明细'!$AC$17:$AC$330,$X233))</f>
        <v/>
      </c>
      <c r="L233" s="19">
        <f>IF($X233="","",INDEX('sheet2-计算明细'!$AI$17:$AI$330,$X233))</f>
        <v/>
      </c>
      <c r="M233" s="19">
        <f>IF($X233="","",INDEX('sheet2-计算明细'!$AK$17:$AK$330,$X233))</f>
        <v/>
      </c>
      <c r="N233" s="20">
        <f>IF(COUNT(F233:H233)=0,"",ROUND((IF(ISNUMBER(F233),F233*40%,0)+IF(ISNUMBER(G233),G233*30%,0)+IF(ISNUMBER(H233),H233*30%,0))/(IF(ISNUMBER(F233),40%,0)+IF(ISNUMBER(G233),30%,0)+IF(ISNUMBER(H233),30%,0)),2))</f>
        <v/>
      </c>
      <c r="O233" s="20">
        <f>IF(COUNT(I233:J233)=0,"",ROUND((IF(ISNUMBER(I233),I233*70%,0)+IF(ISNUMBER(J233),J233*30%,0))/(IF(ISNUMBER(I233),70%,0)+IF(ISNUMBER(J233),30%,0)),2))</f>
        <v/>
      </c>
      <c r="P233" s="20">
        <f>K233</f>
        <v/>
      </c>
      <c r="Q233" s="20">
        <f>L233</f>
        <v/>
      </c>
      <c r="R233" s="20">
        <f>M233</f>
        <v/>
      </c>
      <c r="S233" s="93">
        <f>IF($X233="","",INDEX('sheet2-计算明细'!$AQ$17:$AQ$330,$X233))</f>
        <v/>
      </c>
      <c r="T233" s="19">
        <f>IF($X233="","",INDEX('sheet2-计算明细'!$AR$17:$AR$330,$X233))</f>
        <v/>
      </c>
      <c r="U233" s="20">
        <f>IF(S233=0,"",ROUND(T233/S233,2))</f>
        <v/>
      </c>
      <c r="V233" s="20">
        <f>IF(S233=100%,T233,"")</f>
        <v/>
      </c>
      <c r="W233" s="22">
        <f>IF($X233="","",INDEX('sheet2-计算明细'!$AU$17:$AU$330,$X233))</f>
        <v/>
      </c>
      <c r="X233" s="18">
        <f>IF($A233&gt;COUNT('sheet2-计算明细'!$AT$17:$AT$330),"",MATCH($A233,'sheet2-计算明细'!$AT$17:$AT$330,0))</f>
        <v/>
      </c>
    </row>
    <row r="234" ht="28" customHeight="1" s="73">
      <c r="A234" s="2" t="n">
        <v>229</v>
      </c>
      <c r="B234" s="18">
        <f>IF($X234="","",INDEX('sheet2-计算明细'!$B$17:$B$330,$X234))</f>
        <v/>
      </c>
      <c r="C234" s="18">
        <f>IF($X234="","",INDEX('sheet2-计算明细'!$C$17:$C$330,$X234))</f>
        <v/>
      </c>
      <c r="D234" s="18">
        <f>IF($X234="","",INDEX('sheet2-计算明细'!$D$17:$D$330,$X234))</f>
        <v/>
      </c>
      <c r="E234" s="18">
        <f>IF($X234="","",INDEX('sheet2-计算明细'!$G$17:$G$330,$X234))</f>
        <v/>
      </c>
      <c r="F234" s="19">
        <f>IF($X234="","",INDEX('sheet2-计算明细'!$I$17:$I$330,$X234))</f>
        <v/>
      </c>
      <c r="G234" s="19">
        <f>IF($X234="","",INDEX('sheet2-计算明细'!$K$17:$K$330,$X234))</f>
        <v/>
      </c>
      <c r="H234" s="19">
        <f>IF($X234="","",INDEX('sheet2-计算明细'!$L$17:$L$330,$X234))</f>
        <v/>
      </c>
      <c r="I234" s="19">
        <f>IF($X234="","",INDEX('sheet2-计算明细'!$S$17:$S$330,$X234))</f>
        <v/>
      </c>
      <c r="J234" s="19">
        <f>IF($X234="","",INDEX('sheet2-计算明细'!$Y$17:$Y$330,$X234))</f>
        <v/>
      </c>
      <c r="K234" s="19">
        <f>IF($X234="","",INDEX('sheet2-计算明细'!$AC$17:$AC$330,$X234))</f>
        <v/>
      </c>
      <c r="L234" s="19">
        <f>IF($X234="","",INDEX('sheet2-计算明细'!$AI$17:$AI$330,$X234))</f>
        <v/>
      </c>
      <c r="M234" s="19">
        <f>IF($X234="","",INDEX('sheet2-计算明细'!$AK$17:$AK$330,$X234))</f>
        <v/>
      </c>
      <c r="N234" s="20">
        <f>IF(COUNT(F234:H234)=0,"",ROUND((IF(ISNUMBER(F234),F234*40%,0)+IF(ISNUMBER(G234),G234*30%,0)+IF(ISNUMBER(H234),H234*30%,0))/(IF(ISNUMBER(F234),40%,0)+IF(ISNUMBER(G234),30%,0)+IF(ISNUMBER(H234),30%,0)),2))</f>
        <v/>
      </c>
      <c r="O234" s="20">
        <f>IF(COUNT(I234:J234)=0,"",ROUND((IF(ISNUMBER(I234),I234*70%,0)+IF(ISNUMBER(J234),J234*30%,0))/(IF(ISNUMBER(I234),70%,0)+IF(ISNUMBER(J234),30%,0)),2))</f>
        <v/>
      </c>
      <c r="P234" s="20">
        <f>K234</f>
        <v/>
      </c>
      <c r="Q234" s="20">
        <f>L234</f>
        <v/>
      </c>
      <c r="R234" s="20">
        <f>M234</f>
        <v/>
      </c>
      <c r="S234" s="93">
        <f>IF($X234="","",INDEX('sheet2-计算明细'!$AQ$17:$AQ$330,$X234))</f>
        <v/>
      </c>
      <c r="T234" s="19">
        <f>IF($X234="","",INDEX('sheet2-计算明细'!$AR$17:$AR$330,$X234))</f>
        <v/>
      </c>
      <c r="U234" s="20">
        <f>IF(S234=0,"",ROUND(T234/S234,2))</f>
        <v/>
      </c>
      <c r="V234" s="20">
        <f>IF(S234=100%,T234,"")</f>
        <v/>
      </c>
      <c r="W234" s="22">
        <f>IF($X234="","",INDEX('sheet2-计算明细'!$AU$17:$AU$330,$X234))</f>
        <v/>
      </c>
      <c r="X234" s="18">
        <f>IF($A234&gt;COUNT('sheet2-计算明细'!$AT$17:$AT$330),"",MATCH($A234,'sheet2-计算明细'!$AT$17:$AT$330,0))</f>
        <v/>
      </c>
    </row>
    <row r="235" ht="28" customHeight="1" s="73">
      <c r="A235" s="2" t="n">
        <v>230</v>
      </c>
      <c r="B235" s="18">
        <f>IF($X235="","",INDEX('sheet2-计算明细'!$B$17:$B$330,$X235))</f>
        <v/>
      </c>
      <c r="C235" s="18">
        <f>IF($X235="","",INDEX('sheet2-计算明细'!$C$17:$C$330,$X235))</f>
        <v/>
      </c>
      <c r="D235" s="18">
        <f>IF($X235="","",INDEX('sheet2-计算明细'!$D$17:$D$330,$X235))</f>
        <v/>
      </c>
      <c r="E235" s="18">
        <f>IF($X235="","",INDEX('sheet2-计算明细'!$G$17:$G$330,$X235))</f>
        <v/>
      </c>
      <c r="F235" s="19">
        <f>IF($X235="","",INDEX('sheet2-计算明细'!$I$17:$I$330,$X235))</f>
        <v/>
      </c>
      <c r="G235" s="19">
        <f>IF($X235="","",INDEX('sheet2-计算明细'!$K$17:$K$330,$X235))</f>
        <v/>
      </c>
      <c r="H235" s="19">
        <f>IF($X235="","",INDEX('sheet2-计算明细'!$L$17:$L$330,$X235))</f>
        <v/>
      </c>
      <c r="I235" s="19">
        <f>IF($X235="","",INDEX('sheet2-计算明细'!$S$17:$S$330,$X235))</f>
        <v/>
      </c>
      <c r="J235" s="19">
        <f>IF($X235="","",INDEX('sheet2-计算明细'!$Y$17:$Y$330,$X235))</f>
        <v/>
      </c>
      <c r="K235" s="19">
        <f>IF($X235="","",INDEX('sheet2-计算明细'!$AC$17:$AC$330,$X235))</f>
        <v/>
      </c>
      <c r="L235" s="19">
        <f>IF($X235="","",INDEX('sheet2-计算明细'!$AI$17:$AI$330,$X235))</f>
        <v/>
      </c>
      <c r="M235" s="19">
        <f>IF($X235="","",INDEX('sheet2-计算明细'!$AK$17:$AK$330,$X235))</f>
        <v/>
      </c>
      <c r="N235" s="20">
        <f>IF(COUNT(F235:H235)=0,"",ROUND((IF(ISNUMBER(F235),F235*40%,0)+IF(ISNUMBER(G235),G235*30%,0)+IF(ISNUMBER(H235),H235*30%,0))/(IF(ISNUMBER(F235),40%,0)+IF(ISNUMBER(G235),30%,0)+IF(ISNUMBER(H235),30%,0)),2))</f>
        <v/>
      </c>
      <c r="O235" s="20">
        <f>IF(COUNT(I235:J235)=0,"",ROUND((IF(ISNUMBER(I235),I235*70%,0)+IF(ISNUMBER(J235),J235*30%,0))/(IF(ISNUMBER(I235),70%,0)+IF(ISNUMBER(J235),30%,0)),2))</f>
        <v/>
      </c>
      <c r="P235" s="20">
        <f>K235</f>
        <v/>
      </c>
      <c r="Q235" s="20">
        <f>L235</f>
        <v/>
      </c>
      <c r="R235" s="20">
        <f>M235</f>
        <v/>
      </c>
      <c r="S235" s="93">
        <f>IF($X235="","",INDEX('sheet2-计算明细'!$AQ$17:$AQ$330,$X235))</f>
        <v/>
      </c>
      <c r="T235" s="19">
        <f>IF($X235="","",INDEX('sheet2-计算明细'!$AR$17:$AR$330,$X235))</f>
        <v/>
      </c>
      <c r="U235" s="20">
        <f>IF(S235=0,"",ROUND(T235/S235,2))</f>
        <v/>
      </c>
      <c r="V235" s="20">
        <f>IF(S235=100%,T235,"")</f>
        <v/>
      </c>
      <c r="W235" s="22">
        <f>IF($X235="","",INDEX('sheet2-计算明细'!$AU$17:$AU$330,$X235))</f>
        <v/>
      </c>
      <c r="X235" s="18">
        <f>IF($A235&gt;COUNT('sheet2-计算明细'!$AT$17:$AT$330),"",MATCH($A235,'sheet2-计算明细'!$AT$17:$AT$330,0))</f>
        <v/>
      </c>
    </row>
    <row r="236" ht="28" customHeight="1" s="73">
      <c r="A236" s="2" t="n">
        <v>231</v>
      </c>
      <c r="B236" s="18">
        <f>IF($X236="","",INDEX('sheet2-计算明细'!$B$17:$B$330,$X236))</f>
        <v/>
      </c>
      <c r="C236" s="18">
        <f>IF($X236="","",INDEX('sheet2-计算明细'!$C$17:$C$330,$X236))</f>
        <v/>
      </c>
      <c r="D236" s="18">
        <f>IF($X236="","",INDEX('sheet2-计算明细'!$D$17:$D$330,$X236))</f>
        <v/>
      </c>
      <c r="E236" s="18">
        <f>IF($X236="","",INDEX('sheet2-计算明细'!$G$17:$G$330,$X236))</f>
        <v/>
      </c>
      <c r="F236" s="19">
        <f>IF($X236="","",INDEX('sheet2-计算明细'!$I$17:$I$330,$X236))</f>
        <v/>
      </c>
      <c r="G236" s="19">
        <f>IF($X236="","",INDEX('sheet2-计算明细'!$K$17:$K$330,$X236))</f>
        <v/>
      </c>
      <c r="H236" s="19">
        <f>IF($X236="","",INDEX('sheet2-计算明细'!$L$17:$L$330,$X236))</f>
        <v/>
      </c>
      <c r="I236" s="19">
        <f>IF($X236="","",INDEX('sheet2-计算明细'!$S$17:$S$330,$X236))</f>
        <v/>
      </c>
      <c r="J236" s="19">
        <f>IF($X236="","",INDEX('sheet2-计算明细'!$Y$17:$Y$330,$X236))</f>
        <v/>
      </c>
      <c r="K236" s="19">
        <f>IF($X236="","",INDEX('sheet2-计算明细'!$AC$17:$AC$330,$X236))</f>
        <v/>
      </c>
      <c r="L236" s="19">
        <f>IF($X236="","",INDEX('sheet2-计算明细'!$AI$17:$AI$330,$X236))</f>
        <v/>
      </c>
      <c r="M236" s="19">
        <f>IF($X236="","",INDEX('sheet2-计算明细'!$AK$17:$AK$330,$X236))</f>
        <v/>
      </c>
      <c r="N236" s="20">
        <f>IF(COUNT(F236:H236)=0,"",ROUND((IF(ISNUMBER(F236),F236*40%,0)+IF(ISNUMBER(G236),G236*30%,0)+IF(ISNUMBER(H236),H236*30%,0))/(IF(ISNUMBER(F236),40%,0)+IF(ISNUMBER(G236),30%,0)+IF(ISNUMBER(H236),30%,0)),2))</f>
        <v/>
      </c>
      <c r="O236" s="20">
        <f>IF(COUNT(I236:J236)=0,"",ROUND((IF(ISNUMBER(I236),I236*70%,0)+IF(ISNUMBER(J236),J236*30%,0))/(IF(ISNUMBER(I236),70%,0)+IF(ISNUMBER(J236),30%,0)),2))</f>
        <v/>
      </c>
      <c r="P236" s="20">
        <f>K236</f>
        <v/>
      </c>
      <c r="Q236" s="20">
        <f>L236</f>
        <v/>
      </c>
      <c r="R236" s="20">
        <f>M236</f>
        <v/>
      </c>
      <c r="S236" s="93">
        <f>IF($X236="","",INDEX('sheet2-计算明细'!$AQ$17:$AQ$330,$X236))</f>
        <v/>
      </c>
      <c r="T236" s="19">
        <f>IF($X236="","",INDEX('sheet2-计算明细'!$AR$17:$AR$330,$X236))</f>
        <v/>
      </c>
      <c r="U236" s="20">
        <f>IF(S236=0,"",ROUND(T236/S236,2))</f>
        <v/>
      </c>
      <c r="V236" s="20">
        <f>IF(S236=100%,T236,"")</f>
        <v/>
      </c>
      <c r="W236" s="22">
        <f>IF($X236="","",INDEX('sheet2-计算明细'!$AU$17:$AU$330,$X236))</f>
        <v/>
      </c>
      <c r="X236" s="18">
        <f>IF($A236&gt;COUNT('sheet2-计算明细'!$AT$17:$AT$330),"",MATCH($A236,'sheet2-计算明细'!$AT$17:$AT$330,0))</f>
        <v/>
      </c>
    </row>
    <row r="237" ht="28" customHeight="1" s="73">
      <c r="A237" s="2" t="n">
        <v>232</v>
      </c>
      <c r="B237" s="18">
        <f>IF($X237="","",INDEX('sheet2-计算明细'!$B$17:$B$330,$X237))</f>
        <v/>
      </c>
      <c r="C237" s="18">
        <f>IF($X237="","",INDEX('sheet2-计算明细'!$C$17:$C$330,$X237))</f>
        <v/>
      </c>
      <c r="D237" s="18">
        <f>IF($X237="","",INDEX('sheet2-计算明细'!$D$17:$D$330,$X237))</f>
        <v/>
      </c>
      <c r="E237" s="18">
        <f>IF($X237="","",INDEX('sheet2-计算明细'!$G$17:$G$330,$X237))</f>
        <v/>
      </c>
      <c r="F237" s="19">
        <f>IF($X237="","",INDEX('sheet2-计算明细'!$I$17:$I$330,$X237))</f>
        <v/>
      </c>
      <c r="G237" s="19">
        <f>IF($X237="","",INDEX('sheet2-计算明细'!$K$17:$K$330,$X237))</f>
        <v/>
      </c>
      <c r="H237" s="19">
        <f>IF($X237="","",INDEX('sheet2-计算明细'!$L$17:$L$330,$X237))</f>
        <v/>
      </c>
      <c r="I237" s="19">
        <f>IF($X237="","",INDEX('sheet2-计算明细'!$S$17:$S$330,$X237))</f>
        <v/>
      </c>
      <c r="J237" s="19">
        <f>IF($X237="","",INDEX('sheet2-计算明细'!$Y$17:$Y$330,$X237))</f>
        <v/>
      </c>
      <c r="K237" s="19">
        <f>IF($X237="","",INDEX('sheet2-计算明细'!$AC$17:$AC$330,$X237))</f>
        <v/>
      </c>
      <c r="L237" s="19">
        <f>IF($X237="","",INDEX('sheet2-计算明细'!$AI$17:$AI$330,$X237))</f>
        <v/>
      </c>
      <c r="M237" s="19">
        <f>IF($X237="","",INDEX('sheet2-计算明细'!$AK$17:$AK$330,$X237))</f>
        <v/>
      </c>
      <c r="N237" s="20">
        <f>IF(COUNT(F237:H237)=0,"",ROUND((IF(ISNUMBER(F237),F237*40%,0)+IF(ISNUMBER(G237),G237*30%,0)+IF(ISNUMBER(H237),H237*30%,0))/(IF(ISNUMBER(F237),40%,0)+IF(ISNUMBER(G237),30%,0)+IF(ISNUMBER(H237),30%,0)),2))</f>
        <v/>
      </c>
      <c r="O237" s="20">
        <f>IF(COUNT(I237:J237)=0,"",ROUND((IF(ISNUMBER(I237),I237*70%,0)+IF(ISNUMBER(J237),J237*30%,0))/(IF(ISNUMBER(I237),70%,0)+IF(ISNUMBER(J237),30%,0)),2))</f>
        <v/>
      </c>
      <c r="P237" s="20">
        <f>K237</f>
        <v/>
      </c>
      <c r="Q237" s="20">
        <f>L237</f>
        <v/>
      </c>
      <c r="R237" s="20">
        <f>M237</f>
        <v/>
      </c>
      <c r="S237" s="93">
        <f>IF($X237="","",INDEX('sheet2-计算明细'!$AQ$17:$AQ$330,$X237))</f>
        <v/>
      </c>
      <c r="T237" s="19">
        <f>IF($X237="","",INDEX('sheet2-计算明细'!$AR$17:$AR$330,$X237))</f>
        <v/>
      </c>
      <c r="U237" s="20">
        <f>IF(S237=0,"",ROUND(T237/S237,2))</f>
        <v/>
      </c>
      <c r="V237" s="20">
        <f>IF(S237=100%,T237,"")</f>
        <v/>
      </c>
      <c r="W237" s="22">
        <f>IF($X237="","",INDEX('sheet2-计算明细'!$AU$17:$AU$330,$X237))</f>
        <v/>
      </c>
      <c r="X237" s="18">
        <f>IF($A237&gt;COUNT('sheet2-计算明细'!$AT$17:$AT$330),"",MATCH($A237,'sheet2-计算明细'!$AT$17:$AT$330,0))</f>
        <v/>
      </c>
    </row>
    <row r="238" ht="28" customHeight="1" s="73">
      <c r="A238" s="2" t="n">
        <v>233</v>
      </c>
      <c r="B238" s="18">
        <f>IF($X238="","",INDEX('sheet2-计算明细'!$B$17:$B$330,$X238))</f>
        <v/>
      </c>
      <c r="C238" s="18">
        <f>IF($X238="","",INDEX('sheet2-计算明细'!$C$17:$C$330,$X238))</f>
        <v/>
      </c>
      <c r="D238" s="18">
        <f>IF($X238="","",INDEX('sheet2-计算明细'!$D$17:$D$330,$X238))</f>
        <v/>
      </c>
      <c r="E238" s="18">
        <f>IF($X238="","",INDEX('sheet2-计算明细'!$G$17:$G$330,$X238))</f>
        <v/>
      </c>
      <c r="F238" s="19">
        <f>IF($X238="","",INDEX('sheet2-计算明细'!$I$17:$I$330,$X238))</f>
        <v/>
      </c>
      <c r="G238" s="19">
        <f>IF($X238="","",INDEX('sheet2-计算明细'!$K$17:$K$330,$X238))</f>
        <v/>
      </c>
      <c r="H238" s="19">
        <f>IF($X238="","",INDEX('sheet2-计算明细'!$L$17:$L$330,$X238))</f>
        <v/>
      </c>
      <c r="I238" s="19">
        <f>IF($X238="","",INDEX('sheet2-计算明细'!$S$17:$S$330,$X238))</f>
        <v/>
      </c>
      <c r="J238" s="19">
        <f>IF($X238="","",INDEX('sheet2-计算明细'!$Y$17:$Y$330,$X238))</f>
        <v/>
      </c>
      <c r="K238" s="19">
        <f>IF($X238="","",INDEX('sheet2-计算明细'!$AC$17:$AC$330,$X238))</f>
        <v/>
      </c>
      <c r="L238" s="19">
        <f>IF($X238="","",INDEX('sheet2-计算明细'!$AI$17:$AI$330,$X238))</f>
        <v/>
      </c>
      <c r="M238" s="19">
        <f>IF($X238="","",INDEX('sheet2-计算明细'!$AK$17:$AK$330,$X238))</f>
        <v/>
      </c>
      <c r="N238" s="20">
        <f>IF(COUNT(F238:H238)=0,"",ROUND((IF(ISNUMBER(F238),F238*40%,0)+IF(ISNUMBER(G238),G238*30%,0)+IF(ISNUMBER(H238),H238*30%,0))/(IF(ISNUMBER(F238),40%,0)+IF(ISNUMBER(G238),30%,0)+IF(ISNUMBER(H238),30%,0)),2))</f>
        <v/>
      </c>
      <c r="O238" s="20">
        <f>IF(COUNT(I238:J238)=0,"",ROUND((IF(ISNUMBER(I238),I238*70%,0)+IF(ISNUMBER(J238),J238*30%,0))/(IF(ISNUMBER(I238),70%,0)+IF(ISNUMBER(J238),30%,0)),2))</f>
        <v/>
      </c>
      <c r="P238" s="20">
        <f>K238</f>
        <v/>
      </c>
      <c r="Q238" s="20">
        <f>L238</f>
        <v/>
      </c>
      <c r="R238" s="20">
        <f>M238</f>
        <v/>
      </c>
      <c r="S238" s="93">
        <f>IF($X238="","",INDEX('sheet2-计算明细'!$AQ$17:$AQ$330,$X238))</f>
        <v/>
      </c>
      <c r="T238" s="19">
        <f>IF($X238="","",INDEX('sheet2-计算明细'!$AR$17:$AR$330,$X238))</f>
        <v/>
      </c>
      <c r="U238" s="20">
        <f>IF(S238=0,"",ROUND(T238/S238,2))</f>
        <v/>
      </c>
      <c r="V238" s="20">
        <f>IF(S238=100%,T238,"")</f>
        <v/>
      </c>
      <c r="W238" s="22">
        <f>IF($X238="","",INDEX('sheet2-计算明细'!$AU$17:$AU$330,$X238))</f>
        <v/>
      </c>
      <c r="X238" s="18">
        <f>IF($A238&gt;COUNT('sheet2-计算明细'!$AT$17:$AT$330),"",MATCH($A238,'sheet2-计算明细'!$AT$17:$AT$330,0))</f>
        <v/>
      </c>
    </row>
    <row r="239" ht="28" customHeight="1" s="73">
      <c r="A239" s="2" t="n">
        <v>234</v>
      </c>
      <c r="B239" s="18">
        <f>IF($X239="","",INDEX('sheet2-计算明细'!$B$17:$B$330,$X239))</f>
        <v/>
      </c>
      <c r="C239" s="18">
        <f>IF($X239="","",INDEX('sheet2-计算明细'!$C$17:$C$330,$X239))</f>
        <v/>
      </c>
      <c r="D239" s="18">
        <f>IF($X239="","",INDEX('sheet2-计算明细'!$D$17:$D$330,$X239))</f>
        <v/>
      </c>
      <c r="E239" s="18">
        <f>IF($X239="","",INDEX('sheet2-计算明细'!$G$17:$G$330,$X239))</f>
        <v/>
      </c>
      <c r="F239" s="19">
        <f>IF($X239="","",INDEX('sheet2-计算明细'!$I$17:$I$330,$X239))</f>
        <v/>
      </c>
      <c r="G239" s="19">
        <f>IF($X239="","",INDEX('sheet2-计算明细'!$K$17:$K$330,$X239))</f>
        <v/>
      </c>
      <c r="H239" s="19">
        <f>IF($X239="","",INDEX('sheet2-计算明细'!$L$17:$L$330,$X239))</f>
        <v/>
      </c>
      <c r="I239" s="19">
        <f>IF($X239="","",INDEX('sheet2-计算明细'!$S$17:$S$330,$X239))</f>
        <v/>
      </c>
      <c r="J239" s="19">
        <f>IF($X239="","",INDEX('sheet2-计算明细'!$Y$17:$Y$330,$X239))</f>
        <v/>
      </c>
      <c r="K239" s="19">
        <f>IF($X239="","",INDEX('sheet2-计算明细'!$AC$17:$AC$330,$X239))</f>
        <v/>
      </c>
      <c r="L239" s="19">
        <f>IF($X239="","",INDEX('sheet2-计算明细'!$AI$17:$AI$330,$X239))</f>
        <v/>
      </c>
      <c r="M239" s="19">
        <f>IF($X239="","",INDEX('sheet2-计算明细'!$AK$17:$AK$330,$X239))</f>
        <v/>
      </c>
      <c r="N239" s="20">
        <f>IF(COUNT(F239:H239)=0,"",ROUND((IF(ISNUMBER(F239),F239*40%,0)+IF(ISNUMBER(G239),G239*30%,0)+IF(ISNUMBER(H239),H239*30%,0))/(IF(ISNUMBER(F239),40%,0)+IF(ISNUMBER(G239),30%,0)+IF(ISNUMBER(H239),30%,0)),2))</f>
        <v/>
      </c>
      <c r="O239" s="20">
        <f>IF(COUNT(I239:J239)=0,"",ROUND((IF(ISNUMBER(I239),I239*70%,0)+IF(ISNUMBER(J239),J239*30%,0))/(IF(ISNUMBER(I239),70%,0)+IF(ISNUMBER(J239),30%,0)),2))</f>
        <v/>
      </c>
      <c r="P239" s="20">
        <f>K239</f>
        <v/>
      </c>
      <c r="Q239" s="20">
        <f>L239</f>
        <v/>
      </c>
      <c r="R239" s="20">
        <f>M239</f>
        <v/>
      </c>
      <c r="S239" s="93">
        <f>IF($X239="","",INDEX('sheet2-计算明细'!$AQ$17:$AQ$330,$X239))</f>
        <v/>
      </c>
      <c r="T239" s="19">
        <f>IF($X239="","",INDEX('sheet2-计算明细'!$AR$17:$AR$330,$X239))</f>
        <v/>
      </c>
      <c r="U239" s="20">
        <f>IF(S239=0,"",ROUND(T239/S239,2))</f>
        <v/>
      </c>
      <c r="V239" s="20">
        <f>IF(S239=100%,T239,"")</f>
        <v/>
      </c>
      <c r="W239" s="22">
        <f>IF($X239="","",INDEX('sheet2-计算明细'!$AU$17:$AU$330,$X239))</f>
        <v/>
      </c>
      <c r="X239" s="18">
        <f>IF($A239&gt;COUNT('sheet2-计算明细'!$AT$17:$AT$330),"",MATCH($A239,'sheet2-计算明细'!$AT$17:$AT$330,0))</f>
        <v/>
      </c>
    </row>
    <row r="240" ht="28" customHeight="1" s="73">
      <c r="A240" s="2" t="n">
        <v>235</v>
      </c>
      <c r="B240" s="18">
        <f>IF($X240="","",INDEX('sheet2-计算明细'!$B$17:$B$330,$X240))</f>
        <v/>
      </c>
      <c r="C240" s="18">
        <f>IF($X240="","",INDEX('sheet2-计算明细'!$C$17:$C$330,$X240))</f>
        <v/>
      </c>
      <c r="D240" s="18">
        <f>IF($X240="","",INDEX('sheet2-计算明细'!$D$17:$D$330,$X240))</f>
        <v/>
      </c>
      <c r="E240" s="18">
        <f>IF($X240="","",INDEX('sheet2-计算明细'!$G$17:$G$330,$X240))</f>
        <v/>
      </c>
      <c r="F240" s="19">
        <f>IF($X240="","",INDEX('sheet2-计算明细'!$I$17:$I$330,$X240))</f>
        <v/>
      </c>
      <c r="G240" s="19">
        <f>IF($X240="","",INDEX('sheet2-计算明细'!$K$17:$K$330,$X240))</f>
        <v/>
      </c>
      <c r="H240" s="19">
        <f>IF($X240="","",INDEX('sheet2-计算明细'!$L$17:$L$330,$X240))</f>
        <v/>
      </c>
      <c r="I240" s="19">
        <f>IF($X240="","",INDEX('sheet2-计算明细'!$S$17:$S$330,$X240))</f>
        <v/>
      </c>
      <c r="J240" s="19">
        <f>IF($X240="","",INDEX('sheet2-计算明细'!$Y$17:$Y$330,$X240))</f>
        <v/>
      </c>
      <c r="K240" s="19">
        <f>IF($X240="","",INDEX('sheet2-计算明细'!$AC$17:$AC$330,$X240))</f>
        <v/>
      </c>
      <c r="L240" s="19">
        <f>IF($X240="","",INDEX('sheet2-计算明细'!$AI$17:$AI$330,$X240))</f>
        <v/>
      </c>
      <c r="M240" s="19">
        <f>IF($X240="","",INDEX('sheet2-计算明细'!$AK$17:$AK$330,$X240))</f>
        <v/>
      </c>
      <c r="N240" s="20">
        <f>IF(COUNT(F240:H240)=0,"",ROUND((IF(ISNUMBER(F240),F240*40%,0)+IF(ISNUMBER(G240),G240*30%,0)+IF(ISNUMBER(H240),H240*30%,0))/(IF(ISNUMBER(F240),40%,0)+IF(ISNUMBER(G240),30%,0)+IF(ISNUMBER(H240),30%,0)),2))</f>
        <v/>
      </c>
      <c r="O240" s="20">
        <f>IF(COUNT(I240:J240)=0,"",ROUND((IF(ISNUMBER(I240),I240*70%,0)+IF(ISNUMBER(J240),J240*30%,0))/(IF(ISNUMBER(I240),70%,0)+IF(ISNUMBER(J240),30%,0)),2))</f>
        <v/>
      </c>
      <c r="P240" s="20">
        <f>K240</f>
        <v/>
      </c>
      <c r="Q240" s="20">
        <f>L240</f>
        <v/>
      </c>
      <c r="R240" s="20">
        <f>M240</f>
        <v/>
      </c>
      <c r="S240" s="93">
        <f>IF($X240="","",INDEX('sheet2-计算明细'!$AQ$17:$AQ$330,$X240))</f>
        <v/>
      </c>
      <c r="T240" s="19">
        <f>IF($X240="","",INDEX('sheet2-计算明细'!$AR$17:$AR$330,$X240))</f>
        <v/>
      </c>
      <c r="U240" s="20">
        <f>IF(S240=0,"",ROUND(T240/S240,2))</f>
        <v/>
      </c>
      <c r="V240" s="20">
        <f>IF(S240=100%,T240,"")</f>
        <v/>
      </c>
      <c r="W240" s="22">
        <f>IF($X240="","",INDEX('sheet2-计算明细'!$AU$17:$AU$330,$X240))</f>
        <v/>
      </c>
      <c r="X240" s="18">
        <f>IF($A240&gt;COUNT('sheet2-计算明细'!$AT$17:$AT$330),"",MATCH($A240,'sheet2-计算明细'!$AT$17:$AT$330,0))</f>
        <v/>
      </c>
    </row>
    <row r="241" ht="28" customHeight="1" s="73">
      <c r="A241" s="2" t="n">
        <v>236</v>
      </c>
      <c r="B241" s="18">
        <f>IF($X241="","",INDEX('sheet2-计算明细'!$B$17:$B$330,$X241))</f>
        <v/>
      </c>
      <c r="C241" s="18">
        <f>IF($X241="","",INDEX('sheet2-计算明细'!$C$17:$C$330,$X241))</f>
        <v/>
      </c>
      <c r="D241" s="18">
        <f>IF($X241="","",INDEX('sheet2-计算明细'!$D$17:$D$330,$X241))</f>
        <v/>
      </c>
      <c r="E241" s="18">
        <f>IF($X241="","",INDEX('sheet2-计算明细'!$G$17:$G$330,$X241))</f>
        <v/>
      </c>
      <c r="F241" s="19">
        <f>IF($X241="","",INDEX('sheet2-计算明细'!$I$17:$I$330,$X241))</f>
        <v/>
      </c>
      <c r="G241" s="19">
        <f>IF($X241="","",INDEX('sheet2-计算明细'!$K$17:$K$330,$X241))</f>
        <v/>
      </c>
      <c r="H241" s="19">
        <f>IF($X241="","",INDEX('sheet2-计算明细'!$L$17:$L$330,$X241))</f>
        <v/>
      </c>
      <c r="I241" s="19">
        <f>IF($X241="","",INDEX('sheet2-计算明细'!$S$17:$S$330,$X241))</f>
        <v/>
      </c>
      <c r="J241" s="19">
        <f>IF($X241="","",INDEX('sheet2-计算明细'!$Y$17:$Y$330,$X241))</f>
        <v/>
      </c>
      <c r="K241" s="19">
        <f>IF($X241="","",INDEX('sheet2-计算明细'!$AC$17:$AC$330,$X241))</f>
        <v/>
      </c>
      <c r="L241" s="19">
        <f>IF($X241="","",INDEX('sheet2-计算明细'!$AI$17:$AI$330,$X241))</f>
        <v/>
      </c>
      <c r="M241" s="19">
        <f>IF($X241="","",INDEX('sheet2-计算明细'!$AK$17:$AK$330,$X241))</f>
        <v/>
      </c>
      <c r="N241" s="20">
        <f>IF(COUNT(F241:H241)=0,"",ROUND((IF(ISNUMBER(F241),F241*40%,0)+IF(ISNUMBER(G241),G241*30%,0)+IF(ISNUMBER(H241),H241*30%,0))/(IF(ISNUMBER(F241),40%,0)+IF(ISNUMBER(G241),30%,0)+IF(ISNUMBER(H241),30%,0)),2))</f>
        <v/>
      </c>
      <c r="O241" s="20">
        <f>IF(COUNT(I241:J241)=0,"",ROUND((IF(ISNUMBER(I241),I241*70%,0)+IF(ISNUMBER(J241),J241*30%,0))/(IF(ISNUMBER(I241),70%,0)+IF(ISNUMBER(J241),30%,0)),2))</f>
        <v/>
      </c>
      <c r="P241" s="20">
        <f>K241</f>
        <v/>
      </c>
      <c r="Q241" s="20">
        <f>L241</f>
        <v/>
      </c>
      <c r="R241" s="20">
        <f>M241</f>
        <v/>
      </c>
      <c r="S241" s="93">
        <f>IF($X241="","",INDEX('sheet2-计算明细'!$AQ$17:$AQ$330,$X241))</f>
        <v/>
      </c>
      <c r="T241" s="19">
        <f>IF($X241="","",INDEX('sheet2-计算明细'!$AR$17:$AR$330,$X241))</f>
        <v/>
      </c>
      <c r="U241" s="20">
        <f>IF(S241=0,"",ROUND(T241/S241,2))</f>
        <v/>
      </c>
      <c r="V241" s="20">
        <f>IF(S241=100%,T241,"")</f>
        <v/>
      </c>
      <c r="W241" s="22">
        <f>IF($X241="","",INDEX('sheet2-计算明细'!$AU$17:$AU$330,$X241))</f>
        <v/>
      </c>
      <c r="X241" s="18">
        <f>IF($A241&gt;COUNT('sheet2-计算明细'!$AT$17:$AT$330),"",MATCH($A241,'sheet2-计算明细'!$AT$17:$AT$330,0))</f>
        <v/>
      </c>
    </row>
    <row r="242" ht="28" customHeight="1" s="73">
      <c r="A242" s="2" t="n">
        <v>237</v>
      </c>
      <c r="B242" s="18">
        <f>IF($X242="","",INDEX('sheet2-计算明细'!$B$17:$B$330,$X242))</f>
        <v/>
      </c>
      <c r="C242" s="18">
        <f>IF($X242="","",INDEX('sheet2-计算明细'!$C$17:$C$330,$X242))</f>
        <v/>
      </c>
      <c r="D242" s="18">
        <f>IF($X242="","",INDEX('sheet2-计算明细'!$D$17:$D$330,$X242))</f>
        <v/>
      </c>
      <c r="E242" s="18">
        <f>IF($X242="","",INDEX('sheet2-计算明细'!$G$17:$G$330,$X242))</f>
        <v/>
      </c>
      <c r="F242" s="19">
        <f>IF($X242="","",INDEX('sheet2-计算明细'!$I$17:$I$330,$X242))</f>
        <v/>
      </c>
      <c r="G242" s="19">
        <f>IF($X242="","",INDEX('sheet2-计算明细'!$K$17:$K$330,$X242))</f>
        <v/>
      </c>
      <c r="H242" s="19">
        <f>IF($X242="","",INDEX('sheet2-计算明细'!$L$17:$L$330,$X242))</f>
        <v/>
      </c>
      <c r="I242" s="19">
        <f>IF($X242="","",INDEX('sheet2-计算明细'!$S$17:$S$330,$X242))</f>
        <v/>
      </c>
      <c r="J242" s="19">
        <f>IF($X242="","",INDEX('sheet2-计算明细'!$Y$17:$Y$330,$X242))</f>
        <v/>
      </c>
      <c r="K242" s="19">
        <f>IF($X242="","",INDEX('sheet2-计算明细'!$AC$17:$AC$330,$X242))</f>
        <v/>
      </c>
      <c r="L242" s="19">
        <f>IF($X242="","",INDEX('sheet2-计算明细'!$AI$17:$AI$330,$X242))</f>
        <v/>
      </c>
      <c r="M242" s="19">
        <f>IF($X242="","",INDEX('sheet2-计算明细'!$AK$17:$AK$330,$X242))</f>
        <v/>
      </c>
      <c r="N242" s="20">
        <f>IF(COUNT(F242:H242)=0,"",ROUND((IF(ISNUMBER(F242),F242*40%,0)+IF(ISNUMBER(G242),G242*30%,0)+IF(ISNUMBER(H242),H242*30%,0))/(IF(ISNUMBER(F242),40%,0)+IF(ISNUMBER(G242),30%,0)+IF(ISNUMBER(H242),30%,0)),2))</f>
        <v/>
      </c>
      <c r="O242" s="20">
        <f>IF(COUNT(I242:J242)=0,"",ROUND((IF(ISNUMBER(I242),I242*70%,0)+IF(ISNUMBER(J242),J242*30%,0))/(IF(ISNUMBER(I242),70%,0)+IF(ISNUMBER(J242),30%,0)),2))</f>
        <v/>
      </c>
      <c r="P242" s="20">
        <f>K242</f>
        <v/>
      </c>
      <c r="Q242" s="20">
        <f>L242</f>
        <v/>
      </c>
      <c r="R242" s="20">
        <f>M242</f>
        <v/>
      </c>
      <c r="S242" s="93">
        <f>IF($X242="","",INDEX('sheet2-计算明细'!$AQ$17:$AQ$330,$X242))</f>
        <v/>
      </c>
      <c r="T242" s="19">
        <f>IF($X242="","",INDEX('sheet2-计算明细'!$AR$17:$AR$330,$X242))</f>
        <v/>
      </c>
      <c r="U242" s="20">
        <f>IF(S242=0,"",ROUND(T242/S242,2))</f>
        <v/>
      </c>
      <c r="V242" s="20">
        <f>IF(S242=100%,T242,"")</f>
        <v/>
      </c>
      <c r="W242" s="22">
        <f>IF($X242="","",INDEX('sheet2-计算明细'!$AU$17:$AU$330,$X242))</f>
        <v/>
      </c>
      <c r="X242" s="18">
        <f>IF($A242&gt;COUNT('sheet2-计算明细'!$AT$17:$AT$330),"",MATCH($A242,'sheet2-计算明细'!$AT$17:$AT$330,0))</f>
        <v/>
      </c>
    </row>
    <row r="243" ht="28" customHeight="1" s="73">
      <c r="A243" s="2" t="n">
        <v>238</v>
      </c>
      <c r="B243" s="18">
        <f>IF($X243="","",INDEX('sheet2-计算明细'!$B$17:$B$330,$X243))</f>
        <v/>
      </c>
      <c r="C243" s="18">
        <f>IF($X243="","",INDEX('sheet2-计算明细'!$C$17:$C$330,$X243))</f>
        <v/>
      </c>
      <c r="D243" s="18">
        <f>IF($X243="","",INDEX('sheet2-计算明细'!$D$17:$D$330,$X243))</f>
        <v/>
      </c>
      <c r="E243" s="18">
        <f>IF($X243="","",INDEX('sheet2-计算明细'!$G$17:$G$330,$X243))</f>
        <v/>
      </c>
      <c r="F243" s="19">
        <f>IF($X243="","",INDEX('sheet2-计算明细'!$I$17:$I$330,$X243))</f>
        <v/>
      </c>
      <c r="G243" s="19">
        <f>IF($X243="","",INDEX('sheet2-计算明细'!$K$17:$K$330,$X243))</f>
        <v/>
      </c>
      <c r="H243" s="19">
        <f>IF($X243="","",INDEX('sheet2-计算明细'!$L$17:$L$330,$X243))</f>
        <v/>
      </c>
      <c r="I243" s="19">
        <f>IF($X243="","",INDEX('sheet2-计算明细'!$S$17:$S$330,$X243))</f>
        <v/>
      </c>
      <c r="J243" s="19">
        <f>IF($X243="","",INDEX('sheet2-计算明细'!$Y$17:$Y$330,$X243))</f>
        <v/>
      </c>
      <c r="K243" s="19">
        <f>IF($X243="","",INDEX('sheet2-计算明细'!$AC$17:$AC$330,$X243))</f>
        <v/>
      </c>
      <c r="L243" s="19">
        <f>IF($X243="","",INDEX('sheet2-计算明细'!$AI$17:$AI$330,$X243))</f>
        <v/>
      </c>
      <c r="M243" s="19">
        <f>IF($X243="","",INDEX('sheet2-计算明细'!$AK$17:$AK$330,$X243))</f>
        <v/>
      </c>
      <c r="N243" s="20">
        <f>IF(COUNT(F243:H243)=0,"",ROUND((IF(ISNUMBER(F243),F243*40%,0)+IF(ISNUMBER(G243),G243*30%,0)+IF(ISNUMBER(H243),H243*30%,0))/(IF(ISNUMBER(F243),40%,0)+IF(ISNUMBER(G243),30%,0)+IF(ISNUMBER(H243),30%,0)),2))</f>
        <v/>
      </c>
      <c r="O243" s="20">
        <f>IF(COUNT(I243:J243)=0,"",ROUND((IF(ISNUMBER(I243),I243*70%,0)+IF(ISNUMBER(J243),J243*30%,0))/(IF(ISNUMBER(I243),70%,0)+IF(ISNUMBER(J243),30%,0)),2))</f>
        <v/>
      </c>
      <c r="P243" s="20">
        <f>K243</f>
        <v/>
      </c>
      <c r="Q243" s="20">
        <f>L243</f>
        <v/>
      </c>
      <c r="R243" s="20">
        <f>M243</f>
        <v/>
      </c>
      <c r="S243" s="93">
        <f>IF($X243="","",INDEX('sheet2-计算明细'!$AQ$17:$AQ$330,$X243))</f>
        <v/>
      </c>
      <c r="T243" s="19">
        <f>IF($X243="","",INDEX('sheet2-计算明细'!$AR$17:$AR$330,$X243))</f>
        <v/>
      </c>
      <c r="U243" s="20">
        <f>IF(S243=0,"",ROUND(T243/S243,2))</f>
        <v/>
      </c>
      <c r="V243" s="20">
        <f>IF(S243=100%,T243,"")</f>
        <v/>
      </c>
      <c r="W243" s="22">
        <f>IF($X243="","",INDEX('sheet2-计算明细'!$AU$17:$AU$330,$X243))</f>
        <v/>
      </c>
      <c r="X243" s="18">
        <f>IF($A243&gt;COUNT('sheet2-计算明细'!$AT$17:$AT$330),"",MATCH($A243,'sheet2-计算明细'!$AT$17:$AT$330,0))</f>
        <v/>
      </c>
    </row>
    <row r="244" ht="28" customHeight="1" s="73">
      <c r="A244" s="2" t="n">
        <v>239</v>
      </c>
      <c r="B244" s="18">
        <f>IF($X244="","",INDEX('sheet2-计算明细'!$B$17:$B$330,$X244))</f>
        <v/>
      </c>
      <c r="C244" s="18">
        <f>IF($X244="","",INDEX('sheet2-计算明细'!$C$17:$C$330,$X244))</f>
        <v/>
      </c>
      <c r="D244" s="18">
        <f>IF($X244="","",INDEX('sheet2-计算明细'!$D$17:$D$330,$X244))</f>
        <v/>
      </c>
      <c r="E244" s="18">
        <f>IF($X244="","",INDEX('sheet2-计算明细'!$G$17:$G$330,$X244))</f>
        <v/>
      </c>
      <c r="F244" s="19">
        <f>IF($X244="","",INDEX('sheet2-计算明细'!$I$17:$I$330,$X244))</f>
        <v/>
      </c>
      <c r="G244" s="19">
        <f>IF($X244="","",INDEX('sheet2-计算明细'!$K$17:$K$330,$X244))</f>
        <v/>
      </c>
      <c r="H244" s="19">
        <f>IF($X244="","",INDEX('sheet2-计算明细'!$L$17:$L$330,$X244))</f>
        <v/>
      </c>
      <c r="I244" s="19">
        <f>IF($X244="","",INDEX('sheet2-计算明细'!$S$17:$S$330,$X244))</f>
        <v/>
      </c>
      <c r="J244" s="19">
        <f>IF($X244="","",INDEX('sheet2-计算明细'!$Y$17:$Y$330,$X244))</f>
        <v/>
      </c>
      <c r="K244" s="19">
        <f>IF($X244="","",INDEX('sheet2-计算明细'!$AC$17:$AC$330,$X244))</f>
        <v/>
      </c>
      <c r="L244" s="19">
        <f>IF($X244="","",INDEX('sheet2-计算明细'!$AI$17:$AI$330,$X244))</f>
        <v/>
      </c>
      <c r="M244" s="19">
        <f>IF($X244="","",INDEX('sheet2-计算明细'!$AK$17:$AK$330,$X244))</f>
        <v/>
      </c>
      <c r="N244" s="20">
        <f>IF(COUNT(F244:H244)=0,"",ROUND((IF(ISNUMBER(F244),F244*40%,0)+IF(ISNUMBER(G244),G244*30%,0)+IF(ISNUMBER(H244),H244*30%,0))/(IF(ISNUMBER(F244),40%,0)+IF(ISNUMBER(G244),30%,0)+IF(ISNUMBER(H244),30%,0)),2))</f>
        <v/>
      </c>
      <c r="O244" s="20">
        <f>IF(COUNT(I244:J244)=0,"",ROUND((IF(ISNUMBER(I244),I244*70%,0)+IF(ISNUMBER(J244),J244*30%,0))/(IF(ISNUMBER(I244),70%,0)+IF(ISNUMBER(J244),30%,0)),2))</f>
        <v/>
      </c>
      <c r="P244" s="20">
        <f>K244</f>
        <v/>
      </c>
      <c r="Q244" s="20">
        <f>L244</f>
        <v/>
      </c>
      <c r="R244" s="20">
        <f>M244</f>
        <v/>
      </c>
      <c r="S244" s="93">
        <f>IF($X244="","",INDEX('sheet2-计算明细'!$AQ$17:$AQ$330,$X244))</f>
        <v/>
      </c>
      <c r="T244" s="19">
        <f>IF($X244="","",INDEX('sheet2-计算明细'!$AR$17:$AR$330,$X244))</f>
        <v/>
      </c>
      <c r="U244" s="20">
        <f>IF(S244=0,"",ROUND(T244/S244,2))</f>
        <v/>
      </c>
      <c r="V244" s="20">
        <f>IF(S244=100%,T244,"")</f>
        <v/>
      </c>
      <c r="W244" s="22">
        <f>IF($X244="","",INDEX('sheet2-计算明细'!$AU$17:$AU$330,$X244))</f>
        <v/>
      </c>
      <c r="X244" s="18">
        <f>IF($A244&gt;COUNT('sheet2-计算明细'!$AT$17:$AT$330),"",MATCH($A244,'sheet2-计算明细'!$AT$17:$AT$330,0))</f>
        <v/>
      </c>
    </row>
    <row r="245" ht="28" customHeight="1" s="73">
      <c r="A245" s="2" t="n">
        <v>240</v>
      </c>
      <c r="B245" s="18">
        <f>IF($X245="","",INDEX('sheet2-计算明细'!$B$17:$B$330,$X245))</f>
        <v/>
      </c>
      <c r="C245" s="18">
        <f>IF($X245="","",INDEX('sheet2-计算明细'!$C$17:$C$330,$X245))</f>
        <v/>
      </c>
      <c r="D245" s="18">
        <f>IF($X245="","",INDEX('sheet2-计算明细'!$D$17:$D$330,$X245))</f>
        <v/>
      </c>
      <c r="E245" s="18">
        <f>IF($X245="","",INDEX('sheet2-计算明细'!$G$17:$G$330,$X245))</f>
        <v/>
      </c>
      <c r="F245" s="19">
        <f>IF($X245="","",INDEX('sheet2-计算明细'!$I$17:$I$330,$X245))</f>
        <v/>
      </c>
      <c r="G245" s="19">
        <f>IF($X245="","",INDEX('sheet2-计算明细'!$K$17:$K$330,$X245))</f>
        <v/>
      </c>
      <c r="H245" s="19">
        <f>IF($X245="","",INDEX('sheet2-计算明细'!$L$17:$L$330,$X245))</f>
        <v/>
      </c>
      <c r="I245" s="19">
        <f>IF($X245="","",INDEX('sheet2-计算明细'!$S$17:$S$330,$X245))</f>
        <v/>
      </c>
      <c r="J245" s="19">
        <f>IF($X245="","",INDEX('sheet2-计算明细'!$Y$17:$Y$330,$X245))</f>
        <v/>
      </c>
      <c r="K245" s="19">
        <f>IF($X245="","",INDEX('sheet2-计算明细'!$AC$17:$AC$330,$X245))</f>
        <v/>
      </c>
      <c r="L245" s="19">
        <f>IF($X245="","",INDEX('sheet2-计算明细'!$AI$17:$AI$330,$X245))</f>
        <v/>
      </c>
      <c r="M245" s="19">
        <f>IF($X245="","",INDEX('sheet2-计算明细'!$AK$17:$AK$330,$X245))</f>
        <v/>
      </c>
      <c r="N245" s="20">
        <f>IF(COUNT(F245:H245)=0,"",ROUND((IF(ISNUMBER(F245),F245*40%,0)+IF(ISNUMBER(G245),G245*30%,0)+IF(ISNUMBER(H245),H245*30%,0))/(IF(ISNUMBER(F245),40%,0)+IF(ISNUMBER(G245),30%,0)+IF(ISNUMBER(H245),30%,0)),2))</f>
        <v/>
      </c>
      <c r="O245" s="20">
        <f>IF(COUNT(I245:J245)=0,"",ROUND((IF(ISNUMBER(I245),I245*70%,0)+IF(ISNUMBER(J245),J245*30%,0))/(IF(ISNUMBER(I245),70%,0)+IF(ISNUMBER(J245),30%,0)),2))</f>
        <v/>
      </c>
      <c r="P245" s="20">
        <f>K245</f>
        <v/>
      </c>
      <c r="Q245" s="20">
        <f>L245</f>
        <v/>
      </c>
      <c r="R245" s="20">
        <f>M245</f>
        <v/>
      </c>
      <c r="S245" s="93">
        <f>IF($X245="","",INDEX('sheet2-计算明细'!$AQ$17:$AQ$330,$X245))</f>
        <v/>
      </c>
      <c r="T245" s="19">
        <f>IF($X245="","",INDEX('sheet2-计算明细'!$AR$17:$AR$330,$X245))</f>
        <v/>
      </c>
      <c r="U245" s="20">
        <f>IF(S245=0,"",ROUND(T245/S245,2))</f>
        <v/>
      </c>
      <c r="V245" s="20">
        <f>IF(S245=100%,T245,"")</f>
        <v/>
      </c>
      <c r="W245" s="22">
        <f>IF($X245="","",INDEX('sheet2-计算明细'!$AU$17:$AU$330,$X245))</f>
        <v/>
      </c>
      <c r="X245" s="18">
        <f>IF($A245&gt;COUNT('sheet2-计算明细'!$AT$17:$AT$330),"",MATCH($A245,'sheet2-计算明细'!$AT$17:$AT$330,0))</f>
        <v/>
      </c>
    </row>
    <row r="246" ht="28" customHeight="1" s="73">
      <c r="A246" s="2" t="n">
        <v>241</v>
      </c>
      <c r="B246" s="18">
        <f>IF($X246="","",INDEX('sheet2-计算明细'!$B$17:$B$330,$X246))</f>
        <v/>
      </c>
      <c r="C246" s="18">
        <f>IF($X246="","",INDEX('sheet2-计算明细'!$C$17:$C$330,$X246))</f>
        <v/>
      </c>
      <c r="D246" s="18">
        <f>IF($X246="","",INDEX('sheet2-计算明细'!$D$17:$D$330,$X246))</f>
        <v/>
      </c>
      <c r="E246" s="18">
        <f>IF($X246="","",INDEX('sheet2-计算明细'!$G$17:$G$330,$X246))</f>
        <v/>
      </c>
      <c r="F246" s="19">
        <f>IF($X246="","",INDEX('sheet2-计算明细'!$I$17:$I$330,$X246))</f>
        <v/>
      </c>
      <c r="G246" s="19">
        <f>IF($X246="","",INDEX('sheet2-计算明细'!$K$17:$K$330,$X246))</f>
        <v/>
      </c>
      <c r="H246" s="19">
        <f>IF($X246="","",INDEX('sheet2-计算明细'!$L$17:$L$330,$X246))</f>
        <v/>
      </c>
      <c r="I246" s="19">
        <f>IF($X246="","",INDEX('sheet2-计算明细'!$S$17:$S$330,$X246))</f>
        <v/>
      </c>
      <c r="J246" s="19">
        <f>IF($X246="","",INDEX('sheet2-计算明细'!$Y$17:$Y$330,$X246))</f>
        <v/>
      </c>
      <c r="K246" s="19">
        <f>IF($X246="","",INDEX('sheet2-计算明细'!$AC$17:$AC$330,$X246))</f>
        <v/>
      </c>
      <c r="L246" s="19">
        <f>IF($X246="","",INDEX('sheet2-计算明细'!$AI$17:$AI$330,$X246))</f>
        <v/>
      </c>
      <c r="M246" s="19">
        <f>IF($X246="","",INDEX('sheet2-计算明细'!$AK$17:$AK$330,$X246))</f>
        <v/>
      </c>
      <c r="N246" s="20">
        <f>IF(COUNT(F246:H246)=0,"",ROUND((IF(ISNUMBER(F246),F246*40%,0)+IF(ISNUMBER(G246),G246*30%,0)+IF(ISNUMBER(H246),H246*30%,0))/(IF(ISNUMBER(F246),40%,0)+IF(ISNUMBER(G246),30%,0)+IF(ISNUMBER(H246),30%,0)),2))</f>
        <v/>
      </c>
      <c r="O246" s="20">
        <f>IF(COUNT(I246:J246)=0,"",ROUND((IF(ISNUMBER(I246),I246*70%,0)+IF(ISNUMBER(J246),J246*30%,0))/(IF(ISNUMBER(I246),70%,0)+IF(ISNUMBER(J246),30%,0)),2))</f>
        <v/>
      </c>
      <c r="P246" s="20">
        <f>K246</f>
        <v/>
      </c>
      <c r="Q246" s="20">
        <f>L246</f>
        <v/>
      </c>
      <c r="R246" s="20">
        <f>M246</f>
        <v/>
      </c>
      <c r="S246" s="93">
        <f>IF($X246="","",INDEX('sheet2-计算明细'!$AQ$17:$AQ$330,$X246))</f>
        <v/>
      </c>
      <c r="T246" s="19">
        <f>IF($X246="","",INDEX('sheet2-计算明细'!$AR$17:$AR$330,$X246))</f>
        <v/>
      </c>
      <c r="U246" s="20">
        <f>IF(S246=0,"",ROUND(T246/S246,2))</f>
        <v/>
      </c>
      <c r="V246" s="20">
        <f>IF(S246=100%,T246,"")</f>
        <v/>
      </c>
      <c r="W246" s="22">
        <f>IF($X246="","",INDEX('sheet2-计算明细'!$AU$17:$AU$330,$X246))</f>
        <v/>
      </c>
      <c r="X246" s="18">
        <f>IF($A246&gt;COUNT('sheet2-计算明细'!$AT$17:$AT$330),"",MATCH($A246,'sheet2-计算明细'!$AT$17:$AT$330,0))</f>
        <v/>
      </c>
    </row>
    <row r="247" ht="28" customHeight="1" s="73">
      <c r="A247" s="2" t="n">
        <v>242</v>
      </c>
      <c r="B247" s="18">
        <f>IF($X247="","",INDEX('sheet2-计算明细'!$B$17:$B$330,$X247))</f>
        <v/>
      </c>
      <c r="C247" s="18">
        <f>IF($X247="","",INDEX('sheet2-计算明细'!$C$17:$C$330,$X247))</f>
        <v/>
      </c>
      <c r="D247" s="18">
        <f>IF($X247="","",INDEX('sheet2-计算明细'!$D$17:$D$330,$X247))</f>
        <v/>
      </c>
      <c r="E247" s="18">
        <f>IF($X247="","",INDEX('sheet2-计算明细'!$G$17:$G$330,$X247))</f>
        <v/>
      </c>
      <c r="F247" s="19">
        <f>IF($X247="","",INDEX('sheet2-计算明细'!$I$17:$I$330,$X247))</f>
        <v/>
      </c>
      <c r="G247" s="19">
        <f>IF($X247="","",INDEX('sheet2-计算明细'!$K$17:$K$330,$X247))</f>
        <v/>
      </c>
      <c r="H247" s="19">
        <f>IF($X247="","",INDEX('sheet2-计算明细'!$L$17:$L$330,$X247))</f>
        <v/>
      </c>
      <c r="I247" s="19">
        <f>IF($X247="","",INDEX('sheet2-计算明细'!$S$17:$S$330,$X247))</f>
        <v/>
      </c>
      <c r="J247" s="19">
        <f>IF($X247="","",INDEX('sheet2-计算明细'!$Y$17:$Y$330,$X247))</f>
        <v/>
      </c>
      <c r="K247" s="19">
        <f>IF($X247="","",INDEX('sheet2-计算明细'!$AC$17:$AC$330,$X247))</f>
        <v/>
      </c>
      <c r="L247" s="19">
        <f>IF($X247="","",INDEX('sheet2-计算明细'!$AI$17:$AI$330,$X247))</f>
        <v/>
      </c>
      <c r="M247" s="19">
        <f>IF($X247="","",INDEX('sheet2-计算明细'!$AK$17:$AK$330,$X247))</f>
        <v/>
      </c>
      <c r="N247" s="20">
        <f>IF(COUNT(F247:H247)=0,"",ROUND((IF(ISNUMBER(F247),F247*40%,0)+IF(ISNUMBER(G247),G247*30%,0)+IF(ISNUMBER(H247),H247*30%,0))/(IF(ISNUMBER(F247),40%,0)+IF(ISNUMBER(G247),30%,0)+IF(ISNUMBER(H247),30%,0)),2))</f>
        <v/>
      </c>
      <c r="O247" s="20">
        <f>IF(COUNT(I247:J247)=0,"",ROUND((IF(ISNUMBER(I247),I247*70%,0)+IF(ISNUMBER(J247),J247*30%,0))/(IF(ISNUMBER(I247),70%,0)+IF(ISNUMBER(J247),30%,0)),2))</f>
        <v/>
      </c>
      <c r="P247" s="20">
        <f>K247</f>
        <v/>
      </c>
      <c r="Q247" s="20">
        <f>L247</f>
        <v/>
      </c>
      <c r="R247" s="20">
        <f>M247</f>
        <v/>
      </c>
      <c r="S247" s="93">
        <f>IF($X247="","",INDEX('sheet2-计算明细'!$AQ$17:$AQ$330,$X247))</f>
        <v/>
      </c>
      <c r="T247" s="19">
        <f>IF($X247="","",INDEX('sheet2-计算明细'!$AR$17:$AR$330,$X247))</f>
        <v/>
      </c>
      <c r="U247" s="20">
        <f>IF(S247=0,"",ROUND(T247/S247,2))</f>
        <v/>
      </c>
      <c r="V247" s="20">
        <f>IF(S247=100%,T247,"")</f>
        <v/>
      </c>
      <c r="W247" s="22">
        <f>IF($X247="","",INDEX('sheet2-计算明细'!$AU$17:$AU$330,$X247))</f>
        <v/>
      </c>
      <c r="X247" s="18">
        <f>IF($A247&gt;COUNT('sheet2-计算明细'!$AT$17:$AT$330),"",MATCH($A247,'sheet2-计算明细'!$AT$17:$AT$330,0))</f>
        <v/>
      </c>
    </row>
    <row r="248" ht="28" customHeight="1" s="73">
      <c r="A248" s="2" t="n">
        <v>243</v>
      </c>
      <c r="B248" s="18">
        <f>IF($X248="","",INDEX('sheet2-计算明细'!$B$17:$B$330,$X248))</f>
        <v/>
      </c>
      <c r="C248" s="18">
        <f>IF($X248="","",INDEX('sheet2-计算明细'!$C$17:$C$330,$X248))</f>
        <v/>
      </c>
      <c r="D248" s="18">
        <f>IF($X248="","",INDEX('sheet2-计算明细'!$D$17:$D$330,$X248))</f>
        <v/>
      </c>
      <c r="E248" s="18">
        <f>IF($X248="","",INDEX('sheet2-计算明细'!$G$17:$G$330,$X248))</f>
        <v/>
      </c>
      <c r="F248" s="19">
        <f>IF($X248="","",INDEX('sheet2-计算明细'!$I$17:$I$330,$X248))</f>
        <v/>
      </c>
      <c r="G248" s="19">
        <f>IF($X248="","",INDEX('sheet2-计算明细'!$K$17:$K$330,$X248))</f>
        <v/>
      </c>
      <c r="H248" s="19">
        <f>IF($X248="","",INDEX('sheet2-计算明细'!$L$17:$L$330,$X248))</f>
        <v/>
      </c>
      <c r="I248" s="19">
        <f>IF($X248="","",INDEX('sheet2-计算明细'!$S$17:$S$330,$X248))</f>
        <v/>
      </c>
      <c r="J248" s="19">
        <f>IF($X248="","",INDEX('sheet2-计算明细'!$Y$17:$Y$330,$X248))</f>
        <v/>
      </c>
      <c r="K248" s="19">
        <f>IF($X248="","",INDEX('sheet2-计算明细'!$AC$17:$AC$330,$X248))</f>
        <v/>
      </c>
      <c r="L248" s="19">
        <f>IF($X248="","",INDEX('sheet2-计算明细'!$AI$17:$AI$330,$X248))</f>
        <v/>
      </c>
      <c r="M248" s="19">
        <f>IF($X248="","",INDEX('sheet2-计算明细'!$AK$17:$AK$330,$X248))</f>
        <v/>
      </c>
      <c r="N248" s="20">
        <f>IF(COUNT(F248:H248)=0,"",ROUND((IF(ISNUMBER(F248),F248*40%,0)+IF(ISNUMBER(G248),G248*30%,0)+IF(ISNUMBER(H248),H248*30%,0))/(IF(ISNUMBER(F248),40%,0)+IF(ISNUMBER(G248),30%,0)+IF(ISNUMBER(H248),30%,0)),2))</f>
        <v/>
      </c>
      <c r="O248" s="20">
        <f>IF(COUNT(I248:J248)=0,"",ROUND((IF(ISNUMBER(I248),I248*70%,0)+IF(ISNUMBER(J248),J248*30%,0))/(IF(ISNUMBER(I248),70%,0)+IF(ISNUMBER(J248),30%,0)),2))</f>
        <v/>
      </c>
      <c r="P248" s="20">
        <f>K248</f>
        <v/>
      </c>
      <c r="Q248" s="20">
        <f>L248</f>
        <v/>
      </c>
      <c r="R248" s="20">
        <f>M248</f>
        <v/>
      </c>
      <c r="S248" s="93">
        <f>IF($X248="","",INDEX('sheet2-计算明细'!$AQ$17:$AQ$330,$X248))</f>
        <v/>
      </c>
      <c r="T248" s="19">
        <f>IF($X248="","",INDEX('sheet2-计算明细'!$AR$17:$AR$330,$X248))</f>
        <v/>
      </c>
      <c r="U248" s="20">
        <f>IF(S248=0,"",ROUND(T248/S248,2))</f>
        <v/>
      </c>
      <c r="V248" s="20">
        <f>IF(S248=100%,T248,"")</f>
        <v/>
      </c>
      <c r="W248" s="22">
        <f>IF($X248="","",INDEX('sheet2-计算明细'!$AU$17:$AU$330,$X248))</f>
        <v/>
      </c>
      <c r="X248" s="18">
        <f>IF($A248&gt;COUNT('sheet2-计算明细'!$AT$17:$AT$330),"",MATCH($A248,'sheet2-计算明细'!$AT$17:$AT$330,0))</f>
        <v/>
      </c>
    </row>
    <row r="249" ht="28" customHeight="1" s="73">
      <c r="A249" s="2" t="n">
        <v>244</v>
      </c>
      <c r="B249" s="18">
        <f>IF($X249="","",INDEX('sheet2-计算明细'!$B$17:$B$330,$X249))</f>
        <v/>
      </c>
      <c r="C249" s="18">
        <f>IF($X249="","",INDEX('sheet2-计算明细'!$C$17:$C$330,$X249))</f>
        <v/>
      </c>
      <c r="D249" s="18">
        <f>IF($X249="","",INDEX('sheet2-计算明细'!$D$17:$D$330,$X249))</f>
        <v/>
      </c>
      <c r="E249" s="18">
        <f>IF($X249="","",INDEX('sheet2-计算明细'!$G$17:$G$330,$X249))</f>
        <v/>
      </c>
      <c r="F249" s="19">
        <f>IF($X249="","",INDEX('sheet2-计算明细'!$I$17:$I$330,$X249))</f>
        <v/>
      </c>
      <c r="G249" s="19">
        <f>IF($X249="","",INDEX('sheet2-计算明细'!$K$17:$K$330,$X249))</f>
        <v/>
      </c>
      <c r="H249" s="19">
        <f>IF($X249="","",INDEX('sheet2-计算明细'!$L$17:$L$330,$X249))</f>
        <v/>
      </c>
      <c r="I249" s="19">
        <f>IF($X249="","",INDEX('sheet2-计算明细'!$S$17:$S$330,$X249))</f>
        <v/>
      </c>
      <c r="J249" s="19">
        <f>IF($X249="","",INDEX('sheet2-计算明细'!$Y$17:$Y$330,$X249))</f>
        <v/>
      </c>
      <c r="K249" s="19">
        <f>IF($X249="","",INDEX('sheet2-计算明细'!$AC$17:$AC$330,$X249))</f>
        <v/>
      </c>
      <c r="L249" s="19">
        <f>IF($X249="","",INDEX('sheet2-计算明细'!$AI$17:$AI$330,$X249))</f>
        <v/>
      </c>
      <c r="M249" s="19">
        <f>IF($X249="","",INDEX('sheet2-计算明细'!$AK$17:$AK$330,$X249))</f>
        <v/>
      </c>
      <c r="N249" s="20">
        <f>IF(COUNT(F249:H249)=0,"",ROUND((IF(ISNUMBER(F249),F249*40%,0)+IF(ISNUMBER(G249),G249*30%,0)+IF(ISNUMBER(H249),H249*30%,0))/(IF(ISNUMBER(F249),40%,0)+IF(ISNUMBER(G249),30%,0)+IF(ISNUMBER(H249),30%,0)),2))</f>
        <v/>
      </c>
      <c r="O249" s="20">
        <f>IF(COUNT(I249:J249)=0,"",ROUND((IF(ISNUMBER(I249),I249*70%,0)+IF(ISNUMBER(J249),J249*30%,0))/(IF(ISNUMBER(I249),70%,0)+IF(ISNUMBER(J249),30%,0)),2))</f>
        <v/>
      </c>
      <c r="P249" s="20">
        <f>K249</f>
        <v/>
      </c>
      <c r="Q249" s="20">
        <f>L249</f>
        <v/>
      </c>
      <c r="R249" s="20">
        <f>M249</f>
        <v/>
      </c>
      <c r="S249" s="93">
        <f>IF($X249="","",INDEX('sheet2-计算明细'!$AQ$17:$AQ$330,$X249))</f>
        <v/>
      </c>
      <c r="T249" s="19">
        <f>IF($X249="","",INDEX('sheet2-计算明细'!$AR$17:$AR$330,$X249))</f>
        <v/>
      </c>
      <c r="U249" s="20">
        <f>IF(S249=0,"",ROUND(T249/S249,2))</f>
        <v/>
      </c>
      <c r="V249" s="20">
        <f>IF(S249=100%,T249,"")</f>
        <v/>
      </c>
      <c r="W249" s="22">
        <f>IF($X249="","",INDEX('sheet2-计算明细'!$AU$17:$AU$330,$X249))</f>
        <v/>
      </c>
      <c r="X249" s="18">
        <f>IF($A249&gt;COUNT('sheet2-计算明细'!$AT$17:$AT$330),"",MATCH($A249,'sheet2-计算明细'!$AT$17:$AT$330,0))</f>
        <v/>
      </c>
    </row>
    <row r="250" ht="28" customHeight="1" s="73">
      <c r="A250" s="2" t="n">
        <v>245</v>
      </c>
      <c r="B250" s="18">
        <f>IF($X250="","",INDEX('sheet2-计算明细'!$B$17:$B$330,$X250))</f>
        <v/>
      </c>
      <c r="C250" s="18">
        <f>IF($X250="","",INDEX('sheet2-计算明细'!$C$17:$C$330,$X250))</f>
        <v/>
      </c>
      <c r="D250" s="18">
        <f>IF($X250="","",INDEX('sheet2-计算明细'!$D$17:$D$330,$X250))</f>
        <v/>
      </c>
      <c r="E250" s="18">
        <f>IF($X250="","",INDEX('sheet2-计算明细'!$G$17:$G$330,$X250))</f>
        <v/>
      </c>
      <c r="F250" s="19">
        <f>IF($X250="","",INDEX('sheet2-计算明细'!$I$17:$I$330,$X250))</f>
        <v/>
      </c>
      <c r="G250" s="19">
        <f>IF($X250="","",INDEX('sheet2-计算明细'!$K$17:$K$330,$X250))</f>
        <v/>
      </c>
      <c r="H250" s="19">
        <f>IF($X250="","",INDEX('sheet2-计算明细'!$L$17:$L$330,$X250))</f>
        <v/>
      </c>
      <c r="I250" s="19">
        <f>IF($X250="","",INDEX('sheet2-计算明细'!$S$17:$S$330,$X250))</f>
        <v/>
      </c>
      <c r="J250" s="19">
        <f>IF($X250="","",INDEX('sheet2-计算明细'!$Y$17:$Y$330,$X250))</f>
        <v/>
      </c>
      <c r="K250" s="19">
        <f>IF($X250="","",INDEX('sheet2-计算明细'!$AC$17:$AC$330,$X250))</f>
        <v/>
      </c>
      <c r="L250" s="19">
        <f>IF($X250="","",INDEX('sheet2-计算明细'!$AI$17:$AI$330,$X250))</f>
        <v/>
      </c>
      <c r="M250" s="19">
        <f>IF($X250="","",INDEX('sheet2-计算明细'!$AK$17:$AK$330,$X250))</f>
        <v/>
      </c>
      <c r="N250" s="20">
        <f>IF(COUNT(F250:H250)=0,"",ROUND((IF(ISNUMBER(F250),F250*40%,0)+IF(ISNUMBER(G250),G250*30%,0)+IF(ISNUMBER(H250),H250*30%,0))/(IF(ISNUMBER(F250),40%,0)+IF(ISNUMBER(G250),30%,0)+IF(ISNUMBER(H250),30%,0)),2))</f>
        <v/>
      </c>
      <c r="O250" s="20">
        <f>IF(COUNT(I250:J250)=0,"",ROUND((IF(ISNUMBER(I250),I250*70%,0)+IF(ISNUMBER(J250),J250*30%,0))/(IF(ISNUMBER(I250),70%,0)+IF(ISNUMBER(J250),30%,0)),2))</f>
        <v/>
      </c>
      <c r="P250" s="20">
        <f>K250</f>
        <v/>
      </c>
      <c r="Q250" s="20">
        <f>L250</f>
        <v/>
      </c>
      <c r="R250" s="20">
        <f>M250</f>
        <v/>
      </c>
      <c r="S250" s="93">
        <f>IF($X250="","",INDEX('sheet2-计算明细'!$AQ$17:$AQ$330,$X250))</f>
        <v/>
      </c>
      <c r="T250" s="19">
        <f>IF($X250="","",INDEX('sheet2-计算明细'!$AR$17:$AR$330,$X250))</f>
        <v/>
      </c>
      <c r="U250" s="20">
        <f>IF(S250=0,"",ROUND(T250/S250,2))</f>
        <v/>
      </c>
      <c r="V250" s="20">
        <f>IF(S250=100%,T250,"")</f>
        <v/>
      </c>
      <c r="W250" s="22">
        <f>IF($X250="","",INDEX('sheet2-计算明细'!$AU$17:$AU$330,$X250))</f>
        <v/>
      </c>
      <c r="X250" s="18">
        <f>IF($A250&gt;COUNT('sheet2-计算明细'!$AT$17:$AT$330),"",MATCH($A250,'sheet2-计算明细'!$AT$17:$AT$330,0))</f>
        <v/>
      </c>
    </row>
    <row r="251" ht="28" customHeight="1" s="73">
      <c r="A251" s="2" t="n">
        <v>246</v>
      </c>
      <c r="B251" s="18">
        <f>IF($X251="","",INDEX('sheet2-计算明细'!$B$17:$B$330,$X251))</f>
        <v/>
      </c>
      <c r="C251" s="18">
        <f>IF($X251="","",INDEX('sheet2-计算明细'!$C$17:$C$330,$X251))</f>
        <v/>
      </c>
      <c r="D251" s="18">
        <f>IF($X251="","",INDEX('sheet2-计算明细'!$D$17:$D$330,$X251))</f>
        <v/>
      </c>
      <c r="E251" s="18">
        <f>IF($X251="","",INDEX('sheet2-计算明细'!$G$17:$G$330,$X251))</f>
        <v/>
      </c>
      <c r="F251" s="19">
        <f>IF($X251="","",INDEX('sheet2-计算明细'!$I$17:$I$330,$X251))</f>
        <v/>
      </c>
      <c r="G251" s="19">
        <f>IF($X251="","",INDEX('sheet2-计算明细'!$K$17:$K$330,$X251))</f>
        <v/>
      </c>
      <c r="H251" s="19">
        <f>IF($X251="","",INDEX('sheet2-计算明细'!$L$17:$L$330,$X251))</f>
        <v/>
      </c>
      <c r="I251" s="19">
        <f>IF($X251="","",INDEX('sheet2-计算明细'!$S$17:$S$330,$X251))</f>
        <v/>
      </c>
      <c r="J251" s="19">
        <f>IF($X251="","",INDEX('sheet2-计算明细'!$Y$17:$Y$330,$X251))</f>
        <v/>
      </c>
      <c r="K251" s="19">
        <f>IF($X251="","",INDEX('sheet2-计算明细'!$AC$17:$AC$330,$X251))</f>
        <v/>
      </c>
      <c r="L251" s="19">
        <f>IF($X251="","",INDEX('sheet2-计算明细'!$AI$17:$AI$330,$X251))</f>
        <v/>
      </c>
      <c r="M251" s="19">
        <f>IF($X251="","",INDEX('sheet2-计算明细'!$AK$17:$AK$330,$X251))</f>
        <v/>
      </c>
      <c r="N251" s="20">
        <f>IF(COUNT(F251:H251)=0,"",ROUND((IF(ISNUMBER(F251),F251*40%,0)+IF(ISNUMBER(G251),G251*30%,0)+IF(ISNUMBER(H251),H251*30%,0))/(IF(ISNUMBER(F251),40%,0)+IF(ISNUMBER(G251),30%,0)+IF(ISNUMBER(H251),30%,0)),2))</f>
        <v/>
      </c>
      <c r="O251" s="20">
        <f>IF(COUNT(I251:J251)=0,"",ROUND((IF(ISNUMBER(I251),I251*70%,0)+IF(ISNUMBER(J251),J251*30%,0))/(IF(ISNUMBER(I251),70%,0)+IF(ISNUMBER(J251),30%,0)),2))</f>
        <v/>
      </c>
      <c r="P251" s="20">
        <f>K251</f>
        <v/>
      </c>
      <c r="Q251" s="20">
        <f>L251</f>
        <v/>
      </c>
      <c r="R251" s="20">
        <f>M251</f>
        <v/>
      </c>
      <c r="S251" s="93">
        <f>IF($X251="","",INDEX('sheet2-计算明细'!$AQ$17:$AQ$330,$X251))</f>
        <v/>
      </c>
      <c r="T251" s="19">
        <f>IF($X251="","",INDEX('sheet2-计算明细'!$AR$17:$AR$330,$X251))</f>
        <v/>
      </c>
      <c r="U251" s="20">
        <f>IF(S251=0,"",ROUND(T251/S251,2))</f>
        <v/>
      </c>
      <c r="V251" s="20">
        <f>IF(S251=100%,T251,"")</f>
        <v/>
      </c>
      <c r="W251" s="22">
        <f>IF($X251="","",INDEX('sheet2-计算明细'!$AU$17:$AU$330,$X251))</f>
        <v/>
      </c>
      <c r="X251" s="18">
        <f>IF($A251&gt;COUNT('sheet2-计算明细'!$AT$17:$AT$330),"",MATCH($A251,'sheet2-计算明细'!$AT$17:$AT$330,0))</f>
        <v/>
      </c>
    </row>
    <row r="252" ht="28" customHeight="1" s="73">
      <c r="A252" s="2" t="n">
        <v>247</v>
      </c>
      <c r="B252" s="18">
        <f>IF($X252="","",INDEX('sheet2-计算明细'!$B$17:$B$330,$X252))</f>
        <v/>
      </c>
      <c r="C252" s="18">
        <f>IF($X252="","",INDEX('sheet2-计算明细'!$C$17:$C$330,$X252))</f>
        <v/>
      </c>
      <c r="D252" s="18">
        <f>IF($X252="","",INDEX('sheet2-计算明细'!$D$17:$D$330,$X252))</f>
        <v/>
      </c>
      <c r="E252" s="18">
        <f>IF($X252="","",INDEX('sheet2-计算明细'!$G$17:$G$330,$X252))</f>
        <v/>
      </c>
      <c r="F252" s="19">
        <f>IF($X252="","",INDEX('sheet2-计算明细'!$I$17:$I$330,$X252))</f>
        <v/>
      </c>
      <c r="G252" s="19">
        <f>IF($X252="","",INDEX('sheet2-计算明细'!$K$17:$K$330,$X252))</f>
        <v/>
      </c>
      <c r="H252" s="19">
        <f>IF($X252="","",INDEX('sheet2-计算明细'!$L$17:$L$330,$X252))</f>
        <v/>
      </c>
      <c r="I252" s="19">
        <f>IF($X252="","",INDEX('sheet2-计算明细'!$S$17:$S$330,$X252))</f>
        <v/>
      </c>
      <c r="J252" s="19">
        <f>IF($X252="","",INDEX('sheet2-计算明细'!$Y$17:$Y$330,$X252))</f>
        <v/>
      </c>
      <c r="K252" s="19">
        <f>IF($X252="","",INDEX('sheet2-计算明细'!$AC$17:$AC$330,$X252))</f>
        <v/>
      </c>
      <c r="L252" s="19">
        <f>IF($X252="","",INDEX('sheet2-计算明细'!$AI$17:$AI$330,$X252))</f>
        <v/>
      </c>
      <c r="M252" s="19">
        <f>IF($X252="","",INDEX('sheet2-计算明细'!$AK$17:$AK$330,$X252))</f>
        <v/>
      </c>
      <c r="N252" s="20">
        <f>IF(COUNT(F252:H252)=0,"",ROUND((IF(ISNUMBER(F252),F252*40%,0)+IF(ISNUMBER(G252),G252*30%,0)+IF(ISNUMBER(H252),H252*30%,0))/(IF(ISNUMBER(F252),40%,0)+IF(ISNUMBER(G252),30%,0)+IF(ISNUMBER(H252),30%,0)),2))</f>
        <v/>
      </c>
      <c r="O252" s="20">
        <f>IF(COUNT(I252:J252)=0,"",ROUND((IF(ISNUMBER(I252),I252*70%,0)+IF(ISNUMBER(J252),J252*30%,0))/(IF(ISNUMBER(I252),70%,0)+IF(ISNUMBER(J252),30%,0)),2))</f>
        <v/>
      </c>
      <c r="P252" s="20">
        <f>K252</f>
        <v/>
      </c>
      <c r="Q252" s="20">
        <f>L252</f>
        <v/>
      </c>
      <c r="R252" s="20">
        <f>M252</f>
        <v/>
      </c>
      <c r="S252" s="93">
        <f>IF($X252="","",INDEX('sheet2-计算明细'!$AQ$17:$AQ$330,$X252))</f>
        <v/>
      </c>
      <c r="T252" s="19">
        <f>IF($X252="","",INDEX('sheet2-计算明细'!$AR$17:$AR$330,$X252))</f>
        <v/>
      </c>
      <c r="U252" s="20">
        <f>IF(S252=0,"",ROUND(T252/S252,2))</f>
        <v/>
      </c>
      <c r="V252" s="20">
        <f>IF(S252=100%,T252,"")</f>
        <v/>
      </c>
      <c r="W252" s="22">
        <f>IF($X252="","",INDEX('sheet2-计算明细'!$AU$17:$AU$330,$X252))</f>
        <v/>
      </c>
      <c r="X252" s="18">
        <f>IF($A252&gt;COUNT('sheet2-计算明细'!$AT$17:$AT$330),"",MATCH($A252,'sheet2-计算明细'!$AT$17:$AT$330,0))</f>
        <v/>
      </c>
    </row>
    <row r="253" ht="28" customHeight="1" s="73">
      <c r="A253" s="2" t="n">
        <v>248</v>
      </c>
      <c r="B253" s="18">
        <f>IF($X253="","",INDEX('sheet2-计算明细'!$B$17:$B$330,$X253))</f>
        <v/>
      </c>
      <c r="C253" s="18">
        <f>IF($X253="","",INDEX('sheet2-计算明细'!$C$17:$C$330,$X253))</f>
        <v/>
      </c>
      <c r="D253" s="18">
        <f>IF($X253="","",INDEX('sheet2-计算明细'!$D$17:$D$330,$X253))</f>
        <v/>
      </c>
      <c r="E253" s="18">
        <f>IF($X253="","",INDEX('sheet2-计算明细'!$G$17:$G$330,$X253))</f>
        <v/>
      </c>
      <c r="F253" s="19">
        <f>IF($X253="","",INDEX('sheet2-计算明细'!$I$17:$I$330,$X253))</f>
        <v/>
      </c>
      <c r="G253" s="19">
        <f>IF($X253="","",INDEX('sheet2-计算明细'!$K$17:$K$330,$X253))</f>
        <v/>
      </c>
      <c r="H253" s="19">
        <f>IF($X253="","",INDEX('sheet2-计算明细'!$L$17:$L$330,$X253))</f>
        <v/>
      </c>
      <c r="I253" s="19">
        <f>IF($X253="","",INDEX('sheet2-计算明细'!$S$17:$S$330,$X253))</f>
        <v/>
      </c>
      <c r="J253" s="19">
        <f>IF($X253="","",INDEX('sheet2-计算明细'!$Y$17:$Y$330,$X253))</f>
        <v/>
      </c>
      <c r="K253" s="19">
        <f>IF($X253="","",INDEX('sheet2-计算明细'!$AC$17:$AC$330,$X253))</f>
        <v/>
      </c>
      <c r="L253" s="19">
        <f>IF($X253="","",INDEX('sheet2-计算明细'!$AI$17:$AI$330,$X253))</f>
        <v/>
      </c>
      <c r="M253" s="19">
        <f>IF($X253="","",INDEX('sheet2-计算明细'!$AK$17:$AK$330,$X253))</f>
        <v/>
      </c>
      <c r="N253" s="20">
        <f>IF(COUNT(F253:H253)=0,"",ROUND((IF(ISNUMBER(F253),F253*40%,0)+IF(ISNUMBER(G253),G253*30%,0)+IF(ISNUMBER(H253),H253*30%,0))/(IF(ISNUMBER(F253),40%,0)+IF(ISNUMBER(G253),30%,0)+IF(ISNUMBER(H253),30%,0)),2))</f>
        <v/>
      </c>
      <c r="O253" s="20">
        <f>IF(COUNT(I253:J253)=0,"",ROUND((IF(ISNUMBER(I253),I253*70%,0)+IF(ISNUMBER(J253),J253*30%,0))/(IF(ISNUMBER(I253),70%,0)+IF(ISNUMBER(J253),30%,0)),2))</f>
        <v/>
      </c>
      <c r="P253" s="20">
        <f>K253</f>
        <v/>
      </c>
      <c r="Q253" s="20">
        <f>L253</f>
        <v/>
      </c>
      <c r="R253" s="20">
        <f>M253</f>
        <v/>
      </c>
      <c r="S253" s="93">
        <f>IF($X253="","",INDEX('sheet2-计算明细'!$AQ$17:$AQ$330,$X253))</f>
        <v/>
      </c>
      <c r="T253" s="19">
        <f>IF($X253="","",INDEX('sheet2-计算明细'!$AR$17:$AR$330,$X253))</f>
        <v/>
      </c>
      <c r="U253" s="20">
        <f>IF(S253=0,"",ROUND(T253/S253,2))</f>
        <v/>
      </c>
      <c r="V253" s="20">
        <f>IF(S253=100%,T253,"")</f>
        <v/>
      </c>
      <c r="W253" s="22">
        <f>IF($X253="","",INDEX('sheet2-计算明细'!$AU$17:$AU$330,$X253))</f>
        <v/>
      </c>
      <c r="X253" s="18">
        <f>IF($A253&gt;COUNT('sheet2-计算明细'!$AT$17:$AT$330),"",MATCH($A253,'sheet2-计算明细'!$AT$17:$AT$330,0))</f>
        <v/>
      </c>
    </row>
    <row r="254" ht="28" customHeight="1" s="73">
      <c r="A254" s="2" t="n">
        <v>249</v>
      </c>
      <c r="B254" s="18">
        <f>IF($X254="","",INDEX('sheet2-计算明细'!$B$17:$B$330,$X254))</f>
        <v/>
      </c>
      <c r="C254" s="18">
        <f>IF($X254="","",INDEX('sheet2-计算明细'!$C$17:$C$330,$X254))</f>
        <v/>
      </c>
      <c r="D254" s="18">
        <f>IF($X254="","",INDEX('sheet2-计算明细'!$D$17:$D$330,$X254))</f>
        <v/>
      </c>
      <c r="E254" s="18">
        <f>IF($X254="","",INDEX('sheet2-计算明细'!$G$17:$G$330,$X254))</f>
        <v/>
      </c>
      <c r="F254" s="19">
        <f>IF($X254="","",INDEX('sheet2-计算明细'!$I$17:$I$330,$X254))</f>
        <v/>
      </c>
      <c r="G254" s="19">
        <f>IF($X254="","",INDEX('sheet2-计算明细'!$K$17:$K$330,$X254))</f>
        <v/>
      </c>
      <c r="H254" s="19">
        <f>IF($X254="","",INDEX('sheet2-计算明细'!$L$17:$L$330,$X254))</f>
        <v/>
      </c>
      <c r="I254" s="19">
        <f>IF($X254="","",INDEX('sheet2-计算明细'!$S$17:$S$330,$X254))</f>
        <v/>
      </c>
      <c r="J254" s="19">
        <f>IF($X254="","",INDEX('sheet2-计算明细'!$Y$17:$Y$330,$X254))</f>
        <v/>
      </c>
      <c r="K254" s="19">
        <f>IF($X254="","",INDEX('sheet2-计算明细'!$AC$17:$AC$330,$X254))</f>
        <v/>
      </c>
      <c r="L254" s="19">
        <f>IF($X254="","",INDEX('sheet2-计算明细'!$AI$17:$AI$330,$X254))</f>
        <v/>
      </c>
      <c r="M254" s="19">
        <f>IF($X254="","",INDEX('sheet2-计算明细'!$AK$17:$AK$330,$X254))</f>
        <v/>
      </c>
      <c r="N254" s="20">
        <f>IF(COUNT(F254:H254)=0,"",ROUND((IF(ISNUMBER(F254),F254*40%,0)+IF(ISNUMBER(G254),G254*30%,0)+IF(ISNUMBER(H254),H254*30%,0))/(IF(ISNUMBER(F254),40%,0)+IF(ISNUMBER(G254),30%,0)+IF(ISNUMBER(H254),30%,0)),2))</f>
        <v/>
      </c>
      <c r="O254" s="20">
        <f>IF(COUNT(I254:J254)=0,"",ROUND((IF(ISNUMBER(I254),I254*70%,0)+IF(ISNUMBER(J254),J254*30%,0))/(IF(ISNUMBER(I254),70%,0)+IF(ISNUMBER(J254),30%,0)),2))</f>
        <v/>
      </c>
      <c r="P254" s="20">
        <f>K254</f>
        <v/>
      </c>
      <c r="Q254" s="20">
        <f>L254</f>
        <v/>
      </c>
      <c r="R254" s="20">
        <f>M254</f>
        <v/>
      </c>
      <c r="S254" s="93">
        <f>IF($X254="","",INDEX('sheet2-计算明细'!$AQ$17:$AQ$330,$X254))</f>
        <v/>
      </c>
      <c r="T254" s="19">
        <f>IF($X254="","",INDEX('sheet2-计算明细'!$AR$17:$AR$330,$X254))</f>
        <v/>
      </c>
      <c r="U254" s="20">
        <f>IF(S254=0,"",ROUND(T254/S254,2))</f>
        <v/>
      </c>
      <c r="V254" s="20">
        <f>IF(S254=100%,T254,"")</f>
        <v/>
      </c>
      <c r="W254" s="22">
        <f>IF($X254="","",INDEX('sheet2-计算明细'!$AU$17:$AU$330,$X254))</f>
        <v/>
      </c>
      <c r="X254" s="18">
        <f>IF($A254&gt;COUNT('sheet2-计算明细'!$AT$17:$AT$330),"",MATCH($A254,'sheet2-计算明细'!$AT$17:$AT$330,0))</f>
        <v/>
      </c>
    </row>
    <row r="255" ht="28" customHeight="1" s="73">
      <c r="A255" s="2" t="n">
        <v>250</v>
      </c>
      <c r="B255" s="18">
        <f>IF($X255="","",INDEX('sheet2-计算明细'!$B$17:$B$330,$X255))</f>
        <v/>
      </c>
      <c r="C255" s="18">
        <f>IF($X255="","",INDEX('sheet2-计算明细'!$C$17:$C$330,$X255))</f>
        <v/>
      </c>
      <c r="D255" s="18">
        <f>IF($X255="","",INDEX('sheet2-计算明细'!$D$17:$D$330,$X255))</f>
        <v/>
      </c>
      <c r="E255" s="18">
        <f>IF($X255="","",INDEX('sheet2-计算明细'!$G$17:$G$330,$X255))</f>
        <v/>
      </c>
      <c r="F255" s="19">
        <f>IF($X255="","",INDEX('sheet2-计算明细'!$I$17:$I$330,$X255))</f>
        <v/>
      </c>
      <c r="G255" s="19">
        <f>IF($X255="","",INDEX('sheet2-计算明细'!$K$17:$K$330,$X255))</f>
        <v/>
      </c>
      <c r="H255" s="19">
        <f>IF($X255="","",INDEX('sheet2-计算明细'!$L$17:$L$330,$X255))</f>
        <v/>
      </c>
      <c r="I255" s="19">
        <f>IF($X255="","",INDEX('sheet2-计算明细'!$S$17:$S$330,$X255))</f>
        <v/>
      </c>
      <c r="J255" s="19">
        <f>IF($X255="","",INDEX('sheet2-计算明细'!$Y$17:$Y$330,$X255))</f>
        <v/>
      </c>
      <c r="K255" s="19">
        <f>IF($X255="","",INDEX('sheet2-计算明细'!$AC$17:$AC$330,$X255))</f>
        <v/>
      </c>
      <c r="L255" s="19">
        <f>IF($X255="","",INDEX('sheet2-计算明细'!$AI$17:$AI$330,$X255))</f>
        <v/>
      </c>
      <c r="M255" s="19">
        <f>IF($X255="","",INDEX('sheet2-计算明细'!$AK$17:$AK$330,$X255))</f>
        <v/>
      </c>
      <c r="N255" s="20">
        <f>IF(COUNT(F255:H255)=0,"",ROUND((IF(ISNUMBER(F255),F255*40%,0)+IF(ISNUMBER(G255),G255*30%,0)+IF(ISNUMBER(H255),H255*30%,0))/(IF(ISNUMBER(F255),40%,0)+IF(ISNUMBER(G255),30%,0)+IF(ISNUMBER(H255),30%,0)),2))</f>
        <v/>
      </c>
      <c r="O255" s="20">
        <f>IF(COUNT(I255:J255)=0,"",ROUND((IF(ISNUMBER(I255),I255*70%,0)+IF(ISNUMBER(J255),J255*30%,0))/(IF(ISNUMBER(I255),70%,0)+IF(ISNUMBER(J255),30%,0)),2))</f>
        <v/>
      </c>
      <c r="P255" s="20">
        <f>K255</f>
        <v/>
      </c>
      <c r="Q255" s="20">
        <f>L255</f>
        <v/>
      </c>
      <c r="R255" s="20">
        <f>M255</f>
        <v/>
      </c>
      <c r="S255" s="93">
        <f>IF($X255="","",INDEX('sheet2-计算明细'!$AQ$17:$AQ$330,$X255))</f>
        <v/>
      </c>
      <c r="T255" s="19">
        <f>IF($X255="","",INDEX('sheet2-计算明细'!$AR$17:$AR$330,$X255))</f>
        <v/>
      </c>
      <c r="U255" s="20">
        <f>IF(S255=0,"",ROUND(T255/S255,2))</f>
        <v/>
      </c>
      <c r="V255" s="20">
        <f>IF(S255=100%,T255,"")</f>
        <v/>
      </c>
      <c r="W255" s="22">
        <f>IF($X255="","",INDEX('sheet2-计算明细'!$AU$17:$AU$330,$X255))</f>
        <v/>
      </c>
      <c r="X255" s="18">
        <f>IF($A255&gt;COUNT('sheet2-计算明细'!$AT$17:$AT$330),"",MATCH($A255,'sheet2-计算明细'!$AT$17:$AT$330,0))</f>
        <v/>
      </c>
    </row>
    <row r="256" ht="28" customHeight="1" s="73">
      <c r="A256" s="2" t="n">
        <v>251</v>
      </c>
      <c r="B256" s="18">
        <f>IF($X256="","",INDEX('sheet2-计算明细'!$B$17:$B$330,$X256))</f>
        <v/>
      </c>
      <c r="C256" s="18">
        <f>IF($X256="","",INDEX('sheet2-计算明细'!$C$17:$C$330,$X256))</f>
        <v/>
      </c>
      <c r="D256" s="18">
        <f>IF($X256="","",INDEX('sheet2-计算明细'!$D$17:$D$330,$X256))</f>
        <v/>
      </c>
      <c r="E256" s="18">
        <f>IF($X256="","",INDEX('sheet2-计算明细'!$G$17:$G$330,$X256))</f>
        <v/>
      </c>
      <c r="F256" s="19">
        <f>IF($X256="","",INDEX('sheet2-计算明细'!$I$17:$I$330,$X256))</f>
        <v/>
      </c>
      <c r="G256" s="19">
        <f>IF($X256="","",INDEX('sheet2-计算明细'!$K$17:$K$330,$X256))</f>
        <v/>
      </c>
      <c r="H256" s="19">
        <f>IF($X256="","",INDEX('sheet2-计算明细'!$L$17:$L$330,$X256))</f>
        <v/>
      </c>
      <c r="I256" s="19">
        <f>IF($X256="","",INDEX('sheet2-计算明细'!$S$17:$S$330,$X256))</f>
        <v/>
      </c>
      <c r="J256" s="19">
        <f>IF($X256="","",INDEX('sheet2-计算明细'!$Y$17:$Y$330,$X256))</f>
        <v/>
      </c>
      <c r="K256" s="19">
        <f>IF($X256="","",INDEX('sheet2-计算明细'!$AC$17:$AC$330,$X256))</f>
        <v/>
      </c>
      <c r="L256" s="19">
        <f>IF($X256="","",INDEX('sheet2-计算明细'!$AI$17:$AI$330,$X256))</f>
        <v/>
      </c>
      <c r="M256" s="19">
        <f>IF($X256="","",INDEX('sheet2-计算明细'!$AK$17:$AK$330,$X256))</f>
        <v/>
      </c>
      <c r="N256" s="20">
        <f>IF(COUNT(F256:H256)=0,"",ROUND((IF(ISNUMBER(F256),F256*40%,0)+IF(ISNUMBER(G256),G256*30%,0)+IF(ISNUMBER(H256),H256*30%,0))/(IF(ISNUMBER(F256),40%,0)+IF(ISNUMBER(G256),30%,0)+IF(ISNUMBER(H256),30%,0)),2))</f>
        <v/>
      </c>
      <c r="O256" s="20">
        <f>IF(COUNT(I256:J256)=0,"",ROUND((IF(ISNUMBER(I256),I256*70%,0)+IF(ISNUMBER(J256),J256*30%,0))/(IF(ISNUMBER(I256),70%,0)+IF(ISNUMBER(J256),30%,0)),2))</f>
        <v/>
      </c>
      <c r="P256" s="20">
        <f>K256</f>
        <v/>
      </c>
      <c r="Q256" s="20">
        <f>L256</f>
        <v/>
      </c>
      <c r="R256" s="20">
        <f>M256</f>
        <v/>
      </c>
      <c r="S256" s="93">
        <f>IF($X256="","",INDEX('sheet2-计算明细'!$AQ$17:$AQ$330,$X256))</f>
        <v/>
      </c>
      <c r="T256" s="19">
        <f>IF($X256="","",INDEX('sheet2-计算明细'!$AR$17:$AR$330,$X256))</f>
        <v/>
      </c>
      <c r="U256" s="20">
        <f>IF(S256=0,"",ROUND(T256/S256,2))</f>
        <v/>
      </c>
      <c r="V256" s="20">
        <f>IF(S256=100%,T256,"")</f>
        <v/>
      </c>
      <c r="W256" s="22">
        <f>IF($X256="","",INDEX('sheet2-计算明细'!$AU$17:$AU$330,$X256))</f>
        <v/>
      </c>
      <c r="X256" s="18">
        <f>IF($A256&gt;COUNT('sheet2-计算明细'!$AT$17:$AT$330),"",MATCH($A256,'sheet2-计算明细'!$AT$17:$AT$330,0))</f>
        <v/>
      </c>
    </row>
    <row r="257" ht="28" customHeight="1" s="73">
      <c r="A257" s="2" t="n">
        <v>252</v>
      </c>
      <c r="B257" s="18">
        <f>IF($X257="","",INDEX('sheet2-计算明细'!$B$17:$B$330,$X257))</f>
        <v/>
      </c>
      <c r="C257" s="18">
        <f>IF($X257="","",INDEX('sheet2-计算明细'!$C$17:$C$330,$X257))</f>
        <v/>
      </c>
      <c r="D257" s="18">
        <f>IF($X257="","",INDEX('sheet2-计算明细'!$D$17:$D$330,$X257))</f>
        <v/>
      </c>
      <c r="E257" s="18">
        <f>IF($X257="","",INDEX('sheet2-计算明细'!$G$17:$G$330,$X257))</f>
        <v/>
      </c>
      <c r="F257" s="19">
        <f>IF($X257="","",INDEX('sheet2-计算明细'!$I$17:$I$330,$X257))</f>
        <v/>
      </c>
      <c r="G257" s="19">
        <f>IF($X257="","",INDEX('sheet2-计算明细'!$K$17:$K$330,$X257))</f>
        <v/>
      </c>
      <c r="H257" s="19">
        <f>IF($X257="","",INDEX('sheet2-计算明细'!$L$17:$L$330,$X257))</f>
        <v/>
      </c>
      <c r="I257" s="19">
        <f>IF($X257="","",INDEX('sheet2-计算明细'!$S$17:$S$330,$X257))</f>
        <v/>
      </c>
      <c r="J257" s="19">
        <f>IF($X257="","",INDEX('sheet2-计算明细'!$Y$17:$Y$330,$X257))</f>
        <v/>
      </c>
      <c r="K257" s="19">
        <f>IF($X257="","",INDEX('sheet2-计算明细'!$AC$17:$AC$330,$X257))</f>
        <v/>
      </c>
      <c r="L257" s="19">
        <f>IF($X257="","",INDEX('sheet2-计算明细'!$AI$17:$AI$330,$X257))</f>
        <v/>
      </c>
      <c r="M257" s="19">
        <f>IF($X257="","",INDEX('sheet2-计算明细'!$AK$17:$AK$330,$X257))</f>
        <v/>
      </c>
      <c r="N257" s="20">
        <f>IF(COUNT(F257:H257)=0,"",ROUND((IF(ISNUMBER(F257),F257*40%,0)+IF(ISNUMBER(G257),G257*30%,0)+IF(ISNUMBER(H257),H257*30%,0))/(IF(ISNUMBER(F257),40%,0)+IF(ISNUMBER(G257),30%,0)+IF(ISNUMBER(H257),30%,0)),2))</f>
        <v/>
      </c>
      <c r="O257" s="20">
        <f>IF(COUNT(I257:J257)=0,"",ROUND((IF(ISNUMBER(I257),I257*70%,0)+IF(ISNUMBER(J257),J257*30%,0))/(IF(ISNUMBER(I257),70%,0)+IF(ISNUMBER(J257),30%,0)),2))</f>
        <v/>
      </c>
      <c r="P257" s="20">
        <f>K257</f>
        <v/>
      </c>
      <c r="Q257" s="20">
        <f>L257</f>
        <v/>
      </c>
      <c r="R257" s="20">
        <f>M257</f>
        <v/>
      </c>
      <c r="S257" s="93">
        <f>IF($X257="","",INDEX('sheet2-计算明细'!$AQ$17:$AQ$330,$X257))</f>
        <v/>
      </c>
      <c r="T257" s="19">
        <f>IF($X257="","",INDEX('sheet2-计算明细'!$AR$17:$AR$330,$X257))</f>
        <v/>
      </c>
      <c r="U257" s="20">
        <f>IF(S257=0,"",ROUND(T257/S257,2))</f>
        <v/>
      </c>
      <c r="V257" s="20">
        <f>IF(S257=100%,T257,"")</f>
        <v/>
      </c>
      <c r="W257" s="22">
        <f>IF($X257="","",INDEX('sheet2-计算明细'!$AU$17:$AU$330,$X257))</f>
        <v/>
      </c>
      <c r="X257" s="18">
        <f>IF($A257&gt;COUNT('sheet2-计算明细'!$AT$17:$AT$330),"",MATCH($A257,'sheet2-计算明细'!$AT$17:$AT$330,0))</f>
        <v/>
      </c>
    </row>
    <row r="258" ht="28" customHeight="1" s="73">
      <c r="A258" s="2" t="n">
        <v>253</v>
      </c>
      <c r="B258" s="18">
        <f>IF($X258="","",INDEX('sheet2-计算明细'!$B$17:$B$330,$X258))</f>
        <v/>
      </c>
      <c r="C258" s="18">
        <f>IF($X258="","",INDEX('sheet2-计算明细'!$C$17:$C$330,$X258))</f>
        <v/>
      </c>
      <c r="D258" s="18">
        <f>IF($X258="","",INDEX('sheet2-计算明细'!$D$17:$D$330,$X258))</f>
        <v/>
      </c>
      <c r="E258" s="18">
        <f>IF($X258="","",INDEX('sheet2-计算明细'!$G$17:$G$330,$X258))</f>
        <v/>
      </c>
      <c r="F258" s="19">
        <f>IF($X258="","",INDEX('sheet2-计算明细'!$I$17:$I$330,$X258))</f>
        <v/>
      </c>
      <c r="G258" s="19">
        <f>IF($X258="","",INDEX('sheet2-计算明细'!$K$17:$K$330,$X258))</f>
        <v/>
      </c>
      <c r="H258" s="19">
        <f>IF($X258="","",INDEX('sheet2-计算明细'!$L$17:$L$330,$X258))</f>
        <v/>
      </c>
      <c r="I258" s="19">
        <f>IF($X258="","",INDEX('sheet2-计算明细'!$S$17:$S$330,$X258))</f>
        <v/>
      </c>
      <c r="J258" s="19">
        <f>IF($X258="","",INDEX('sheet2-计算明细'!$Y$17:$Y$330,$X258))</f>
        <v/>
      </c>
      <c r="K258" s="19">
        <f>IF($X258="","",INDEX('sheet2-计算明细'!$AC$17:$AC$330,$X258))</f>
        <v/>
      </c>
      <c r="L258" s="19">
        <f>IF($X258="","",INDEX('sheet2-计算明细'!$AI$17:$AI$330,$X258))</f>
        <v/>
      </c>
      <c r="M258" s="19">
        <f>IF($X258="","",INDEX('sheet2-计算明细'!$AK$17:$AK$330,$X258))</f>
        <v/>
      </c>
      <c r="N258" s="20">
        <f>IF(COUNT(F258:H258)=0,"",ROUND((IF(ISNUMBER(F258),F258*40%,0)+IF(ISNUMBER(G258),G258*30%,0)+IF(ISNUMBER(H258),H258*30%,0))/(IF(ISNUMBER(F258),40%,0)+IF(ISNUMBER(G258),30%,0)+IF(ISNUMBER(H258),30%,0)),2))</f>
        <v/>
      </c>
      <c r="O258" s="20">
        <f>IF(COUNT(I258:J258)=0,"",ROUND((IF(ISNUMBER(I258),I258*70%,0)+IF(ISNUMBER(J258),J258*30%,0))/(IF(ISNUMBER(I258),70%,0)+IF(ISNUMBER(J258),30%,0)),2))</f>
        <v/>
      </c>
      <c r="P258" s="20">
        <f>K258</f>
        <v/>
      </c>
      <c r="Q258" s="20">
        <f>L258</f>
        <v/>
      </c>
      <c r="R258" s="20">
        <f>M258</f>
        <v/>
      </c>
      <c r="S258" s="93">
        <f>IF($X258="","",INDEX('sheet2-计算明细'!$AQ$17:$AQ$330,$X258))</f>
        <v/>
      </c>
      <c r="T258" s="19">
        <f>IF($X258="","",INDEX('sheet2-计算明细'!$AR$17:$AR$330,$X258))</f>
        <v/>
      </c>
      <c r="U258" s="20">
        <f>IF(S258=0,"",ROUND(T258/S258,2))</f>
        <v/>
      </c>
      <c r="V258" s="20">
        <f>IF(S258=100%,T258,"")</f>
        <v/>
      </c>
      <c r="W258" s="22">
        <f>IF($X258="","",INDEX('sheet2-计算明细'!$AU$17:$AU$330,$X258))</f>
        <v/>
      </c>
      <c r="X258" s="18">
        <f>IF($A258&gt;COUNT('sheet2-计算明细'!$AT$17:$AT$330),"",MATCH($A258,'sheet2-计算明细'!$AT$17:$AT$330,0))</f>
        <v/>
      </c>
    </row>
    <row r="259" ht="28" customHeight="1" s="73">
      <c r="A259" s="2" t="n">
        <v>254</v>
      </c>
      <c r="B259" s="18">
        <f>IF($X259="","",INDEX('sheet2-计算明细'!$B$17:$B$330,$X259))</f>
        <v/>
      </c>
      <c r="C259" s="18">
        <f>IF($X259="","",INDEX('sheet2-计算明细'!$C$17:$C$330,$X259))</f>
        <v/>
      </c>
      <c r="D259" s="18">
        <f>IF($X259="","",INDEX('sheet2-计算明细'!$D$17:$D$330,$X259))</f>
        <v/>
      </c>
      <c r="E259" s="18">
        <f>IF($X259="","",INDEX('sheet2-计算明细'!$G$17:$G$330,$X259))</f>
        <v/>
      </c>
      <c r="F259" s="19">
        <f>IF($X259="","",INDEX('sheet2-计算明细'!$I$17:$I$330,$X259))</f>
        <v/>
      </c>
      <c r="G259" s="19">
        <f>IF($X259="","",INDEX('sheet2-计算明细'!$K$17:$K$330,$X259))</f>
        <v/>
      </c>
      <c r="H259" s="19">
        <f>IF($X259="","",INDEX('sheet2-计算明细'!$L$17:$L$330,$X259))</f>
        <v/>
      </c>
      <c r="I259" s="19">
        <f>IF($X259="","",INDEX('sheet2-计算明细'!$S$17:$S$330,$X259))</f>
        <v/>
      </c>
      <c r="J259" s="19">
        <f>IF($X259="","",INDEX('sheet2-计算明细'!$Y$17:$Y$330,$X259))</f>
        <v/>
      </c>
      <c r="K259" s="19">
        <f>IF($X259="","",INDEX('sheet2-计算明细'!$AC$17:$AC$330,$X259))</f>
        <v/>
      </c>
      <c r="L259" s="19">
        <f>IF($X259="","",INDEX('sheet2-计算明细'!$AI$17:$AI$330,$X259))</f>
        <v/>
      </c>
      <c r="M259" s="19">
        <f>IF($X259="","",INDEX('sheet2-计算明细'!$AK$17:$AK$330,$X259))</f>
        <v/>
      </c>
      <c r="N259" s="20">
        <f>IF(COUNT(F259:H259)=0,"",ROUND((IF(ISNUMBER(F259),F259*40%,0)+IF(ISNUMBER(G259),G259*30%,0)+IF(ISNUMBER(H259),H259*30%,0))/(IF(ISNUMBER(F259),40%,0)+IF(ISNUMBER(G259),30%,0)+IF(ISNUMBER(H259),30%,0)),2))</f>
        <v/>
      </c>
      <c r="O259" s="20">
        <f>IF(COUNT(I259:J259)=0,"",ROUND((IF(ISNUMBER(I259),I259*70%,0)+IF(ISNUMBER(J259),J259*30%,0))/(IF(ISNUMBER(I259),70%,0)+IF(ISNUMBER(J259),30%,0)),2))</f>
        <v/>
      </c>
      <c r="P259" s="20">
        <f>K259</f>
        <v/>
      </c>
      <c r="Q259" s="20">
        <f>L259</f>
        <v/>
      </c>
      <c r="R259" s="20">
        <f>M259</f>
        <v/>
      </c>
      <c r="S259" s="93">
        <f>IF($X259="","",INDEX('sheet2-计算明细'!$AQ$17:$AQ$330,$X259))</f>
        <v/>
      </c>
      <c r="T259" s="19">
        <f>IF($X259="","",INDEX('sheet2-计算明细'!$AR$17:$AR$330,$X259))</f>
        <v/>
      </c>
      <c r="U259" s="20">
        <f>IF(S259=0,"",ROUND(T259/S259,2))</f>
        <v/>
      </c>
      <c r="V259" s="20">
        <f>IF(S259=100%,T259,"")</f>
        <v/>
      </c>
      <c r="W259" s="22">
        <f>IF($X259="","",INDEX('sheet2-计算明细'!$AU$17:$AU$330,$X259))</f>
        <v/>
      </c>
      <c r="X259" s="18">
        <f>IF($A259&gt;COUNT('sheet2-计算明细'!$AT$17:$AT$330),"",MATCH($A259,'sheet2-计算明细'!$AT$17:$AT$330,0))</f>
        <v/>
      </c>
    </row>
    <row r="260" ht="28" customHeight="1" s="73">
      <c r="A260" s="2" t="n">
        <v>255</v>
      </c>
      <c r="B260" s="18">
        <f>IF($X260="","",INDEX('sheet2-计算明细'!$B$17:$B$330,$X260))</f>
        <v/>
      </c>
      <c r="C260" s="18">
        <f>IF($X260="","",INDEX('sheet2-计算明细'!$C$17:$C$330,$X260))</f>
        <v/>
      </c>
      <c r="D260" s="18">
        <f>IF($X260="","",INDEX('sheet2-计算明细'!$D$17:$D$330,$X260))</f>
        <v/>
      </c>
      <c r="E260" s="18">
        <f>IF($X260="","",INDEX('sheet2-计算明细'!$G$17:$G$330,$X260))</f>
        <v/>
      </c>
      <c r="F260" s="19">
        <f>IF($X260="","",INDEX('sheet2-计算明细'!$I$17:$I$330,$X260))</f>
        <v/>
      </c>
      <c r="G260" s="19">
        <f>IF($X260="","",INDEX('sheet2-计算明细'!$K$17:$K$330,$X260))</f>
        <v/>
      </c>
      <c r="H260" s="19">
        <f>IF($X260="","",INDEX('sheet2-计算明细'!$L$17:$L$330,$X260))</f>
        <v/>
      </c>
      <c r="I260" s="19">
        <f>IF($X260="","",INDEX('sheet2-计算明细'!$S$17:$S$330,$X260))</f>
        <v/>
      </c>
      <c r="J260" s="19">
        <f>IF($X260="","",INDEX('sheet2-计算明细'!$Y$17:$Y$330,$X260))</f>
        <v/>
      </c>
      <c r="K260" s="19">
        <f>IF($X260="","",INDEX('sheet2-计算明细'!$AC$17:$AC$330,$X260))</f>
        <v/>
      </c>
      <c r="L260" s="19">
        <f>IF($X260="","",INDEX('sheet2-计算明细'!$AI$17:$AI$330,$X260))</f>
        <v/>
      </c>
      <c r="M260" s="19">
        <f>IF($X260="","",INDEX('sheet2-计算明细'!$AK$17:$AK$330,$X260))</f>
        <v/>
      </c>
      <c r="N260" s="20">
        <f>IF(COUNT(F260:H260)=0,"",ROUND((IF(ISNUMBER(F260),F260*40%,0)+IF(ISNUMBER(G260),G260*30%,0)+IF(ISNUMBER(H260),H260*30%,0))/(IF(ISNUMBER(F260),40%,0)+IF(ISNUMBER(G260),30%,0)+IF(ISNUMBER(H260),30%,0)),2))</f>
        <v/>
      </c>
      <c r="O260" s="20">
        <f>IF(COUNT(I260:J260)=0,"",ROUND((IF(ISNUMBER(I260),I260*70%,0)+IF(ISNUMBER(J260),J260*30%,0))/(IF(ISNUMBER(I260),70%,0)+IF(ISNUMBER(J260),30%,0)),2))</f>
        <v/>
      </c>
      <c r="P260" s="20">
        <f>K260</f>
        <v/>
      </c>
      <c r="Q260" s="20">
        <f>L260</f>
        <v/>
      </c>
      <c r="R260" s="20">
        <f>M260</f>
        <v/>
      </c>
      <c r="S260" s="93">
        <f>IF($X260="","",INDEX('sheet2-计算明细'!$AQ$17:$AQ$330,$X260))</f>
        <v/>
      </c>
      <c r="T260" s="19">
        <f>IF($X260="","",INDEX('sheet2-计算明细'!$AR$17:$AR$330,$X260))</f>
        <v/>
      </c>
      <c r="U260" s="20">
        <f>IF(S260=0,"",ROUND(T260/S260,2))</f>
        <v/>
      </c>
      <c r="V260" s="20">
        <f>IF(S260=100%,T260,"")</f>
        <v/>
      </c>
      <c r="W260" s="22">
        <f>IF($X260="","",INDEX('sheet2-计算明细'!$AU$17:$AU$330,$X260))</f>
        <v/>
      </c>
      <c r="X260" s="18">
        <f>IF($A260&gt;COUNT('sheet2-计算明细'!$AT$17:$AT$330),"",MATCH($A260,'sheet2-计算明细'!$AT$17:$AT$330,0))</f>
        <v/>
      </c>
    </row>
    <row r="261" ht="28" customHeight="1" s="73">
      <c r="A261" s="2" t="n">
        <v>256</v>
      </c>
      <c r="B261" s="18">
        <f>IF($X261="","",INDEX('sheet2-计算明细'!$B$17:$B$330,$X261))</f>
        <v/>
      </c>
      <c r="C261" s="18">
        <f>IF($X261="","",INDEX('sheet2-计算明细'!$C$17:$C$330,$X261))</f>
        <v/>
      </c>
      <c r="D261" s="18">
        <f>IF($X261="","",INDEX('sheet2-计算明细'!$D$17:$D$330,$X261))</f>
        <v/>
      </c>
      <c r="E261" s="18">
        <f>IF($X261="","",INDEX('sheet2-计算明细'!$G$17:$G$330,$X261))</f>
        <v/>
      </c>
      <c r="F261" s="19">
        <f>IF($X261="","",INDEX('sheet2-计算明细'!$I$17:$I$330,$X261))</f>
        <v/>
      </c>
      <c r="G261" s="19">
        <f>IF($X261="","",INDEX('sheet2-计算明细'!$K$17:$K$330,$X261))</f>
        <v/>
      </c>
      <c r="H261" s="19">
        <f>IF($X261="","",INDEX('sheet2-计算明细'!$L$17:$L$330,$X261))</f>
        <v/>
      </c>
      <c r="I261" s="19">
        <f>IF($X261="","",INDEX('sheet2-计算明细'!$S$17:$S$330,$X261))</f>
        <v/>
      </c>
      <c r="J261" s="19">
        <f>IF($X261="","",INDEX('sheet2-计算明细'!$Y$17:$Y$330,$X261))</f>
        <v/>
      </c>
      <c r="K261" s="19">
        <f>IF($X261="","",INDEX('sheet2-计算明细'!$AC$17:$AC$330,$X261))</f>
        <v/>
      </c>
      <c r="L261" s="19">
        <f>IF($X261="","",INDEX('sheet2-计算明细'!$AI$17:$AI$330,$X261))</f>
        <v/>
      </c>
      <c r="M261" s="19">
        <f>IF($X261="","",INDEX('sheet2-计算明细'!$AK$17:$AK$330,$X261))</f>
        <v/>
      </c>
      <c r="N261" s="20">
        <f>IF(COUNT(F261:H261)=0,"",ROUND((IF(ISNUMBER(F261),F261*40%,0)+IF(ISNUMBER(G261),G261*30%,0)+IF(ISNUMBER(H261),H261*30%,0))/(IF(ISNUMBER(F261),40%,0)+IF(ISNUMBER(G261),30%,0)+IF(ISNUMBER(H261),30%,0)),2))</f>
        <v/>
      </c>
      <c r="O261" s="20">
        <f>IF(COUNT(I261:J261)=0,"",ROUND((IF(ISNUMBER(I261),I261*70%,0)+IF(ISNUMBER(J261),J261*30%,0))/(IF(ISNUMBER(I261),70%,0)+IF(ISNUMBER(J261),30%,0)),2))</f>
        <v/>
      </c>
      <c r="P261" s="20">
        <f>K261</f>
        <v/>
      </c>
      <c r="Q261" s="20">
        <f>L261</f>
        <v/>
      </c>
      <c r="R261" s="20">
        <f>M261</f>
        <v/>
      </c>
      <c r="S261" s="93">
        <f>IF($X261="","",INDEX('sheet2-计算明细'!$AQ$17:$AQ$330,$X261))</f>
        <v/>
      </c>
      <c r="T261" s="19">
        <f>IF($X261="","",INDEX('sheet2-计算明细'!$AR$17:$AR$330,$X261))</f>
        <v/>
      </c>
      <c r="U261" s="20">
        <f>IF(S261=0,"",ROUND(T261/S261,2))</f>
        <v/>
      </c>
      <c r="V261" s="20">
        <f>IF(S261=100%,T261,"")</f>
        <v/>
      </c>
      <c r="W261" s="22">
        <f>IF($X261="","",INDEX('sheet2-计算明细'!$AU$17:$AU$330,$X261))</f>
        <v/>
      </c>
      <c r="X261" s="18">
        <f>IF($A261&gt;COUNT('sheet2-计算明细'!$AT$17:$AT$330),"",MATCH($A261,'sheet2-计算明细'!$AT$17:$AT$330,0))</f>
        <v/>
      </c>
    </row>
    <row r="262" ht="28" customHeight="1" s="73">
      <c r="A262" s="2" t="n">
        <v>257</v>
      </c>
      <c r="B262" s="18">
        <f>IF($X262="","",INDEX('sheet2-计算明细'!$B$17:$B$330,$X262))</f>
        <v/>
      </c>
      <c r="C262" s="18">
        <f>IF($X262="","",INDEX('sheet2-计算明细'!$C$17:$C$330,$X262))</f>
        <v/>
      </c>
      <c r="D262" s="18">
        <f>IF($X262="","",INDEX('sheet2-计算明细'!$D$17:$D$330,$X262))</f>
        <v/>
      </c>
      <c r="E262" s="18">
        <f>IF($X262="","",INDEX('sheet2-计算明细'!$G$17:$G$330,$X262))</f>
        <v/>
      </c>
      <c r="F262" s="19">
        <f>IF($X262="","",INDEX('sheet2-计算明细'!$I$17:$I$330,$X262))</f>
        <v/>
      </c>
      <c r="G262" s="19">
        <f>IF($X262="","",INDEX('sheet2-计算明细'!$K$17:$K$330,$X262))</f>
        <v/>
      </c>
      <c r="H262" s="19">
        <f>IF($X262="","",INDEX('sheet2-计算明细'!$L$17:$L$330,$X262))</f>
        <v/>
      </c>
      <c r="I262" s="19">
        <f>IF($X262="","",INDEX('sheet2-计算明细'!$S$17:$S$330,$X262))</f>
        <v/>
      </c>
      <c r="J262" s="19">
        <f>IF($X262="","",INDEX('sheet2-计算明细'!$Y$17:$Y$330,$X262))</f>
        <v/>
      </c>
      <c r="K262" s="19">
        <f>IF($X262="","",INDEX('sheet2-计算明细'!$AC$17:$AC$330,$X262))</f>
        <v/>
      </c>
      <c r="L262" s="19">
        <f>IF($X262="","",INDEX('sheet2-计算明细'!$AI$17:$AI$330,$X262))</f>
        <v/>
      </c>
      <c r="M262" s="19">
        <f>IF($X262="","",INDEX('sheet2-计算明细'!$AK$17:$AK$330,$X262))</f>
        <v/>
      </c>
      <c r="N262" s="20">
        <f>IF(COUNT(F262:H262)=0,"",ROUND((IF(ISNUMBER(F262),F262*40%,0)+IF(ISNUMBER(G262),G262*30%,0)+IF(ISNUMBER(H262),H262*30%,0))/(IF(ISNUMBER(F262),40%,0)+IF(ISNUMBER(G262),30%,0)+IF(ISNUMBER(H262),30%,0)),2))</f>
        <v/>
      </c>
      <c r="O262" s="20">
        <f>IF(COUNT(I262:J262)=0,"",ROUND((IF(ISNUMBER(I262),I262*70%,0)+IF(ISNUMBER(J262),J262*30%,0))/(IF(ISNUMBER(I262),70%,0)+IF(ISNUMBER(J262),30%,0)),2))</f>
        <v/>
      </c>
      <c r="P262" s="20">
        <f>K262</f>
        <v/>
      </c>
      <c r="Q262" s="20">
        <f>L262</f>
        <v/>
      </c>
      <c r="R262" s="20">
        <f>M262</f>
        <v/>
      </c>
      <c r="S262" s="93">
        <f>IF($X262="","",INDEX('sheet2-计算明细'!$AQ$17:$AQ$330,$X262))</f>
        <v/>
      </c>
      <c r="T262" s="19">
        <f>IF($X262="","",INDEX('sheet2-计算明细'!$AR$17:$AR$330,$X262))</f>
        <v/>
      </c>
      <c r="U262" s="20">
        <f>IF(S262=0,"",ROUND(T262/S262,2))</f>
        <v/>
      </c>
      <c r="V262" s="20">
        <f>IF(S262=100%,T262,"")</f>
        <v/>
      </c>
      <c r="W262" s="22">
        <f>IF($X262="","",INDEX('sheet2-计算明细'!$AU$17:$AU$330,$X262))</f>
        <v/>
      </c>
      <c r="X262" s="18">
        <f>IF($A262&gt;COUNT('sheet2-计算明细'!$AT$17:$AT$330),"",MATCH($A262,'sheet2-计算明细'!$AT$17:$AT$330,0))</f>
        <v/>
      </c>
    </row>
    <row r="263" ht="28" customHeight="1" s="73">
      <c r="A263" s="2" t="n">
        <v>258</v>
      </c>
      <c r="B263" s="18">
        <f>IF($X263="","",INDEX('sheet2-计算明细'!$B$17:$B$330,$X263))</f>
        <v/>
      </c>
      <c r="C263" s="18">
        <f>IF($X263="","",INDEX('sheet2-计算明细'!$C$17:$C$330,$X263))</f>
        <v/>
      </c>
      <c r="D263" s="18">
        <f>IF($X263="","",INDEX('sheet2-计算明细'!$D$17:$D$330,$X263))</f>
        <v/>
      </c>
      <c r="E263" s="18">
        <f>IF($X263="","",INDEX('sheet2-计算明细'!$G$17:$G$330,$X263))</f>
        <v/>
      </c>
      <c r="F263" s="19">
        <f>IF($X263="","",INDEX('sheet2-计算明细'!$I$17:$I$330,$X263))</f>
        <v/>
      </c>
      <c r="G263" s="19">
        <f>IF($X263="","",INDEX('sheet2-计算明细'!$K$17:$K$330,$X263))</f>
        <v/>
      </c>
      <c r="H263" s="19">
        <f>IF($X263="","",INDEX('sheet2-计算明细'!$L$17:$L$330,$X263))</f>
        <v/>
      </c>
      <c r="I263" s="19">
        <f>IF($X263="","",INDEX('sheet2-计算明细'!$S$17:$S$330,$X263))</f>
        <v/>
      </c>
      <c r="J263" s="19">
        <f>IF($X263="","",INDEX('sheet2-计算明细'!$Y$17:$Y$330,$X263))</f>
        <v/>
      </c>
      <c r="K263" s="19">
        <f>IF($X263="","",INDEX('sheet2-计算明细'!$AC$17:$AC$330,$X263))</f>
        <v/>
      </c>
      <c r="L263" s="19">
        <f>IF($X263="","",INDEX('sheet2-计算明细'!$AI$17:$AI$330,$X263))</f>
        <v/>
      </c>
      <c r="M263" s="19">
        <f>IF($X263="","",INDEX('sheet2-计算明细'!$AK$17:$AK$330,$X263))</f>
        <v/>
      </c>
      <c r="N263" s="20">
        <f>IF(COUNT(F263:H263)=0,"",ROUND((IF(ISNUMBER(F263),F263*40%,0)+IF(ISNUMBER(G263),G263*30%,0)+IF(ISNUMBER(H263),H263*30%,0))/(IF(ISNUMBER(F263),40%,0)+IF(ISNUMBER(G263),30%,0)+IF(ISNUMBER(H263),30%,0)),2))</f>
        <v/>
      </c>
      <c r="O263" s="20">
        <f>IF(COUNT(I263:J263)=0,"",ROUND((IF(ISNUMBER(I263),I263*70%,0)+IF(ISNUMBER(J263),J263*30%,0))/(IF(ISNUMBER(I263),70%,0)+IF(ISNUMBER(J263),30%,0)),2))</f>
        <v/>
      </c>
      <c r="P263" s="20">
        <f>K263</f>
        <v/>
      </c>
      <c r="Q263" s="20">
        <f>L263</f>
        <v/>
      </c>
      <c r="R263" s="20">
        <f>M263</f>
        <v/>
      </c>
      <c r="S263" s="93">
        <f>IF($X263="","",INDEX('sheet2-计算明细'!$AQ$17:$AQ$330,$X263))</f>
        <v/>
      </c>
      <c r="T263" s="19">
        <f>IF($X263="","",INDEX('sheet2-计算明细'!$AR$17:$AR$330,$X263))</f>
        <v/>
      </c>
      <c r="U263" s="20">
        <f>IF(S263=0,"",ROUND(T263/S263,2))</f>
        <v/>
      </c>
      <c r="V263" s="20">
        <f>IF(S263=100%,T263,"")</f>
        <v/>
      </c>
      <c r="W263" s="22">
        <f>IF($X263="","",INDEX('sheet2-计算明细'!$AU$17:$AU$330,$X263))</f>
        <v/>
      </c>
      <c r="X263" s="18">
        <f>IF($A263&gt;COUNT('sheet2-计算明细'!$AT$17:$AT$330),"",MATCH($A263,'sheet2-计算明细'!$AT$17:$AT$330,0))</f>
        <v/>
      </c>
    </row>
    <row r="264" ht="28" customHeight="1" s="73">
      <c r="A264" s="2" t="n">
        <v>259</v>
      </c>
      <c r="B264" s="18">
        <f>IF($X264="","",INDEX('sheet2-计算明细'!$B$17:$B$330,$X264))</f>
        <v/>
      </c>
      <c r="C264" s="18">
        <f>IF($X264="","",INDEX('sheet2-计算明细'!$C$17:$C$330,$X264))</f>
        <v/>
      </c>
      <c r="D264" s="18">
        <f>IF($X264="","",INDEX('sheet2-计算明细'!$D$17:$D$330,$X264))</f>
        <v/>
      </c>
      <c r="E264" s="18">
        <f>IF($X264="","",INDEX('sheet2-计算明细'!$G$17:$G$330,$X264))</f>
        <v/>
      </c>
      <c r="F264" s="19">
        <f>IF($X264="","",INDEX('sheet2-计算明细'!$I$17:$I$330,$X264))</f>
        <v/>
      </c>
      <c r="G264" s="19">
        <f>IF($X264="","",INDEX('sheet2-计算明细'!$K$17:$K$330,$X264))</f>
        <v/>
      </c>
      <c r="H264" s="19">
        <f>IF($X264="","",INDEX('sheet2-计算明细'!$L$17:$L$330,$X264))</f>
        <v/>
      </c>
      <c r="I264" s="19">
        <f>IF($X264="","",INDEX('sheet2-计算明细'!$S$17:$S$330,$X264))</f>
        <v/>
      </c>
      <c r="J264" s="19">
        <f>IF($X264="","",INDEX('sheet2-计算明细'!$Y$17:$Y$330,$X264))</f>
        <v/>
      </c>
      <c r="K264" s="19">
        <f>IF($X264="","",INDEX('sheet2-计算明细'!$AC$17:$AC$330,$X264))</f>
        <v/>
      </c>
      <c r="L264" s="19">
        <f>IF($X264="","",INDEX('sheet2-计算明细'!$AI$17:$AI$330,$X264))</f>
        <v/>
      </c>
      <c r="M264" s="19">
        <f>IF($X264="","",INDEX('sheet2-计算明细'!$AK$17:$AK$330,$X264))</f>
        <v/>
      </c>
      <c r="N264" s="20">
        <f>IF(COUNT(F264:H264)=0,"",ROUND((IF(ISNUMBER(F264),F264*40%,0)+IF(ISNUMBER(G264),G264*30%,0)+IF(ISNUMBER(H264),H264*30%,0))/(IF(ISNUMBER(F264),40%,0)+IF(ISNUMBER(G264),30%,0)+IF(ISNUMBER(H264),30%,0)),2))</f>
        <v/>
      </c>
      <c r="O264" s="20">
        <f>IF(COUNT(I264:J264)=0,"",ROUND((IF(ISNUMBER(I264),I264*70%,0)+IF(ISNUMBER(J264),J264*30%,0))/(IF(ISNUMBER(I264),70%,0)+IF(ISNUMBER(J264),30%,0)),2))</f>
        <v/>
      </c>
      <c r="P264" s="20">
        <f>K264</f>
        <v/>
      </c>
      <c r="Q264" s="20">
        <f>L264</f>
        <v/>
      </c>
      <c r="R264" s="20">
        <f>M264</f>
        <v/>
      </c>
      <c r="S264" s="93">
        <f>IF($X264="","",INDEX('sheet2-计算明细'!$AQ$17:$AQ$330,$X264))</f>
        <v/>
      </c>
      <c r="T264" s="19">
        <f>IF($X264="","",INDEX('sheet2-计算明细'!$AR$17:$AR$330,$X264))</f>
        <v/>
      </c>
      <c r="U264" s="20">
        <f>IF(S264=0,"",ROUND(T264/S264,2))</f>
        <v/>
      </c>
      <c r="V264" s="20">
        <f>IF(S264=100%,T264,"")</f>
        <v/>
      </c>
      <c r="W264" s="22">
        <f>IF($X264="","",INDEX('sheet2-计算明细'!$AU$17:$AU$330,$X264))</f>
        <v/>
      </c>
      <c r="X264" s="18">
        <f>IF($A264&gt;COUNT('sheet2-计算明细'!$AT$17:$AT$330),"",MATCH($A264,'sheet2-计算明细'!$AT$17:$AT$330,0))</f>
        <v/>
      </c>
    </row>
    <row r="265" ht="28" customHeight="1" s="73">
      <c r="A265" s="2" t="n">
        <v>260</v>
      </c>
      <c r="B265" s="18">
        <f>IF($X265="","",INDEX('sheet2-计算明细'!$B$17:$B$330,$X265))</f>
        <v/>
      </c>
      <c r="C265" s="18">
        <f>IF($X265="","",INDEX('sheet2-计算明细'!$C$17:$C$330,$X265))</f>
        <v/>
      </c>
      <c r="D265" s="18">
        <f>IF($X265="","",INDEX('sheet2-计算明细'!$D$17:$D$330,$X265))</f>
        <v/>
      </c>
      <c r="E265" s="18">
        <f>IF($X265="","",INDEX('sheet2-计算明细'!$G$17:$G$330,$X265))</f>
        <v/>
      </c>
      <c r="F265" s="19">
        <f>IF($X265="","",INDEX('sheet2-计算明细'!$I$17:$I$330,$X265))</f>
        <v/>
      </c>
      <c r="G265" s="19">
        <f>IF($X265="","",INDEX('sheet2-计算明细'!$K$17:$K$330,$X265))</f>
        <v/>
      </c>
      <c r="H265" s="19">
        <f>IF($X265="","",INDEX('sheet2-计算明细'!$L$17:$L$330,$X265))</f>
        <v/>
      </c>
      <c r="I265" s="19">
        <f>IF($X265="","",INDEX('sheet2-计算明细'!$S$17:$S$330,$X265))</f>
        <v/>
      </c>
      <c r="J265" s="19">
        <f>IF($X265="","",INDEX('sheet2-计算明细'!$Y$17:$Y$330,$X265))</f>
        <v/>
      </c>
      <c r="K265" s="19">
        <f>IF($X265="","",INDEX('sheet2-计算明细'!$AC$17:$AC$330,$X265))</f>
        <v/>
      </c>
      <c r="L265" s="19">
        <f>IF($X265="","",INDEX('sheet2-计算明细'!$AI$17:$AI$330,$X265))</f>
        <v/>
      </c>
      <c r="M265" s="19">
        <f>IF($X265="","",INDEX('sheet2-计算明细'!$AK$17:$AK$330,$X265))</f>
        <v/>
      </c>
      <c r="N265" s="20">
        <f>IF(COUNT(F265:H265)=0,"",ROUND((IF(ISNUMBER(F265),F265*40%,0)+IF(ISNUMBER(G265),G265*30%,0)+IF(ISNUMBER(H265),H265*30%,0))/(IF(ISNUMBER(F265),40%,0)+IF(ISNUMBER(G265),30%,0)+IF(ISNUMBER(H265),30%,0)),2))</f>
        <v/>
      </c>
      <c r="O265" s="20">
        <f>IF(COUNT(I265:J265)=0,"",ROUND((IF(ISNUMBER(I265),I265*70%,0)+IF(ISNUMBER(J265),J265*30%,0))/(IF(ISNUMBER(I265),70%,0)+IF(ISNUMBER(J265),30%,0)),2))</f>
        <v/>
      </c>
      <c r="P265" s="20">
        <f>K265</f>
        <v/>
      </c>
      <c r="Q265" s="20">
        <f>L265</f>
        <v/>
      </c>
      <c r="R265" s="20">
        <f>M265</f>
        <v/>
      </c>
      <c r="S265" s="93">
        <f>IF($X265="","",INDEX('sheet2-计算明细'!$AQ$17:$AQ$330,$X265))</f>
        <v/>
      </c>
      <c r="T265" s="19">
        <f>IF($X265="","",INDEX('sheet2-计算明细'!$AR$17:$AR$330,$X265))</f>
        <v/>
      </c>
      <c r="U265" s="20">
        <f>IF(S265=0,"",ROUND(T265/S265,2))</f>
        <v/>
      </c>
      <c r="V265" s="20">
        <f>IF(S265=100%,T265,"")</f>
        <v/>
      </c>
      <c r="W265" s="22">
        <f>IF($X265="","",INDEX('sheet2-计算明细'!$AU$17:$AU$330,$X265))</f>
        <v/>
      </c>
      <c r="X265" s="18">
        <f>IF($A265&gt;COUNT('sheet2-计算明细'!$AT$17:$AT$330),"",MATCH($A265,'sheet2-计算明细'!$AT$17:$AT$330,0))</f>
        <v/>
      </c>
    </row>
    <row r="266" ht="28" customHeight="1" s="73">
      <c r="A266" s="2" t="n">
        <v>261</v>
      </c>
      <c r="B266" s="18">
        <f>IF($X266="","",INDEX('sheet2-计算明细'!$B$17:$B$330,$X266))</f>
        <v/>
      </c>
      <c r="C266" s="18">
        <f>IF($X266="","",INDEX('sheet2-计算明细'!$C$17:$C$330,$X266))</f>
        <v/>
      </c>
      <c r="D266" s="18">
        <f>IF($X266="","",INDEX('sheet2-计算明细'!$D$17:$D$330,$X266))</f>
        <v/>
      </c>
      <c r="E266" s="18">
        <f>IF($X266="","",INDEX('sheet2-计算明细'!$G$17:$G$330,$X266))</f>
        <v/>
      </c>
      <c r="F266" s="19">
        <f>IF($X266="","",INDEX('sheet2-计算明细'!$I$17:$I$330,$X266))</f>
        <v/>
      </c>
      <c r="G266" s="19">
        <f>IF($X266="","",INDEX('sheet2-计算明细'!$K$17:$K$330,$X266))</f>
        <v/>
      </c>
      <c r="H266" s="19">
        <f>IF($X266="","",INDEX('sheet2-计算明细'!$L$17:$L$330,$X266))</f>
        <v/>
      </c>
      <c r="I266" s="19">
        <f>IF($X266="","",INDEX('sheet2-计算明细'!$S$17:$S$330,$X266))</f>
        <v/>
      </c>
      <c r="J266" s="19">
        <f>IF($X266="","",INDEX('sheet2-计算明细'!$Y$17:$Y$330,$X266))</f>
        <v/>
      </c>
      <c r="K266" s="19">
        <f>IF($X266="","",INDEX('sheet2-计算明细'!$AC$17:$AC$330,$X266))</f>
        <v/>
      </c>
      <c r="L266" s="19">
        <f>IF($X266="","",INDEX('sheet2-计算明细'!$AI$17:$AI$330,$X266))</f>
        <v/>
      </c>
      <c r="M266" s="19">
        <f>IF($X266="","",INDEX('sheet2-计算明细'!$AK$17:$AK$330,$X266))</f>
        <v/>
      </c>
      <c r="N266" s="20">
        <f>IF(COUNT(F266:H266)=0,"",ROUND((IF(ISNUMBER(F266),F266*40%,0)+IF(ISNUMBER(G266),G266*30%,0)+IF(ISNUMBER(H266),H266*30%,0))/(IF(ISNUMBER(F266),40%,0)+IF(ISNUMBER(G266),30%,0)+IF(ISNUMBER(H266),30%,0)),2))</f>
        <v/>
      </c>
      <c r="O266" s="20">
        <f>IF(COUNT(I266:J266)=0,"",ROUND((IF(ISNUMBER(I266),I266*70%,0)+IF(ISNUMBER(J266),J266*30%,0))/(IF(ISNUMBER(I266),70%,0)+IF(ISNUMBER(J266),30%,0)),2))</f>
        <v/>
      </c>
      <c r="P266" s="20">
        <f>K266</f>
        <v/>
      </c>
      <c r="Q266" s="20">
        <f>L266</f>
        <v/>
      </c>
      <c r="R266" s="20">
        <f>M266</f>
        <v/>
      </c>
      <c r="S266" s="93">
        <f>IF($X266="","",INDEX('sheet2-计算明细'!$AQ$17:$AQ$330,$X266))</f>
        <v/>
      </c>
      <c r="T266" s="19">
        <f>IF($X266="","",INDEX('sheet2-计算明细'!$AR$17:$AR$330,$X266))</f>
        <v/>
      </c>
      <c r="U266" s="20">
        <f>IF(S266=0,"",ROUND(T266/S266,2))</f>
        <v/>
      </c>
      <c r="V266" s="20">
        <f>IF(S266=100%,T266,"")</f>
        <v/>
      </c>
      <c r="W266" s="22">
        <f>IF($X266="","",INDEX('sheet2-计算明细'!$AU$17:$AU$330,$X266))</f>
        <v/>
      </c>
      <c r="X266" s="18">
        <f>IF($A266&gt;COUNT('sheet2-计算明细'!$AT$17:$AT$330),"",MATCH($A266,'sheet2-计算明细'!$AT$17:$AT$330,0))</f>
        <v/>
      </c>
    </row>
    <row r="267" ht="28" customHeight="1" s="73">
      <c r="A267" s="2" t="n">
        <v>262</v>
      </c>
      <c r="B267" s="18">
        <f>IF($X267="","",INDEX('sheet2-计算明细'!$B$17:$B$330,$X267))</f>
        <v/>
      </c>
      <c r="C267" s="18">
        <f>IF($X267="","",INDEX('sheet2-计算明细'!$C$17:$C$330,$X267))</f>
        <v/>
      </c>
      <c r="D267" s="18">
        <f>IF($X267="","",INDEX('sheet2-计算明细'!$D$17:$D$330,$X267))</f>
        <v/>
      </c>
      <c r="E267" s="18">
        <f>IF($X267="","",INDEX('sheet2-计算明细'!$G$17:$G$330,$X267))</f>
        <v/>
      </c>
      <c r="F267" s="19">
        <f>IF($X267="","",INDEX('sheet2-计算明细'!$I$17:$I$330,$X267))</f>
        <v/>
      </c>
      <c r="G267" s="19">
        <f>IF($X267="","",INDEX('sheet2-计算明细'!$K$17:$K$330,$X267))</f>
        <v/>
      </c>
      <c r="H267" s="19">
        <f>IF($X267="","",INDEX('sheet2-计算明细'!$L$17:$L$330,$X267))</f>
        <v/>
      </c>
      <c r="I267" s="19">
        <f>IF($X267="","",INDEX('sheet2-计算明细'!$S$17:$S$330,$X267))</f>
        <v/>
      </c>
      <c r="J267" s="19">
        <f>IF($X267="","",INDEX('sheet2-计算明细'!$Y$17:$Y$330,$X267))</f>
        <v/>
      </c>
      <c r="K267" s="19">
        <f>IF($X267="","",INDEX('sheet2-计算明细'!$AC$17:$AC$330,$X267))</f>
        <v/>
      </c>
      <c r="L267" s="19">
        <f>IF($X267="","",INDEX('sheet2-计算明细'!$AI$17:$AI$330,$X267))</f>
        <v/>
      </c>
      <c r="M267" s="19">
        <f>IF($X267="","",INDEX('sheet2-计算明细'!$AK$17:$AK$330,$X267))</f>
        <v/>
      </c>
      <c r="N267" s="20">
        <f>IF(COUNT(F267:H267)=0,"",ROUND((IF(ISNUMBER(F267),F267*40%,0)+IF(ISNUMBER(G267),G267*30%,0)+IF(ISNUMBER(H267),H267*30%,0))/(IF(ISNUMBER(F267),40%,0)+IF(ISNUMBER(G267),30%,0)+IF(ISNUMBER(H267),30%,0)),2))</f>
        <v/>
      </c>
      <c r="O267" s="20">
        <f>IF(COUNT(I267:J267)=0,"",ROUND((IF(ISNUMBER(I267),I267*70%,0)+IF(ISNUMBER(J267),J267*30%,0))/(IF(ISNUMBER(I267),70%,0)+IF(ISNUMBER(J267),30%,0)),2))</f>
        <v/>
      </c>
      <c r="P267" s="20">
        <f>K267</f>
        <v/>
      </c>
      <c r="Q267" s="20">
        <f>L267</f>
        <v/>
      </c>
      <c r="R267" s="20">
        <f>M267</f>
        <v/>
      </c>
      <c r="S267" s="93">
        <f>IF($X267="","",INDEX('sheet2-计算明细'!$AQ$17:$AQ$330,$X267))</f>
        <v/>
      </c>
      <c r="T267" s="19">
        <f>IF($X267="","",INDEX('sheet2-计算明细'!$AR$17:$AR$330,$X267))</f>
        <v/>
      </c>
      <c r="U267" s="20">
        <f>IF(S267=0,"",ROUND(T267/S267,2))</f>
        <v/>
      </c>
      <c r="V267" s="20">
        <f>IF(S267=100%,T267,"")</f>
        <v/>
      </c>
      <c r="W267" s="22">
        <f>IF($X267="","",INDEX('sheet2-计算明细'!$AU$17:$AU$330,$X267))</f>
        <v/>
      </c>
      <c r="X267" s="18">
        <f>IF($A267&gt;COUNT('sheet2-计算明细'!$AT$17:$AT$330),"",MATCH($A267,'sheet2-计算明细'!$AT$17:$AT$330,0))</f>
        <v/>
      </c>
    </row>
    <row r="268" ht="28" customHeight="1" s="73">
      <c r="A268" s="2" t="n">
        <v>263</v>
      </c>
      <c r="B268" s="18">
        <f>IF($X268="","",INDEX('sheet2-计算明细'!$B$17:$B$330,$X268))</f>
        <v/>
      </c>
      <c r="C268" s="18">
        <f>IF($X268="","",INDEX('sheet2-计算明细'!$C$17:$C$330,$X268))</f>
        <v/>
      </c>
      <c r="D268" s="18">
        <f>IF($X268="","",INDEX('sheet2-计算明细'!$D$17:$D$330,$X268))</f>
        <v/>
      </c>
      <c r="E268" s="18">
        <f>IF($X268="","",INDEX('sheet2-计算明细'!$G$17:$G$330,$X268))</f>
        <v/>
      </c>
      <c r="F268" s="19">
        <f>IF($X268="","",INDEX('sheet2-计算明细'!$I$17:$I$330,$X268))</f>
        <v/>
      </c>
      <c r="G268" s="19">
        <f>IF($X268="","",INDEX('sheet2-计算明细'!$K$17:$K$330,$X268))</f>
        <v/>
      </c>
      <c r="H268" s="19">
        <f>IF($X268="","",INDEX('sheet2-计算明细'!$L$17:$L$330,$X268))</f>
        <v/>
      </c>
      <c r="I268" s="19">
        <f>IF($X268="","",INDEX('sheet2-计算明细'!$S$17:$S$330,$X268))</f>
        <v/>
      </c>
      <c r="J268" s="19">
        <f>IF($X268="","",INDEX('sheet2-计算明细'!$Y$17:$Y$330,$X268))</f>
        <v/>
      </c>
      <c r="K268" s="19">
        <f>IF($X268="","",INDEX('sheet2-计算明细'!$AC$17:$AC$330,$X268))</f>
        <v/>
      </c>
      <c r="L268" s="19">
        <f>IF($X268="","",INDEX('sheet2-计算明细'!$AI$17:$AI$330,$X268))</f>
        <v/>
      </c>
      <c r="M268" s="19">
        <f>IF($X268="","",INDEX('sheet2-计算明细'!$AK$17:$AK$330,$X268))</f>
        <v/>
      </c>
      <c r="N268" s="20">
        <f>IF(COUNT(F268:H268)=0,"",ROUND((IF(ISNUMBER(F268),F268*40%,0)+IF(ISNUMBER(G268),G268*30%,0)+IF(ISNUMBER(H268),H268*30%,0))/(IF(ISNUMBER(F268),40%,0)+IF(ISNUMBER(G268),30%,0)+IF(ISNUMBER(H268),30%,0)),2))</f>
        <v/>
      </c>
      <c r="O268" s="20">
        <f>IF(COUNT(I268:J268)=0,"",ROUND((IF(ISNUMBER(I268),I268*70%,0)+IF(ISNUMBER(J268),J268*30%,0))/(IF(ISNUMBER(I268),70%,0)+IF(ISNUMBER(J268),30%,0)),2))</f>
        <v/>
      </c>
      <c r="P268" s="20">
        <f>K268</f>
        <v/>
      </c>
      <c r="Q268" s="20">
        <f>L268</f>
        <v/>
      </c>
      <c r="R268" s="20">
        <f>M268</f>
        <v/>
      </c>
      <c r="S268" s="93">
        <f>IF($X268="","",INDEX('sheet2-计算明细'!$AQ$17:$AQ$330,$X268))</f>
        <v/>
      </c>
      <c r="T268" s="19">
        <f>IF($X268="","",INDEX('sheet2-计算明细'!$AR$17:$AR$330,$X268))</f>
        <v/>
      </c>
      <c r="U268" s="20">
        <f>IF(S268=0,"",ROUND(T268/S268,2))</f>
        <v/>
      </c>
      <c r="V268" s="20">
        <f>IF(S268=100%,T268,"")</f>
        <v/>
      </c>
      <c r="W268" s="22">
        <f>IF($X268="","",INDEX('sheet2-计算明细'!$AU$17:$AU$330,$X268))</f>
        <v/>
      </c>
      <c r="X268" s="18">
        <f>IF($A268&gt;COUNT('sheet2-计算明细'!$AT$17:$AT$330),"",MATCH($A268,'sheet2-计算明细'!$AT$17:$AT$330,0))</f>
        <v/>
      </c>
    </row>
    <row r="269" ht="28" customHeight="1" s="73">
      <c r="A269" s="2" t="n">
        <v>264</v>
      </c>
      <c r="B269" s="18">
        <f>IF($X269="","",INDEX('sheet2-计算明细'!$B$17:$B$330,$X269))</f>
        <v/>
      </c>
      <c r="C269" s="18">
        <f>IF($X269="","",INDEX('sheet2-计算明细'!$C$17:$C$330,$X269))</f>
        <v/>
      </c>
      <c r="D269" s="18">
        <f>IF($X269="","",INDEX('sheet2-计算明细'!$D$17:$D$330,$X269))</f>
        <v/>
      </c>
      <c r="E269" s="18">
        <f>IF($X269="","",INDEX('sheet2-计算明细'!$G$17:$G$330,$X269))</f>
        <v/>
      </c>
      <c r="F269" s="19">
        <f>IF($X269="","",INDEX('sheet2-计算明细'!$I$17:$I$330,$X269))</f>
        <v/>
      </c>
      <c r="G269" s="19">
        <f>IF($X269="","",INDEX('sheet2-计算明细'!$K$17:$K$330,$X269))</f>
        <v/>
      </c>
      <c r="H269" s="19">
        <f>IF($X269="","",INDEX('sheet2-计算明细'!$L$17:$L$330,$X269))</f>
        <v/>
      </c>
      <c r="I269" s="19">
        <f>IF($X269="","",INDEX('sheet2-计算明细'!$S$17:$S$330,$X269))</f>
        <v/>
      </c>
      <c r="J269" s="19">
        <f>IF($X269="","",INDEX('sheet2-计算明细'!$Y$17:$Y$330,$X269))</f>
        <v/>
      </c>
      <c r="K269" s="19">
        <f>IF($X269="","",INDEX('sheet2-计算明细'!$AC$17:$AC$330,$X269))</f>
        <v/>
      </c>
      <c r="L269" s="19">
        <f>IF($X269="","",INDEX('sheet2-计算明细'!$AI$17:$AI$330,$X269))</f>
        <v/>
      </c>
      <c r="M269" s="19">
        <f>IF($X269="","",INDEX('sheet2-计算明细'!$AK$17:$AK$330,$X269))</f>
        <v/>
      </c>
      <c r="N269" s="20">
        <f>IF(COUNT(F269:H269)=0,"",ROUND((IF(ISNUMBER(F269),F269*40%,0)+IF(ISNUMBER(G269),G269*30%,0)+IF(ISNUMBER(H269),H269*30%,0))/(IF(ISNUMBER(F269),40%,0)+IF(ISNUMBER(G269),30%,0)+IF(ISNUMBER(H269),30%,0)),2))</f>
        <v/>
      </c>
      <c r="O269" s="20">
        <f>IF(COUNT(I269:J269)=0,"",ROUND((IF(ISNUMBER(I269),I269*70%,0)+IF(ISNUMBER(J269),J269*30%,0))/(IF(ISNUMBER(I269),70%,0)+IF(ISNUMBER(J269),30%,0)),2))</f>
        <v/>
      </c>
      <c r="P269" s="20">
        <f>K269</f>
        <v/>
      </c>
      <c r="Q269" s="20">
        <f>L269</f>
        <v/>
      </c>
      <c r="R269" s="20">
        <f>M269</f>
        <v/>
      </c>
      <c r="S269" s="93">
        <f>IF($X269="","",INDEX('sheet2-计算明细'!$AQ$17:$AQ$330,$X269))</f>
        <v/>
      </c>
      <c r="T269" s="19">
        <f>IF($X269="","",INDEX('sheet2-计算明细'!$AR$17:$AR$330,$X269))</f>
        <v/>
      </c>
      <c r="U269" s="20">
        <f>IF(S269=0,"",ROUND(T269/S269,2))</f>
        <v/>
      </c>
      <c r="V269" s="20">
        <f>IF(S269=100%,T269,"")</f>
        <v/>
      </c>
      <c r="W269" s="22">
        <f>IF($X269="","",INDEX('sheet2-计算明细'!$AU$17:$AU$330,$X269))</f>
        <v/>
      </c>
      <c r="X269" s="18">
        <f>IF($A269&gt;COUNT('sheet2-计算明细'!$AT$17:$AT$330),"",MATCH($A269,'sheet2-计算明细'!$AT$17:$AT$330,0))</f>
        <v/>
      </c>
    </row>
    <row r="270" ht="28" customHeight="1" s="73">
      <c r="A270" s="2" t="n">
        <v>265</v>
      </c>
      <c r="B270" s="18">
        <f>IF($X270="","",INDEX('sheet2-计算明细'!$B$17:$B$330,$X270))</f>
        <v/>
      </c>
      <c r="C270" s="18">
        <f>IF($X270="","",INDEX('sheet2-计算明细'!$C$17:$C$330,$X270))</f>
        <v/>
      </c>
      <c r="D270" s="18">
        <f>IF($X270="","",INDEX('sheet2-计算明细'!$D$17:$D$330,$X270))</f>
        <v/>
      </c>
      <c r="E270" s="18">
        <f>IF($X270="","",INDEX('sheet2-计算明细'!$G$17:$G$330,$X270))</f>
        <v/>
      </c>
      <c r="F270" s="19">
        <f>IF($X270="","",INDEX('sheet2-计算明细'!$I$17:$I$330,$X270))</f>
        <v/>
      </c>
      <c r="G270" s="19">
        <f>IF($X270="","",INDEX('sheet2-计算明细'!$K$17:$K$330,$X270))</f>
        <v/>
      </c>
      <c r="H270" s="19">
        <f>IF($X270="","",INDEX('sheet2-计算明细'!$L$17:$L$330,$X270))</f>
        <v/>
      </c>
      <c r="I270" s="19">
        <f>IF($X270="","",INDEX('sheet2-计算明细'!$S$17:$S$330,$X270))</f>
        <v/>
      </c>
      <c r="J270" s="19">
        <f>IF($X270="","",INDEX('sheet2-计算明细'!$Y$17:$Y$330,$X270))</f>
        <v/>
      </c>
      <c r="K270" s="19">
        <f>IF($X270="","",INDEX('sheet2-计算明细'!$AC$17:$AC$330,$X270))</f>
        <v/>
      </c>
      <c r="L270" s="19">
        <f>IF($X270="","",INDEX('sheet2-计算明细'!$AI$17:$AI$330,$X270))</f>
        <v/>
      </c>
      <c r="M270" s="19">
        <f>IF($X270="","",INDEX('sheet2-计算明细'!$AK$17:$AK$330,$X270))</f>
        <v/>
      </c>
      <c r="N270" s="20">
        <f>IF(COUNT(F270:H270)=0,"",ROUND((IF(ISNUMBER(F270),F270*40%,0)+IF(ISNUMBER(G270),G270*30%,0)+IF(ISNUMBER(H270),H270*30%,0))/(IF(ISNUMBER(F270),40%,0)+IF(ISNUMBER(G270),30%,0)+IF(ISNUMBER(H270),30%,0)),2))</f>
        <v/>
      </c>
      <c r="O270" s="20">
        <f>IF(COUNT(I270:J270)=0,"",ROUND((IF(ISNUMBER(I270),I270*70%,0)+IF(ISNUMBER(J270),J270*30%,0))/(IF(ISNUMBER(I270),70%,0)+IF(ISNUMBER(J270),30%,0)),2))</f>
        <v/>
      </c>
      <c r="P270" s="20">
        <f>K270</f>
        <v/>
      </c>
      <c r="Q270" s="20">
        <f>L270</f>
        <v/>
      </c>
      <c r="R270" s="20">
        <f>M270</f>
        <v/>
      </c>
      <c r="S270" s="93">
        <f>IF($X270="","",INDEX('sheet2-计算明细'!$AQ$17:$AQ$330,$X270))</f>
        <v/>
      </c>
      <c r="T270" s="19">
        <f>IF($X270="","",INDEX('sheet2-计算明细'!$AR$17:$AR$330,$X270))</f>
        <v/>
      </c>
      <c r="U270" s="20">
        <f>IF(S270=0,"",ROUND(T270/S270,2))</f>
        <v/>
      </c>
      <c r="V270" s="20">
        <f>IF(S270=100%,T270,"")</f>
        <v/>
      </c>
      <c r="W270" s="22">
        <f>IF($X270="","",INDEX('sheet2-计算明细'!$AU$17:$AU$330,$X270))</f>
        <v/>
      </c>
      <c r="X270" s="18">
        <f>IF($A270&gt;COUNT('sheet2-计算明细'!$AT$17:$AT$330),"",MATCH($A270,'sheet2-计算明细'!$AT$17:$AT$330,0))</f>
        <v/>
      </c>
    </row>
    <row r="271" ht="28" customHeight="1" s="73">
      <c r="A271" s="2" t="n">
        <v>266</v>
      </c>
      <c r="B271" s="18">
        <f>IF($X271="","",INDEX('sheet2-计算明细'!$B$17:$B$330,$X271))</f>
        <v/>
      </c>
      <c r="C271" s="18">
        <f>IF($X271="","",INDEX('sheet2-计算明细'!$C$17:$C$330,$X271))</f>
        <v/>
      </c>
      <c r="D271" s="18">
        <f>IF($X271="","",INDEX('sheet2-计算明细'!$D$17:$D$330,$X271))</f>
        <v/>
      </c>
      <c r="E271" s="18">
        <f>IF($X271="","",INDEX('sheet2-计算明细'!$G$17:$G$330,$X271))</f>
        <v/>
      </c>
      <c r="F271" s="19">
        <f>IF($X271="","",INDEX('sheet2-计算明细'!$I$17:$I$330,$X271))</f>
        <v/>
      </c>
      <c r="G271" s="19">
        <f>IF($X271="","",INDEX('sheet2-计算明细'!$K$17:$K$330,$X271))</f>
        <v/>
      </c>
      <c r="H271" s="19">
        <f>IF($X271="","",INDEX('sheet2-计算明细'!$L$17:$L$330,$X271))</f>
        <v/>
      </c>
      <c r="I271" s="19">
        <f>IF($X271="","",INDEX('sheet2-计算明细'!$S$17:$S$330,$X271))</f>
        <v/>
      </c>
      <c r="J271" s="19">
        <f>IF($X271="","",INDEX('sheet2-计算明细'!$Y$17:$Y$330,$X271))</f>
        <v/>
      </c>
      <c r="K271" s="19">
        <f>IF($X271="","",INDEX('sheet2-计算明细'!$AC$17:$AC$330,$X271))</f>
        <v/>
      </c>
      <c r="L271" s="19">
        <f>IF($X271="","",INDEX('sheet2-计算明细'!$AI$17:$AI$330,$X271))</f>
        <v/>
      </c>
      <c r="M271" s="19">
        <f>IF($X271="","",INDEX('sheet2-计算明细'!$AK$17:$AK$330,$X271))</f>
        <v/>
      </c>
      <c r="N271" s="20">
        <f>IF(COUNT(F271:H271)=0,"",ROUND((IF(ISNUMBER(F271),F271*40%,0)+IF(ISNUMBER(G271),G271*30%,0)+IF(ISNUMBER(H271),H271*30%,0))/(IF(ISNUMBER(F271),40%,0)+IF(ISNUMBER(G271),30%,0)+IF(ISNUMBER(H271),30%,0)),2))</f>
        <v/>
      </c>
      <c r="O271" s="20">
        <f>IF(COUNT(I271:J271)=0,"",ROUND((IF(ISNUMBER(I271),I271*70%,0)+IF(ISNUMBER(J271),J271*30%,0))/(IF(ISNUMBER(I271),70%,0)+IF(ISNUMBER(J271),30%,0)),2))</f>
        <v/>
      </c>
      <c r="P271" s="20">
        <f>K271</f>
        <v/>
      </c>
      <c r="Q271" s="20">
        <f>L271</f>
        <v/>
      </c>
      <c r="R271" s="20">
        <f>M271</f>
        <v/>
      </c>
      <c r="S271" s="93">
        <f>IF($X271="","",INDEX('sheet2-计算明细'!$AQ$17:$AQ$330,$X271))</f>
        <v/>
      </c>
      <c r="T271" s="19">
        <f>IF($X271="","",INDEX('sheet2-计算明细'!$AR$17:$AR$330,$X271))</f>
        <v/>
      </c>
      <c r="U271" s="20">
        <f>IF(S271=0,"",ROUND(T271/S271,2))</f>
        <v/>
      </c>
      <c r="V271" s="20">
        <f>IF(S271=100%,T271,"")</f>
        <v/>
      </c>
      <c r="W271" s="22">
        <f>IF($X271="","",INDEX('sheet2-计算明细'!$AU$17:$AU$330,$X271))</f>
        <v/>
      </c>
      <c r="X271" s="18">
        <f>IF($A271&gt;COUNT('sheet2-计算明细'!$AT$17:$AT$330),"",MATCH($A271,'sheet2-计算明细'!$AT$17:$AT$330,0))</f>
        <v/>
      </c>
    </row>
    <row r="272" ht="28" customHeight="1" s="73">
      <c r="A272" s="2" t="n">
        <v>267</v>
      </c>
      <c r="B272" s="18">
        <f>IF($X272="","",INDEX('sheet2-计算明细'!$B$17:$B$330,$X272))</f>
        <v/>
      </c>
      <c r="C272" s="18">
        <f>IF($X272="","",INDEX('sheet2-计算明细'!$C$17:$C$330,$X272))</f>
        <v/>
      </c>
      <c r="D272" s="18">
        <f>IF($X272="","",INDEX('sheet2-计算明细'!$D$17:$D$330,$X272))</f>
        <v/>
      </c>
      <c r="E272" s="18">
        <f>IF($X272="","",INDEX('sheet2-计算明细'!$G$17:$G$330,$X272))</f>
        <v/>
      </c>
      <c r="F272" s="19">
        <f>IF($X272="","",INDEX('sheet2-计算明细'!$I$17:$I$330,$X272))</f>
        <v/>
      </c>
      <c r="G272" s="19">
        <f>IF($X272="","",INDEX('sheet2-计算明细'!$K$17:$K$330,$X272))</f>
        <v/>
      </c>
      <c r="H272" s="19">
        <f>IF($X272="","",INDEX('sheet2-计算明细'!$L$17:$L$330,$X272))</f>
        <v/>
      </c>
      <c r="I272" s="19">
        <f>IF($X272="","",INDEX('sheet2-计算明细'!$S$17:$S$330,$X272))</f>
        <v/>
      </c>
      <c r="J272" s="19">
        <f>IF($X272="","",INDEX('sheet2-计算明细'!$Y$17:$Y$330,$X272))</f>
        <v/>
      </c>
      <c r="K272" s="19">
        <f>IF($X272="","",INDEX('sheet2-计算明细'!$AC$17:$AC$330,$X272))</f>
        <v/>
      </c>
      <c r="L272" s="19">
        <f>IF($X272="","",INDEX('sheet2-计算明细'!$AI$17:$AI$330,$X272))</f>
        <v/>
      </c>
      <c r="M272" s="19">
        <f>IF($X272="","",INDEX('sheet2-计算明细'!$AK$17:$AK$330,$X272))</f>
        <v/>
      </c>
      <c r="N272" s="20">
        <f>IF(COUNT(F272:H272)=0,"",ROUND((IF(ISNUMBER(F272),F272*40%,0)+IF(ISNUMBER(G272),G272*30%,0)+IF(ISNUMBER(H272),H272*30%,0))/(IF(ISNUMBER(F272),40%,0)+IF(ISNUMBER(G272),30%,0)+IF(ISNUMBER(H272),30%,0)),2))</f>
        <v/>
      </c>
      <c r="O272" s="20">
        <f>IF(COUNT(I272:J272)=0,"",ROUND((IF(ISNUMBER(I272),I272*70%,0)+IF(ISNUMBER(J272),J272*30%,0))/(IF(ISNUMBER(I272),70%,0)+IF(ISNUMBER(J272),30%,0)),2))</f>
        <v/>
      </c>
      <c r="P272" s="20">
        <f>K272</f>
        <v/>
      </c>
      <c r="Q272" s="20">
        <f>L272</f>
        <v/>
      </c>
      <c r="R272" s="20">
        <f>M272</f>
        <v/>
      </c>
      <c r="S272" s="93">
        <f>IF($X272="","",INDEX('sheet2-计算明细'!$AQ$17:$AQ$330,$X272))</f>
        <v/>
      </c>
      <c r="T272" s="19">
        <f>IF($X272="","",INDEX('sheet2-计算明细'!$AR$17:$AR$330,$X272))</f>
        <v/>
      </c>
      <c r="U272" s="20">
        <f>IF(S272=0,"",ROUND(T272/S272,2))</f>
        <v/>
      </c>
      <c r="V272" s="20">
        <f>IF(S272=100%,T272,"")</f>
        <v/>
      </c>
      <c r="W272" s="22">
        <f>IF($X272="","",INDEX('sheet2-计算明细'!$AU$17:$AU$330,$X272))</f>
        <v/>
      </c>
      <c r="X272" s="18">
        <f>IF($A272&gt;COUNT('sheet2-计算明细'!$AT$17:$AT$330),"",MATCH($A272,'sheet2-计算明细'!$AT$17:$AT$330,0))</f>
        <v/>
      </c>
    </row>
    <row r="273" ht="28" customHeight="1" s="73">
      <c r="A273" s="2" t="n">
        <v>268</v>
      </c>
      <c r="B273" s="18">
        <f>IF($X273="","",INDEX('sheet2-计算明细'!$B$17:$B$330,$X273))</f>
        <v/>
      </c>
      <c r="C273" s="18">
        <f>IF($X273="","",INDEX('sheet2-计算明细'!$C$17:$C$330,$X273))</f>
        <v/>
      </c>
      <c r="D273" s="18">
        <f>IF($X273="","",INDEX('sheet2-计算明细'!$D$17:$D$330,$X273))</f>
        <v/>
      </c>
      <c r="E273" s="18">
        <f>IF($X273="","",INDEX('sheet2-计算明细'!$G$17:$G$330,$X273))</f>
        <v/>
      </c>
      <c r="F273" s="19">
        <f>IF($X273="","",INDEX('sheet2-计算明细'!$I$17:$I$330,$X273))</f>
        <v/>
      </c>
      <c r="G273" s="19">
        <f>IF($X273="","",INDEX('sheet2-计算明细'!$K$17:$K$330,$X273))</f>
        <v/>
      </c>
      <c r="H273" s="19">
        <f>IF($X273="","",INDEX('sheet2-计算明细'!$L$17:$L$330,$X273))</f>
        <v/>
      </c>
      <c r="I273" s="19">
        <f>IF($X273="","",INDEX('sheet2-计算明细'!$S$17:$S$330,$X273))</f>
        <v/>
      </c>
      <c r="J273" s="19">
        <f>IF($X273="","",INDEX('sheet2-计算明细'!$Y$17:$Y$330,$X273))</f>
        <v/>
      </c>
      <c r="K273" s="19">
        <f>IF($X273="","",INDEX('sheet2-计算明细'!$AC$17:$AC$330,$X273))</f>
        <v/>
      </c>
      <c r="L273" s="19">
        <f>IF($X273="","",INDEX('sheet2-计算明细'!$AI$17:$AI$330,$X273))</f>
        <v/>
      </c>
      <c r="M273" s="19">
        <f>IF($X273="","",INDEX('sheet2-计算明细'!$AK$17:$AK$330,$X273))</f>
        <v/>
      </c>
      <c r="N273" s="20">
        <f>IF(COUNT(F273:H273)=0,"",ROUND((IF(ISNUMBER(F273),F273*40%,0)+IF(ISNUMBER(G273),G273*30%,0)+IF(ISNUMBER(H273),H273*30%,0))/(IF(ISNUMBER(F273),40%,0)+IF(ISNUMBER(G273),30%,0)+IF(ISNUMBER(H273),30%,0)),2))</f>
        <v/>
      </c>
      <c r="O273" s="20">
        <f>IF(COUNT(I273:J273)=0,"",ROUND((IF(ISNUMBER(I273),I273*70%,0)+IF(ISNUMBER(J273),J273*30%,0))/(IF(ISNUMBER(I273),70%,0)+IF(ISNUMBER(J273),30%,0)),2))</f>
        <v/>
      </c>
      <c r="P273" s="20">
        <f>K273</f>
        <v/>
      </c>
      <c r="Q273" s="20">
        <f>L273</f>
        <v/>
      </c>
      <c r="R273" s="20">
        <f>M273</f>
        <v/>
      </c>
      <c r="S273" s="93">
        <f>IF($X273="","",INDEX('sheet2-计算明细'!$AQ$17:$AQ$330,$X273))</f>
        <v/>
      </c>
      <c r="T273" s="19">
        <f>IF($X273="","",INDEX('sheet2-计算明细'!$AR$17:$AR$330,$X273))</f>
        <v/>
      </c>
      <c r="U273" s="20">
        <f>IF(S273=0,"",ROUND(T273/S273,2))</f>
        <v/>
      </c>
      <c r="V273" s="20">
        <f>IF(S273=100%,T273,"")</f>
        <v/>
      </c>
      <c r="W273" s="22">
        <f>IF($X273="","",INDEX('sheet2-计算明细'!$AU$17:$AU$330,$X273))</f>
        <v/>
      </c>
      <c r="X273" s="18">
        <f>IF($A273&gt;COUNT('sheet2-计算明细'!$AT$17:$AT$330),"",MATCH($A273,'sheet2-计算明细'!$AT$17:$AT$330,0))</f>
        <v/>
      </c>
    </row>
    <row r="274" ht="28" customHeight="1" s="73">
      <c r="A274" s="2" t="n">
        <v>269</v>
      </c>
      <c r="B274" s="18">
        <f>IF($X274="","",INDEX('sheet2-计算明细'!$B$17:$B$330,$X274))</f>
        <v/>
      </c>
      <c r="C274" s="18">
        <f>IF($X274="","",INDEX('sheet2-计算明细'!$C$17:$C$330,$X274))</f>
        <v/>
      </c>
      <c r="D274" s="18">
        <f>IF($X274="","",INDEX('sheet2-计算明细'!$D$17:$D$330,$X274))</f>
        <v/>
      </c>
      <c r="E274" s="18">
        <f>IF($X274="","",INDEX('sheet2-计算明细'!$G$17:$G$330,$X274))</f>
        <v/>
      </c>
      <c r="F274" s="19">
        <f>IF($X274="","",INDEX('sheet2-计算明细'!$I$17:$I$330,$X274))</f>
        <v/>
      </c>
      <c r="G274" s="19">
        <f>IF($X274="","",INDEX('sheet2-计算明细'!$K$17:$K$330,$X274))</f>
        <v/>
      </c>
      <c r="H274" s="19">
        <f>IF($X274="","",INDEX('sheet2-计算明细'!$L$17:$L$330,$X274))</f>
        <v/>
      </c>
      <c r="I274" s="19">
        <f>IF($X274="","",INDEX('sheet2-计算明细'!$S$17:$S$330,$X274))</f>
        <v/>
      </c>
      <c r="J274" s="19">
        <f>IF($X274="","",INDEX('sheet2-计算明细'!$Y$17:$Y$330,$X274))</f>
        <v/>
      </c>
      <c r="K274" s="19">
        <f>IF($X274="","",INDEX('sheet2-计算明细'!$AC$17:$AC$330,$X274))</f>
        <v/>
      </c>
      <c r="L274" s="19">
        <f>IF($X274="","",INDEX('sheet2-计算明细'!$AI$17:$AI$330,$X274))</f>
        <v/>
      </c>
      <c r="M274" s="19">
        <f>IF($X274="","",INDEX('sheet2-计算明细'!$AK$17:$AK$330,$X274))</f>
        <v/>
      </c>
      <c r="N274" s="20">
        <f>IF(COUNT(F274:H274)=0,"",ROUND((IF(ISNUMBER(F274),F274*40%,0)+IF(ISNUMBER(G274),G274*30%,0)+IF(ISNUMBER(H274),H274*30%,0))/(IF(ISNUMBER(F274),40%,0)+IF(ISNUMBER(G274),30%,0)+IF(ISNUMBER(H274),30%,0)),2))</f>
        <v/>
      </c>
      <c r="O274" s="20">
        <f>IF(COUNT(I274:J274)=0,"",ROUND((IF(ISNUMBER(I274),I274*70%,0)+IF(ISNUMBER(J274),J274*30%,0))/(IF(ISNUMBER(I274),70%,0)+IF(ISNUMBER(J274),30%,0)),2))</f>
        <v/>
      </c>
      <c r="P274" s="20">
        <f>K274</f>
        <v/>
      </c>
      <c r="Q274" s="20">
        <f>L274</f>
        <v/>
      </c>
      <c r="R274" s="20">
        <f>M274</f>
        <v/>
      </c>
      <c r="S274" s="93">
        <f>IF($X274="","",INDEX('sheet2-计算明细'!$AQ$17:$AQ$330,$X274))</f>
        <v/>
      </c>
      <c r="T274" s="19">
        <f>IF($X274="","",INDEX('sheet2-计算明细'!$AR$17:$AR$330,$X274))</f>
        <v/>
      </c>
      <c r="U274" s="20">
        <f>IF(S274=0,"",ROUND(T274/S274,2))</f>
        <v/>
      </c>
      <c r="V274" s="20">
        <f>IF(S274=100%,T274,"")</f>
        <v/>
      </c>
      <c r="W274" s="22">
        <f>IF($X274="","",INDEX('sheet2-计算明细'!$AU$17:$AU$330,$X274))</f>
        <v/>
      </c>
      <c r="X274" s="18">
        <f>IF($A274&gt;COUNT('sheet2-计算明细'!$AT$17:$AT$330),"",MATCH($A274,'sheet2-计算明细'!$AT$17:$AT$330,0))</f>
        <v/>
      </c>
    </row>
    <row r="275" ht="28" customHeight="1" s="73">
      <c r="A275" s="2" t="n">
        <v>270</v>
      </c>
      <c r="B275" s="18">
        <f>IF($X275="","",INDEX('sheet2-计算明细'!$B$17:$B$330,$X275))</f>
        <v/>
      </c>
      <c r="C275" s="18">
        <f>IF($X275="","",INDEX('sheet2-计算明细'!$C$17:$C$330,$X275))</f>
        <v/>
      </c>
      <c r="D275" s="18">
        <f>IF($X275="","",INDEX('sheet2-计算明细'!$D$17:$D$330,$X275))</f>
        <v/>
      </c>
      <c r="E275" s="18">
        <f>IF($X275="","",INDEX('sheet2-计算明细'!$G$17:$G$330,$X275))</f>
        <v/>
      </c>
      <c r="F275" s="19">
        <f>IF($X275="","",INDEX('sheet2-计算明细'!$I$17:$I$330,$X275))</f>
        <v/>
      </c>
      <c r="G275" s="19">
        <f>IF($X275="","",INDEX('sheet2-计算明细'!$K$17:$K$330,$X275))</f>
        <v/>
      </c>
      <c r="H275" s="19">
        <f>IF($X275="","",INDEX('sheet2-计算明细'!$L$17:$L$330,$X275))</f>
        <v/>
      </c>
      <c r="I275" s="19">
        <f>IF($X275="","",INDEX('sheet2-计算明细'!$S$17:$S$330,$X275))</f>
        <v/>
      </c>
      <c r="J275" s="19">
        <f>IF($X275="","",INDEX('sheet2-计算明细'!$Y$17:$Y$330,$X275))</f>
        <v/>
      </c>
      <c r="K275" s="19">
        <f>IF($X275="","",INDEX('sheet2-计算明细'!$AC$17:$AC$330,$X275))</f>
        <v/>
      </c>
      <c r="L275" s="19">
        <f>IF($X275="","",INDEX('sheet2-计算明细'!$AI$17:$AI$330,$X275))</f>
        <v/>
      </c>
      <c r="M275" s="19">
        <f>IF($X275="","",INDEX('sheet2-计算明细'!$AK$17:$AK$330,$X275))</f>
        <v/>
      </c>
      <c r="N275" s="20">
        <f>IF(COUNT(F275:H275)=0,"",ROUND((IF(ISNUMBER(F275),F275*40%,0)+IF(ISNUMBER(G275),G275*30%,0)+IF(ISNUMBER(H275),H275*30%,0))/(IF(ISNUMBER(F275),40%,0)+IF(ISNUMBER(G275),30%,0)+IF(ISNUMBER(H275),30%,0)),2))</f>
        <v/>
      </c>
      <c r="O275" s="20">
        <f>IF(COUNT(I275:J275)=0,"",ROUND((IF(ISNUMBER(I275),I275*70%,0)+IF(ISNUMBER(J275),J275*30%,0))/(IF(ISNUMBER(I275),70%,0)+IF(ISNUMBER(J275),30%,0)),2))</f>
        <v/>
      </c>
      <c r="P275" s="20">
        <f>K275</f>
        <v/>
      </c>
      <c r="Q275" s="20">
        <f>L275</f>
        <v/>
      </c>
      <c r="R275" s="20">
        <f>M275</f>
        <v/>
      </c>
      <c r="S275" s="93">
        <f>IF($X275="","",INDEX('sheet2-计算明细'!$AQ$17:$AQ$330,$X275))</f>
        <v/>
      </c>
      <c r="T275" s="19">
        <f>IF($X275="","",INDEX('sheet2-计算明细'!$AR$17:$AR$330,$X275))</f>
        <v/>
      </c>
      <c r="U275" s="20">
        <f>IF(S275=0,"",ROUND(T275/S275,2))</f>
        <v/>
      </c>
      <c r="V275" s="20">
        <f>IF(S275=100%,T275,"")</f>
        <v/>
      </c>
      <c r="W275" s="22">
        <f>IF($X275="","",INDEX('sheet2-计算明细'!$AU$17:$AU$330,$X275))</f>
        <v/>
      </c>
      <c r="X275" s="18">
        <f>IF($A275&gt;COUNT('sheet2-计算明细'!$AT$17:$AT$330),"",MATCH($A275,'sheet2-计算明细'!$AT$17:$AT$330,0))</f>
        <v/>
      </c>
    </row>
    <row r="276" ht="28" customHeight="1" s="73">
      <c r="A276" s="2" t="n">
        <v>271</v>
      </c>
      <c r="B276" s="18">
        <f>IF($X276="","",INDEX('sheet2-计算明细'!$B$17:$B$330,$X276))</f>
        <v/>
      </c>
      <c r="C276" s="18">
        <f>IF($X276="","",INDEX('sheet2-计算明细'!$C$17:$C$330,$X276))</f>
        <v/>
      </c>
      <c r="D276" s="18">
        <f>IF($X276="","",INDEX('sheet2-计算明细'!$D$17:$D$330,$X276))</f>
        <v/>
      </c>
      <c r="E276" s="18">
        <f>IF($X276="","",INDEX('sheet2-计算明细'!$G$17:$G$330,$X276))</f>
        <v/>
      </c>
      <c r="F276" s="19">
        <f>IF($X276="","",INDEX('sheet2-计算明细'!$I$17:$I$330,$X276))</f>
        <v/>
      </c>
      <c r="G276" s="19">
        <f>IF($X276="","",INDEX('sheet2-计算明细'!$K$17:$K$330,$X276))</f>
        <v/>
      </c>
      <c r="H276" s="19">
        <f>IF($X276="","",INDEX('sheet2-计算明细'!$L$17:$L$330,$X276))</f>
        <v/>
      </c>
      <c r="I276" s="19">
        <f>IF($X276="","",INDEX('sheet2-计算明细'!$S$17:$S$330,$X276))</f>
        <v/>
      </c>
      <c r="J276" s="19">
        <f>IF($X276="","",INDEX('sheet2-计算明细'!$Y$17:$Y$330,$X276))</f>
        <v/>
      </c>
      <c r="K276" s="19">
        <f>IF($X276="","",INDEX('sheet2-计算明细'!$AC$17:$AC$330,$X276))</f>
        <v/>
      </c>
      <c r="L276" s="19">
        <f>IF($X276="","",INDEX('sheet2-计算明细'!$AI$17:$AI$330,$X276))</f>
        <v/>
      </c>
      <c r="M276" s="19">
        <f>IF($X276="","",INDEX('sheet2-计算明细'!$AK$17:$AK$330,$X276))</f>
        <v/>
      </c>
      <c r="N276" s="20">
        <f>IF(COUNT(F276:H276)=0,"",ROUND((IF(ISNUMBER(F276),F276*40%,0)+IF(ISNUMBER(G276),G276*30%,0)+IF(ISNUMBER(H276),H276*30%,0))/(IF(ISNUMBER(F276),40%,0)+IF(ISNUMBER(G276),30%,0)+IF(ISNUMBER(H276),30%,0)),2))</f>
        <v/>
      </c>
      <c r="O276" s="20">
        <f>IF(COUNT(I276:J276)=0,"",ROUND((IF(ISNUMBER(I276),I276*70%,0)+IF(ISNUMBER(J276),J276*30%,0))/(IF(ISNUMBER(I276),70%,0)+IF(ISNUMBER(J276),30%,0)),2))</f>
        <v/>
      </c>
      <c r="P276" s="20">
        <f>K276</f>
        <v/>
      </c>
      <c r="Q276" s="20">
        <f>L276</f>
        <v/>
      </c>
      <c r="R276" s="20">
        <f>M276</f>
        <v/>
      </c>
      <c r="S276" s="93">
        <f>IF($X276="","",INDEX('sheet2-计算明细'!$AQ$17:$AQ$330,$X276))</f>
        <v/>
      </c>
      <c r="T276" s="19">
        <f>IF($X276="","",INDEX('sheet2-计算明细'!$AR$17:$AR$330,$X276))</f>
        <v/>
      </c>
      <c r="U276" s="20">
        <f>IF(S276=0,"",ROUND(T276/S276,2))</f>
        <v/>
      </c>
      <c r="V276" s="20">
        <f>IF(S276=100%,T276,"")</f>
        <v/>
      </c>
      <c r="W276" s="22">
        <f>IF($X276="","",INDEX('sheet2-计算明细'!$AU$17:$AU$330,$X276))</f>
        <v/>
      </c>
      <c r="X276" s="18">
        <f>IF($A276&gt;COUNT('sheet2-计算明细'!$AT$17:$AT$330),"",MATCH($A276,'sheet2-计算明细'!$AT$17:$AT$330,0))</f>
        <v/>
      </c>
    </row>
    <row r="277" ht="28" customHeight="1" s="73">
      <c r="A277" s="2" t="n">
        <v>272</v>
      </c>
      <c r="B277" s="18">
        <f>IF($X277="","",INDEX('sheet2-计算明细'!$B$17:$B$330,$X277))</f>
        <v/>
      </c>
      <c r="C277" s="18">
        <f>IF($X277="","",INDEX('sheet2-计算明细'!$C$17:$C$330,$X277))</f>
        <v/>
      </c>
      <c r="D277" s="18">
        <f>IF($X277="","",INDEX('sheet2-计算明细'!$D$17:$D$330,$X277))</f>
        <v/>
      </c>
      <c r="E277" s="18">
        <f>IF($X277="","",INDEX('sheet2-计算明细'!$G$17:$G$330,$X277))</f>
        <v/>
      </c>
      <c r="F277" s="19">
        <f>IF($X277="","",INDEX('sheet2-计算明细'!$I$17:$I$330,$X277))</f>
        <v/>
      </c>
      <c r="G277" s="19">
        <f>IF($X277="","",INDEX('sheet2-计算明细'!$K$17:$K$330,$X277))</f>
        <v/>
      </c>
      <c r="H277" s="19">
        <f>IF($X277="","",INDEX('sheet2-计算明细'!$L$17:$L$330,$X277))</f>
        <v/>
      </c>
      <c r="I277" s="19">
        <f>IF($X277="","",INDEX('sheet2-计算明细'!$S$17:$S$330,$X277))</f>
        <v/>
      </c>
      <c r="J277" s="19">
        <f>IF($X277="","",INDEX('sheet2-计算明细'!$Y$17:$Y$330,$X277))</f>
        <v/>
      </c>
      <c r="K277" s="19">
        <f>IF($X277="","",INDEX('sheet2-计算明细'!$AC$17:$AC$330,$X277))</f>
        <v/>
      </c>
      <c r="L277" s="19">
        <f>IF($X277="","",INDEX('sheet2-计算明细'!$AI$17:$AI$330,$X277))</f>
        <v/>
      </c>
      <c r="M277" s="19">
        <f>IF($X277="","",INDEX('sheet2-计算明细'!$AK$17:$AK$330,$X277))</f>
        <v/>
      </c>
      <c r="N277" s="20">
        <f>IF(COUNT(F277:H277)=0,"",ROUND((IF(ISNUMBER(F277),F277*40%,0)+IF(ISNUMBER(G277),G277*30%,0)+IF(ISNUMBER(H277),H277*30%,0))/(IF(ISNUMBER(F277),40%,0)+IF(ISNUMBER(G277),30%,0)+IF(ISNUMBER(H277),30%,0)),2))</f>
        <v/>
      </c>
      <c r="O277" s="20">
        <f>IF(COUNT(I277:J277)=0,"",ROUND((IF(ISNUMBER(I277),I277*70%,0)+IF(ISNUMBER(J277),J277*30%,0))/(IF(ISNUMBER(I277),70%,0)+IF(ISNUMBER(J277),30%,0)),2))</f>
        <v/>
      </c>
      <c r="P277" s="20">
        <f>K277</f>
        <v/>
      </c>
      <c r="Q277" s="20">
        <f>L277</f>
        <v/>
      </c>
      <c r="R277" s="20">
        <f>M277</f>
        <v/>
      </c>
      <c r="S277" s="93">
        <f>IF($X277="","",INDEX('sheet2-计算明细'!$AQ$17:$AQ$330,$X277))</f>
        <v/>
      </c>
      <c r="T277" s="19">
        <f>IF($X277="","",INDEX('sheet2-计算明细'!$AR$17:$AR$330,$X277))</f>
        <v/>
      </c>
      <c r="U277" s="20">
        <f>IF(S277=0,"",ROUND(T277/S277,2))</f>
        <v/>
      </c>
      <c r="V277" s="20">
        <f>IF(S277=100%,T277,"")</f>
        <v/>
      </c>
      <c r="W277" s="22">
        <f>IF($X277="","",INDEX('sheet2-计算明细'!$AU$17:$AU$330,$X277))</f>
        <v/>
      </c>
      <c r="X277" s="18">
        <f>IF($A277&gt;COUNT('sheet2-计算明细'!$AT$17:$AT$330),"",MATCH($A277,'sheet2-计算明细'!$AT$17:$AT$330,0))</f>
        <v/>
      </c>
    </row>
    <row r="278" ht="28" customHeight="1" s="73">
      <c r="A278" s="2" t="n">
        <v>273</v>
      </c>
      <c r="B278" s="18">
        <f>IF($X278="","",INDEX('sheet2-计算明细'!$B$17:$B$330,$X278))</f>
        <v/>
      </c>
      <c r="C278" s="18">
        <f>IF($X278="","",INDEX('sheet2-计算明细'!$C$17:$C$330,$X278))</f>
        <v/>
      </c>
      <c r="D278" s="18">
        <f>IF($X278="","",INDEX('sheet2-计算明细'!$D$17:$D$330,$X278))</f>
        <v/>
      </c>
      <c r="E278" s="18">
        <f>IF($X278="","",INDEX('sheet2-计算明细'!$G$17:$G$330,$X278))</f>
        <v/>
      </c>
      <c r="F278" s="19">
        <f>IF($X278="","",INDEX('sheet2-计算明细'!$I$17:$I$330,$X278))</f>
        <v/>
      </c>
      <c r="G278" s="19">
        <f>IF($X278="","",INDEX('sheet2-计算明细'!$K$17:$K$330,$X278))</f>
        <v/>
      </c>
      <c r="H278" s="19">
        <f>IF($X278="","",INDEX('sheet2-计算明细'!$L$17:$L$330,$X278))</f>
        <v/>
      </c>
      <c r="I278" s="19">
        <f>IF($X278="","",INDEX('sheet2-计算明细'!$S$17:$S$330,$X278))</f>
        <v/>
      </c>
      <c r="J278" s="19">
        <f>IF($X278="","",INDEX('sheet2-计算明细'!$Y$17:$Y$330,$X278))</f>
        <v/>
      </c>
      <c r="K278" s="19">
        <f>IF($X278="","",INDEX('sheet2-计算明细'!$AC$17:$AC$330,$X278))</f>
        <v/>
      </c>
      <c r="L278" s="19">
        <f>IF($X278="","",INDEX('sheet2-计算明细'!$AI$17:$AI$330,$X278))</f>
        <v/>
      </c>
      <c r="M278" s="19">
        <f>IF($X278="","",INDEX('sheet2-计算明细'!$AK$17:$AK$330,$X278))</f>
        <v/>
      </c>
      <c r="N278" s="20">
        <f>IF(COUNT(F278:H278)=0,"",ROUND((IF(ISNUMBER(F278),F278*40%,0)+IF(ISNUMBER(G278),G278*30%,0)+IF(ISNUMBER(H278),H278*30%,0))/(IF(ISNUMBER(F278),40%,0)+IF(ISNUMBER(G278),30%,0)+IF(ISNUMBER(H278),30%,0)),2))</f>
        <v/>
      </c>
      <c r="O278" s="20">
        <f>IF(COUNT(I278:J278)=0,"",ROUND((IF(ISNUMBER(I278),I278*70%,0)+IF(ISNUMBER(J278),J278*30%,0))/(IF(ISNUMBER(I278),70%,0)+IF(ISNUMBER(J278),30%,0)),2))</f>
        <v/>
      </c>
      <c r="P278" s="20">
        <f>K278</f>
        <v/>
      </c>
      <c r="Q278" s="20">
        <f>L278</f>
        <v/>
      </c>
      <c r="R278" s="20">
        <f>M278</f>
        <v/>
      </c>
      <c r="S278" s="93">
        <f>IF($X278="","",INDEX('sheet2-计算明细'!$AQ$17:$AQ$330,$X278))</f>
        <v/>
      </c>
      <c r="T278" s="19">
        <f>IF($X278="","",INDEX('sheet2-计算明细'!$AR$17:$AR$330,$X278))</f>
        <v/>
      </c>
      <c r="U278" s="20">
        <f>IF(S278=0,"",ROUND(T278/S278,2))</f>
        <v/>
      </c>
      <c r="V278" s="20">
        <f>IF(S278=100%,T278,"")</f>
        <v/>
      </c>
      <c r="W278" s="22">
        <f>IF($X278="","",INDEX('sheet2-计算明细'!$AU$17:$AU$330,$X278))</f>
        <v/>
      </c>
      <c r="X278" s="18">
        <f>IF($A278&gt;COUNT('sheet2-计算明细'!$AT$17:$AT$330),"",MATCH($A278,'sheet2-计算明细'!$AT$17:$AT$330,0))</f>
        <v/>
      </c>
    </row>
    <row r="279" ht="28" customHeight="1" s="73">
      <c r="A279" s="2" t="n">
        <v>274</v>
      </c>
      <c r="B279" s="18">
        <f>IF($X279="","",INDEX('sheet2-计算明细'!$B$17:$B$330,$X279))</f>
        <v/>
      </c>
      <c r="C279" s="18">
        <f>IF($X279="","",INDEX('sheet2-计算明细'!$C$17:$C$330,$X279))</f>
        <v/>
      </c>
      <c r="D279" s="18">
        <f>IF($X279="","",INDEX('sheet2-计算明细'!$D$17:$D$330,$X279))</f>
        <v/>
      </c>
      <c r="E279" s="18">
        <f>IF($X279="","",INDEX('sheet2-计算明细'!$G$17:$G$330,$X279))</f>
        <v/>
      </c>
      <c r="F279" s="19">
        <f>IF($X279="","",INDEX('sheet2-计算明细'!$I$17:$I$330,$X279))</f>
        <v/>
      </c>
      <c r="G279" s="19">
        <f>IF($X279="","",INDEX('sheet2-计算明细'!$K$17:$K$330,$X279))</f>
        <v/>
      </c>
      <c r="H279" s="19">
        <f>IF($X279="","",INDEX('sheet2-计算明细'!$L$17:$L$330,$X279))</f>
        <v/>
      </c>
      <c r="I279" s="19">
        <f>IF($X279="","",INDEX('sheet2-计算明细'!$S$17:$S$330,$X279))</f>
        <v/>
      </c>
      <c r="J279" s="19">
        <f>IF($X279="","",INDEX('sheet2-计算明细'!$Y$17:$Y$330,$X279))</f>
        <v/>
      </c>
      <c r="K279" s="19">
        <f>IF($X279="","",INDEX('sheet2-计算明细'!$AC$17:$AC$330,$X279))</f>
        <v/>
      </c>
      <c r="L279" s="19">
        <f>IF($X279="","",INDEX('sheet2-计算明细'!$AI$17:$AI$330,$X279))</f>
        <v/>
      </c>
      <c r="M279" s="19">
        <f>IF($X279="","",INDEX('sheet2-计算明细'!$AK$17:$AK$330,$X279))</f>
        <v/>
      </c>
      <c r="N279" s="20">
        <f>IF(COUNT(F279:H279)=0,"",ROUND((IF(ISNUMBER(F279),F279*40%,0)+IF(ISNUMBER(G279),G279*30%,0)+IF(ISNUMBER(H279),H279*30%,0))/(IF(ISNUMBER(F279),40%,0)+IF(ISNUMBER(G279),30%,0)+IF(ISNUMBER(H279),30%,0)),2))</f>
        <v/>
      </c>
      <c r="O279" s="20">
        <f>IF(COUNT(I279:J279)=0,"",ROUND((IF(ISNUMBER(I279),I279*70%,0)+IF(ISNUMBER(J279),J279*30%,0))/(IF(ISNUMBER(I279),70%,0)+IF(ISNUMBER(J279),30%,0)),2))</f>
        <v/>
      </c>
      <c r="P279" s="20">
        <f>K279</f>
        <v/>
      </c>
      <c r="Q279" s="20">
        <f>L279</f>
        <v/>
      </c>
      <c r="R279" s="20">
        <f>M279</f>
        <v/>
      </c>
      <c r="S279" s="93">
        <f>IF($X279="","",INDEX('sheet2-计算明细'!$AQ$17:$AQ$330,$X279))</f>
        <v/>
      </c>
      <c r="T279" s="19">
        <f>IF($X279="","",INDEX('sheet2-计算明细'!$AR$17:$AR$330,$X279))</f>
        <v/>
      </c>
      <c r="U279" s="20">
        <f>IF(S279=0,"",ROUND(T279/S279,2))</f>
        <v/>
      </c>
      <c r="V279" s="20">
        <f>IF(S279=100%,T279,"")</f>
        <v/>
      </c>
      <c r="W279" s="22">
        <f>IF($X279="","",INDEX('sheet2-计算明细'!$AU$17:$AU$330,$X279))</f>
        <v/>
      </c>
      <c r="X279" s="18">
        <f>IF($A279&gt;COUNT('sheet2-计算明细'!$AT$17:$AT$330),"",MATCH($A279,'sheet2-计算明细'!$AT$17:$AT$330,0))</f>
        <v/>
      </c>
    </row>
    <row r="280" ht="28" customHeight="1" s="73">
      <c r="A280" s="2" t="n">
        <v>275</v>
      </c>
      <c r="B280" s="18">
        <f>IF($X280="","",INDEX('sheet2-计算明细'!$B$17:$B$330,$X280))</f>
        <v/>
      </c>
      <c r="C280" s="18">
        <f>IF($X280="","",INDEX('sheet2-计算明细'!$C$17:$C$330,$X280))</f>
        <v/>
      </c>
      <c r="D280" s="18">
        <f>IF($X280="","",INDEX('sheet2-计算明细'!$D$17:$D$330,$X280))</f>
        <v/>
      </c>
      <c r="E280" s="18">
        <f>IF($X280="","",INDEX('sheet2-计算明细'!$G$17:$G$330,$X280))</f>
        <v/>
      </c>
      <c r="F280" s="19">
        <f>IF($X280="","",INDEX('sheet2-计算明细'!$I$17:$I$330,$X280))</f>
        <v/>
      </c>
      <c r="G280" s="19">
        <f>IF($X280="","",INDEX('sheet2-计算明细'!$K$17:$K$330,$X280))</f>
        <v/>
      </c>
      <c r="H280" s="19">
        <f>IF($X280="","",INDEX('sheet2-计算明细'!$L$17:$L$330,$X280))</f>
        <v/>
      </c>
      <c r="I280" s="19">
        <f>IF($X280="","",INDEX('sheet2-计算明细'!$S$17:$S$330,$X280))</f>
        <v/>
      </c>
      <c r="J280" s="19">
        <f>IF($X280="","",INDEX('sheet2-计算明细'!$Y$17:$Y$330,$X280))</f>
        <v/>
      </c>
      <c r="K280" s="19">
        <f>IF($X280="","",INDEX('sheet2-计算明细'!$AC$17:$AC$330,$X280))</f>
        <v/>
      </c>
      <c r="L280" s="19">
        <f>IF($X280="","",INDEX('sheet2-计算明细'!$AI$17:$AI$330,$X280))</f>
        <v/>
      </c>
      <c r="M280" s="19">
        <f>IF($X280="","",INDEX('sheet2-计算明细'!$AK$17:$AK$330,$X280))</f>
        <v/>
      </c>
      <c r="N280" s="20">
        <f>IF(COUNT(F280:H280)=0,"",ROUND((IF(ISNUMBER(F280),F280*40%,0)+IF(ISNUMBER(G280),G280*30%,0)+IF(ISNUMBER(H280),H280*30%,0))/(IF(ISNUMBER(F280),40%,0)+IF(ISNUMBER(G280),30%,0)+IF(ISNUMBER(H280),30%,0)),2))</f>
        <v/>
      </c>
      <c r="O280" s="20">
        <f>IF(COUNT(I280:J280)=0,"",ROUND((IF(ISNUMBER(I280),I280*70%,0)+IF(ISNUMBER(J280),J280*30%,0))/(IF(ISNUMBER(I280),70%,0)+IF(ISNUMBER(J280),30%,0)),2))</f>
        <v/>
      </c>
      <c r="P280" s="20">
        <f>K280</f>
        <v/>
      </c>
      <c r="Q280" s="20">
        <f>L280</f>
        <v/>
      </c>
      <c r="R280" s="20">
        <f>M280</f>
        <v/>
      </c>
      <c r="S280" s="93">
        <f>IF($X280="","",INDEX('sheet2-计算明细'!$AQ$17:$AQ$330,$X280))</f>
        <v/>
      </c>
      <c r="T280" s="19">
        <f>IF($X280="","",INDEX('sheet2-计算明细'!$AR$17:$AR$330,$X280))</f>
        <v/>
      </c>
      <c r="U280" s="20">
        <f>IF(S280=0,"",ROUND(T280/S280,2))</f>
        <v/>
      </c>
      <c r="V280" s="20">
        <f>IF(S280=100%,T280,"")</f>
        <v/>
      </c>
      <c r="W280" s="22">
        <f>IF($X280="","",INDEX('sheet2-计算明细'!$AU$17:$AU$330,$X280))</f>
        <v/>
      </c>
      <c r="X280" s="18">
        <f>IF($A280&gt;COUNT('sheet2-计算明细'!$AT$17:$AT$330),"",MATCH($A280,'sheet2-计算明细'!$AT$17:$AT$330,0))</f>
        <v/>
      </c>
    </row>
    <row r="281" ht="28" customHeight="1" s="73">
      <c r="A281" s="2" t="n">
        <v>276</v>
      </c>
      <c r="B281" s="18">
        <f>IF($X281="","",INDEX('sheet2-计算明细'!$B$17:$B$330,$X281))</f>
        <v/>
      </c>
      <c r="C281" s="18">
        <f>IF($X281="","",INDEX('sheet2-计算明细'!$C$17:$C$330,$X281))</f>
        <v/>
      </c>
      <c r="D281" s="18">
        <f>IF($X281="","",INDEX('sheet2-计算明细'!$D$17:$D$330,$X281))</f>
        <v/>
      </c>
      <c r="E281" s="18">
        <f>IF($X281="","",INDEX('sheet2-计算明细'!$G$17:$G$330,$X281))</f>
        <v/>
      </c>
      <c r="F281" s="19">
        <f>IF($X281="","",INDEX('sheet2-计算明细'!$I$17:$I$330,$X281))</f>
        <v/>
      </c>
      <c r="G281" s="19">
        <f>IF($X281="","",INDEX('sheet2-计算明细'!$K$17:$K$330,$X281))</f>
        <v/>
      </c>
      <c r="H281" s="19">
        <f>IF($X281="","",INDEX('sheet2-计算明细'!$L$17:$L$330,$X281))</f>
        <v/>
      </c>
      <c r="I281" s="19">
        <f>IF($X281="","",INDEX('sheet2-计算明细'!$S$17:$S$330,$X281))</f>
        <v/>
      </c>
      <c r="J281" s="19">
        <f>IF($X281="","",INDEX('sheet2-计算明细'!$Y$17:$Y$330,$X281))</f>
        <v/>
      </c>
      <c r="K281" s="19">
        <f>IF($X281="","",INDEX('sheet2-计算明细'!$AC$17:$AC$330,$X281))</f>
        <v/>
      </c>
      <c r="L281" s="19">
        <f>IF($X281="","",INDEX('sheet2-计算明细'!$AI$17:$AI$330,$X281))</f>
        <v/>
      </c>
      <c r="M281" s="19">
        <f>IF($X281="","",INDEX('sheet2-计算明细'!$AK$17:$AK$330,$X281))</f>
        <v/>
      </c>
      <c r="N281" s="20">
        <f>IF(COUNT(F281:H281)=0,"",ROUND((IF(ISNUMBER(F281),F281*40%,0)+IF(ISNUMBER(G281),G281*30%,0)+IF(ISNUMBER(H281),H281*30%,0))/(IF(ISNUMBER(F281),40%,0)+IF(ISNUMBER(G281),30%,0)+IF(ISNUMBER(H281),30%,0)),2))</f>
        <v/>
      </c>
      <c r="O281" s="20">
        <f>IF(COUNT(I281:J281)=0,"",ROUND((IF(ISNUMBER(I281),I281*70%,0)+IF(ISNUMBER(J281),J281*30%,0))/(IF(ISNUMBER(I281),70%,0)+IF(ISNUMBER(J281),30%,0)),2))</f>
        <v/>
      </c>
      <c r="P281" s="20">
        <f>K281</f>
        <v/>
      </c>
      <c r="Q281" s="20">
        <f>L281</f>
        <v/>
      </c>
      <c r="R281" s="20">
        <f>M281</f>
        <v/>
      </c>
      <c r="S281" s="93">
        <f>IF($X281="","",INDEX('sheet2-计算明细'!$AQ$17:$AQ$330,$X281))</f>
        <v/>
      </c>
      <c r="T281" s="19">
        <f>IF($X281="","",INDEX('sheet2-计算明细'!$AR$17:$AR$330,$X281))</f>
        <v/>
      </c>
      <c r="U281" s="20">
        <f>IF(S281=0,"",ROUND(T281/S281,2))</f>
        <v/>
      </c>
      <c r="V281" s="20">
        <f>IF(S281=100%,T281,"")</f>
        <v/>
      </c>
      <c r="W281" s="22">
        <f>IF($X281="","",INDEX('sheet2-计算明细'!$AU$17:$AU$330,$X281))</f>
        <v/>
      </c>
      <c r="X281" s="18">
        <f>IF($A281&gt;COUNT('sheet2-计算明细'!$AT$17:$AT$330),"",MATCH($A281,'sheet2-计算明细'!$AT$17:$AT$330,0))</f>
        <v/>
      </c>
    </row>
    <row r="282" ht="28" customHeight="1" s="73">
      <c r="A282" s="2" t="n">
        <v>277</v>
      </c>
      <c r="B282" s="18">
        <f>IF($X282="","",INDEX('sheet2-计算明细'!$B$17:$B$330,$X282))</f>
        <v/>
      </c>
      <c r="C282" s="18">
        <f>IF($X282="","",INDEX('sheet2-计算明细'!$C$17:$C$330,$X282))</f>
        <v/>
      </c>
      <c r="D282" s="18">
        <f>IF($X282="","",INDEX('sheet2-计算明细'!$D$17:$D$330,$X282))</f>
        <v/>
      </c>
      <c r="E282" s="18">
        <f>IF($X282="","",INDEX('sheet2-计算明细'!$G$17:$G$330,$X282))</f>
        <v/>
      </c>
      <c r="F282" s="19">
        <f>IF($X282="","",INDEX('sheet2-计算明细'!$I$17:$I$330,$X282))</f>
        <v/>
      </c>
      <c r="G282" s="19">
        <f>IF($X282="","",INDEX('sheet2-计算明细'!$K$17:$K$330,$X282))</f>
        <v/>
      </c>
      <c r="H282" s="19">
        <f>IF($X282="","",INDEX('sheet2-计算明细'!$L$17:$L$330,$X282))</f>
        <v/>
      </c>
      <c r="I282" s="19">
        <f>IF($X282="","",INDEX('sheet2-计算明细'!$S$17:$S$330,$X282))</f>
        <v/>
      </c>
      <c r="J282" s="19">
        <f>IF($X282="","",INDEX('sheet2-计算明细'!$Y$17:$Y$330,$X282))</f>
        <v/>
      </c>
      <c r="K282" s="19">
        <f>IF($X282="","",INDEX('sheet2-计算明细'!$AC$17:$AC$330,$X282))</f>
        <v/>
      </c>
      <c r="L282" s="19">
        <f>IF($X282="","",INDEX('sheet2-计算明细'!$AI$17:$AI$330,$X282))</f>
        <v/>
      </c>
      <c r="M282" s="19">
        <f>IF($X282="","",INDEX('sheet2-计算明细'!$AK$17:$AK$330,$X282))</f>
        <v/>
      </c>
      <c r="N282" s="20">
        <f>IF(COUNT(F282:H282)=0,"",ROUND((IF(ISNUMBER(F282),F282*40%,0)+IF(ISNUMBER(G282),G282*30%,0)+IF(ISNUMBER(H282),H282*30%,0))/(IF(ISNUMBER(F282),40%,0)+IF(ISNUMBER(G282),30%,0)+IF(ISNUMBER(H282),30%,0)),2))</f>
        <v/>
      </c>
      <c r="O282" s="20">
        <f>IF(COUNT(I282:J282)=0,"",ROUND((IF(ISNUMBER(I282),I282*70%,0)+IF(ISNUMBER(J282),J282*30%,0))/(IF(ISNUMBER(I282),70%,0)+IF(ISNUMBER(J282),30%,0)),2))</f>
        <v/>
      </c>
      <c r="P282" s="20">
        <f>K282</f>
        <v/>
      </c>
      <c r="Q282" s="20">
        <f>L282</f>
        <v/>
      </c>
      <c r="R282" s="20">
        <f>M282</f>
        <v/>
      </c>
      <c r="S282" s="93">
        <f>IF($X282="","",INDEX('sheet2-计算明细'!$AQ$17:$AQ$330,$X282))</f>
        <v/>
      </c>
      <c r="T282" s="19">
        <f>IF($X282="","",INDEX('sheet2-计算明细'!$AR$17:$AR$330,$X282))</f>
        <v/>
      </c>
      <c r="U282" s="20">
        <f>IF(S282=0,"",ROUND(T282/S282,2))</f>
        <v/>
      </c>
      <c r="V282" s="20">
        <f>IF(S282=100%,T282,"")</f>
        <v/>
      </c>
      <c r="W282" s="22">
        <f>IF($X282="","",INDEX('sheet2-计算明细'!$AU$17:$AU$330,$X282))</f>
        <v/>
      </c>
      <c r="X282" s="18">
        <f>IF($A282&gt;COUNT('sheet2-计算明细'!$AT$17:$AT$330),"",MATCH($A282,'sheet2-计算明细'!$AT$17:$AT$330,0))</f>
        <v/>
      </c>
    </row>
    <row r="283" ht="28" customHeight="1" s="73">
      <c r="A283" s="2" t="n">
        <v>278</v>
      </c>
      <c r="B283" s="18">
        <f>IF($X283="","",INDEX('sheet2-计算明细'!$B$17:$B$330,$X283))</f>
        <v/>
      </c>
      <c r="C283" s="18">
        <f>IF($X283="","",INDEX('sheet2-计算明细'!$C$17:$C$330,$X283))</f>
        <v/>
      </c>
      <c r="D283" s="18">
        <f>IF($X283="","",INDEX('sheet2-计算明细'!$D$17:$D$330,$X283))</f>
        <v/>
      </c>
      <c r="E283" s="18">
        <f>IF($X283="","",INDEX('sheet2-计算明细'!$G$17:$G$330,$X283))</f>
        <v/>
      </c>
      <c r="F283" s="19">
        <f>IF($X283="","",INDEX('sheet2-计算明细'!$I$17:$I$330,$X283))</f>
        <v/>
      </c>
      <c r="G283" s="19">
        <f>IF($X283="","",INDEX('sheet2-计算明细'!$K$17:$K$330,$X283))</f>
        <v/>
      </c>
      <c r="H283" s="19">
        <f>IF($X283="","",INDEX('sheet2-计算明细'!$L$17:$L$330,$X283))</f>
        <v/>
      </c>
      <c r="I283" s="19">
        <f>IF($X283="","",INDEX('sheet2-计算明细'!$S$17:$S$330,$X283))</f>
        <v/>
      </c>
      <c r="J283" s="19">
        <f>IF($X283="","",INDEX('sheet2-计算明细'!$Y$17:$Y$330,$X283))</f>
        <v/>
      </c>
      <c r="K283" s="19">
        <f>IF($X283="","",INDEX('sheet2-计算明细'!$AC$17:$AC$330,$X283))</f>
        <v/>
      </c>
      <c r="L283" s="19">
        <f>IF($X283="","",INDEX('sheet2-计算明细'!$AI$17:$AI$330,$X283))</f>
        <v/>
      </c>
      <c r="M283" s="19">
        <f>IF($X283="","",INDEX('sheet2-计算明细'!$AK$17:$AK$330,$X283))</f>
        <v/>
      </c>
      <c r="N283" s="20">
        <f>IF(COUNT(F283:H283)=0,"",ROUND((IF(ISNUMBER(F283),F283*40%,0)+IF(ISNUMBER(G283),G283*30%,0)+IF(ISNUMBER(H283),H283*30%,0))/(IF(ISNUMBER(F283),40%,0)+IF(ISNUMBER(G283),30%,0)+IF(ISNUMBER(H283),30%,0)),2))</f>
        <v/>
      </c>
      <c r="O283" s="20">
        <f>IF(COUNT(I283:J283)=0,"",ROUND((IF(ISNUMBER(I283),I283*70%,0)+IF(ISNUMBER(J283),J283*30%,0))/(IF(ISNUMBER(I283),70%,0)+IF(ISNUMBER(J283),30%,0)),2))</f>
        <v/>
      </c>
      <c r="P283" s="20">
        <f>K283</f>
        <v/>
      </c>
      <c r="Q283" s="20">
        <f>L283</f>
        <v/>
      </c>
      <c r="R283" s="20">
        <f>M283</f>
        <v/>
      </c>
      <c r="S283" s="93">
        <f>IF($X283="","",INDEX('sheet2-计算明细'!$AQ$17:$AQ$330,$X283))</f>
        <v/>
      </c>
      <c r="T283" s="19">
        <f>IF($X283="","",INDEX('sheet2-计算明细'!$AR$17:$AR$330,$X283))</f>
        <v/>
      </c>
      <c r="U283" s="20">
        <f>IF(S283=0,"",ROUND(T283/S283,2))</f>
        <v/>
      </c>
      <c r="V283" s="20">
        <f>IF(S283=100%,T283,"")</f>
        <v/>
      </c>
      <c r="W283" s="22">
        <f>IF($X283="","",INDEX('sheet2-计算明细'!$AU$17:$AU$330,$X283))</f>
        <v/>
      </c>
      <c r="X283" s="18">
        <f>IF($A283&gt;COUNT('sheet2-计算明细'!$AT$17:$AT$330),"",MATCH($A283,'sheet2-计算明细'!$AT$17:$AT$330,0))</f>
        <v/>
      </c>
    </row>
    <row r="284" ht="28" customHeight="1" s="73">
      <c r="A284" s="2" t="n">
        <v>279</v>
      </c>
      <c r="B284" s="18">
        <f>IF($X284="","",INDEX('sheet2-计算明细'!$B$17:$B$330,$X284))</f>
        <v/>
      </c>
      <c r="C284" s="18">
        <f>IF($X284="","",INDEX('sheet2-计算明细'!$C$17:$C$330,$X284))</f>
        <v/>
      </c>
      <c r="D284" s="18">
        <f>IF($X284="","",INDEX('sheet2-计算明细'!$D$17:$D$330,$X284))</f>
        <v/>
      </c>
      <c r="E284" s="18">
        <f>IF($X284="","",INDEX('sheet2-计算明细'!$G$17:$G$330,$X284))</f>
        <v/>
      </c>
      <c r="F284" s="19">
        <f>IF($X284="","",INDEX('sheet2-计算明细'!$I$17:$I$330,$X284))</f>
        <v/>
      </c>
      <c r="G284" s="19">
        <f>IF($X284="","",INDEX('sheet2-计算明细'!$K$17:$K$330,$X284))</f>
        <v/>
      </c>
      <c r="H284" s="19">
        <f>IF($X284="","",INDEX('sheet2-计算明细'!$L$17:$L$330,$X284))</f>
        <v/>
      </c>
      <c r="I284" s="19">
        <f>IF($X284="","",INDEX('sheet2-计算明细'!$S$17:$S$330,$X284))</f>
        <v/>
      </c>
      <c r="J284" s="19">
        <f>IF($X284="","",INDEX('sheet2-计算明细'!$Y$17:$Y$330,$X284))</f>
        <v/>
      </c>
      <c r="K284" s="19">
        <f>IF($X284="","",INDEX('sheet2-计算明细'!$AC$17:$AC$330,$X284))</f>
        <v/>
      </c>
      <c r="L284" s="19">
        <f>IF($X284="","",INDEX('sheet2-计算明细'!$AI$17:$AI$330,$X284))</f>
        <v/>
      </c>
      <c r="M284" s="19">
        <f>IF($X284="","",INDEX('sheet2-计算明细'!$AK$17:$AK$330,$X284))</f>
        <v/>
      </c>
      <c r="N284" s="20">
        <f>IF(COUNT(F284:H284)=0,"",ROUND((IF(ISNUMBER(F284),F284*40%,0)+IF(ISNUMBER(G284),G284*30%,0)+IF(ISNUMBER(H284),H284*30%,0))/(IF(ISNUMBER(F284),40%,0)+IF(ISNUMBER(G284),30%,0)+IF(ISNUMBER(H284),30%,0)),2))</f>
        <v/>
      </c>
      <c r="O284" s="20">
        <f>IF(COUNT(I284:J284)=0,"",ROUND((IF(ISNUMBER(I284),I284*70%,0)+IF(ISNUMBER(J284),J284*30%,0))/(IF(ISNUMBER(I284),70%,0)+IF(ISNUMBER(J284),30%,0)),2))</f>
        <v/>
      </c>
      <c r="P284" s="20">
        <f>K284</f>
        <v/>
      </c>
      <c r="Q284" s="20">
        <f>L284</f>
        <v/>
      </c>
      <c r="R284" s="20">
        <f>M284</f>
        <v/>
      </c>
      <c r="S284" s="93">
        <f>IF($X284="","",INDEX('sheet2-计算明细'!$AQ$17:$AQ$330,$X284))</f>
        <v/>
      </c>
      <c r="T284" s="19">
        <f>IF($X284="","",INDEX('sheet2-计算明细'!$AR$17:$AR$330,$X284))</f>
        <v/>
      </c>
      <c r="U284" s="20">
        <f>IF(S284=0,"",ROUND(T284/S284,2))</f>
        <v/>
      </c>
      <c r="V284" s="20">
        <f>IF(S284=100%,T284,"")</f>
        <v/>
      </c>
      <c r="W284" s="22">
        <f>IF($X284="","",INDEX('sheet2-计算明细'!$AU$17:$AU$330,$X284))</f>
        <v/>
      </c>
      <c r="X284" s="18">
        <f>IF($A284&gt;COUNT('sheet2-计算明细'!$AT$17:$AT$330),"",MATCH($A284,'sheet2-计算明细'!$AT$17:$AT$330,0))</f>
        <v/>
      </c>
    </row>
    <row r="285" ht="28" customHeight="1" s="73">
      <c r="A285" s="2" t="n">
        <v>280</v>
      </c>
      <c r="B285" s="18">
        <f>IF($X285="","",INDEX('sheet2-计算明细'!$B$17:$B$330,$X285))</f>
        <v/>
      </c>
      <c r="C285" s="18">
        <f>IF($X285="","",INDEX('sheet2-计算明细'!$C$17:$C$330,$X285))</f>
        <v/>
      </c>
      <c r="D285" s="18">
        <f>IF($X285="","",INDEX('sheet2-计算明细'!$D$17:$D$330,$X285))</f>
        <v/>
      </c>
      <c r="E285" s="18">
        <f>IF($X285="","",INDEX('sheet2-计算明细'!$G$17:$G$330,$X285))</f>
        <v/>
      </c>
      <c r="F285" s="19">
        <f>IF($X285="","",INDEX('sheet2-计算明细'!$I$17:$I$330,$X285))</f>
        <v/>
      </c>
      <c r="G285" s="19">
        <f>IF($X285="","",INDEX('sheet2-计算明细'!$K$17:$K$330,$X285))</f>
        <v/>
      </c>
      <c r="H285" s="19">
        <f>IF($X285="","",INDEX('sheet2-计算明细'!$L$17:$L$330,$X285))</f>
        <v/>
      </c>
      <c r="I285" s="19">
        <f>IF($X285="","",INDEX('sheet2-计算明细'!$S$17:$S$330,$X285))</f>
        <v/>
      </c>
      <c r="J285" s="19">
        <f>IF($X285="","",INDEX('sheet2-计算明细'!$Y$17:$Y$330,$X285))</f>
        <v/>
      </c>
      <c r="K285" s="19">
        <f>IF($X285="","",INDEX('sheet2-计算明细'!$AC$17:$AC$330,$X285))</f>
        <v/>
      </c>
      <c r="L285" s="19">
        <f>IF($X285="","",INDEX('sheet2-计算明细'!$AI$17:$AI$330,$X285))</f>
        <v/>
      </c>
      <c r="M285" s="19">
        <f>IF($X285="","",INDEX('sheet2-计算明细'!$AK$17:$AK$330,$X285))</f>
        <v/>
      </c>
      <c r="N285" s="20">
        <f>IF(COUNT(F285:H285)=0,"",ROUND((IF(ISNUMBER(F285),F285*40%,0)+IF(ISNUMBER(G285),G285*30%,0)+IF(ISNUMBER(H285),H285*30%,0))/(IF(ISNUMBER(F285),40%,0)+IF(ISNUMBER(G285),30%,0)+IF(ISNUMBER(H285),30%,0)),2))</f>
        <v/>
      </c>
      <c r="O285" s="20">
        <f>IF(COUNT(I285:J285)=0,"",ROUND((IF(ISNUMBER(I285),I285*70%,0)+IF(ISNUMBER(J285),J285*30%,0))/(IF(ISNUMBER(I285),70%,0)+IF(ISNUMBER(J285),30%,0)),2))</f>
        <v/>
      </c>
      <c r="P285" s="20">
        <f>K285</f>
        <v/>
      </c>
      <c r="Q285" s="20">
        <f>L285</f>
        <v/>
      </c>
      <c r="R285" s="20">
        <f>M285</f>
        <v/>
      </c>
      <c r="S285" s="93">
        <f>IF($X285="","",INDEX('sheet2-计算明细'!$AQ$17:$AQ$330,$X285))</f>
        <v/>
      </c>
      <c r="T285" s="19">
        <f>IF($X285="","",INDEX('sheet2-计算明细'!$AR$17:$AR$330,$X285))</f>
        <v/>
      </c>
      <c r="U285" s="20">
        <f>IF(S285=0,"",ROUND(T285/S285,2))</f>
        <v/>
      </c>
      <c r="V285" s="20">
        <f>IF(S285=100%,T285,"")</f>
        <v/>
      </c>
      <c r="W285" s="22">
        <f>IF($X285="","",INDEX('sheet2-计算明细'!$AU$17:$AU$330,$X285))</f>
        <v/>
      </c>
      <c r="X285" s="18">
        <f>IF($A285&gt;COUNT('sheet2-计算明细'!$AT$17:$AT$330),"",MATCH($A285,'sheet2-计算明细'!$AT$17:$AT$330,0))</f>
        <v/>
      </c>
    </row>
    <row r="286" ht="28" customHeight="1" s="73">
      <c r="A286" s="2" t="n">
        <v>281</v>
      </c>
      <c r="B286" s="18">
        <f>IF($X286="","",INDEX('sheet2-计算明细'!$B$17:$B$330,$X286))</f>
        <v/>
      </c>
      <c r="C286" s="18">
        <f>IF($X286="","",INDEX('sheet2-计算明细'!$C$17:$C$330,$X286))</f>
        <v/>
      </c>
      <c r="D286" s="18">
        <f>IF($X286="","",INDEX('sheet2-计算明细'!$D$17:$D$330,$X286))</f>
        <v/>
      </c>
      <c r="E286" s="18">
        <f>IF($X286="","",INDEX('sheet2-计算明细'!$G$17:$G$330,$X286))</f>
        <v/>
      </c>
      <c r="F286" s="19">
        <f>IF($X286="","",INDEX('sheet2-计算明细'!$I$17:$I$330,$X286))</f>
        <v/>
      </c>
      <c r="G286" s="19">
        <f>IF($X286="","",INDEX('sheet2-计算明细'!$K$17:$K$330,$X286))</f>
        <v/>
      </c>
      <c r="H286" s="19">
        <f>IF($X286="","",INDEX('sheet2-计算明细'!$L$17:$L$330,$X286))</f>
        <v/>
      </c>
      <c r="I286" s="19">
        <f>IF($X286="","",INDEX('sheet2-计算明细'!$S$17:$S$330,$X286))</f>
        <v/>
      </c>
      <c r="J286" s="19">
        <f>IF($X286="","",INDEX('sheet2-计算明细'!$Y$17:$Y$330,$X286))</f>
        <v/>
      </c>
      <c r="K286" s="19">
        <f>IF($X286="","",INDEX('sheet2-计算明细'!$AC$17:$AC$330,$X286))</f>
        <v/>
      </c>
      <c r="L286" s="19">
        <f>IF($X286="","",INDEX('sheet2-计算明细'!$AI$17:$AI$330,$X286))</f>
        <v/>
      </c>
      <c r="M286" s="19">
        <f>IF($X286="","",INDEX('sheet2-计算明细'!$AK$17:$AK$330,$X286))</f>
        <v/>
      </c>
      <c r="N286" s="20">
        <f>IF(COUNT(F286:H286)=0,"",ROUND((IF(ISNUMBER(F286),F286*40%,0)+IF(ISNUMBER(G286),G286*30%,0)+IF(ISNUMBER(H286),H286*30%,0))/(IF(ISNUMBER(F286),40%,0)+IF(ISNUMBER(G286),30%,0)+IF(ISNUMBER(H286),30%,0)),2))</f>
        <v/>
      </c>
      <c r="O286" s="20">
        <f>IF(COUNT(I286:J286)=0,"",ROUND((IF(ISNUMBER(I286),I286*70%,0)+IF(ISNUMBER(J286),J286*30%,0))/(IF(ISNUMBER(I286),70%,0)+IF(ISNUMBER(J286),30%,0)),2))</f>
        <v/>
      </c>
      <c r="P286" s="20">
        <f>K286</f>
        <v/>
      </c>
      <c r="Q286" s="20">
        <f>L286</f>
        <v/>
      </c>
      <c r="R286" s="20">
        <f>M286</f>
        <v/>
      </c>
      <c r="S286" s="93">
        <f>IF($X286="","",INDEX('sheet2-计算明细'!$AQ$17:$AQ$330,$X286))</f>
        <v/>
      </c>
      <c r="T286" s="19">
        <f>IF($X286="","",INDEX('sheet2-计算明细'!$AR$17:$AR$330,$X286))</f>
        <v/>
      </c>
      <c r="U286" s="20">
        <f>IF(S286=0,"",ROUND(T286/S286,2))</f>
        <v/>
      </c>
      <c r="V286" s="20">
        <f>IF(S286=100%,T286,"")</f>
        <v/>
      </c>
      <c r="W286" s="22">
        <f>IF($X286="","",INDEX('sheet2-计算明细'!$AU$17:$AU$330,$X286))</f>
        <v/>
      </c>
      <c r="X286" s="18">
        <f>IF($A286&gt;COUNT('sheet2-计算明细'!$AT$17:$AT$330),"",MATCH($A286,'sheet2-计算明细'!$AT$17:$AT$330,0))</f>
        <v/>
      </c>
    </row>
    <row r="287" ht="28" customHeight="1" s="73">
      <c r="A287" s="2" t="n">
        <v>282</v>
      </c>
      <c r="B287" s="18">
        <f>IF($X287="","",INDEX('sheet2-计算明细'!$B$17:$B$330,$X287))</f>
        <v/>
      </c>
      <c r="C287" s="18">
        <f>IF($X287="","",INDEX('sheet2-计算明细'!$C$17:$C$330,$X287))</f>
        <v/>
      </c>
      <c r="D287" s="18">
        <f>IF($X287="","",INDEX('sheet2-计算明细'!$D$17:$D$330,$X287))</f>
        <v/>
      </c>
      <c r="E287" s="18">
        <f>IF($X287="","",INDEX('sheet2-计算明细'!$G$17:$G$330,$X287))</f>
        <v/>
      </c>
      <c r="F287" s="19">
        <f>IF($X287="","",INDEX('sheet2-计算明细'!$I$17:$I$330,$X287))</f>
        <v/>
      </c>
      <c r="G287" s="19">
        <f>IF($X287="","",INDEX('sheet2-计算明细'!$K$17:$K$330,$X287))</f>
        <v/>
      </c>
      <c r="H287" s="19">
        <f>IF($X287="","",INDEX('sheet2-计算明细'!$L$17:$L$330,$X287))</f>
        <v/>
      </c>
      <c r="I287" s="19">
        <f>IF($X287="","",INDEX('sheet2-计算明细'!$S$17:$S$330,$X287))</f>
        <v/>
      </c>
      <c r="J287" s="19">
        <f>IF($X287="","",INDEX('sheet2-计算明细'!$Y$17:$Y$330,$X287))</f>
        <v/>
      </c>
      <c r="K287" s="19">
        <f>IF($X287="","",INDEX('sheet2-计算明细'!$AC$17:$AC$330,$X287))</f>
        <v/>
      </c>
      <c r="L287" s="19">
        <f>IF($X287="","",INDEX('sheet2-计算明细'!$AI$17:$AI$330,$X287))</f>
        <v/>
      </c>
      <c r="M287" s="19">
        <f>IF($X287="","",INDEX('sheet2-计算明细'!$AK$17:$AK$330,$X287))</f>
        <v/>
      </c>
      <c r="N287" s="20">
        <f>IF(COUNT(F287:H287)=0,"",ROUND((IF(ISNUMBER(F287),F287*40%,0)+IF(ISNUMBER(G287),G287*30%,0)+IF(ISNUMBER(H287),H287*30%,0))/(IF(ISNUMBER(F287),40%,0)+IF(ISNUMBER(G287),30%,0)+IF(ISNUMBER(H287),30%,0)),2))</f>
        <v/>
      </c>
      <c r="O287" s="20">
        <f>IF(COUNT(I287:J287)=0,"",ROUND((IF(ISNUMBER(I287),I287*70%,0)+IF(ISNUMBER(J287),J287*30%,0))/(IF(ISNUMBER(I287),70%,0)+IF(ISNUMBER(J287),30%,0)),2))</f>
        <v/>
      </c>
      <c r="P287" s="20">
        <f>K287</f>
        <v/>
      </c>
      <c r="Q287" s="20">
        <f>L287</f>
        <v/>
      </c>
      <c r="R287" s="20">
        <f>M287</f>
        <v/>
      </c>
      <c r="S287" s="93">
        <f>IF($X287="","",INDEX('sheet2-计算明细'!$AQ$17:$AQ$330,$X287))</f>
        <v/>
      </c>
      <c r="T287" s="19">
        <f>IF($X287="","",INDEX('sheet2-计算明细'!$AR$17:$AR$330,$X287))</f>
        <v/>
      </c>
      <c r="U287" s="20">
        <f>IF(S287=0,"",ROUND(T287/S287,2))</f>
        <v/>
      </c>
      <c r="V287" s="20">
        <f>IF(S287=100%,T287,"")</f>
        <v/>
      </c>
      <c r="W287" s="22">
        <f>IF($X287="","",INDEX('sheet2-计算明细'!$AU$17:$AU$330,$X287))</f>
        <v/>
      </c>
      <c r="X287" s="18">
        <f>IF($A287&gt;COUNT('sheet2-计算明细'!$AT$17:$AT$330),"",MATCH($A287,'sheet2-计算明细'!$AT$17:$AT$330,0))</f>
        <v/>
      </c>
    </row>
    <row r="288" ht="28" customHeight="1" s="73">
      <c r="A288" s="2" t="n">
        <v>283</v>
      </c>
      <c r="B288" s="18">
        <f>IF($X288="","",INDEX('sheet2-计算明细'!$B$17:$B$330,$X288))</f>
        <v/>
      </c>
      <c r="C288" s="18">
        <f>IF($X288="","",INDEX('sheet2-计算明细'!$C$17:$C$330,$X288))</f>
        <v/>
      </c>
      <c r="D288" s="18">
        <f>IF($X288="","",INDEX('sheet2-计算明细'!$D$17:$D$330,$X288))</f>
        <v/>
      </c>
      <c r="E288" s="18">
        <f>IF($X288="","",INDEX('sheet2-计算明细'!$G$17:$G$330,$X288))</f>
        <v/>
      </c>
      <c r="F288" s="19">
        <f>IF($X288="","",INDEX('sheet2-计算明细'!$I$17:$I$330,$X288))</f>
        <v/>
      </c>
      <c r="G288" s="19">
        <f>IF($X288="","",INDEX('sheet2-计算明细'!$K$17:$K$330,$X288))</f>
        <v/>
      </c>
      <c r="H288" s="19">
        <f>IF($X288="","",INDEX('sheet2-计算明细'!$L$17:$L$330,$X288))</f>
        <v/>
      </c>
      <c r="I288" s="19">
        <f>IF($X288="","",INDEX('sheet2-计算明细'!$S$17:$S$330,$X288))</f>
        <v/>
      </c>
      <c r="J288" s="19">
        <f>IF($X288="","",INDEX('sheet2-计算明细'!$Y$17:$Y$330,$X288))</f>
        <v/>
      </c>
      <c r="K288" s="19">
        <f>IF($X288="","",INDEX('sheet2-计算明细'!$AC$17:$AC$330,$X288))</f>
        <v/>
      </c>
      <c r="L288" s="19">
        <f>IF($X288="","",INDEX('sheet2-计算明细'!$AI$17:$AI$330,$X288))</f>
        <v/>
      </c>
      <c r="M288" s="19">
        <f>IF($X288="","",INDEX('sheet2-计算明细'!$AK$17:$AK$330,$X288))</f>
        <v/>
      </c>
      <c r="N288" s="20">
        <f>IF(COUNT(F288:H288)=0,"",ROUND((IF(ISNUMBER(F288),F288*40%,0)+IF(ISNUMBER(G288),G288*30%,0)+IF(ISNUMBER(H288),H288*30%,0))/(IF(ISNUMBER(F288),40%,0)+IF(ISNUMBER(G288),30%,0)+IF(ISNUMBER(H288),30%,0)),2))</f>
        <v/>
      </c>
      <c r="O288" s="20">
        <f>IF(COUNT(I288:J288)=0,"",ROUND((IF(ISNUMBER(I288),I288*70%,0)+IF(ISNUMBER(J288),J288*30%,0))/(IF(ISNUMBER(I288),70%,0)+IF(ISNUMBER(J288),30%,0)),2))</f>
        <v/>
      </c>
      <c r="P288" s="20">
        <f>K288</f>
        <v/>
      </c>
      <c r="Q288" s="20">
        <f>L288</f>
        <v/>
      </c>
      <c r="R288" s="20">
        <f>M288</f>
        <v/>
      </c>
      <c r="S288" s="93">
        <f>IF($X288="","",INDEX('sheet2-计算明细'!$AQ$17:$AQ$330,$X288))</f>
        <v/>
      </c>
      <c r="T288" s="19">
        <f>IF($X288="","",INDEX('sheet2-计算明细'!$AR$17:$AR$330,$X288))</f>
        <v/>
      </c>
      <c r="U288" s="20">
        <f>IF(S288=0,"",ROUND(T288/S288,2))</f>
        <v/>
      </c>
      <c r="V288" s="20">
        <f>IF(S288=100%,T288,"")</f>
        <v/>
      </c>
      <c r="W288" s="22">
        <f>IF($X288="","",INDEX('sheet2-计算明细'!$AU$17:$AU$330,$X288))</f>
        <v/>
      </c>
      <c r="X288" s="18">
        <f>IF($A288&gt;COUNT('sheet2-计算明细'!$AT$17:$AT$330),"",MATCH($A288,'sheet2-计算明细'!$AT$17:$AT$330,0))</f>
        <v/>
      </c>
    </row>
    <row r="289" ht="28" customHeight="1" s="73">
      <c r="A289" s="2" t="n">
        <v>284</v>
      </c>
      <c r="B289" s="18">
        <f>IF($X289="","",INDEX('sheet2-计算明细'!$B$17:$B$330,$X289))</f>
        <v/>
      </c>
      <c r="C289" s="18">
        <f>IF($X289="","",INDEX('sheet2-计算明细'!$C$17:$C$330,$X289))</f>
        <v/>
      </c>
      <c r="D289" s="18">
        <f>IF($X289="","",INDEX('sheet2-计算明细'!$D$17:$D$330,$X289))</f>
        <v/>
      </c>
      <c r="E289" s="18">
        <f>IF($X289="","",INDEX('sheet2-计算明细'!$G$17:$G$330,$X289))</f>
        <v/>
      </c>
      <c r="F289" s="19">
        <f>IF($X289="","",INDEX('sheet2-计算明细'!$I$17:$I$330,$X289))</f>
        <v/>
      </c>
      <c r="G289" s="19">
        <f>IF($X289="","",INDEX('sheet2-计算明细'!$K$17:$K$330,$X289))</f>
        <v/>
      </c>
      <c r="H289" s="19">
        <f>IF($X289="","",INDEX('sheet2-计算明细'!$L$17:$L$330,$X289))</f>
        <v/>
      </c>
      <c r="I289" s="19">
        <f>IF($X289="","",INDEX('sheet2-计算明细'!$S$17:$S$330,$X289))</f>
        <v/>
      </c>
      <c r="J289" s="19">
        <f>IF($X289="","",INDEX('sheet2-计算明细'!$Y$17:$Y$330,$X289))</f>
        <v/>
      </c>
      <c r="K289" s="19">
        <f>IF($X289="","",INDEX('sheet2-计算明细'!$AC$17:$AC$330,$X289))</f>
        <v/>
      </c>
      <c r="L289" s="19">
        <f>IF($X289="","",INDEX('sheet2-计算明细'!$AI$17:$AI$330,$X289))</f>
        <v/>
      </c>
      <c r="M289" s="19">
        <f>IF($X289="","",INDEX('sheet2-计算明细'!$AK$17:$AK$330,$X289))</f>
        <v/>
      </c>
      <c r="N289" s="20">
        <f>IF(COUNT(F289:H289)=0,"",ROUND((IF(ISNUMBER(F289),F289*40%,0)+IF(ISNUMBER(G289),G289*30%,0)+IF(ISNUMBER(H289),H289*30%,0))/(IF(ISNUMBER(F289),40%,0)+IF(ISNUMBER(G289),30%,0)+IF(ISNUMBER(H289),30%,0)),2))</f>
        <v/>
      </c>
      <c r="O289" s="20">
        <f>IF(COUNT(I289:J289)=0,"",ROUND((IF(ISNUMBER(I289),I289*70%,0)+IF(ISNUMBER(J289),J289*30%,0))/(IF(ISNUMBER(I289),70%,0)+IF(ISNUMBER(J289),30%,0)),2))</f>
        <v/>
      </c>
      <c r="P289" s="20">
        <f>K289</f>
        <v/>
      </c>
      <c r="Q289" s="20">
        <f>L289</f>
        <v/>
      </c>
      <c r="R289" s="20">
        <f>M289</f>
        <v/>
      </c>
      <c r="S289" s="93">
        <f>IF($X289="","",INDEX('sheet2-计算明细'!$AQ$17:$AQ$330,$X289))</f>
        <v/>
      </c>
      <c r="T289" s="19">
        <f>IF($X289="","",INDEX('sheet2-计算明细'!$AR$17:$AR$330,$X289))</f>
        <v/>
      </c>
      <c r="U289" s="20">
        <f>IF(S289=0,"",ROUND(T289/S289,2))</f>
        <v/>
      </c>
      <c r="V289" s="20">
        <f>IF(S289=100%,T289,"")</f>
        <v/>
      </c>
      <c r="W289" s="22">
        <f>IF($X289="","",INDEX('sheet2-计算明细'!$AU$17:$AU$330,$X289))</f>
        <v/>
      </c>
      <c r="X289" s="18">
        <f>IF($A289&gt;COUNT('sheet2-计算明细'!$AT$17:$AT$330),"",MATCH($A289,'sheet2-计算明细'!$AT$17:$AT$330,0))</f>
        <v/>
      </c>
    </row>
    <row r="290" ht="28" customHeight="1" s="73">
      <c r="A290" s="2" t="n">
        <v>285</v>
      </c>
      <c r="B290" s="18">
        <f>IF($X290="","",INDEX('sheet2-计算明细'!$B$17:$B$330,$X290))</f>
        <v/>
      </c>
      <c r="C290" s="18">
        <f>IF($X290="","",INDEX('sheet2-计算明细'!$C$17:$C$330,$X290))</f>
        <v/>
      </c>
      <c r="D290" s="18">
        <f>IF($X290="","",INDEX('sheet2-计算明细'!$D$17:$D$330,$X290))</f>
        <v/>
      </c>
      <c r="E290" s="18">
        <f>IF($X290="","",INDEX('sheet2-计算明细'!$G$17:$G$330,$X290))</f>
        <v/>
      </c>
      <c r="F290" s="19">
        <f>IF($X290="","",INDEX('sheet2-计算明细'!$I$17:$I$330,$X290))</f>
        <v/>
      </c>
      <c r="G290" s="19">
        <f>IF($X290="","",INDEX('sheet2-计算明细'!$K$17:$K$330,$X290))</f>
        <v/>
      </c>
      <c r="H290" s="19">
        <f>IF($X290="","",INDEX('sheet2-计算明细'!$L$17:$L$330,$X290))</f>
        <v/>
      </c>
      <c r="I290" s="19">
        <f>IF($X290="","",INDEX('sheet2-计算明细'!$S$17:$S$330,$X290))</f>
        <v/>
      </c>
      <c r="J290" s="19">
        <f>IF($X290="","",INDEX('sheet2-计算明细'!$Y$17:$Y$330,$X290))</f>
        <v/>
      </c>
      <c r="K290" s="19">
        <f>IF($X290="","",INDEX('sheet2-计算明细'!$AC$17:$AC$330,$X290))</f>
        <v/>
      </c>
      <c r="L290" s="19">
        <f>IF($X290="","",INDEX('sheet2-计算明细'!$AI$17:$AI$330,$X290))</f>
        <v/>
      </c>
      <c r="M290" s="19">
        <f>IF($X290="","",INDEX('sheet2-计算明细'!$AK$17:$AK$330,$X290))</f>
        <v/>
      </c>
      <c r="N290" s="20">
        <f>IF(COUNT(F290:H290)=0,"",ROUND((IF(ISNUMBER(F290),F290*40%,0)+IF(ISNUMBER(G290),G290*30%,0)+IF(ISNUMBER(H290),H290*30%,0))/(IF(ISNUMBER(F290),40%,0)+IF(ISNUMBER(G290),30%,0)+IF(ISNUMBER(H290),30%,0)),2))</f>
        <v/>
      </c>
      <c r="O290" s="20">
        <f>IF(COUNT(I290:J290)=0,"",ROUND((IF(ISNUMBER(I290),I290*70%,0)+IF(ISNUMBER(J290),J290*30%,0))/(IF(ISNUMBER(I290),70%,0)+IF(ISNUMBER(J290),30%,0)),2))</f>
        <v/>
      </c>
      <c r="P290" s="20">
        <f>K290</f>
        <v/>
      </c>
      <c r="Q290" s="20">
        <f>L290</f>
        <v/>
      </c>
      <c r="R290" s="20">
        <f>M290</f>
        <v/>
      </c>
      <c r="S290" s="93">
        <f>IF($X290="","",INDEX('sheet2-计算明细'!$AQ$17:$AQ$330,$X290))</f>
        <v/>
      </c>
      <c r="T290" s="19">
        <f>IF($X290="","",INDEX('sheet2-计算明细'!$AR$17:$AR$330,$X290))</f>
        <v/>
      </c>
      <c r="U290" s="20">
        <f>IF(S290=0,"",ROUND(T290/S290,2))</f>
        <v/>
      </c>
      <c r="V290" s="20">
        <f>IF(S290=100%,T290,"")</f>
        <v/>
      </c>
      <c r="W290" s="22">
        <f>IF($X290="","",INDEX('sheet2-计算明细'!$AU$17:$AU$330,$X290))</f>
        <v/>
      </c>
      <c r="X290" s="18">
        <f>IF($A290&gt;COUNT('sheet2-计算明细'!$AT$17:$AT$330),"",MATCH($A290,'sheet2-计算明细'!$AT$17:$AT$330,0))</f>
        <v/>
      </c>
    </row>
    <row r="291" ht="28" customHeight="1" s="73">
      <c r="A291" s="2" t="n">
        <v>286</v>
      </c>
      <c r="B291" s="18">
        <f>IF($X291="","",INDEX('sheet2-计算明细'!$B$17:$B$330,$X291))</f>
        <v/>
      </c>
      <c r="C291" s="18">
        <f>IF($X291="","",INDEX('sheet2-计算明细'!$C$17:$C$330,$X291))</f>
        <v/>
      </c>
      <c r="D291" s="18">
        <f>IF($X291="","",INDEX('sheet2-计算明细'!$D$17:$D$330,$X291))</f>
        <v/>
      </c>
      <c r="E291" s="18">
        <f>IF($X291="","",INDEX('sheet2-计算明细'!$G$17:$G$330,$X291))</f>
        <v/>
      </c>
      <c r="F291" s="19">
        <f>IF($X291="","",INDEX('sheet2-计算明细'!$I$17:$I$330,$X291))</f>
        <v/>
      </c>
      <c r="G291" s="19">
        <f>IF($X291="","",INDEX('sheet2-计算明细'!$K$17:$K$330,$X291))</f>
        <v/>
      </c>
      <c r="H291" s="19">
        <f>IF($X291="","",INDEX('sheet2-计算明细'!$L$17:$L$330,$X291))</f>
        <v/>
      </c>
      <c r="I291" s="19">
        <f>IF($X291="","",INDEX('sheet2-计算明细'!$S$17:$S$330,$X291))</f>
        <v/>
      </c>
      <c r="J291" s="19">
        <f>IF($X291="","",INDEX('sheet2-计算明细'!$Y$17:$Y$330,$X291))</f>
        <v/>
      </c>
      <c r="K291" s="19">
        <f>IF($X291="","",INDEX('sheet2-计算明细'!$AC$17:$AC$330,$X291))</f>
        <v/>
      </c>
      <c r="L291" s="19">
        <f>IF($X291="","",INDEX('sheet2-计算明细'!$AI$17:$AI$330,$X291))</f>
        <v/>
      </c>
      <c r="M291" s="19">
        <f>IF($X291="","",INDEX('sheet2-计算明细'!$AK$17:$AK$330,$X291))</f>
        <v/>
      </c>
      <c r="N291" s="20">
        <f>IF(COUNT(F291:H291)=0,"",ROUND((IF(ISNUMBER(F291),F291*40%,0)+IF(ISNUMBER(G291),G291*30%,0)+IF(ISNUMBER(H291),H291*30%,0))/(IF(ISNUMBER(F291),40%,0)+IF(ISNUMBER(G291),30%,0)+IF(ISNUMBER(H291),30%,0)),2))</f>
        <v/>
      </c>
      <c r="O291" s="20">
        <f>IF(COUNT(I291:J291)=0,"",ROUND((IF(ISNUMBER(I291),I291*70%,0)+IF(ISNUMBER(J291),J291*30%,0))/(IF(ISNUMBER(I291),70%,0)+IF(ISNUMBER(J291),30%,0)),2))</f>
        <v/>
      </c>
      <c r="P291" s="20">
        <f>K291</f>
        <v/>
      </c>
      <c r="Q291" s="20">
        <f>L291</f>
        <v/>
      </c>
      <c r="R291" s="20">
        <f>M291</f>
        <v/>
      </c>
      <c r="S291" s="93">
        <f>IF($X291="","",INDEX('sheet2-计算明细'!$AQ$17:$AQ$330,$X291))</f>
        <v/>
      </c>
      <c r="T291" s="19">
        <f>IF($X291="","",INDEX('sheet2-计算明细'!$AR$17:$AR$330,$X291))</f>
        <v/>
      </c>
      <c r="U291" s="20">
        <f>IF(S291=0,"",ROUND(T291/S291,2))</f>
        <v/>
      </c>
      <c r="V291" s="20">
        <f>IF(S291=100%,T291,"")</f>
        <v/>
      </c>
      <c r="W291" s="22">
        <f>IF($X291="","",INDEX('sheet2-计算明细'!$AU$17:$AU$330,$X291))</f>
        <v/>
      </c>
      <c r="X291" s="18">
        <f>IF($A291&gt;COUNT('sheet2-计算明细'!$AT$17:$AT$330),"",MATCH($A291,'sheet2-计算明细'!$AT$17:$AT$330,0))</f>
        <v/>
      </c>
    </row>
    <row r="292" ht="28" customHeight="1" s="73">
      <c r="A292" s="2" t="n">
        <v>287</v>
      </c>
      <c r="B292" s="18">
        <f>IF($X292="","",INDEX('sheet2-计算明细'!$B$17:$B$330,$X292))</f>
        <v/>
      </c>
      <c r="C292" s="18">
        <f>IF($X292="","",INDEX('sheet2-计算明细'!$C$17:$C$330,$X292))</f>
        <v/>
      </c>
      <c r="D292" s="18">
        <f>IF($X292="","",INDEX('sheet2-计算明细'!$D$17:$D$330,$X292))</f>
        <v/>
      </c>
      <c r="E292" s="18">
        <f>IF($X292="","",INDEX('sheet2-计算明细'!$G$17:$G$330,$X292))</f>
        <v/>
      </c>
      <c r="F292" s="19">
        <f>IF($X292="","",INDEX('sheet2-计算明细'!$I$17:$I$330,$X292))</f>
        <v/>
      </c>
      <c r="G292" s="19">
        <f>IF($X292="","",INDEX('sheet2-计算明细'!$K$17:$K$330,$X292))</f>
        <v/>
      </c>
      <c r="H292" s="19">
        <f>IF($X292="","",INDEX('sheet2-计算明细'!$L$17:$L$330,$X292))</f>
        <v/>
      </c>
      <c r="I292" s="19">
        <f>IF($X292="","",INDEX('sheet2-计算明细'!$S$17:$S$330,$X292))</f>
        <v/>
      </c>
      <c r="J292" s="19">
        <f>IF($X292="","",INDEX('sheet2-计算明细'!$Y$17:$Y$330,$X292))</f>
        <v/>
      </c>
      <c r="K292" s="19">
        <f>IF($X292="","",INDEX('sheet2-计算明细'!$AC$17:$AC$330,$X292))</f>
        <v/>
      </c>
      <c r="L292" s="19">
        <f>IF($X292="","",INDEX('sheet2-计算明细'!$AI$17:$AI$330,$X292))</f>
        <v/>
      </c>
      <c r="M292" s="19">
        <f>IF($X292="","",INDEX('sheet2-计算明细'!$AK$17:$AK$330,$X292))</f>
        <v/>
      </c>
      <c r="N292" s="20">
        <f>IF(COUNT(F292:H292)=0,"",ROUND((IF(ISNUMBER(F292),F292*40%,0)+IF(ISNUMBER(G292),G292*30%,0)+IF(ISNUMBER(H292),H292*30%,0))/(IF(ISNUMBER(F292),40%,0)+IF(ISNUMBER(G292),30%,0)+IF(ISNUMBER(H292),30%,0)),2))</f>
        <v/>
      </c>
      <c r="O292" s="20">
        <f>IF(COUNT(I292:J292)=0,"",ROUND((IF(ISNUMBER(I292),I292*70%,0)+IF(ISNUMBER(J292),J292*30%,0))/(IF(ISNUMBER(I292),70%,0)+IF(ISNUMBER(J292),30%,0)),2))</f>
        <v/>
      </c>
      <c r="P292" s="20">
        <f>K292</f>
        <v/>
      </c>
      <c r="Q292" s="20">
        <f>L292</f>
        <v/>
      </c>
      <c r="R292" s="20">
        <f>M292</f>
        <v/>
      </c>
      <c r="S292" s="93">
        <f>IF($X292="","",INDEX('sheet2-计算明细'!$AQ$17:$AQ$330,$X292))</f>
        <v/>
      </c>
      <c r="T292" s="19">
        <f>IF($X292="","",INDEX('sheet2-计算明细'!$AR$17:$AR$330,$X292))</f>
        <v/>
      </c>
      <c r="U292" s="20">
        <f>IF(S292=0,"",ROUND(T292/S292,2))</f>
        <v/>
      </c>
      <c r="V292" s="20">
        <f>IF(S292=100%,T292,"")</f>
        <v/>
      </c>
      <c r="W292" s="22">
        <f>IF($X292="","",INDEX('sheet2-计算明细'!$AU$17:$AU$330,$X292))</f>
        <v/>
      </c>
      <c r="X292" s="18">
        <f>IF($A292&gt;COUNT('sheet2-计算明细'!$AT$17:$AT$330),"",MATCH($A292,'sheet2-计算明细'!$AT$17:$AT$330,0))</f>
        <v/>
      </c>
    </row>
    <row r="293" ht="28" customHeight="1" s="73">
      <c r="A293" s="2" t="n">
        <v>288</v>
      </c>
      <c r="B293" s="18">
        <f>IF($X293="","",INDEX('sheet2-计算明细'!$B$17:$B$330,$X293))</f>
        <v/>
      </c>
      <c r="C293" s="18">
        <f>IF($X293="","",INDEX('sheet2-计算明细'!$C$17:$C$330,$X293))</f>
        <v/>
      </c>
      <c r="D293" s="18">
        <f>IF($X293="","",INDEX('sheet2-计算明细'!$D$17:$D$330,$X293))</f>
        <v/>
      </c>
      <c r="E293" s="18">
        <f>IF($X293="","",INDEX('sheet2-计算明细'!$G$17:$G$330,$X293))</f>
        <v/>
      </c>
      <c r="F293" s="19">
        <f>IF($X293="","",INDEX('sheet2-计算明细'!$I$17:$I$330,$X293))</f>
        <v/>
      </c>
      <c r="G293" s="19">
        <f>IF($X293="","",INDEX('sheet2-计算明细'!$K$17:$K$330,$X293))</f>
        <v/>
      </c>
      <c r="H293" s="19">
        <f>IF($X293="","",INDEX('sheet2-计算明细'!$L$17:$L$330,$X293))</f>
        <v/>
      </c>
      <c r="I293" s="19">
        <f>IF($X293="","",INDEX('sheet2-计算明细'!$S$17:$S$330,$X293))</f>
        <v/>
      </c>
      <c r="J293" s="19">
        <f>IF($X293="","",INDEX('sheet2-计算明细'!$Y$17:$Y$330,$X293))</f>
        <v/>
      </c>
      <c r="K293" s="19">
        <f>IF($X293="","",INDEX('sheet2-计算明细'!$AC$17:$AC$330,$X293))</f>
        <v/>
      </c>
      <c r="L293" s="19">
        <f>IF($X293="","",INDEX('sheet2-计算明细'!$AI$17:$AI$330,$X293))</f>
        <v/>
      </c>
      <c r="M293" s="19">
        <f>IF($X293="","",INDEX('sheet2-计算明细'!$AK$17:$AK$330,$X293))</f>
        <v/>
      </c>
      <c r="N293" s="20">
        <f>IF(COUNT(F293:H293)=0,"",ROUND((IF(ISNUMBER(F293),F293*40%,0)+IF(ISNUMBER(G293),G293*30%,0)+IF(ISNUMBER(H293),H293*30%,0))/(IF(ISNUMBER(F293),40%,0)+IF(ISNUMBER(G293),30%,0)+IF(ISNUMBER(H293),30%,0)),2))</f>
        <v/>
      </c>
      <c r="O293" s="20">
        <f>IF(COUNT(I293:J293)=0,"",ROUND((IF(ISNUMBER(I293),I293*70%,0)+IF(ISNUMBER(J293),J293*30%,0))/(IF(ISNUMBER(I293),70%,0)+IF(ISNUMBER(J293),30%,0)),2))</f>
        <v/>
      </c>
      <c r="P293" s="20">
        <f>K293</f>
        <v/>
      </c>
      <c r="Q293" s="20">
        <f>L293</f>
        <v/>
      </c>
      <c r="R293" s="20">
        <f>M293</f>
        <v/>
      </c>
      <c r="S293" s="93">
        <f>IF($X293="","",INDEX('sheet2-计算明细'!$AQ$17:$AQ$330,$X293))</f>
        <v/>
      </c>
      <c r="T293" s="19">
        <f>IF($X293="","",INDEX('sheet2-计算明细'!$AR$17:$AR$330,$X293))</f>
        <v/>
      </c>
      <c r="U293" s="20">
        <f>IF(S293=0,"",ROUND(T293/S293,2))</f>
        <v/>
      </c>
      <c r="V293" s="20">
        <f>IF(S293=100%,T293,"")</f>
        <v/>
      </c>
      <c r="W293" s="22">
        <f>IF($X293="","",INDEX('sheet2-计算明细'!$AU$17:$AU$330,$X293))</f>
        <v/>
      </c>
      <c r="X293" s="18">
        <f>IF($A293&gt;COUNT('sheet2-计算明细'!$AT$17:$AT$330),"",MATCH($A293,'sheet2-计算明细'!$AT$17:$AT$330,0))</f>
        <v/>
      </c>
    </row>
    <row r="294" ht="28" customHeight="1" s="73">
      <c r="A294" s="2" t="n">
        <v>289</v>
      </c>
      <c r="B294" s="18">
        <f>IF($X294="","",INDEX('sheet2-计算明细'!$B$17:$B$330,$X294))</f>
        <v/>
      </c>
      <c r="C294" s="18">
        <f>IF($X294="","",INDEX('sheet2-计算明细'!$C$17:$C$330,$X294))</f>
        <v/>
      </c>
      <c r="D294" s="18">
        <f>IF($X294="","",INDEX('sheet2-计算明细'!$D$17:$D$330,$X294))</f>
        <v/>
      </c>
      <c r="E294" s="18">
        <f>IF($X294="","",INDEX('sheet2-计算明细'!$G$17:$G$330,$X294))</f>
        <v/>
      </c>
      <c r="F294" s="19">
        <f>IF($X294="","",INDEX('sheet2-计算明细'!$I$17:$I$330,$X294))</f>
        <v/>
      </c>
      <c r="G294" s="19">
        <f>IF($X294="","",INDEX('sheet2-计算明细'!$K$17:$K$330,$X294))</f>
        <v/>
      </c>
      <c r="H294" s="19">
        <f>IF($X294="","",INDEX('sheet2-计算明细'!$L$17:$L$330,$X294))</f>
        <v/>
      </c>
      <c r="I294" s="19">
        <f>IF($X294="","",INDEX('sheet2-计算明细'!$S$17:$S$330,$X294))</f>
        <v/>
      </c>
      <c r="J294" s="19">
        <f>IF($X294="","",INDEX('sheet2-计算明细'!$Y$17:$Y$330,$X294))</f>
        <v/>
      </c>
      <c r="K294" s="19">
        <f>IF($X294="","",INDEX('sheet2-计算明细'!$AC$17:$AC$330,$X294))</f>
        <v/>
      </c>
      <c r="L294" s="19">
        <f>IF($X294="","",INDEX('sheet2-计算明细'!$AI$17:$AI$330,$X294))</f>
        <v/>
      </c>
      <c r="M294" s="19">
        <f>IF($X294="","",INDEX('sheet2-计算明细'!$AK$17:$AK$330,$X294))</f>
        <v/>
      </c>
      <c r="N294" s="20">
        <f>IF(COUNT(F294:H294)=0,"",ROUND((IF(ISNUMBER(F294),F294*40%,0)+IF(ISNUMBER(G294),G294*30%,0)+IF(ISNUMBER(H294),H294*30%,0))/(IF(ISNUMBER(F294),40%,0)+IF(ISNUMBER(G294),30%,0)+IF(ISNUMBER(H294),30%,0)),2))</f>
        <v/>
      </c>
      <c r="O294" s="20">
        <f>IF(COUNT(I294:J294)=0,"",ROUND((IF(ISNUMBER(I294),I294*70%,0)+IF(ISNUMBER(J294),J294*30%,0))/(IF(ISNUMBER(I294),70%,0)+IF(ISNUMBER(J294),30%,0)),2))</f>
        <v/>
      </c>
      <c r="P294" s="20">
        <f>K294</f>
        <v/>
      </c>
      <c r="Q294" s="20">
        <f>L294</f>
        <v/>
      </c>
      <c r="R294" s="20">
        <f>M294</f>
        <v/>
      </c>
      <c r="S294" s="93">
        <f>IF($X294="","",INDEX('sheet2-计算明细'!$AQ$17:$AQ$330,$X294))</f>
        <v/>
      </c>
      <c r="T294" s="19">
        <f>IF($X294="","",INDEX('sheet2-计算明细'!$AR$17:$AR$330,$X294))</f>
        <v/>
      </c>
      <c r="U294" s="20">
        <f>IF(S294=0,"",ROUND(T294/S294,2))</f>
        <v/>
      </c>
      <c r="V294" s="20">
        <f>IF(S294=100%,T294,"")</f>
        <v/>
      </c>
      <c r="W294" s="22">
        <f>IF($X294="","",INDEX('sheet2-计算明细'!$AU$17:$AU$330,$X294))</f>
        <v/>
      </c>
      <c r="X294" s="18">
        <f>IF($A294&gt;COUNT('sheet2-计算明细'!$AT$17:$AT$330),"",MATCH($A294,'sheet2-计算明细'!$AT$17:$AT$330,0))</f>
        <v/>
      </c>
    </row>
    <row r="295" ht="28" customHeight="1" s="73">
      <c r="A295" s="2" t="n">
        <v>290</v>
      </c>
      <c r="B295" s="18">
        <f>IF($X295="","",INDEX('sheet2-计算明细'!$B$17:$B$330,$X295))</f>
        <v/>
      </c>
      <c r="C295" s="18">
        <f>IF($X295="","",INDEX('sheet2-计算明细'!$C$17:$C$330,$X295))</f>
        <v/>
      </c>
      <c r="D295" s="18">
        <f>IF($X295="","",INDEX('sheet2-计算明细'!$D$17:$D$330,$X295))</f>
        <v/>
      </c>
      <c r="E295" s="18">
        <f>IF($X295="","",INDEX('sheet2-计算明细'!$G$17:$G$330,$X295))</f>
        <v/>
      </c>
      <c r="F295" s="19">
        <f>IF($X295="","",INDEX('sheet2-计算明细'!$I$17:$I$330,$X295))</f>
        <v/>
      </c>
      <c r="G295" s="19">
        <f>IF($X295="","",INDEX('sheet2-计算明细'!$K$17:$K$330,$X295))</f>
        <v/>
      </c>
      <c r="H295" s="19">
        <f>IF($X295="","",INDEX('sheet2-计算明细'!$L$17:$L$330,$X295))</f>
        <v/>
      </c>
      <c r="I295" s="19">
        <f>IF($X295="","",INDEX('sheet2-计算明细'!$S$17:$S$330,$X295))</f>
        <v/>
      </c>
      <c r="J295" s="19">
        <f>IF($X295="","",INDEX('sheet2-计算明细'!$Y$17:$Y$330,$X295))</f>
        <v/>
      </c>
      <c r="K295" s="19">
        <f>IF($X295="","",INDEX('sheet2-计算明细'!$AC$17:$AC$330,$X295))</f>
        <v/>
      </c>
      <c r="L295" s="19">
        <f>IF($X295="","",INDEX('sheet2-计算明细'!$AI$17:$AI$330,$X295))</f>
        <v/>
      </c>
      <c r="M295" s="19">
        <f>IF($X295="","",INDEX('sheet2-计算明细'!$AK$17:$AK$330,$X295))</f>
        <v/>
      </c>
      <c r="N295" s="20">
        <f>IF(COUNT(F295:H295)=0,"",ROUND((IF(ISNUMBER(F295),F295*40%,0)+IF(ISNUMBER(G295),G295*30%,0)+IF(ISNUMBER(H295),H295*30%,0))/(IF(ISNUMBER(F295),40%,0)+IF(ISNUMBER(G295),30%,0)+IF(ISNUMBER(H295),30%,0)),2))</f>
        <v/>
      </c>
      <c r="O295" s="20">
        <f>IF(COUNT(I295:J295)=0,"",ROUND((IF(ISNUMBER(I295),I295*70%,0)+IF(ISNUMBER(J295),J295*30%,0))/(IF(ISNUMBER(I295),70%,0)+IF(ISNUMBER(J295),30%,0)),2))</f>
        <v/>
      </c>
      <c r="P295" s="20">
        <f>K295</f>
        <v/>
      </c>
      <c r="Q295" s="20">
        <f>L295</f>
        <v/>
      </c>
      <c r="R295" s="20">
        <f>M295</f>
        <v/>
      </c>
      <c r="S295" s="93">
        <f>IF($X295="","",INDEX('sheet2-计算明细'!$AQ$17:$AQ$330,$X295))</f>
        <v/>
      </c>
      <c r="T295" s="19">
        <f>IF($X295="","",INDEX('sheet2-计算明细'!$AR$17:$AR$330,$X295))</f>
        <v/>
      </c>
      <c r="U295" s="20">
        <f>IF(S295=0,"",ROUND(T295/S295,2))</f>
        <v/>
      </c>
      <c r="V295" s="20">
        <f>IF(S295=100%,T295,"")</f>
        <v/>
      </c>
      <c r="W295" s="22">
        <f>IF($X295="","",INDEX('sheet2-计算明细'!$AU$17:$AU$330,$X295))</f>
        <v/>
      </c>
      <c r="X295" s="18">
        <f>IF($A295&gt;COUNT('sheet2-计算明细'!$AT$17:$AT$330),"",MATCH($A295,'sheet2-计算明细'!$AT$17:$AT$330,0))</f>
        <v/>
      </c>
    </row>
    <row r="296" ht="28" customHeight="1" s="73">
      <c r="A296" s="2" t="n">
        <v>291</v>
      </c>
      <c r="B296" s="18">
        <f>IF($X296="","",INDEX('sheet2-计算明细'!$B$17:$B$330,$X296))</f>
        <v/>
      </c>
      <c r="C296" s="18">
        <f>IF($X296="","",INDEX('sheet2-计算明细'!$C$17:$C$330,$X296))</f>
        <v/>
      </c>
      <c r="D296" s="18">
        <f>IF($X296="","",INDEX('sheet2-计算明细'!$D$17:$D$330,$X296))</f>
        <v/>
      </c>
      <c r="E296" s="18">
        <f>IF($X296="","",INDEX('sheet2-计算明细'!$G$17:$G$330,$X296))</f>
        <v/>
      </c>
      <c r="F296" s="19">
        <f>IF($X296="","",INDEX('sheet2-计算明细'!$I$17:$I$330,$X296))</f>
        <v/>
      </c>
      <c r="G296" s="19">
        <f>IF($X296="","",INDEX('sheet2-计算明细'!$K$17:$K$330,$X296))</f>
        <v/>
      </c>
      <c r="H296" s="19">
        <f>IF($X296="","",INDEX('sheet2-计算明细'!$L$17:$L$330,$X296))</f>
        <v/>
      </c>
      <c r="I296" s="19">
        <f>IF($X296="","",INDEX('sheet2-计算明细'!$S$17:$S$330,$X296))</f>
        <v/>
      </c>
      <c r="J296" s="19">
        <f>IF($X296="","",INDEX('sheet2-计算明细'!$Y$17:$Y$330,$X296))</f>
        <v/>
      </c>
      <c r="K296" s="19">
        <f>IF($X296="","",INDEX('sheet2-计算明细'!$AC$17:$AC$330,$X296))</f>
        <v/>
      </c>
      <c r="L296" s="19">
        <f>IF($X296="","",INDEX('sheet2-计算明细'!$AI$17:$AI$330,$X296))</f>
        <v/>
      </c>
      <c r="M296" s="19">
        <f>IF($X296="","",INDEX('sheet2-计算明细'!$AK$17:$AK$330,$X296))</f>
        <v/>
      </c>
      <c r="N296" s="20">
        <f>IF(COUNT(F296:H296)=0,"",ROUND((IF(ISNUMBER(F296),F296*40%,0)+IF(ISNUMBER(G296),G296*30%,0)+IF(ISNUMBER(H296),H296*30%,0))/(IF(ISNUMBER(F296),40%,0)+IF(ISNUMBER(G296),30%,0)+IF(ISNUMBER(H296),30%,0)),2))</f>
        <v/>
      </c>
      <c r="O296" s="20">
        <f>IF(COUNT(I296:J296)=0,"",ROUND((IF(ISNUMBER(I296),I296*70%,0)+IF(ISNUMBER(J296),J296*30%,0))/(IF(ISNUMBER(I296),70%,0)+IF(ISNUMBER(J296),30%,0)),2))</f>
        <v/>
      </c>
      <c r="P296" s="20">
        <f>K296</f>
        <v/>
      </c>
      <c r="Q296" s="20">
        <f>L296</f>
        <v/>
      </c>
      <c r="R296" s="20">
        <f>M296</f>
        <v/>
      </c>
      <c r="S296" s="93">
        <f>IF($X296="","",INDEX('sheet2-计算明细'!$AQ$17:$AQ$330,$X296))</f>
        <v/>
      </c>
      <c r="T296" s="19">
        <f>IF($X296="","",INDEX('sheet2-计算明细'!$AR$17:$AR$330,$X296))</f>
        <v/>
      </c>
      <c r="U296" s="20">
        <f>IF(S296=0,"",ROUND(T296/S296,2))</f>
        <v/>
      </c>
      <c r="V296" s="20">
        <f>IF(S296=100%,T296,"")</f>
        <v/>
      </c>
      <c r="W296" s="22">
        <f>IF($X296="","",INDEX('sheet2-计算明细'!$AU$17:$AU$330,$X296))</f>
        <v/>
      </c>
      <c r="X296" s="18">
        <f>IF($A296&gt;COUNT('sheet2-计算明细'!$AT$17:$AT$330),"",MATCH($A296,'sheet2-计算明细'!$AT$17:$AT$330,0))</f>
        <v/>
      </c>
    </row>
    <row r="297" ht="28" customHeight="1" s="73">
      <c r="A297" s="2" t="n">
        <v>292</v>
      </c>
      <c r="B297" s="18">
        <f>IF($X297="","",INDEX('sheet2-计算明细'!$B$17:$B$330,$X297))</f>
        <v/>
      </c>
      <c r="C297" s="18">
        <f>IF($X297="","",INDEX('sheet2-计算明细'!$C$17:$C$330,$X297))</f>
        <v/>
      </c>
      <c r="D297" s="18">
        <f>IF($X297="","",INDEX('sheet2-计算明细'!$D$17:$D$330,$X297))</f>
        <v/>
      </c>
      <c r="E297" s="18">
        <f>IF($X297="","",INDEX('sheet2-计算明细'!$G$17:$G$330,$X297))</f>
        <v/>
      </c>
      <c r="F297" s="19">
        <f>IF($X297="","",INDEX('sheet2-计算明细'!$I$17:$I$330,$X297))</f>
        <v/>
      </c>
      <c r="G297" s="19">
        <f>IF($X297="","",INDEX('sheet2-计算明细'!$K$17:$K$330,$X297))</f>
        <v/>
      </c>
      <c r="H297" s="19">
        <f>IF($X297="","",INDEX('sheet2-计算明细'!$L$17:$L$330,$X297))</f>
        <v/>
      </c>
      <c r="I297" s="19">
        <f>IF($X297="","",INDEX('sheet2-计算明细'!$S$17:$S$330,$X297))</f>
        <v/>
      </c>
      <c r="J297" s="19">
        <f>IF($X297="","",INDEX('sheet2-计算明细'!$Y$17:$Y$330,$X297))</f>
        <v/>
      </c>
      <c r="K297" s="19">
        <f>IF($X297="","",INDEX('sheet2-计算明细'!$AC$17:$AC$330,$X297))</f>
        <v/>
      </c>
      <c r="L297" s="19">
        <f>IF($X297="","",INDEX('sheet2-计算明细'!$AI$17:$AI$330,$X297))</f>
        <v/>
      </c>
      <c r="M297" s="19">
        <f>IF($X297="","",INDEX('sheet2-计算明细'!$AK$17:$AK$330,$X297))</f>
        <v/>
      </c>
      <c r="N297" s="20">
        <f>IF(COUNT(F297:H297)=0,"",ROUND((IF(ISNUMBER(F297),F297*40%,0)+IF(ISNUMBER(G297),G297*30%,0)+IF(ISNUMBER(H297),H297*30%,0))/(IF(ISNUMBER(F297),40%,0)+IF(ISNUMBER(G297),30%,0)+IF(ISNUMBER(H297),30%,0)),2))</f>
        <v/>
      </c>
      <c r="O297" s="20">
        <f>IF(COUNT(I297:J297)=0,"",ROUND((IF(ISNUMBER(I297),I297*70%,0)+IF(ISNUMBER(J297),J297*30%,0))/(IF(ISNUMBER(I297),70%,0)+IF(ISNUMBER(J297),30%,0)),2))</f>
        <v/>
      </c>
      <c r="P297" s="20">
        <f>K297</f>
        <v/>
      </c>
      <c r="Q297" s="20">
        <f>L297</f>
        <v/>
      </c>
      <c r="R297" s="20">
        <f>M297</f>
        <v/>
      </c>
      <c r="S297" s="93">
        <f>IF($X297="","",INDEX('sheet2-计算明细'!$AQ$17:$AQ$330,$X297))</f>
        <v/>
      </c>
      <c r="T297" s="19">
        <f>IF($X297="","",INDEX('sheet2-计算明细'!$AR$17:$AR$330,$X297))</f>
        <v/>
      </c>
      <c r="U297" s="20">
        <f>IF(S297=0,"",ROUND(T297/S297,2))</f>
        <v/>
      </c>
      <c r="V297" s="20">
        <f>IF(S297=100%,T297,"")</f>
        <v/>
      </c>
      <c r="W297" s="22">
        <f>IF($X297="","",INDEX('sheet2-计算明细'!$AU$17:$AU$330,$X297))</f>
        <v/>
      </c>
      <c r="X297" s="18">
        <f>IF($A297&gt;COUNT('sheet2-计算明细'!$AT$17:$AT$330),"",MATCH($A297,'sheet2-计算明细'!$AT$17:$AT$330,0))</f>
        <v/>
      </c>
    </row>
    <row r="298" ht="28" customHeight="1" s="73">
      <c r="A298" s="2" t="n">
        <v>293</v>
      </c>
      <c r="B298" s="18">
        <f>IF($X298="","",INDEX('sheet2-计算明细'!$B$17:$B$330,$X298))</f>
        <v/>
      </c>
      <c r="C298" s="18">
        <f>IF($X298="","",INDEX('sheet2-计算明细'!$C$17:$C$330,$X298))</f>
        <v/>
      </c>
      <c r="D298" s="18">
        <f>IF($X298="","",INDEX('sheet2-计算明细'!$D$17:$D$330,$X298))</f>
        <v/>
      </c>
      <c r="E298" s="18">
        <f>IF($X298="","",INDEX('sheet2-计算明细'!$G$17:$G$330,$X298))</f>
        <v/>
      </c>
      <c r="F298" s="19">
        <f>IF($X298="","",INDEX('sheet2-计算明细'!$I$17:$I$330,$X298))</f>
        <v/>
      </c>
      <c r="G298" s="19">
        <f>IF($X298="","",INDEX('sheet2-计算明细'!$K$17:$K$330,$X298))</f>
        <v/>
      </c>
      <c r="H298" s="19">
        <f>IF($X298="","",INDEX('sheet2-计算明细'!$L$17:$L$330,$X298))</f>
        <v/>
      </c>
      <c r="I298" s="19">
        <f>IF($X298="","",INDEX('sheet2-计算明细'!$S$17:$S$330,$X298))</f>
        <v/>
      </c>
      <c r="J298" s="19">
        <f>IF($X298="","",INDEX('sheet2-计算明细'!$Y$17:$Y$330,$X298))</f>
        <v/>
      </c>
      <c r="K298" s="19">
        <f>IF($X298="","",INDEX('sheet2-计算明细'!$AC$17:$AC$330,$X298))</f>
        <v/>
      </c>
      <c r="L298" s="19">
        <f>IF($X298="","",INDEX('sheet2-计算明细'!$AI$17:$AI$330,$X298))</f>
        <v/>
      </c>
      <c r="M298" s="19">
        <f>IF($X298="","",INDEX('sheet2-计算明细'!$AK$17:$AK$330,$X298))</f>
        <v/>
      </c>
      <c r="N298" s="20">
        <f>IF(COUNT(F298:H298)=0,"",ROUND((IF(ISNUMBER(F298),F298*40%,0)+IF(ISNUMBER(G298),G298*30%,0)+IF(ISNUMBER(H298),H298*30%,0))/(IF(ISNUMBER(F298),40%,0)+IF(ISNUMBER(G298),30%,0)+IF(ISNUMBER(H298),30%,0)),2))</f>
        <v/>
      </c>
      <c r="O298" s="20">
        <f>IF(COUNT(I298:J298)=0,"",ROUND((IF(ISNUMBER(I298),I298*70%,0)+IF(ISNUMBER(J298),J298*30%,0))/(IF(ISNUMBER(I298),70%,0)+IF(ISNUMBER(J298),30%,0)),2))</f>
        <v/>
      </c>
      <c r="P298" s="20">
        <f>K298</f>
        <v/>
      </c>
      <c r="Q298" s="20">
        <f>L298</f>
        <v/>
      </c>
      <c r="R298" s="20">
        <f>M298</f>
        <v/>
      </c>
      <c r="S298" s="93">
        <f>IF($X298="","",INDEX('sheet2-计算明细'!$AQ$17:$AQ$330,$X298))</f>
        <v/>
      </c>
      <c r="T298" s="19">
        <f>IF($X298="","",INDEX('sheet2-计算明细'!$AR$17:$AR$330,$X298))</f>
        <v/>
      </c>
      <c r="U298" s="20">
        <f>IF(S298=0,"",ROUND(T298/S298,2))</f>
        <v/>
      </c>
      <c r="V298" s="20">
        <f>IF(S298=100%,T298,"")</f>
        <v/>
      </c>
      <c r="W298" s="22">
        <f>IF($X298="","",INDEX('sheet2-计算明细'!$AU$17:$AU$330,$X298))</f>
        <v/>
      </c>
      <c r="X298" s="18">
        <f>IF($A298&gt;COUNT('sheet2-计算明细'!$AT$17:$AT$330),"",MATCH($A298,'sheet2-计算明细'!$AT$17:$AT$330,0))</f>
        <v/>
      </c>
    </row>
    <row r="299" ht="28" customHeight="1" s="73">
      <c r="A299" s="2" t="n">
        <v>294</v>
      </c>
      <c r="B299" s="18">
        <f>IF($X299="","",INDEX('sheet2-计算明细'!$B$17:$B$330,$X299))</f>
        <v/>
      </c>
      <c r="C299" s="18">
        <f>IF($X299="","",INDEX('sheet2-计算明细'!$C$17:$C$330,$X299))</f>
        <v/>
      </c>
      <c r="D299" s="18">
        <f>IF($X299="","",INDEX('sheet2-计算明细'!$D$17:$D$330,$X299))</f>
        <v/>
      </c>
      <c r="E299" s="18">
        <f>IF($X299="","",INDEX('sheet2-计算明细'!$G$17:$G$330,$X299))</f>
        <v/>
      </c>
      <c r="F299" s="19">
        <f>IF($X299="","",INDEX('sheet2-计算明细'!$I$17:$I$330,$X299))</f>
        <v/>
      </c>
      <c r="G299" s="19">
        <f>IF($X299="","",INDEX('sheet2-计算明细'!$K$17:$K$330,$X299))</f>
        <v/>
      </c>
      <c r="H299" s="19">
        <f>IF($X299="","",INDEX('sheet2-计算明细'!$L$17:$L$330,$X299))</f>
        <v/>
      </c>
      <c r="I299" s="19">
        <f>IF($X299="","",INDEX('sheet2-计算明细'!$S$17:$S$330,$X299))</f>
        <v/>
      </c>
      <c r="J299" s="19">
        <f>IF($X299="","",INDEX('sheet2-计算明细'!$Y$17:$Y$330,$X299))</f>
        <v/>
      </c>
      <c r="K299" s="19">
        <f>IF($X299="","",INDEX('sheet2-计算明细'!$AC$17:$AC$330,$X299))</f>
        <v/>
      </c>
      <c r="L299" s="19">
        <f>IF($X299="","",INDEX('sheet2-计算明细'!$AI$17:$AI$330,$X299))</f>
        <v/>
      </c>
      <c r="M299" s="19">
        <f>IF($X299="","",INDEX('sheet2-计算明细'!$AK$17:$AK$330,$X299))</f>
        <v/>
      </c>
      <c r="N299" s="20">
        <f>IF(COUNT(F299:H299)=0,"",ROUND((IF(ISNUMBER(F299),F299*40%,0)+IF(ISNUMBER(G299),G299*30%,0)+IF(ISNUMBER(H299),H299*30%,0))/(IF(ISNUMBER(F299),40%,0)+IF(ISNUMBER(G299),30%,0)+IF(ISNUMBER(H299),30%,0)),2))</f>
        <v/>
      </c>
      <c r="O299" s="20">
        <f>IF(COUNT(I299:J299)=0,"",ROUND((IF(ISNUMBER(I299),I299*70%,0)+IF(ISNUMBER(J299),J299*30%,0))/(IF(ISNUMBER(I299),70%,0)+IF(ISNUMBER(J299),30%,0)),2))</f>
        <v/>
      </c>
      <c r="P299" s="20">
        <f>K299</f>
        <v/>
      </c>
      <c r="Q299" s="20">
        <f>L299</f>
        <v/>
      </c>
      <c r="R299" s="20">
        <f>M299</f>
        <v/>
      </c>
      <c r="S299" s="93">
        <f>IF($X299="","",INDEX('sheet2-计算明细'!$AQ$17:$AQ$330,$X299))</f>
        <v/>
      </c>
      <c r="T299" s="19">
        <f>IF($X299="","",INDEX('sheet2-计算明细'!$AR$17:$AR$330,$X299))</f>
        <v/>
      </c>
      <c r="U299" s="20">
        <f>IF(S299=0,"",ROUND(T299/S299,2))</f>
        <v/>
      </c>
      <c r="V299" s="20">
        <f>IF(S299=100%,T299,"")</f>
        <v/>
      </c>
      <c r="W299" s="22">
        <f>IF($X299="","",INDEX('sheet2-计算明细'!$AU$17:$AU$330,$X299))</f>
        <v/>
      </c>
      <c r="X299" s="18">
        <f>IF($A299&gt;COUNT('sheet2-计算明细'!$AT$17:$AT$330),"",MATCH($A299,'sheet2-计算明细'!$AT$17:$AT$330,0))</f>
        <v/>
      </c>
    </row>
    <row r="300" ht="28" customHeight="1" s="73">
      <c r="A300" s="2" t="n">
        <v>295</v>
      </c>
      <c r="B300" s="18">
        <f>IF($X300="","",INDEX('sheet2-计算明细'!$B$17:$B$330,$X300))</f>
        <v/>
      </c>
      <c r="C300" s="18">
        <f>IF($X300="","",INDEX('sheet2-计算明细'!$C$17:$C$330,$X300))</f>
        <v/>
      </c>
      <c r="D300" s="18">
        <f>IF($X300="","",INDEX('sheet2-计算明细'!$D$17:$D$330,$X300))</f>
        <v/>
      </c>
      <c r="E300" s="18">
        <f>IF($X300="","",INDEX('sheet2-计算明细'!$G$17:$G$330,$X300))</f>
        <v/>
      </c>
      <c r="F300" s="19">
        <f>IF($X300="","",INDEX('sheet2-计算明细'!$I$17:$I$330,$X300))</f>
        <v/>
      </c>
      <c r="G300" s="19">
        <f>IF($X300="","",INDEX('sheet2-计算明细'!$K$17:$K$330,$X300))</f>
        <v/>
      </c>
      <c r="H300" s="19">
        <f>IF($X300="","",INDEX('sheet2-计算明细'!$L$17:$L$330,$X300))</f>
        <v/>
      </c>
      <c r="I300" s="19">
        <f>IF($X300="","",INDEX('sheet2-计算明细'!$S$17:$S$330,$X300))</f>
        <v/>
      </c>
      <c r="J300" s="19">
        <f>IF($X300="","",INDEX('sheet2-计算明细'!$Y$17:$Y$330,$X300))</f>
        <v/>
      </c>
      <c r="K300" s="19">
        <f>IF($X300="","",INDEX('sheet2-计算明细'!$AC$17:$AC$330,$X300))</f>
        <v/>
      </c>
      <c r="L300" s="19">
        <f>IF($X300="","",INDEX('sheet2-计算明细'!$AI$17:$AI$330,$X300))</f>
        <v/>
      </c>
      <c r="M300" s="19">
        <f>IF($X300="","",INDEX('sheet2-计算明细'!$AK$17:$AK$330,$X300))</f>
        <v/>
      </c>
      <c r="N300" s="20">
        <f>IF(COUNT(F300:H300)=0,"",ROUND((IF(ISNUMBER(F300),F300*40%,0)+IF(ISNUMBER(G300),G300*30%,0)+IF(ISNUMBER(H300),H300*30%,0))/(IF(ISNUMBER(F300),40%,0)+IF(ISNUMBER(G300),30%,0)+IF(ISNUMBER(H300),30%,0)),2))</f>
        <v/>
      </c>
      <c r="O300" s="20">
        <f>IF(COUNT(I300:J300)=0,"",ROUND((IF(ISNUMBER(I300),I300*70%,0)+IF(ISNUMBER(J300),J300*30%,0))/(IF(ISNUMBER(I300),70%,0)+IF(ISNUMBER(J300),30%,0)),2))</f>
        <v/>
      </c>
      <c r="P300" s="20">
        <f>K300</f>
        <v/>
      </c>
      <c r="Q300" s="20">
        <f>L300</f>
        <v/>
      </c>
      <c r="R300" s="20">
        <f>M300</f>
        <v/>
      </c>
      <c r="S300" s="93">
        <f>IF($X300="","",INDEX('sheet2-计算明细'!$AQ$17:$AQ$330,$X300))</f>
        <v/>
      </c>
      <c r="T300" s="19">
        <f>IF($X300="","",INDEX('sheet2-计算明细'!$AR$17:$AR$330,$X300))</f>
        <v/>
      </c>
      <c r="U300" s="20">
        <f>IF(S300=0,"",ROUND(T300/S300,2))</f>
        <v/>
      </c>
      <c r="V300" s="20">
        <f>IF(S300=100%,T300,"")</f>
        <v/>
      </c>
      <c r="W300" s="22">
        <f>IF($X300="","",INDEX('sheet2-计算明细'!$AU$17:$AU$330,$X300))</f>
        <v/>
      </c>
      <c r="X300" s="18">
        <f>IF($A300&gt;COUNT('sheet2-计算明细'!$AT$17:$AT$330),"",MATCH($A300,'sheet2-计算明细'!$AT$17:$AT$330,0))</f>
        <v/>
      </c>
    </row>
    <row r="301" ht="28" customHeight="1" s="73">
      <c r="A301" s="2" t="n">
        <v>296</v>
      </c>
      <c r="B301" s="18">
        <f>IF($X301="","",INDEX('sheet2-计算明细'!$B$17:$B$330,$X301))</f>
        <v/>
      </c>
      <c r="C301" s="18">
        <f>IF($X301="","",INDEX('sheet2-计算明细'!$C$17:$C$330,$X301))</f>
        <v/>
      </c>
      <c r="D301" s="18">
        <f>IF($X301="","",INDEX('sheet2-计算明细'!$D$17:$D$330,$X301))</f>
        <v/>
      </c>
      <c r="E301" s="18">
        <f>IF($X301="","",INDEX('sheet2-计算明细'!$G$17:$G$330,$X301))</f>
        <v/>
      </c>
      <c r="F301" s="19">
        <f>IF($X301="","",INDEX('sheet2-计算明细'!$I$17:$I$330,$X301))</f>
        <v/>
      </c>
      <c r="G301" s="19">
        <f>IF($X301="","",INDEX('sheet2-计算明细'!$K$17:$K$330,$X301))</f>
        <v/>
      </c>
      <c r="H301" s="19">
        <f>IF($X301="","",INDEX('sheet2-计算明细'!$L$17:$L$330,$X301))</f>
        <v/>
      </c>
      <c r="I301" s="19">
        <f>IF($X301="","",INDEX('sheet2-计算明细'!$S$17:$S$330,$X301))</f>
        <v/>
      </c>
      <c r="J301" s="19">
        <f>IF($X301="","",INDEX('sheet2-计算明细'!$Y$17:$Y$330,$X301))</f>
        <v/>
      </c>
      <c r="K301" s="19">
        <f>IF($X301="","",INDEX('sheet2-计算明细'!$AC$17:$AC$330,$X301))</f>
        <v/>
      </c>
      <c r="L301" s="19">
        <f>IF($X301="","",INDEX('sheet2-计算明细'!$AI$17:$AI$330,$X301))</f>
        <v/>
      </c>
      <c r="M301" s="19">
        <f>IF($X301="","",INDEX('sheet2-计算明细'!$AK$17:$AK$330,$X301))</f>
        <v/>
      </c>
      <c r="N301" s="20">
        <f>IF(COUNT(F301:H301)=0,"",ROUND((IF(ISNUMBER(F301),F301*40%,0)+IF(ISNUMBER(G301),G301*30%,0)+IF(ISNUMBER(H301),H301*30%,0))/(IF(ISNUMBER(F301),40%,0)+IF(ISNUMBER(G301),30%,0)+IF(ISNUMBER(H301),30%,0)),2))</f>
        <v/>
      </c>
      <c r="O301" s="20">
        <f>IF(COUNT(I301:J301)=0,"",ROUND((IF(ISNUMBER(I301),I301*70%,0)+IF(ISNUMBER(J301),J301*30%,0))/(IF(ISNUMBER(I301),70%,0)+IF(ISNUMBER(J301),30%,0)),2))</f>
        <v/>
      </c>
      <c r="P301" s="20">
        <f>K301</f>
        <v/>
      </c>
      <c r="Q301" s="20">
        <f>L301</f>
        <v/>
      </c>
      <c r="R301" s="20">
        <f>M301</f>
        <v/>
      </c>
      <c r="S301" s="93">
        <f>IF($X301="","",INDEX('sheet2-计算明细'!$AQ$17:$AQ$330,$X301))</f>
        <v/>
      </c>
      <c r="T301" s="19">
        <f>IF($X301="","",INDEX('sheet2-计算明细'!$AR$17:$AR$330,$X301))</f>
        <v/>
      </c>
      <c r="U301" s="20">
        <f>IF(S301=0,"",ROUND(T301/S301,2))</f>
        <v/>
      </c>
      <c r="V301" s="20">
        <f>IF(S301=100%,T301,"")</f>
        <v/>
      </c>
      <c r="W301" s="22">
        <f>IF($X301="","",INDEX('sheet2-计算明细'!$AU$17:$AU$330,$X301))</f>
        <v/>
      </c>
      <c r="X301" s="18">
        <f>IF($A301&gt;COUNT('sheet2-计算明细'!$AT$17:$AT$330),"",MATCH($A301,'sheet2-计算明细'!$AT$17:$AT$330,0))</f>
        <v/>
      </c>
    </row>
    <row r="302" ht="28" customHeight="1" s="73">
      <c r="A302" s="2" t="n">
        <v>297</v>
      </c>
      <c r="B302" s="18">
        <f>IF($X302="","",INDEX('sheet2-计算明细'!$B$17:$B$330,$X302))</f>
        <v/>
      </c>
      <c r="C302" s="18">
        <f>IF($X302="","",INDEX('sheet2-计算明细'!$C$17:$C$330,$X302))</f>
        <v/>
      </c>
      <c r="D302" s="18">
        <f>IF($X302="","",INDEX('sheet2-计算明细'!$D$17:$D$330,$X302))</f>
        <v/>
      </c>
      <c r="E302" s="18">
        <f>IF($X302="","",INDEX('sheet2-计算明细'!$G$17:$G$330,$X302))</f>
        <v/>
      </c>
      <c r="F302" s="19">
        <f>IF($X302="","",INDEX('sheet2-计算明细'!$I$17:$I$330,$X302))</f>
        <v/>
      </c>
      <c r="G302" s="19">
        <f>IF($X302="","",INDEX('sheet2-计算明细'!$K$17:$K$330,$X302))</f>
        <v/>
      </c>
      <c r="H302" s="19">
        <f>IF($X302="","",INDEX('sheet2-计算明细'!$L$17:$L$330,$X302))</f>
        <v/>
      </c>
      <c r="I302" s="19">
        <f>IF($X302="","",INDEX('sheet2-计算明细'!$S$17:$S$330,$X302))</f>
        <v/>
      </c>
      <c r="J302" s="19">
        <f>IF($X302="","",INDEX('sheet2-计算明细'!$Y$17:$Y$330,$X302))</f>
        <v/>
      </c>
      <c r="K302" s="19">
        <f>IF($X302="","",INDEX('sheet2-计算明细'!$AC$17:$AC$330,$X302))</f>
        <v/>
      </c>
      <c r="L302" s="19">
        <f>IF($X302="","",INDEX('sheet2-计算明细'!$AI$17:$AI$330,$X302))</f>
        <v/>
      </c>
      <c r="M302" s="19">
        <f>IF($X302="","",INDEX('sheet2-计算明细'!$AK$17:$AK$330,$X302))</f>
        <v/>
      </c>
      <c r="N302" s="20">
        <f>IF(COUNT(F302:H302)=0,"",ROUND((IF(ISNUMBER(F302),F302*40%,0)+IF(ISNUMBER(G302),G302*30%,0)+IF(ISNUMBER(H302),H302*30%,0))/(IF(ISNUMBER(F302),40%,0)+IF(ISNUMBER(G302),30%,0)+IF(ISNUMBER(H302),30%,0)),2))</f>
        <v/>
      </c>
      <c r="O302" s="20">
        <f>IF(COUNT(I302:J302)=0,"",ROUND((IF(ISNUMBER(I302),I302*70%,0)+IF(ISNUMBER(J302),J302*30%,0))/(IF(ISNUMBER(I302),70%,0)+IF(ISNUMBER(J302),30%,0)),2))</f>
        <v/>
      </c>
      <c r="P302" s="20">
        <f>K302</f>
        <v/>
      </c>
      <c r="Q302" s="20">
        <f>L302</f>
        <v/>
      </c>
      <c r="R302" s="20">
        <f>M302</f>
        <v/>
      </c>
      <c r="S302" s="93">
        <f>IF($X302="","",INDEX('sheet2-计算明细'!$AQ$17:$AQ$330,$X302))</f>
        <v/>
      </c>
      <c r="T302" s="19">
        <f>IF($X302="","",INDEX('sheet2-计算明细'!$AR$17:$AR$330,$X302))</f>
        <v/>
      </c>
      <c r="U302" s="20">
        <f>IF(S302=0,"",ROUND(T302/S302,2))</f>
        <v/>
      </c>
      <c r="V302" s="20">
        <f>IF(S302=100%,T302,"")</f>
        <v/>
      </c>
      <c r="W302" s="22">
        <f>IF($X302="","",INDEX('sheet2-计算明细'!$AU$17:$AU$330,$X302))</f>
        <v/>
      </c>
      <c r="X302" s="18">
        <f>IF($A302&gt;COUNT('sheet2-计算明细'!$AT$17:$AT$330),"",MATCH($A302,'sheet2-计算明细'!$AT$17:$AT$330,0))</f>
        <v/>
      </c>
    </row>
    <row r="303" ht="28" customHeight="1" s="73">
      <c r="A303" s="2" t="n">
        <v>298</v>
      </c>
      <c r="B303" s="18">
        <f>IF($X303="","",INDEX('sheet2-计算明细'!$B$17:$B$330,$X303))</f>
        <v/>
      </c>
      <c r="C303" s="18">
        <f>IF($X303="","",INDEX('sheet2-计算明细'!$C$17:$C$330,$X303))</f>
        <v/>
      </c>
      <c r="D303" s="18">
        <f>IF($X303="","",INDEX('sheet2-计算明细'!$D$17:$D$330,$X303))</f>
        <v/>
      </c>
      <c r="E303" s="18">
        <f>IF($X303="","",INDEX('sheet2-计算明细'!$G$17:$G$330,$X303))</f>
        <v/>
      </c>
      <c r="F303" s="19">
        <f>IF($X303="","",INDEX('sheet2-计算明细'!$I$17:$I$330,$X303))</f>
        <v/>
      </c>
      <c r="G303" s="19">
        <f>IF($X303="","",INDEX('sheet2-计算明细'!$K$17:$K$330,$X303))</f>
        <v/>
      </c>
      <c r="H303" s="19">
        <f>IF($X303="","",INDEX('sheet2-计算明细'!$L$17:$L$330,$X303))</f>
        <v/>
      </c>
      <c r="I303" s="19">
        <f>IF($X303="","",INDEX('sheet2-计算明细'!$S$17:$S$330,$X303))</f>
        <v/>
      </c>
      <c r="J303" s="19">
        <f>IF($X303="","",INDEX('sheet2-计算明细'!$Y$17:$Y$330,$X303))</f>
        <v/>
      </c>
      <c r="K303" s="19">
        <f>IF($X303="","",INDEX('sheet2-计算明细'!$AC$17:$AC$330,$X303))</f>
        <v/>
      </c>
      <c r="L303" s="19">
        <f>IF($X303="","",INDEX('sheet2-计算明细'!$AI$17:$AI$330,$X303))</f>
        <v/>
      </c>
      <c r="M303" s="19">
        <f>IF($X303="","",INDEX('sheet2-计算明细'!$AK$17:$AK$330,$X303))</f>
        <v/>
      </c>
      <c r="N303" s="20">
        <f>IF(COUNT(F303:H303)=0,"",ROUND((IF(ISNUMBER(F303),F303*40%,0)+IF(ISNUMBER(G303),G303*30%,0)+IF(ISNUMBER(H303),H303*30%,0))/(IF(ISNUMBER(F303),40%,0)+IF(ISNUMBER(G303),30%,0)+IF(ISNUMBER(H303),30%,0)),2))</f>
        <v/>
      </c>
      <c r="O303" s="20">
        <f>IF(COUNT(I303:J303)=0,"",ROUND((IF(ISNUMBER(I303),I303*70%,0)+IF(ISNUMBER(J303),J303*30%,0))/(IF(ISNUMBER(I303),70%,0)+IF(ISNUMBER(J303),30%,0)),2))</f>
        <v/>
      </c>
      <c r="P303" s="20">
        <f>K303</f>
        <v/>
      </c>
      <c r="Q303" s="20">
        <f>L303</f>
        <v/>
      </c>
      <c r="R303" s="20">
        <f>M303</f>
        <v/>
      </c>
      <c r="S303" s="93">
        <f>IF($X303="","",INDEX('sheet2-计算明细'!$AQ$17:$AQ$330,$X303))</f>
        <v/>
      </c>
      <c r="T303" s="19">
        <f>IF($X303="","",INDEX('sheet2-计算明细'!$AR$17:$AR$330,$X303))</f>
        <v/>
      </c>
      <c r="U303" s="20">
        <f>IF(S303=0,"",ROUND(T303/S303,2))</f>
        <v/>
      </c>
      <c r="V303" s="20">
        <f>IF(S303=100%,T303,"")</f>
        <v/>
      </c>
      <c r="W303" s="22">
        <f>IF($X303="","",INDEX('sheet2-计算明细'!$AU$17:$AU$330,$X303))</f>
        <v/>
      </c>
      <c r="X303" s="18">
        <f>IF($A303&gt;COUNT('sheet2-计算明细'!$AT$17:$AT$330),"",MATCH($A303,'sheet2-计算明细'!$AT$17:$AT$330,0))</f>
        <v/>
      </c>
    </row>
    <row r="304" ht="28" customHeight="1" s="73">
      <c r="A304" s="2" t="n">
        <v>299</v>
      </c>
      <c r="B304" s="18">
        <f>IF($X304="","",INDEX('sheet2-计算明细'!$B$17:$B$330,$X304))</f>
        <v/>
      </c>
      <c r="C304" s="18">
        <f>IF($X304="","",INDEX('sheet2-计算明细'!$C$17:$C$330,$X304))</f>
        <v/>
      </c>
      <c r="D304" s="18">
        <f>IF($X304="","",INDEX('sheet2-计算明细'!$D$17:$D$330,$X304))</f>
        <v/>
      </c>
      <c r="E304" s="18">
        <f>IF($X304="","",INDEX('sheet2-计算明细'!$G$17:$G$330,$X304))</f>
        <v/>
      </c>
      <c r="F304" s="19">
        <f>IF($X304="","",INDEX('sheet2-计算明细'!$I$17:$I$330,$X304))</f>
        <v/>
      </c>
      <c r="G304" s="19">
        <f>IF($X304="","",INDEX('sheet2-计算明细'!$K$17:$K$330,$X304))</f>
        <v/>
      </c>
      <c r="H304" s="19">
        <f>IF($X304="","",INDEX('sheet2-计算明细'!$L$17:$L$330,$X304))</f>
        <v/>
      </c>
      <c r="I304" s="19">
        <f>IF($X304="","",INDEX('sheet2-计算明细'!$S$17:$S$330,$X304))</f>
        <v/>
      </c>
      <c r="J304" s="19">
        <f>IF($X304="","",INDEX('sheet2-计算明细'!$Y$17:$Y$330,$X304))</f>
        <v/>
      </c>
      <c r="K304" s="19">
        <f>IF($X304="","",INDEX('sheet2-计算明细'!$AC$17:$AC$330,$X304))</f>
        <v/>
      </c>
      <c r="L304" s="19">
        <f>IF($X304="","",INDEX('sheet2-计算明细'!$AI$17:$AI$330,$X304))</f>
        <v/>
      </c>
      <c r="M304" s="19">
        <f>IF($X304="","",INDEX('sheet2-计算明细'!$AK$17:$AK$330,$X304))</f>
        <v/>
      </c>
      <c r="N304" s="20">
        <f>IF(COUNT(F304:H304)=0,"",ROUND((IF(ISNUMBER(F304),F304*40%,0)+IF(ISNUMBER(G304),G304*30%,0)+IF(ISNUMBER(H304),H304*30%,0))/(IF(ISNUMBER(F304),40%,0)+IF(ISNUMBER(G304),30%,0)+IF(ISNUMBER(H304),30%,0)),2))</f>
        <v/>
      </c>
      <c r="O304" s="20">
        <f>IF(COUNT(I304:J304)=0,"",ROUND((IF(ISNUMBER(I304),I304*70%,0)+IF(ISNUMBER(J304),J304*30%,0))/(IF(ISNUMBER(I304),70%,0)+IF(ISNUMBER(J304),30%,0)),2))</f>
        <v/>
      </c>
      <c r="P304" s="20">
        <f>K304</f>
        <v/>
      </c>
      <c r="Q304" s="20">
        <f>L304</f>
        <v/>
      </c>
      <c r="R304" s="20">
        <f>M304</f>
        <v/>
      </c>
      <c r="S304" s="93">
        <f>IF($X304="","",INDEX('sheet2-计算明细'!$AQ$17:$AQ$330,$X304))</f>
        <v/>
      </c>
      <c r="T304" s="19">
        <f>IF($X304="","",INDEX('sheet2-计算明细'!$AR$17:$AR$330,$X304))</f>
        <v/>
      </c>
      <c r="U304" s="20">
        <f>IF(S304=0,"",ROUND(T304/S304,2))</f>
        <v/>
      </c>
      <c r="V304" s="20">
        <f>IF(S304=100%,T304,"")</f>
        <v/>
      </c>
      <c r="W304" s="22">
        <f>IF($X304="","",INDEX('sheet2-计算明细'!$AU$17:$AU$330,$X304))</f>
        <v/>
      </c>
      <c r="X304" s="18">
        <f>IF($A304&gt;COUNT('sheet2-计算明细'!$AT$17:$AT$330),"",MATCH($A304,'sheet2-计算明细'!$AT$17:$AT$330,0))</f>
        <v/>
      </c>
    </row>
    <row r="305" ht="28" customHeight="1" s="73">
      <c r="A305" s="2" t="n">
        <v>300</v>
      </c>
      <c r="B305" s="18">
        <f>IF($X305="","",INDEX('sheet2-计算明细'!$B$17:$B$330,$X305))</f>
        <v/>
      </c>
      <c r="C305" s="18">
        <f>IF($X305="","",INDEX('sheet2-计算明细'!$C$17:$C$330,$X305))</f>
        <v/>
      </c>
      <c r="D305" s="18">
        <f>IF($X305="","",INDEX('sheet2-计算明细'!$D$17:$D$330,$X305))</f>
        <v/>
      </c>
      <c r="E305" s="18">
        <f>IF($X305="","",INDEX('sheet2-计算明细'!$G$17:$G$330,$X305))</f>
        <v/>
      </c>
      <c r="F305" s="19">
        <f>IF($X305="","",INDEX('sheet2-计算明细'!$I$17:$I$330,$X305))</f>
        <v/>
      </c>
      <c r="G305" s="19">
        <f>IF($X305="","",INDEX('sheet2-计算明细'!$K$17:$K$330,$X305))</f>
        <v/>
      </c>
      <c r="H305" s="19">
        <f>IF($X305="","",INDEX('sheet2-计算明细'!$L$17:$L$330,$X305))</f>
        <v/>
      </c>
      <c r="I305" s="19">
        <f>IF($X305="","",INDEX('sheet2-计算明细'!$S$17:$S$330,$X305))</f>
        <v/>
      </c>
      <c r="J305" s="19">
        <f>IF($X305="","",INDEX('sheet2-计算明细'!$Y$17:$Y$330,$X305))</f>
        <v/>
      </c>
      <c r="K305" s="19">
        <f>IF($X305="","",INDEX('sheet2-计算明细'!$AC$17:$AC$330,$X305))</f>
        <v/>
      </c>
      <c r="L305" s="19">
        <f>IF($X305="","",INDEX('sheet2-计算明细'!$AI$17:$AI$330,$X305))</f>
        <v/>
      </c>
      <c r="M305" s="19">
        <f>IF($X305="","",INDEX('sheet2-计算明细'!$AK$17:$AK$330,$X305))</f>
        <v/>
      </c>
      <c r="N305" s="20">
        <f>IF(COUNT(F305:H305)=0,"",ROUND((IF(ISNUMBER(F305),F305*40%,0)+IF(ISNUMBER(G305),G305*30%,0)+IF(ISNUMBER(H305),H305*30%,0))/(IF(ISNUMBER(F305),40%,0)+IF(ISNUMBER(G305),30%,0)+IF(ISNUMBER(H305),30%,0)),2))</f>
        <v/>
      </c>
      <c r="O305" s="20">
        <f>IF(COUNT(I305:J305)=0,"",ROUND((IF(ISNUMBER(I305),I305*70%,0)+IF(ISNUMBER(J305),J305*30%,0))/(IF(ISNUMBER(I305),70%,0)+IF(ISNUMBER(J305),30%,0)),2))</f>
        <v/>
      </c>
      <c r="P305" s="20">
        <f>K305</f>
        <v/>
      </c>
      <c r="Q305" s="20">
        <f>L305</f>
        <v/>
      </c>
      <c r="R305" s="20">
        <f>M305</f>
        <v/>
      </c>
      <c r="S305" s="93">
        <f>IF($X305="","",INDEX('sheet2-计算明细'!$AQ$17:$AQ$330,$X305))</f>
        <v/>
      </c>
      <c r="T305" s="19">
        <f>IF($X305="","",INDEX('sheet2-计算明细'!$AR$17:$AR$330,$X305))</f>
        <v/>
      </c>
      <c r="U305" s="20">
        <f>IF(S305=0,"",ROUND(T305/S305,2))</f>
        <v/>
      </c>
      <c r="V305" s="20">
        <f>IF(S305=100%,T305,"")</f>
        <v/>
      </c>
      <c r="W305" s="22">
        <f>IF($X305="","",INDEX('sheet2-计算明细'!$AU$17:$AU$330,$X305))</f>
        <v/>
      </c>
      <c r="X305" s="18">
        <f>IF($A305&gt;COUNT('sheet2-计算明细'!$AT$17:$AT$330),"",MATCH($A305,'sheet2-计算明细'!$AT$17:$AT$330,0))</f>
        <v/>
      </c>
    </row>
    <row r="306" ht="28" customHeight="1" s="73">
      <c r="A306" s="2" t="n">
        <v>301</v>
      </c>
      <c r="B306" s="18">
        <f>IF($X306="","",INDEX('sheet2-计算明细'!$B$17:$B$330,$X306))</f>
        <v/>
      </c>
      <c r="C306" s="18">
        <f>IF($X306="","",INDEX('sheet2-计算明细'!$C$17:$C$330,$X306))</f>
        <v/>
      </c>
      <c r="D306" s="18">
        <f>IF($X306="","",INDEX('sheet2-计算明细'!$D$17:$D$330,$X306))</f>
        <v/>
      </c>
      <c r="E306" s="18">
        <f>IF($X306="","",INDEX('sheet2-计算明细'!$G$17:$G$330,$X306))</f>
        <v/>
      </c>
      <c r="F306" s="19">
        <f>IF($X306="","",INDEX('sheet2-计算明细'!$I$17:$I$330,$X306))</f>
        <v/>
      </c>
      <c r="G306" s="19">
        <f>IF($X306="","",INDEX('sheet2-计算明细'!$K$17:$K$330,$X306))</f>
        <v/>
      </c>
      <c r="H306" s="19">
        <f>IF($X306="","",INDEX('sheet2-计算明细'!$L$17:$L$330,$X306))</f>
        <v/>
      </c>
      <c r="I306" s="19">
        <f>IF($X306="","",INDEX('sheet2-计算明细'!$S$17:$S$330,$X306))</f>
        <v/>
      </c>
      <c r="J306" s="19">
        <f>IF($X306="","",INDEX('sheet2-计算明细'!$Y$17:$Y$330,$X306))</f>
        <v/>
      </c>
      <c r="K306" s="19">
        <f>IF($X306="","",INDEX('sheet2-计算明细'!$AC$17:$AC$330,$X306))</f>
        <v/>
      </c>
      <c r="L306" s="19">
        <f>IF($X306="","",INDEX('sheet2-计算明细'!$AI$17:$AI$330,$X306))</f>
        <v/>
      </c>
      <c r="M306" s="19">
        <f>IF($X306="","",INDEX('sheet2-计算明细'!$AK$17:$AK$330,$X306))</f>
        <v/>
      </c>
      <c r="N306" s="20">
        <f>IF(COUNT(F306:H306)=0,"",ROUND((IF(ISNUMBER(F306),F306*40%,0)+IF(ISNUMBER(G306),G306*30%,0)+IF(ISNUMBER(H306),H306*30%,0))/(IF(ISNUMBER(F306),40%,0)+IF(ISNUMBER(G306),30%,0)+IF(ISNUMBER(H306),30%,0)),2))</f>
        <v/>
      </c>
      <c r="O306" s="20">
        <f>IF(COUNT(I306:J306)=0,"",ROUND((IF(ISNUMBER(I306),I306*70%,0)+IF(ISNUMBER(J306),J306*30%,0))/(IF(ISNUMBER(I306),70%,0)+IF(ISNUMBER(J306),30%,0)),2))</f>
        <v/>
      </c>
      <c r="P306" s="20">
        <f>K306</f>
        <v/>
      </c>
      <c r="Q306" s="20">
        <f>L306</f>
        <v/>
      </c>
      <c r="R306" s="20">
        <f>M306</f>
        <v/>
      </c>
      <c r="S306" s="93">
        <f>IF($X306="","",INDEX('sheet2-计算明细'!$AQ$17:$AQ$330,$X306))</f>
        <v/>
      </c>
      <c r="T306" s="19">
        <f>IF($X306="","",INDEX('sheet2-计算明细'!$AR$17:$AR$330,$X306))</f>
        <v/>
      </c>
      <c r="U306" s="20">
        <f>IF(S306=0,"",ROUND(T306/S306,2))</f>
        <v/>
      </c>
      <c r="V306" s="20">
        <f>IF(S306=100%,T306,"")</f>
        <v/>
      </c>
      <c r="W306" s="22">
        <f>IF($X306="","",INDEX('sheet2-计算明细'!$AU$17:$AU$330,$X306))</f>
        <v/>
      </c>
      <c r="X306" s="18">
        <f>IF($A306&gt;COUNT('sheet2-计算明细'!$AT$17:$AT$330),"",MATCH($A306,'sheet2-计算明细'!$AT$17:$AT$330,0))</f>
        <v/>
      </c>
    </row>
    <row r="307" ht="28" customHeight="1" s="73">
      <c r="A307" s="2" t="n">
        <v>302</v>
      </c>
      <c r="B307" s="18">
        <f>IF($X307="","",INDEX('sheet2-计算明细'!$B$17:$B$330,$X307))</f>
        <v/>
      </c>
      <c r="C307" s="18">
        <f>IF($X307="","",INDEX('sheet2-计算明细'!$C$17:$C$330,$X307))</f>
        <v/>
      </c>
      <c r="D307" s="18">
        <f>IF($X307="","",INDEX('sheet2-计算明细'!$D$17:$D$330,$X307))</f>
        <v/>
      </c>
      <c r="E307" s="18">
        <f>IF($X307="","",INDEX('sheet2-计算明细'!$G$17:$G$330,$X307))</f>
        <v/>
      </c>
      <c r="F307" s="19">
        <f>IF($X307="","",INDEX('sheet2-计算明细'!$I$17:$I$330,$X307))</f>
        <v/>
      </c>
      <c r="G307" s="19">
        <f>IF($X307="","",INDEX('sheet2-计算明细'!$K$17:$K$330,$X307))</f>
        <v/>
      </c>
      <c r="H307" s="19">
        <f>IF($X307="","",INDEX('sheet2-计算明细'!$L$17:$L$330,$X307))</f>
        <v/>
      </c>
      <c r="I307" s="19">
        <f>IF($X307="","",INDEX('sheet2-计算明细'!$S$17:$S$330,$X307))</f>
        <v/>
      </c>
      <c r="J307" s="19">
        <f>IF($X307="","",INDEX('sheet2-计算明细'!$Y$17:$Y$330,$X307))</f>
        <v/>
      </c>
      <c r="K307" s="19">
        <f>IF($X307="","",INDEX('sheet2-计算明细'!$AC$17:$AC$330,$X307))</f>
        <v/>
      </c>
      <c r="L307" s="19">
        <f>IF($X307="","",INDEX('sheet2-计算明细'!$AI$17:$AI$330,$X307))</f>
        <v/>
      </c>
      <c r="M307" s="19">
        <f>IF($X307="","",INDEX('sheet2-计算明细'!$AK$17:$AK$330,$X307))</f>
        <v/>
      </c>
      <c r="N307" s="20">
        <f>IF(COUNT(F307:H307)=0,"",ROUND((IF(ISNUMBER(F307),F307*40%,0)+IF(ISNUMBER(G307),G307*30%,0)+IF(ISNUMBER(H307),H307*30%,0))/(IF(ISNUMBER(F307),40%,0)+IF(ISNUMBER(G307),30%,0)+IF(ISNUMBER(H307),30%,0)),2))</f>
        <v/>
      </c>
      <c r="O307" s="20">
        <f>IF(COUNT(I307:J307)=0,"",ROUND((IF(ISNUMBER(I307),I307*70%,0)+IF(ISNUMBER(J307),J307*30%,0))/(IF(ISNUMBER(I307),70%,0)+IF(ISNUMBER(J307),30%,0)),2))</f>
        <v/>
      </c>
      <c r="P307" s="20">
        <f>K307</f>
        <v/>
      </c>
      <c r="Q307" s="20">
        <f>L307</f>
        <v/>
      </c>
      <c r="R307" s="20">
        <f>M307</f>
        <v/>
      </c>
      <c r="S307" s="93">
        <f>IF($X307="","",INDEX('sheet2-计算明细'!$AQ$17:$AQ$330,$X307))</f>
        <v/>
      </c>
      <c r="T307" s="19">
        <f>IF($X307="","",INDEX('sheet2-计算明细'!$AR$17:$AR$330,$X307))</f>
        <v/>
      </c>
      <c r="U307" s="20">
        <f>IF(S307=0,"",ROUND(T307/S307,2))</f>
        <v/>
      </c>
      <c r="V307" s="20">
        <f>IF(S307=100%,T307,"")</f>
        <v/>
      </c>
      <c r="W307" s="22">
        <f>IF($X307="","",INDEX('sheet2-计算明细'!$AU$17:$AU$330,$X307))</f>
        <v/>
      </c>
      <c r="X307" s="18">
        <f>IF($A307&gt;COUNT('sheet2-计算明细'!$AT$17:$AT$330),"",MATCH($A307,'sheet2-计算明细'!$AT$17:$AT$330,0))</f>
        <v/>
      </c>
    </row>
    <row r="308" ht="28" customHeight="1" s="73">
      <c r="A308" s="2" t="n">
        <v>303</v>
      </c>
      <c r="B308" s="18">
        <f>IF($X308="","",INDEX('sheet2-计算明细'!$B$17:$B$330,$X308))</f>
        <v/>
      </c>
      <c r="C308" s="18">
        <f>IF($X308="","",INDEX('sheet2-计算明细'!$C$17:$C$330,$X308))</f>
        <v/>
      </c>
      <c r="D308" s="18">
        <f>IF($X308="","",INDEX('sheet2-计算明细'!$D$17:$D$330,$X308))</f>
        <v/>
      </c>
      <c r="E308" s="18">
        <f>IF($X308="","",INDEX('sheet2-计算明细'!$G$17:$G$330,$X308))</f>
        <v/>
      </c>
      <c r="F308" s="19">
        <f>IF($X308="","",INDEX('sheet2-计算明细'!$I$17:$I$330,$X308))</f>
        <v/>
      </c>
      <c r="G308" s="19">
        <f>IF($X308="","",INDEX('sheet2-计算明细'!$K$17:$K$330,$X308))</f>
        <v/>
      </c>
      <c r="H308" s="19">
        <f>IF($X308="","",INDEX('sheet2-计算明细'!$L$17:$L$330,$X308))</f>
        <v/>
      </c>
      <c r="I308" s="19">
        <f>IF($X308="","",INDEX('sheet2-计算明细'!$S$17:$S$330,$X308))</f>
        <v/>
      </c>
      <c r="J308" s="19">
        <f>IF($X308="","",INDEX('sheet2-计算明细'!$Y$17:$Y$330,$X308))</f>
        <v/>
      </c>
      <c r="K308" s="19">
        <f>IF($X308="","",INDEX('sheet2-计算明细'!$AC$17:$AC$330,$X308))</f>
        <v/>
      </c>
      <c r="L308" s="19">
        <f>IF($X308="","",INDEX('sheet2-计算明细'!$AI$17:$AI$330,$X308))</f>
        <v/>
      </c>
      <c r="M308" s="19">
        <f>IF($X308="","",INDEX('sheet2-计算明细'!$AK$17:$AK$330,$X308))</f>
        <v/>
      </c>
      <c r="N308" s="20">
        <f>IF(COUNT(F308:H308)=0,"",ROUND((IF(ISNUMBER(F308),F308*40%,0)+IF(ISNUMBER(G308),G308*30%,0)+IF(ISNUMBER(H308),H308*30%,0))/(IF(ISNUMBER(F308),40%,0)+IF(ISNUMBER(G308),30%,0)+IF(ISNUMBER(H308),30%,0)),2))</f>
        <v/>
      </c>
      <c r="O308" s="20">
        <f>IF(COUNT(I308:J308)=0,"",ROUND((IF(ISNUMBER(I308),I308*70%,0)+IF(ISNUMBER(J308),J308*30%,0))/(IF(ISNUMBER(I308),70%,0)+IF(ISNUMBER(J308),30%,0)),2))</f>
        <v/>
      </c>
      <c r="P308" s="20">
        <f>K308</f>
        <v/>
      </c>
      <c r="Q308" s="20">
        <f>L308</f>
        <v/>
      </c>
      <c r="R308" s="20">
        <f>M308</f>
        <v/>
      </c>
      <c r="S308" s="93">
        <f>IF($X308="","",INDEX('sheet2-计算明细'!$AQ$17:$AQ$330,$X308))</f>
        <v/>
      </c>
      <c r="T308" s="19">
        <f>IF($X308="","",INDEX('sheet2-计算明细'!$AR$17:$AR$330,$X308))</f>
        <v/>
      </c>
      <c r="U308" s="20">
        <f>IF(S308=0,"",ROUND(T308/S308,2))</f>
        <v/>
      </c>
      <c r="V308" s="20">
        <f>IF(S308=100%,T308,"")</f>
        <v/>
      </c>
      <c r="W308" s="22">
        <f>IF($X308="","",INDEX('sheet2-计算明细'!$AU$17:$AU$330,$X308))</f>
        <v/>
      </c>
      <c r="X308" s="18">
        <f>IF($A308&gt;COUNT('sheet2-计算明细'!$AT$17:$AT$330),"",MATCH($A308,'sheet2-计算明细'!$AT$17:$AT$330,0))</f>
        <v/>
      </c>
    </row>
    <row r="309" ht="28" customHeight="1" s="73">
      <c r="A309" s="2" t="n">
        <v>304</v>
      </c>
      <c r="B309" s="18">
        <f>IF($X309="","",INDEX('sheet2-计算明细'!$B$17:$B$330,$X309))</f>
        <v/>
      </c>
      <c r="C309" s="18">
        <f>IF($X309="","",INDEX('sheet2-计算明细'!$C$17:$C$330,$X309))</f>
        <v/>
      </c>
      <c r="D309" s="18">
        <f>IF($X309="","",INDEX('sheet2-计算明细'!$D$17:$D$330,$X309))</f>
        <v/>
      </c>
      <c r="E309" s="18">
        <f>IF($X309="","",INDEX('sheet2-计算明细'!$G$17:$G$330,$X309))</f>
        <v/>
      </c>
      <c r="F309" s="19">
        <f>IF($X309="","",INDEX('sheet2-计算明细'!$I$17:$I$330,$X309))</f>
        <v/>
      </c>
      <c r="G309" s="19">
        <f>IF($X309="","",INDEX('sheet2-计算明细'!$K$17:$K$330,$X309))</f>
        <v/>
      </c>
      <c r="H309" s="19">
        <f>IF($X309="","",INDEX('sheet2-计算明细'!$L$17:$L$330,$X309))</f>
        <v/>
      </c>
      <c r="I309" s="19">
        <f>IF($X309="","",INDEX('sheet2-计算明细'!$S$17:$S$330,$X309))</f>
        <v/>
      </c>
      <c r="J309" s="19">
        <f>IF($X309="","",INDEX('sheet2-计算明细'!$Y$17:$Y$330,$X309))</f>
        <v/>
      </c>
      <c r="K309" s="19">
        <f>IF($X309="","",INDEX('sheet2-计算明细'!$AC$17:$AC$330,$X309))</f>
        <v/>
      </c>
      <c r="L309" s="19">
        <f>IF($X309="","",INDEX('sheet2-计算明细'!$AI$17:$AI$330,$X309))</f>
        <v/>
      </c>
      <c r="M309" s="19">
        <f>IF($X309="","",INDEX('sheet2-计算明细'!$AK$17:$AK$330,$X309))</f>
        <v/>
      </c>
      <c r="N309" s="20">
        <f>IF(COUNT(F309:H309)=0,"",ROUND((IF(ISNUMBER(F309),F309*40%,0)+IF(ISNUMBER(G309),G309*30%,0)+IF(ISNUMBER(H309),H309*30%,0))/(IF(ISNUMBER(F309),40%,0)+IF(ISNUMBER(G309),30%,0)+IF(ISNUMBER(H309),30%,0)),2))</f>
        <v/>
      </c>
      <c r="O309" s="20">
        <f>IF(COUNT(I309:J309)=0,"",ROUND((IF(ISNUMBER(I309),I309*70%,0)+IF(ISNUMBER(J309),J309*30%,0))/(IF(ISNUMBER(I309),70%,0)+IF(ISNUMBER(J309),30%,0)),2))</f>
        <v/>
      </c>
      <c r="P309" s="20">
        <f>K309</f>
        <v/>
      </c>
      <c r="Q309" s="20">
        <f>L309</f>
        <v/>
      </c>
      <c r="R309" s="20">
        <f>M309</f>
        <v/>
      </c>
      <c r="S309" s="93">
        <f>IF($X309="","",INDEX('sheet2-计算明细'!$AQ$17:$AQ$330,$X309))</f>
        <v/>
      </c>
      <c r="T309" s="19">
        <f>IF($X309="","",INDEX('sheet2-计算明细'!$AR$17:$AR$330,$X309))</f>
        <v/>
      </c>
      <c r="U309" s="20">
        <f>IF(S309=0,"",ROUND(T309/S309,2))</f>
        <v/>
      </c>
      <c r="V309" s="20">
        <f>IF(S309=100%,T309,"")</f>
        <v/>
      </c>
      <c r="W309" s="22">
        <f>IF($X309="","",INDEX('sheet2-计算明细'!$AU$17:$AU$330,$X309))</f>
        <v/>
      </c>
      <c r="X309" s="18">
        <f>IF($A309&gt;COUNT('sheet2-计算明细'!$AT$17:$AT$330),"",MATCH($A309,'sheet2-计算明细'!$AT$17:$AT$330,0))</f>
        <v/>
      </c>
    </row>
    <row r="310" ht="28" customHeight="1" s="73">
      <c r="A310" s="2" t="n">
        <v>305</v>
      </c>
      <c r="B310" s="18">
        <f>IF($X310="","",INDEX('sheet2-计算明细'!$B$17:$B$330,$X310))</f>
        <v/>
      </c>
      <c r="C310" s="18">
        <f>IF($X310="","",INDEX('sheet2-计算明细'!$C$17:$C$330,$X310))</f>
        <v/>
      </c>
      <c r="D310" s="18">
        <f>IF($X310="","",INDEX('sheet2-计算明细'!$D$17:$D$330,$X310))</f>
        <v/>
      </c>
      <c r="E310" s="18">
        <f>IF($X310="","",INDEX('sheet2-计算明细'!$G$17:$G$330,$X310))</f>
        <v/>
      </c>
      <c r="F310" s="19">
        <f>IF($X310="","",INDEX('sheet2-计算明细'!$I$17:$I$330,$X310))</f>
        <v/>
      </c>
      <c r="G310" s="19">
        <f>IF($X310="","",INDEX('sheet2-计算明细'!$K$17:$K$330,$X310))</f>
        <v/>
      </c>
      <c r="H310" s="19">
        <f>IF($X310="","",INDEX('sheet2-计算明细'!$L$17:$L$330,$X310))</f>
        <v/>
      </c>
      <c r="I310" s="19">
        <f>IF($X310="","",INDEX('sheet2-计算明细'!$S$17:$S$330,$X310))</f>
        <v/>
      </c>
      <c r="J310" s="19">
        <f>IF($X310="","",INDEX('sheet2-计算明细'!$Y$17:$Y$330,$X310))</f>
        <v/>
      </c>
      <c r="K310" s="19">
        <f>IF($X310="","",INDEX('sheet2-计算明细'!$AC$17:$AC$330,$X310))</f>
        <v/>
      </c>
      <c r="L310" s="19">
        <f>IF($X310="","",INDEX('sheet2-计算明细'!$AI$17:$AI$330,$X310))</f>
        <v/>
      </c>
      <c r="M310" s="19">
        <f>IF($X310="","",INDEX('sheet2-计算明细'!$AK$17:$AK$330,$X310))</f>
        <v/>
      </c>
      <c r="N310" s="20">
        <f>IF(COUNT(F310:H310)=0,"",ROUND((IF(ISNUMBER(F310),F310*40%,0)+IF(ISNUMBER(G310),G310*30%,0)+IF(ISNUMBER(H310),H310*30%,0))/(IF(ISNUMBER(F310),40%,0)+IF(ISNUMBER(G310),30%,0)+IF(ISNUMBER(H310),30%,0)),2))</f>
        <v/>
      </c>
      <c r="O310" s="20">
        <f>IF(COUNT(I310:J310)=0,"",ROUND((IF(ISNUMBER(I310),I310*70%,0)+IF(ISNUMBER(J310),J310*30%,0))/(IF(ISNUMBER(I310),70%,0)+IF(ISNUMBER(J310),30%,0)),2))</f>
        <v/>
      </c>
      <c r="P310" s="20">
        <f>K310</f>
        <v/>
      </c>
      <c r="Q310" s="20">
        <f>L310</f>
        <v/>
      </c>
      <c r="R310" s="20">
        <f>M310</f>
        <v/>
      </c>
      <c r="S310" s="93">
        <f>IF($X310="","",INDEX('sheet2-计算明细'!$AQ$17:$AQ$330,$X310))</f>
        <v/>
      </c>
      <c r="T310" s="19">
        <f>IF($X310="","",INDEX('sheet2-计算明细'!$AR$17:$AR$330,$X310))</f>
        <v/>
      </c>
      <c r="U310" s="20">
        <f>IF(S310=0,"",ROUND(T310/S310,2))</f>
        <v/>
      </c>
      <c r="V310" s="20">
        <f>IF(S310=100%,T310,"")</f>
        <v/>
      </c>
      <c r="W310" s="22">
        <f>IF($X310="","",INDEX('sheet2-计算明细'!$AU$17:$AU$330,$X310))</f>
        <v/>
      </c>
      <c r="X310" s="18">
        <f>IF($A310&gt;COUNT('sheet2-计算明细'!$AT$17:$AT$330),"",MATCH($A310,'sheet2-计算明细'!$AT$17:$AT$330,0))</f>
        <v/>
      </c>
    </row>
    <row r="311" ht="28" customHeight="1" s="73">
      <c r="A311" s="2" t="n">
        <v>306</v>
      </c>
      <c r="B311" s="18">
        <f>IF($X311="","",INDEX('sheet2-计算明细'!$B$17:$B$330,$X311))</f>
        <v/>
      </c>
      <c r="C311" s="18">
        <f>IF($X311="","",INDEX('sheet2-计算明细'!$C$17:$C$330,$X311))</f>
        <v/>
      </c>
      <c r="D311" s="18">
        <f>IF($X311="","",INDEX('sheet2-计算明细'!$D$17:$D$330,$X311))</f>
        <v/>
      </c>
      <c r="E311" s="18">
        <f>IF($X311="","",INDEX('sheet2-计算明细'!$G$17:$G$330,$X311))</f>
        <v/>
      </c>
      <c r="F311" s="19">
        <f>IF($X311="","",INDEX('sheet2-计算明细'!$I$17:$I$330,$X311))</f>
        <v/>
      </c>
      <c r="G311" s="19">
        <f>IF($X311="","",INDEX('sheet2-计算明细'!$K$17:$K$330,$X311))</f>
        <v/>
      </c>
      <c r="H311" s="19">
        <f>IF($X311="","",INDEX('sheet2-计算明细'!$L$17:$L$330,$X311))</f>
        <v/>
      </c>
      <c r="I311" s="19">
        <f>IF($X311="","",INDEX('sheet2-计算明细'!$S$17:$S$330,$X311))</f>
        <v/>
      </c>
      <c r="J311" s="19">
        <f>IF($X311="","",INDEX('sheet2-计算明细'!$Y$17:$Y$330,$X311))</f>
        <v/>
      </c>
      <c r="K311" s="19">
        <f>IF($X311="","",INDEX('sheet2-计算明细'!$AC$17:$AC$330,$X311))</f>
        <v/>
      </c>
      <c r="L311" s="19">
        <f>IF($X311="","",INDEX('sheet2-计算明细'!$AI$17:$AI$330,$X311))</f>
        <v/>
      </c>
      <c r="M311" s="19">
        <f>IF($X311="","",INDEX('sheet2-计算明细'!$AK$17:$AK$330,$X311))</f>
        <v/>
      </c>
      <c r="N311" s="20">
        <f>IF(COUNT(F311:H311)=0,"",ROUND((IF(ISNUMBER(F311),F311*40%,0)+IF(ISNUMBER(G311),G311*30%,0)+IF(ISNUMBER(H311),H311*30%,0))/(IF(ISNUMBER(F311),40%,0)+IF(ISNUMBER(G311),30%,0)+IF(ISNUMBER(H311),30%,0)),2))</f>
        <v/>
      </c>
      <c r="O311" s="20">
        <f>IF(COUNT(I311:J311)=0,"",ROUND((IF(ISNUMBER(I311),I311*70%,0)+IF(ISNUMBER(J311),J311*30%,0))/(IF(ISNUMBER(I311),70%,0)+IF(ISNUMBER(J311),30%,0)),2))</f>
        <v/>
      </c>
      <c r="P311" s="20">
        <f>K311</f>
        <v/>
      </c>
      <c r="Q311" s="20">
        <f>L311</f>
        <v/>
      </c>
      <c r="R311" s="20">
        <f>M311</f>
        <v/>
      </c>
      <c r="S311" s="93">
        <f>IF($X311="","",INDEX('sheet2-计算明细'!$AQ$17:$AQ$330,$X311))</f>
        <v/>
      </c>
      <c r="T311" s="19">
        <f>IF($X311="","",INDEX('sheet2-计算明细'!$AR$17:$AR$330,$X311))</f>
        <v/>
      </c>
      <c r="U311" s="20">
        <f>IF(S311=0,"",ROUND(T311/S311,2))</f>
        <v/>
      </c>
      <c r="V311" s="20">
        <f>IF(S311=100%,T311,"")</f>
        <v/>
      </c>
      <c r="W311" s="22">
        <f>IF($X311="","",INDEX('sheet2-计算明细'!$AU$17:$AU$330,$X311))</f>
        <v/>
      </c>
      <c r="X311" s="18">
        <f>IF($A311&gt;COUNT('sheet2-计算明细'!$AT$17:$AT$330),"",MATCH($A311,'sheet2-计算明细'!$AT$17:$AT$330,0))</f>
        <v/>
      </c>
    </row>
    <row r="312" ht="28" customHeight="1" s="73">
      <c r="A312" s="2" t="n">
        <v>307</v>
      </c>
      <c r="B312" s="18">
        <f>IF($X312="","",INDEX('sheet2-计算明细'!$B$17:$B$330,$X312))</f>
        <v/>
      </c>
      <c r="C312" s="18">
        <f>IF($X312="","",INDEX('sheet2-计算明细'!$C$17:$C$330,$X312))</f>
        <v/>
      </c>
      <c r="D312" s="18">
        <f>IF($X312="","",INDEX('sheet2-计算明细'!$D$17:$D$330,$X312))</f>
        <v/>
      </c>
      <c r="E312" s="18">
        <f>IF($X312="","",INDEX('sheet2-计算明细'!$G$17:$G$330,$X312))</f>
        <v/>
      </c>
      <c r="F312" s="19">
        <f>IF($X312="","",INDEX('sheet2-计算明细'!$I$17:$I$330,$X312))</f>
        <v/>
      </c>
      <c r="G312" s="19">
        <f>IF($X312="","",INDEX('sheet2-计算明细'!$K$17:$K$330,$X312))</f>
        <v/>
      </c>
      <c r="H312" s="19">
        <f>IF($X312="","",INDEX('sheet2-计算明细'!$L$17:$L$330,$X312))</f>
        <v/>
      </c>
      <c r="I312" s="19">
        <f>IF($X312="","",INDEX('sheet2-计算明细'!$S$17:$S$330,$X312))</f>
        <v/>
      </c>
      <c r="J312" s="19">
        <f>IF($X312="","",INDEX('sheet2-计算明细'!$Y$17:$Y$330,$X312))</f>
        <v/>
      </c>
      <c r="K312" s="19">
        <f>IF($X312="","",INDEX('sheet2-计算明细'!$AC$17:$AC$330,$X312))</f>
        <v/>
      </c>
      <c r="L312" s="19">
        <f>IF($X312="","",INDEX('sheet2-计算明细'!$AI$17:$AI$330,$X312))</f>
        <v/>
      </c>
      <c r="M312" s="19">
        <f>IF($X312="","",INDEX('sheet2-计算明细'!$AK$17:$AK$330,$X312))</f>
        <v/>
      </c>
      <c r="N312" s="20">
        <f>IF(COUNT(F312:H312)=0,"",ROUND((IF(ISNUMBER(F312),F312*40%,0)+IF(ISNUMBER(G312),G312*30%,0)+IF(ISNUMBER(H312),H312*30%,0))/(IF(ISNUMBER(F312),40%,0)+IF(ISNUMBER(G312),30%,0)+IF(ISNUMBER(H312),30%,0)),2))</f>
        <v/>
      </c>
      <c r="O312" s="20">
        <f>IF(COUNT(I312:J312)=0,"",ROUND((IF(ISNUMBER(I312),I312*70%,0)+IF(ISNUMBER(J312),J312*30%,0))/(IF(ISNUMBER(I312),70%,0)+IF(ISNUMBER(J312),30%,0)),2))</f>
        <v/>
      </c>
      <c r="P312" s="20">
        <f>K312</f>
        <v/>
      </c>
      <c r="Q312" s="20">
        <f>L312</f>
        <v/>
      </c>
      <c r="R312" s="20">
        <f>M312</f>
        <v/>
      </c>
      <c r="S312" s="93">
        <f>IF($X312="","",INDEX('sheet2-计算明细'!$AQ$17:$AQ$330,$X312))</f>
        <v/>
      </c>
      <c r="T312" s="19">
        <f>IF($X312="","",INDEX('sheet2-计算明细'!$AR$17:$AR$330,$X312))</f>
        <v/>
      </c>
      <c r="U312" s="20">
        <f>IF(S312=0,"",ROUND(T312/S312,2))</f>
        <v/>
      </c>
      <c r="V312" s="20">
        <f>IF(S312=100%,T312,"")</f>
        <v/>
      </c>
      <c r="W312" s="22">
        <f>IF($X312="","",INDEX('sheet2-计算明细'!$AU$17:$AU$330,$X312))</f>
        <v/>
      </c>
      <c r="X312" s="18">
        <f>IF($A312&gt;COUNT('sheet2-计算明细'!$AT$17:$AT$330),"",MATCH($A312,'sheet2-计算明细'!$AT$17:$AT$330,0))</f>
        <v/>
      </c>
    </row>
    <row r="313" ht="28" customHeight="1" s="73">
      <c r="A313" s="2" t="n">
        <v>308</v>
      </c>
      <c r="B313" s="18">
        <f>IF($X313="","",INDEX('sheet2-计算明细'!$B$17:$B$330,$X313))</f>
        <v/>
      </c>
      <c r="C313" s="18">
        <f>IF($X313="","",INDEX('sheet2-计算明细'!$C$17:$C$330,$X313))</f>
        <v/>
      </c>
      <c r="D313" s="18">
        <f>IF($X313="","",INDEX('sheet2-计算明细'!$D$17:$D$330,$X313))</f>
        <v/>
      </c>
      <c r="E313" s="18">
        <f>IF($X313="","",INDEX('sheet2-计算明细'!$G$17:$G$330,$X313))</f>
        <v/>
      </c>
      <c r="F313" s="19">
        <f>IF($X313="","",INDEX('sheet2-计算明细'!$I$17:$I$330,$X313))</f>
        <v/>
      </c>
      <c r="G313" s="19">
        <f>IF($X313="","",INDEX('sheet2-计算明细'!$K$17:$K$330,$X313))</f>
        <v/>
      </c>
      <c r="H313" s="19">
        <f>IF($X313="","",INDEX('sheet2-计算明细'!$L$17:$L$330,$X313))</f>
        <v/>
      </c>
      <c r="I313" s="19">
        <f>IF($X313="","",INDEX('sheet2-计算明细'!$S$17:$S$330,$X313))</f>
        <v/>
      </c>
      <c r="J313" s="19">
        <f>IF($X313="","",INDEX('sheet2-计算明细'!$Y$17:$Y$330,$X313))</f>
        <v/>
      </c>
      <c r="K313" s="19">
        <f>IF($X313="","",INDEX('sheet2-计算明细'!$AC$17:$AC$330,$X313))</f>
        <v/>
      </c>
      <c r="L313" s="19">
        <f>IF($X313="","",INDEX('sheet2-计算明细'!$AI$17:$AI$330,$X313))</f>
        <v/>
      </c>
      <c r="M313" s="19">
        <f>IF($X313="","",INDEX('sheet2-计算明细'!$AK$17:$AK$330,$X313))</f>
        <v/>
      </c>
      <c r="N313" s="20">
        <f>IF(COUNT(F313:H313)=0,"",ROUND((IF(ISNUMBER(F313),F313*40%,0)+IF(ISNUMBER(G313),G313*30%,0)+IF(ISNUMBER(H313),H313*30%,0))/(IF(ISNUMBER(F313),40%,0)+IF(ISNUMBER(G313),30%,0)+IF(ISNUMBER(H313),30%,0)),2))</f>
        <v/>
      </c>
      <c r="O313" s="20">
        <f>IF(COUNT(I313:J313)=0,"",ROUND((IF(ISNUMBER(I313),I313*70%,0)+IF(ISNUMBER(J313),J313*30%,0))/(IF(ISNUMBER(I313),70%,0)+IF(ISNUMBER(J313),30%,0)),2))</f>
        <v/>
      </c>
      <c r="P313" s="20">
        <f>K313</f>
        <v/>
      </c>
      <c r="Q313" s="20">
        <f>L313</f>
        <v/>
      </c>
      <c r="R313" s="20">
        <f>M313</f>
        <v/>
      </c>
      <c r="S313" s="93">
        <f>IF($X313="","",INDEX('sheet2-计算明细'!$AQ$17:$AQ$330,$X313))</f>
        <v/>
      </c>
      <c r="T313" s="19">
        <f>IF($X313="","",INDEX('sheet2-计算明细'!$AR$17:$AR$330,$X313))</f>
        <v/>
      </c>
      <c r="U313" s="20">
        <f>IF(S313=0,"",ROUND(T313/S313,2))</f>
        <v/>
      </c>
      <c r="V313" s="20">
        <f>IF(S313=100%,T313,"")</f>
        <v/>
      </c>
      <c r="W313" s="22">
        <f>IF($X313="","",INDEX('sheet2-计算明细'!$AU$17:$AU$330,$X313))</f>
        <v/>
      </c>
      <c r="X313" s="18">
        <f>IF($A313&gt;COUNT('sheet2-计算明细'!$AT$17:$AT$330),"",MATCH($A313,'sheet2-计算明细'!$AT$17:$AT$330,0))</f>
        <v/>
      </c>
    </row>
    <row r="314" ht="28" customHeight="1" s="73">
      <c r="A314" s="2" t="n">
        <v>309</v>
      </c>
      <c r="B314" s="18">
        <f>IF($X314="","",INDEX('sheet2-计算明细'!$B$17:$B$330,$X314))</f>
        <v/>
      </c>
      <c r="C314" s="18">
        <f>IF($X314="","",INDEX('sheet2-计算明细'!$C$17:$C$330,$X314))</f>
        <v/>
      </c>
      <c r="D314" s="18">
        <f>IF($X314="","",INDEX('sheet2-计算明细'!$D$17:$D$330,$X314))</f>
        <v/>
      </c>
      <c r="E314" s="18">
        <f>IF($X314="","",INDEX('sheet2-计算明细'!$G$17:$G$330,$X314))</f>
        <v/>
      </c>
      <c r="F314" s="19">
        <f>IF($X314="","",INDEX('sheet2-计算明细'!$I$17:$I$330,$X314))</f>
        <v/>
      </c>
      <c r="G314" s="19">
        <f>IF($X314="","",INDEX('sheet2-计算明细'!$K$17:$K$330,$X314))</f>
        <v/>
      </c>
      <c r="H314" s="19">
        <f>IF($X314="","",INDEX('sheet2-计算明细'!$L$17:$L$330,$X314))</f>
        <v/>
      </c>
      <c r="I314" s="19">
        <f>IF($X314="","",INDEX('sheet2-计算明细'!$S$17:$S$330,$X314))</f>
        <v/>
      </c>
      <c r="J314" s="19">
        <f>IF($X314="","",INDEX('sheet2-计算明细'!$Y$17:$Y$330,$X314))</f>
        <v/>
      </c>
      <c r="K314" s="19">
        <f>IF($X314="","",INDEX('sheet2-计算明细'!$AC$17:$AC$330,$X314))</f>
        <v/>
      </c>
      <c r="L314" s="19">
        <f>IF($X314="","",INDEX('sheet2-计算明细'!$AI$17:$AI$330,$X314))</f>
        <v/>
      </c>
      <c r="M314" s="19">
        <f>IF($X314="","",INDEX('sheet2-计算明细'!$AK$17:$AK$330,$X314))</f>
        <v/>
      </c>
      <c r="N314" s="20">
        <f>IF(COUNT(F314:H314)=0,"",ROUND((IF(ISNUMBER(F314),F314*40%,0)+IF(ISNUMBER(G314),G314*30%,0)+IF(ISNUMBER(H314),H314*30%,0))/(IF(ISNUMBER(F314),40%,0)+IF(ISNUMBER(G314),30%,0)+IF(ISNUMBER(H314),30%,0)),2))</f>
        <v/>
      </c>
      <c r="O314" s="20">
        <f>IF(COUNT(I314:J314)=0,"",ROUND((IF(ISNUMBER(I314),I314*70%,0)+IF(ISNUMBER(J314),J314*30%,0))/(IF(ISNUMBER(I314),70%,0)+IF(ISNUMBER(J314),30%,0)),2))</f>
        <v/>
      </c>
      <c r="P314" s="20">
        <f>K314</f>
        <v/>
      </c>
      <c r="Q314" s="20">
        <f>L314</f>
        <v/>
      </c>
      <c r="R314" s="20">
        <f>M314</f>
        <v/>
      </c>
      <c r="S314" s="93">
        <f>IF($X314="","",INDEX('sheet2-计算明细'!$AQ$17:$AQ$330,$X314))</f>
        <v/>
      </c>
      <c r="T314" s="19">
        <f>IF($X314="","",INDEX('sheet2-计算明细'!$AR$17:$AR$330,$X314))</f>
        <v/>
      </c>
      <c r="U314" s="20">
        <f>IF(S314=0,"",ROUND(T314/S314,2))</f>
        <v/>
      </c>
      <c r="V314" s="20">
        <f>IF(S314=100%,T314,"")</f>
        <v/>
      </c>
      <c r="W314" s="22">
        <f>IF($X314="","",INDEX('sheet2-计算明细'!$AU$17:$AU$330,$X314))</f>
        <v/>
      </c>
      <c r="X314" s="18">
        <f>IF($A314&gt;COUNT('sheet2-计算明细'!$AT$17:$AT$330),"",MATCH($A314,'sheet2-计算明细'!$AT$17:$AT$330,0))</f>
        <v/>
      </c>
    </row>
    <row r="315" ht="28" customHeight="1" s="73">
      <c r="A315" s="2" t="n">
        <v>310</v>
      </c>
      <c r="B315" s="18">
        <f>IF($X315="","",INDEX('sheet2-计算明细'!$B$17:$B$330,$X315))</f>
        <v/>
      </c>
      <c r="C315" s="18">
        <f>IF($X315="","",INDEX('sheet2-计算明细'!$C$17:$C$330,$X315))</f>
        <v/>
      </c>
      <c r="D315" s="18">
        <f>IF($X315="","",INDEX('sheet2-计算明细'!$D$17:$D$330,$X315))</f>
        <v/>
      </c>
      <c r="E315" s="18">
        <f>IF($X315="","",INDEX('sheet2-计算明细'!$G$17:$G$330,$X315))</f>
        <v/>
      </c>
      <c r="F315" s="19">
        <f>IF($X315="","",INDEX('sheet2-计算明细'!$I$17:$I$330,$X315))</f>
        <v/>
      </c>
      <c r="G315" s="19">
        <f>IF($X315="","",INDEX('sheet2-计算明细'!$K$17:$K$330,$X315))</f>
        <v/>
      </c>
      <c r="H315" s="19">
        <f>IF($X315="","",INDEX('sheet2-计算明细'!$L$17:$L$330,$X315))</f>
        <v/>
      </c>
      <c r="I315" s="19">
        <f>IF($X315="","",INDEX('sheet2-计算明细'!$S$17:$S$330,$X315))</f>
        <v/>
      </c>
      <c r="J315" s="19">
        <f>IF($X315="","",INDEX('sheet2-计算明细'!$Y$17:$Y$330,$X315))</f>
        <v/>
      </c>
      <c r="K315" s="19">
        <f>IF($X315="","",INDEX('sheet2-计算明细'!$AC$17:$AC$330,$X315))</f>
        <v/>
      </c>
      <c r="L315" s="19">
        <f>IF($X315="","",INDEX('sheet2-计算明细'!$AI$17:$AI$330,$X315))</f>
        <v/>
      </c>
      <c r="M315" s="19">
        <f>IF($X315="","",INDEX('sheet2-计算明细'!$AK$17:$AK$330,$X315))</f>
        <v/>
      </c>
      <c r="N315" s="20">
        <f>IF(COUNT(F315:H315)=0,"",ROUND((IF(ISNUMBER(F315),F315*40%,0)+IF(ISNUMBER(G315),G315*30%,0)+IF(ISNUMBER(H315),H315*30%,0))/(IF(ISNUMBER(F315),40%,0)+IF(ISNUMBER(G315),30%,0)+IF(ISNUMBER(H315),30%,0)),2))</f>
        <v/>
      </c>
      <c r="O315" s="20">
        <f>IF(COUNT(I315:J315)=0,"",ROUND((IF(ISNUMBER(I315),I315*70%,0)+IF(ISNUMBER(J315),J315*30%,0))/(IF(ISNUMBER(I315),70%,0)+IF(ISNUMBER(J315),30%,0)),2))</f>
        <v/>
      </c>
      <c r="P315" s="20">
        <f>K315</f>
        <v/>
      </c>
      <c r="Q315" s="20">
        <f>L315</f>
        <v/>
      </c>
      <c r="R315" s="20">
        <f>M315</f>
        <v/>
      </c>
      <c r="S315" s="93">
        <f>IF($X315="","",INDEX('sheet2-计算明细'!$AQ$17:$AQ$330,$X315))</f>
        <v/>
      </c>
      <c r="T315" s="19">
        <f>IF($X315="","",INDEX('sheet2-计算明细'!$AR$17:$AR$330,$X315))</f>
        <v/>
      </c>
      <c r="U315" s="20">
        <f>IF(S315=0,"",ROUND(T315/S315,2))</f>
        <v/>
      </c>
      <c r="V315" s="20">
        <f>IF(S315=100%,T315,"")</f>
        <v/>
      </c>
      <c r="W315" s="22">
        <f>IF($X315="","",INDEX('sheet2-计算明细'!$AU$17:$AU$330,$X315))</f>
        <v/>
      </c>
      <c r="X315" s="18">
        <f>IF($A315&gt;COUNT('sheet2-计算明细'!$AT$17:$AT$330),"",MATCH($A315,'sheet2-计算明细'!$AT$17:$AT$330,0))</f>
        <v/>
      </c>
    </row>
    <row r="316" ht="28" customHeight="1" s="73">
      <c r="A316" s="2" t="n">
        <v>311</v>
      </c>
      <c r="B316" s="18">
        <f>IF($X316="","",INDEX('sheet2-计算明细'!$B$17:$B$330,$X316))</f>
        <v/>
      </c>
      <c r="C316" s="18">
        <f>IF($X316="","",INDEX('sheet2-计算明细'!$C$17:$C$330,$X316))</f>
        <v/>
      </c>
      <c r="D316" s="18">
        <f>IF($X316="","",INDEX('sheet2-计算明细'!$D$17:$D$330,$X316))</f>
        <v/>
      </c>
      <c r="E316" s="18">
        <f>IF($X316="","",INDEX('sheet2-计算明细'!$G$17:$G$330,$X316))</f>
        <v/>
      </c>
      <c r="F316" s="19">
        <f>IF($X316="","",INDEX('sheet2-计算明细'!$I$17:$I$330,$X316))</f>
        <v/>
      </c>
      <c r="G316" s="19">
        <f>IF($X316="","",INDEX('sheet2-计算明细'!$K$17:$K$330,$X316))</f>
        <v/>
      </c>
      <c r="H316" s="19">
        <f>IF($X316="","",INDEX('sheet2-计算明细'!$L$17:$L$330,$X316))</f>
        <v/>
      </c>
      <c r="I316" s="19">
        <f>IF($X316="","",INDEX('sheet2-计算明细'!$S$17:$S$330,$X316))</f>
        <v/>
      </c>
      <c r="J316" s="19">
        <f>IF($X316="","",INDEX('sheet2-计算明细'!$Y$17:$Y$330,$X316))</f>
        <v/>
      </c>
      <c r="K316" s="19">
        <f>IF($X316="","",INDEX('sheet2-计算明细'!$AC$17:$AC$330,$X316))</f>
        <v/>
      </c>
      <c r="L316" s="19">
        <f>IF($X316="","",INDEX('sheet2-计算明细'!$AI$17:$AI$330,$X316))</f>
        <v/>
      </c>
      <c r="M316" s="19">
        <f>IF($X316="","",INDEX('sheet2-计算明细'!$AK$17:$AK$330,$X316))</f>
        <v/>
      </c>
      <c r="N316" s="20">
        <f>IF(COUNT(F316:H316)=0,"",ROUND((IF(ISNUMBER(F316),F316*40%,0)+IF(ISNUMBER(G316),G316*30%,0)+IF(ISNUMBER(H316),H316*30%,0))/(IF(ISNUMBER(F316),40%,0)+IF(ISNUMBER(G316),30%,0)+IF(ISNUMBER(H316),30%,0)),2))</f>
        <v/>
      </c>
      <c r="O316" s="20">
        <f>IF(COUNT(I316:J316)=0,"",ROUND((IF(ISNUMBER(I316),I316*70%,0)+IF(ISNUMBER(J316),J316*30%,0))/(IF(ISNUMBER(I316),70%,0)+IF(ISNUMBER(J316),30%,0)),2))</f>
        <v/>
      </c>
      <c r="P316" s="20">
        <f>K316</f>
        <v/>
      </c>
      <c r="Q316" s="20">
        <f>L316</f>
        <v/>
      </c>
      <c r="R316" s="20">
        <f>M316</f>
        <v/>
      </c>
      <c r="S316" s="93">
        <f>IF($X316="","",INDEX('sheet2-计算明细'!$AQ$17:$AQ$330,$X316))</f>
        <v/>
      </c>
      <c r="T316" s="19">
        <f>IF($X316="","",INDEX('sheet2-计算明细'!$AR$17:$AR$330,$X316))</f>
        <v/>
      </c>
      <c r="U316" s="20">
        <f>IF(S316=0,"",ROUND(T316/S316,2))</f>
        <v/>
      </c>
      <c r="V316" s="20">
        <f>IF(S316=100%,T316,"")</f>
        <v/>
      </c>
      <c r="W316" s="22">
        <f>IF($X316="","",INDEX('sheet2-计算明细'!$AU$17:$AU$330,$X316))</f>
        <v/>
      </c>
      <c r="X316" s="18">
        <f>IF($A316&gt;COUNT('sheet2-计算明细'!$AT$17:$AT$330),"",MATCH($A316,'sheet2-计算明细'!$AT$17:$AT$330,0))</f>
        <v/>
      </c>
    </row>
    <row r="317" ht="28" customHeight="1" s="73">
      <c r="A317" s="2" t="n">
        <v>312</v>
      </c>
      <c r="B317" s="18">
        <f>IF($X317="","",INDEX('sheet2-计算明细'!$B$17:$B$330,$X317))</f>
        <v/>
      </c>
      <c r="C317" s="18">
        <f>IF($X317="","",INDEX('sheet2-计算明细'!$C$17:$C$330,$X317))</f>
        <v/>
      </c>
      <c r="D317" s="18">
        <f>IF($X317="","",INDEX('sheet2-计算明细'!$D$17:$D$330,$X317))</f>
        <v/>
      </c>
      <c r="E317" s="18">
        <f>IF($X317="","",INDEX('sheet2-计算明细'!$G$17:$G$330,$X317))</f>
        <v/>
      </c>
      <c r="F317" s="19">
        <f>IF($X317="","",INDEX('sheet2-计算明细'!$I$17:$I$330,$X317))</f>
        <v/>
      </c>
      <c r="G317" s="19">
        <f>IF($X317="","",INDEX('sheet2-计算明细'!$K$17:$K$330,$X317))</f>
        <v/>
      </c>
      <c r="H317" s="19">
        <f>IF($X317="","",INDEX('sheet2-计算明细'!$L$17:$L$330,$X317))</f>
        <v/>
      </c>
      <c r="I317" s="19">
        <f>IF($X317="","",INDEX('sheet2-计算明细'!$S$17:$S$330,$X317))</f>
        <v/>
      </c>
      <c r="J317" s="19">
        <f>IF($X317="","",INDEX('sheet2-计算明细'!$Y$17:$Y$330,$X317))</f>
        <v/>
      </c>
      <c r="K317" s="19">
        <f>IF($X317="","",INDEX('sheet2-计算明细'!$AC$17:$AC$330,$X317))</f>
        <v/>
      </c>
      <c r="L317" s="19">
        <f>IF($X317="","",INDEX('sheet2-计算明细'!$AI$17:$AI$330,$X317))</f>
        <v/>
      </c>
      <c r="M317" s="19">
        <f>IF($X317="","",INDEX('sheet2-计算明细'!$AK$17:$AK$330,$X317))</f>
        <v/>
      </c>
      <c r="N317" s="20">
        <f>IF(COUNT(F317:H317)=0,"",ROUND((IF(ISNUMBER(F317),F317*40%,0)+IF(ISNUMBER(G317),G317*30%,0)+IF(ISNUMBER(H317),H317*30%,0))/(IF(ISNUMBER(F317),40%,0)+IF(ISNUMBER(G317),30%,0)+IF(ISNUMBER(H317),30%,0)),2))</f>
        <v/>
      </c>
      <c r="O317" s="20">
        <f>IF(COUNT(I317:J317)=0,"",ROUND((IF(ISNUMBER(I317),I317*70%,0)+IF(ISNUMBER(J317),J317*30%,0))/(IF(ISNUMBER(I317),70%,0)+IF(ISNUMBER(J317),30%,0)),2))</f>
        <v/>
      </c>
      <c r="P317" s="20">
        <f>K317</f>
        <v/>
      </c>
      <c r="Q317" s="20">
        <f>L317</f>
        <v/>
      </c>
      <c r="R317" s="20">
        <f>M317</f>
        <v/>
      </c>
      <c r="S317" s="93">
        <f>IF($X317="","",INDEX('sheet2-计算明细'!$AQ$17:$AQ$330,$X317))</f>
        <v/>
      </c>
      <c r="T317" s="19">
        <f>IF($X317="","",INDEX('sheet2-计算明细'!$AR$17:$AR$330,$X317))</f>
        <v/>
      </c>
      <c r="U317" s="20">
        <f>IF(S317=0,"",ROUND(T317/S317,2))</f>
        <v/>
      </c>
      <c r="V317" s="20">
        <f>IF(S317=100%,T317,"")</f>
        <v/>
      </c>
      <c r="W317" s="22">
        <f>IF($X317="","",INDEX('sheet2-计算明细'!$AU$17:$AU$330,$X317))</f>
        <v/>
      </c>
      <c r="X317" s="18">
        <f>IF($A317&gt;COUNT('sheet2-计算明细'!$AT$17:$AT$330),"",MATCH($A317,'sheet2-计算明细'!$AT$17:$AT$330,0))</f>
        <v/>
      </c>
    </row>
    <row r="318" ht="28" customHeight="1" s="73">
      <c r="A318" s="2" t="n">
        <v>313</v>
      </c>
      <c r="B318" s="18">
        <f>IF($X318="","",INDEX('sheet2-计算明细'!$B$17:$B$330,$X318))</f>
        <v/>
      </c>
      <c r="C318" s="18">
        <f>IF($X318="","",INDEX('sheet2-计算明细'!$C$17:$C$330,$X318))</f>
        <v/>
      </c>
      <c r="D318" s="18">
        <f>IF($X318="","",INDEX('sheet2-计算明细'!$D$17:$D$330,$X318))</f>
        <v/>
      </c>
      <c r="E318" s="18">
        <f>IF($X318="","",INDEX('sheet2-计算明细'!$G$17:$G$330,$X318))</f>
        <v/>
      </c>
      <c r="F318" s="19">
        <f>IF($X318="","",INDEX('sheet2-计算明细'!$I$17:$I$330,$X318))</f>
        <v/>
      </c>
      <c r="G318" s="19">
        <f>IF($X318="","",INDEX('sheet2-计算明细'!$K$17:$K$330,$X318))</f>
        <v/>
      </c>
      <c r="H318" s="19">
        <f>IF($X318="","",INDEX('sheet2-计算明细'!$L$17:$L$330,$X318))</f>
        <v/>
      </c>
      <c r="I318" s="19">
        <f>IF($X318="","",INDEX('sheet2-计算明细'!$S$17:$S$330,$X318))</f>
        <v/>
      </c>
      <c r="J318" s="19">
        <f>IF($X318="","",INDEX('sheet2-计算明细'!$Y$17:$Y$330,$X318))</f>
        <v/>
      </c>
      <c r="K318" s="19">
        <f>IF($X318="","",INDEX('sheet2-计算明细'!$AC$17:$AC$330,$X318))</f>
        <v/>
      </c>
      <c r="L318" s="19">
        <f>IF($X318="","",INDEX('sheet2-计算明细'!$AI$17:$AI$330,$X318))</f>
        <v/>
      </c>
      <c r="M318" s="19">
        <f>IF($X318="","",INDEX('sheet2-计算明细'!$AK$17:$AK$330,$X318))</f>
        <v/>
      </c>
      <c r="N318" s="20">
        <f>IF(COUNT(F318:H318)=0,"",ROUND((IF(ISNUMBER(F318),F318*40%,0)+IF(ISNUMBER(G318),G318*30%,0)+IF(ISNUMBER(H318),H318*30%,0))/(IF(ISNUMBER(F318),40%,0)+IF(ISNUMBER(G318),30%,0)+IF(ISNUMBER(H318),30%,0)),2))</f>
        <v/>
      </c>
      <c r="O318" s="20">
        <f>IF(COUNT(I318:J318)=0,"",ROUND((IF(ISNUMBER(I318),I318*70%,0)+IF(ISNUMBER(J318),J318*30%,0))/(IF(ISNUMBER(I318),70%,0)+IF(ISNUMBER(J318),30%,0)),2))</f>
        <v/>
      </c>
      <c r="P318" s="20">
        <f>K318</f>
        <v/>
      </c>
      <c r="Q318" s="20">
        <f>L318</f>
        <v/>
      </c>
      <c r="R318" s="20">
        <f>M318</f>
        <v/>
      </c>
      <c r="S318" s="93">
        <f>IF($X318="","",INDEX('sheet2-计算明细'!$AQ$17:$AQ$330,$X318))</f>
        <v/>
      </c>
      <c r="T318" s="19">
        <f>IF($X318="","",INDEX('sheet2-计算明细'!$AR$17:$AR$330,$X318))</f>
        <v/>
      </c>
      <c r="U318" s="20">
        <f>IF(S318=0,"",ROUND(T318/S318,2))</f>
        <v/>
      </c>
      <c r="V318" s="20">
        <f>IF(S318=100%,T318,"")</f>
        <v/>
      </c>
      <c r="W318" s="22">
        <f>IF($X318="","",INDEX('sheet2-计算明细'!$AU$17:$AU$330,$X318))</f>
        <v/>
      </c>
      <c r="X318" s="18">
        <f>IF($A318&gt;COUNT('sheet2-计算明细'!$AT$17:$AT$330),"",MATCH($A318,'sheet2-计算明细'!$AT$17:$AT$330,0))</f>
        <v/>
      </c>
    </row>
    <row r="319" ht="28" customHeight="1" s="73">
      <c r="A319" s="2" t="n">
        <v>314</v>
      </c>
      <c r="B319" s="18">
        <f>IF($X319="","",INDEX('sheet2-计算明细'!$B$17:$B$330,$X319))</f>
        <v/>
      </c>
      <c r="C319" s="18">
        <f>IF($X319="","",INDEX('sheet2-计算明细'!$C$17:$C$330,$X319))</f>
        <v/>
      </c>
      <c r="D319" s="18">
        <f>IF($X319="","",INDEX('sheet2-计算明细'!$D$17:$D$330,$X319))</f>
        <v/>
      </c>
      <c r="E319" s="18">
        <f>IF($X319="","",INDEX('sheet2-计算明细'!$G$17:$G$330,$X319))</f>
        <v/>
      </c>
      <c r="F319" s="19">
        <f>IF($X319="","",INDEX('sheet2-计算明细'!$I$17:$I$330,$X319))</f>
        <v/>
      </c>
      <c r="G319" s="19">
        <f>IF($X319="","",INDEX('sheet2-计算明细'!$K$17:$K$330,$X319))</f>
        <v/>
      </c>
      <c r="H319" s="19">
        <f>IF($X319="","",INDEX('sheet2-计算明细'!$L$17:$L$330,$X319))</f>
        <v/>
      </c>
      <c r="I319" s="19">
        <f>IF($X319="","",INDEX('sheet2-计算明细'!$S$17:$S$330,$X319))</f>
        <v/>
      </c>
      <c r="J319" s="19">
        <f>IF($X319="","",INDEX('sheet2-计算明细'!$Y$17:$Y$330,$X319))</f>
        <v/>
      </c>
      <c r="K319" s="19">
        <f>IF($X319="","",INDEX('sheet2-计算明细'!$AC$17:$AC$330,$X319))</f>
        <v/>
      </c>
      <c r="L319" s="19">
        <f>IF($X319="","",INDEX('sheet2-计算明细'!$AI$17:$AI$330,$X319))</f>
        <v/>
      </c>
      <c r="M319" s="19">
        <f>IF($X319="","",INDEX('sheet2-计算明细'!$AK$17:$AK$330,$X319))</f>
        <v/>
      </c>
      <c r="N319" s="20">
        <f>IF(COUNT(F319:H319)=0,"",ROUND((IF(ISNUMBER(F319),F319*40%,0)+IF(ISNUMBER(G319),G319*30%,0)+IF(ISNUMBER(H319),H319*30%,0))/(IF(ISNUMBER(F319),40%,0)+IF(ISNUMBER(G319),30%,0)+IF(ISNUMBER(H319),30%,0)),2))</f>
        <v/>
      </c>
      <c r="O319" s="20">
        <f>IF(COUNT(I319:J319)=0,"",ROUND((IF(ISNUMBER(I319),I319*70%,0)+IF(ISNUMBER(J319),J319*30%,0))/(IF(ISNUMBER(I319),70%,0)+IF(ISNUMBER(J319),30%,0)),2))</f>
        <v/>
      </c>
      <c r="P319" s="20">
        <f>K319</f>
        <v/>
      </c>
      <c r="Q319" s="20">
        <f>L319</f>
        <v/>
      </c>
      <c r="R319" s="20">
        <f>M319</f>
        <v/>
      </c>
      <c r="S319" s="93">
        <f>IF($X319="","",INDEX('sheet2-计算明细'!$AQ$17:$AQ$330,$X319))</f>
        <v/>
      </c>
      <c r="T319" s="19">
        <f>IF($X319="","",INDEX('sheet2-计算明细'!$AR$17:$AR$330,$X319))</f>
        <v/>
      </c>
      <c r="U319" s="20">
        <f>IF(S319=0,"",ROUND(T319/S319,2))</f>
        <v/>
      </c>
      <c r="V319" s="20">
        <f>IF(S319=100%,T319,"")</f>
        <v/>
      </c>
      <c r="W319" s="22">
        <f>IF($X319="","",INDEX('sheet2-计算明细'!$AU$17:$AU$330,$X319))</f>
        <v/>
      </c>
      <c r="X319" s="18">
        <f>IF($A319&gt;COUNT('sheet2-计算明细'!$AT$17:$AT$330),"",MATCH($A319,'sheet2-计算明细'!$AT$17:$AT$330,0))</f>
        <v/>
      </c>
    </row>
  </sheetData>
  <mergeCells count="4">
    <mergeCell ref="S4:X4"/>
    <mergeCell ref="N4:R4"/>
    <mergeCell ref="A4:E4"/>
    <mergeCell ref="F4:M4"/>
  </mergeCells>
  <conditionalFormatting sqref="U6:U3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3"/>
  <sheetViews>
    <sheetView workbookViewId="0">
      <pane ySplit="1" topLeftCell="A2" activePane="bottomLeft" state="frozen"/>
      <selection activeCell="A1" sqref="A1"/>
      <selection pane="bottomLeft" activeCell="D39" sqref="D39"/>
    </sheetView>
  </sheetViews>
  <sheetFormatPr baseColWidth="8" defaultColWidth="9" defaultRowHeight="14.25"/>
  <cols>
    <col width="28" customWidth="1" style="73" min="1" max="1"/>
    <col width="13" customWidth="1" style="73" min="2" max="2"/>
    <col width="14" customWidth="1" style="73" min="3" max="3"/>
    <col width="16" customWidth="1" style="73" min="4" max="4"/>
    <col width="22" customWidth="1" style="73" min="5" max="5"/>
    <col width="13" customWidth="1" style="73" min="6" max="6"/>
    <col width="16" customWidth="1" style="73" min="7" max="8"/>
    <col width="15" customWidth="1" style="73" min="9" max="10"/>
    <col width="16" customWidth="1" style="73" min="11" max="14"/>
  </cols>
  <sheetData>
    <row r="1" ht="28" customHeight="1" s="73">
      <c r="A1" s="1" t="inlineStr">
        <is>
          <t>产品名称</t>
        </is>
      </c>
      <c r="B1" s="1" t="inlineStr">
        <is>
          <t>备案号</t>
        </is>
      </c>
      <c r="C1" s="1" t="inlineStr">
        <is>
          <t>一级策略</t>
        </is>
      </c>
      <c r="D1" s="1" t="inlineStr">
        <is>
          <t>二级策略</t>
        </is>
      </c>
      <c r="E1" s="1" t="inlineStr">
        <is>
          <t>管理人</t>
        </is>
      </c>
      <c r="F1" s="1" t="inlineStr">
        <is>
          <t>成立日期</t>
        </is>
      </c>
      <c r="G1" s="1" t="inlineStr">
        <is>
          <t>近一年年化收益</t>
        </is>
      </c>
      <c r="H1" s="1" t="inlineStr">
        <is>
          <t>近三年年化收益</t>
        </is>
      </c>
      <c r="I1" s="1" t="inlineStr">
        <is>
          <t>近三年月胜率</t>
        </is>
      </c>
      <c r="J1" s="1" t="inlineStr">
        <is>
          <t>近一年月胜率</t>
        </is>
      </c>
      <c r="K1" s="1" t="inlineStr">
        <is>
          <t>近三年最大回撤</t>
        </is>
      </c>
      <c r="L1" s="1" t="inlineStr">
        <is>
          <t>近三年卡玛比率</t>
        </is>
      </c>
      <c r="M1" s="1" t="inlineStr">
        <is>
          <t>近一年卡玛比率</t>
        </is>
      </c>
      <c r="N1" s="1" t="inlineStr">
        <is>
          <t>基准指数</t>
        </is>
      </c>
    </row>
    <row r="2">
      <c r="A2" s="2" t="inlineStr">
        <is>
          <t>新视野智能量化2号</t>
        </is>
      </c>
      <c r="B2" s="2" t="inlineStr">
        <is>
          <t>SR2759</t>
        </is>
      </c>
      <c r="C2" s="2" t="inlineStr">
        <is>
          <t>套利策略</t>
        </is>
      </c>
      <c r="D2" s="2" t="inlineStr">
        <is>
          <t>可转债套利</t>
        </is>
      </c>
      <c r="E2" s="2" t="inlineStr">
        <is>
          <t>杭州探融投资</t>
        </is>
      </c>
      <c r="F2" s="2" t="inlineStr">
        <is>
          <t>2017-01-09</t>
        </is>
      </c>
      <c r="G2" s="2" t="inlineStr">
        <is>
          <t>-2.0400%</t>
        </is>
      </c>
      <c r="H2" s="2" t="inlineStr">
        <is>
          <t>2.0500%</t>
        </is>
      </c>
      <c r="I2" s="2" t="inlineStr">
        <is>
          <t>54.0500%</t>
        </is>
      </c>
      <c r="J2" s="2" t="inlineStr">
        <is>
          <t>38.4600%</t>
        </is>
      </c>
      <c r="K2" s="2" t="inlineStr">
        <is>
          <t>5.5400%</t>
        </is>
      </c>
      <c r="L2" s="2" t="n">
        <v>0.37</v>
      </c>
      <c r="M2" s="2" t="n">
        <v>-0.369</v>
      </c>
      <c r="N2" s="2" t="inlineStr">
        <is>
          <t>沪深300</t>
        </is>
      </c>
      <c r="O2" t="inlineStr">
        <is>
          <t>2026-08-31</t>
        </is>
      </c>
      <c r="P2" t="inlineStr">
        <is>
          <t>2026-09-15</t>
        </is>
      </c>
    </row>
    <row r="3">
      <c r="A3" s="2" t="inlineStr">
        <is>
          <t>探融新视野智能量化1号</t>
        </is>
      </c>
      <c r="B3" s="2" t="inlineStr">
        <is>
          <t>SL8089</t>
        </is>
      </c>
      <c r="C3" s="2" t="inlineStr">
        <is>
          <t>套利策略</t>
        </is>
      </c>
      <c r="D3" s="2" t="inlineStr">
        <is>
          <t>可转债套利</t>
        </is>
      </c>
      <c r="E3" s="2" t="inlineStr">
        <is>
          <t>杭州探融投资</t>
        </is>
      </c>
      <c r="F3" s="2" t="inlineStr">
        <is>
          <t>2016-09-22</t>
        </is>
      </c>
      <c r="G3" s="2" t="inlineStr">
        <is>
          <t>-0.4800%</t>
        </is>
      </c>
      <c r="H3" s="2" t="inlineStr">
        <is>
          <t>1.2300%</t>
        </is>
      </c>
      <c r="I3" s="2" t="inlineStr">
        <is>
          <t>56.7600%</t>
        </is>
      </c>
      <c r="J3" s="2" t="inlineStr">
        <is>
          <t>38.4600%</t>
        </is>
      </c>
      <c r="K3" s="2" t="inlineStr">
        <is>
          <t>2.5100%</t>
        </is>
      </c>
      <c r="L3" s="2" t="n">
        <v>0.4906</v>
      </c>
      <c r="M3" s="2" t="n">
        <v>-0.19</v>
      </c>
      <c r="N3" s="2" t="inlineStr">
        <is>
          <t>沪深300</t>
        </is>
      </c>
      <c r="O3" t="inlineStr">
        <is>
          <t>2026-08-31</t>
        </is>
      </c>
      <c r="P3" t="inlineStr">
        <is>
          <t>2026-09-15</t>
        </is>
      </c>
    </row>
    <row r="4">
      <c r="A4" s="2" t="inlineStr">
        <is>
          <t>辉毅4号</t>
        </is>
      </c>
      <c r="B4" s="2" t="inlineStr">
        <is>
          <t>SM4445</t>
        </is>
      </c>
      <c r="C4" s="2" t="inlineStr">
        <is>
          <t>套利策略</t>
        </is>
      </c>
      <c r="D4" s="2" t="inlineStr">
        <is>
          <t>期权套利</t>
        </is>
      </c>
      <c r="E4" s="2" t="inlineStr">
        <is>
          <t>上海申毅投资</t>
        </is>
      </c>
      <c r="F4" s="2" t="inlineStr">
        <is>
          <t>2016-09-14</t>
        </is>
      </c>
      <c r="G4" s="2" t="inlineStr">
        <is>
          <t>-0.2500%</t>
        </is>
      </c>
      <c r="H4" s="2" t="inlineStr">
        <is>
          <t>4.8800%</t>
        </is>
      </c>
      <c r="I4" s="2" t="inlineStr">
        <is>
          <t>75.6800%</t>
        </is>
      </c>
      <c r="J4" s="2" t="inlineStr">
        <is>
          <t>46.1500%</t>
        </is>
      </c>
      <c r="K4" s="2" t="inlineStr">
        <is>
          <t>2.4600%</t>
        </is>
      </c>
      <c r="L4" s="2" t="n">
        <v>1.9851</v>
      </c>
      <c r="M4" s="2" t="n">
        <v>-0.1026</v>
      </c>
      <c r="N4" s="2" t="inlineStr">
        <is>
          <t>沪深300</t>
        </is>
      </c>
      <c r="O4" t="inlineStr">
        <is>
          <t>2026-08-31</t>
        </is>
      </c>
      <c r="P4" t="inlineStr">
        <is>
          <t>2026-09-15</t>
        </is>
      </c>
    </row>
    <row r="5">
      <c r="A5" s="2" t="inlineStr">
        <is>
          <t>平凡悟鑫</t>
        </is>
      </c>
      <c r="B5" s="2" t="inlineStr">
        <is>
          <t>SJ2870</t>
        </is>
      </c>
      <c r="C5" s="2" t="inlineStr">
        <is>
          <t>套利策略</t>
        </is>
      </c>
      <c r="D5" s="2" t="inlineStr">
        <is>
          <t>基金套利</t>
        </is>
      </c>
      <c r="E5" s="2" t="inlineStr">
        <is>
          <t>北京平凡</t>
        </is>
      </c>
      <c r="F5" s="2" t="inlineStr">
        <is>
          <t>2016-04-19</t>
        </is>
      </c>
      <c r="G5" s="2" t="inlineStr">
        <is>
          <t>6.0700%</t>
        </is>
      </c>
      <c r="H5" s="2" t="inlineStr">
        <is>
          <t>6.4900%</t>
        </is>
      </c>
      <c r="I5" s="2" t="inlineStr">
        <is>
          <t>89.1900%</t>
        </is>
      </c>
      <c r="J5" s="2" t="inlineStr">
        <is>
          <t>92.3100%</t>
        </is>
      </c>
      <c r="K5" s="2" t="inlineStr">
        <is>
          <t>0.9700%</t>
        </is>
      </c>
      <c r="L5" s="2" t="n">
        <v>6.6754</v>
      </c>
      <c r="M5" s="2" t="n">
        <v>6.2497</v>
      </c>
      <c r="N5" s="2" t="inlineStr">
        <is>
          <t>沪深300</t>
        </is>
      </c>
      <c r="O5" t="inlineStr">
        <is>
          <t>2026-08-31</t>
        </is>
      </c>
      <c r="P5" t="inlineStr">
        <is>
          <t>2026-09-15</t>
        </is>
      </c>
    </row>
    <row r="6">
      <c r="A6" s="2" t="inlineStr">
        <is>
          <t>致同稳盈对冲</t>
        </is>
      </c>
      <c r="B6" s="2" t="inlineStr">
        <is>
          <t>SS8645</t>
        </is>
      </c>
      <c r="C6" s="2" t="inlineStr">
        <is>
          <t>套利策略</t>
        </is>
      </c>
      <c r="D6" s="2" t="inlineStr">
        <is>
          <t>期货套利</t>
        </is>
      </c>
      <c r="E6" s="2" t="inlineStr">
        <is>
          <t>上海致同投资</t>
        </is>
      </c>
      <c r="F6" s="2" t="inlineStr">
        <is>
          <t>2017-05-02</t>
        </is>
      </c>
      <c r="G6" s="2" t="inlineStr">
        <is>
          <t>4.0500%</t>
        </is>
      </c>
      <c r="H6" s="2" t="inlineStr">
        <is>
          <t>4.8900%</t>
        </is>
      </c>
      <c r="I6" s="2" t="inlineStr">
        <is>
          <t>78.3800%</t>
        </is>
      </c>
      <c r="J6" s="2" t="inlineStr">
        <is>
          <t>76.9200%</t>
        </is>
      </c>
      <c r="K6" s="2" t="inlineStr">
        <is>
          <t>1.3400%</t>
        </is>
      </c>
      <c r="L6" s="2" t="n">
        <v>3.6582</v>
      </c>
      <c r="M6" s="2" t="n">
        <v>3.0286</v>
      </c>
      <c r="N6" s="2" t="inlineStr">
        <is>
          <t>沪深300</t>
        </is>
      </c>
      <c r="O6" t="inlineStr">
        <is>
          <t>2026-08-31</t>
        </is>
      </c>
      <c r="P6" t="inlineStr">
        <is>
          <t>2026-09-15</t>
        </is>
      </c>
    </row>
    <row r="7">
      <c r="A7" s="2" t="inlineStr">
        <is>
          <t>哈福尊享一号</t>
        </is>
      </c>
      <c r="B7" s="2" t="inlineStr">
        <is>
          <t>ST3922</t>
        </is>
      </c>
      <c r="C7" s="2" t="inlineStr">
        <is>
          <t>套利策略</t>
        </is>
      </c>
      <c r="D7" s="2" t="inlineStr">
        <is>
          <t>混合套利</t>
        </is>
      </c>
      <c r="E7" s="2" t="inlineStr">
        <is>
          <t>哈福基金</t>
        </is>
      </c>
      <c r="F7" s="2" t="inlineStr">
        <is>
          <t>2017-05-10</t>
        </is>
      </c>
      <c r="G7" s="2" t="inlineStr">
        <is>
          <t>2.8900%</t>
        </is>
      </c>
      <c r="H7" s="2" t="inlineStr">
        <is>
          <t>2.2500%</t>
        </is>
      </c>
      <c r="I7" s="2" t="inlineStr">
        <is>
          <t>72.9700%</t>
        </is>
      </c>
      <c r="J7" s="2" t="inlineStr">
        <is>
          <t>69.2300%</t>
        </is>
      </c>
      <c r="K7" s="2" t="inlineStr">
        <is>
          <t>6.5800%</t>
        </is>
      </c>
      <c r="L7" s="2" t="n">
        <v>0.3413</v>
      </c>
      <c r="M7" s="2" t="n">
        <v>1.0175</v>
      </c>
      <c r="N7" s="2" t="inlineStr">
        <is>
          <t>南华商品指数</t>
        </is>
      </c>
      <c r="O7" t="inlineStr">
        <is>
          <t>2026-08-31</t>
        </is>
      </c>
      <c r="P7" t="inlineStr">
        <is>
          <t>2026-09-15</t>
        </is>
      </c>
    </row>
    <row r="8">
      <c r="A8" s="2" t="inlineStr">
        <is>
          <t>远澜翠柏1号</t>
        </is>
      </c>
      <c r="B8" s="2" t="inlineStr">
        <is>
          <t>SS9088</t>
        </is>
      </c>
      <c r="C8" s="2" t="inlineStr">
        <is>
          <t>套利策略</t>
        </is>
      </c>
      <c r="D8" s="2" t="inlineStr">
        <is>
          <t>期货套利</t>
        </is>
      </c>
      <c r="E8" s="2" t="inlineStr">
        <is>
          <t>上海远澜</t>
        </is>
      </c>
      <c r="F8" s="2" t="inlineStr">
        <is>
          <t>2017-05-12</t>
        </is>
      </c>
      <c r="G8" s="2" t="inlineStr">
        <is>
          <t>5.4600%</t>
        </is>
      </c>
      <c r="H8" s="2" t="inlineStr">
        <is>
          <t>4.5700%</t>
        </is>
      </c>
      <c r="I8" s="2" t="inlineStr">
        <is>
          <t>51.3500%</t>
        </is>
      </c>
      <c r="J8" s="2" t="inlineStr">
        <is>
          <t>46.1500%</t>
        </is>
      </c>
      <c r="K8" s="2" t="inlineStr">
        <is>
          <t>15.4000%</t>
        </is>
      </c>
      <c r="L8" s="2" t="n">
        <v>0.297</v>
      </c>
      <c r="M8" s="2" t="n">
        <v>0.3548</v>
      </c>
      <c r="N8" s="2" t="inlineStr">
        <is>
          <t>沪深300</t>
        </is>
      </c>
      <c r="O8" t="inlineStr">
        <is>
          <t>2026-08-31</t>
        </is>
      </c>
      <c r="P8" t="inlineStr">
        <is>
          <t>2026-09-15</t>
        </is>
      </c>
    </row>
    <row r="9">
      <c r="A9" s="2" t="inlineStr">
        <is>
          <t>擎丰1号</t>
        </is>
      </c>
      <c r="B9" s="2" t="inlineStr">
        <is>
          <t>SCS637</t>
        </is>
      </c>
      <c r="C9" s="2" t="inlineStr">
        <is>
          <t>套利策略</t>
        </is>
      </c>
      <c r="D9" s="2" t="inlineStr">
        <is>
          <t>-</t>
        </is>
      </c>
      <c r="E9" s="2" t="inlineStr">
        <is>
          <t>上海擎丰</t>
        </is>
      </c>
      <c r="F9" s="2" t="inlineStr">
        <is>
          <t>2018-06-06</t>
        </is>
      </c>
      <c r="G9" s="2" t="inlineStr">
        <is>
          <t>7.8600%</t>
        </is>
      </c>
      <c r="H9" s="2" t="inlineStr">
        <is>
          <t>5.0600%</t>
        </is>
      </c>
      <c r="I9" s="2" t="inlineStr">
        <is>
          <t>83.7800%</t>
        </is>
      </c>
      <c r="J9" s="2" t="inlineStr">
        <is>
          <t>92.3100%</t>
        </is>
      </c>
      <c r="K9" s="2" t="inlineStr">
        <is>
          <t>0.6900%</t>
        </is>
      </c>
      <c r="L9" s="2" t="n">
        <v>7.3302</v>
      </c>
      <c r="M9" s="2" t="n">
        <v>11.3908</v>
      </c>
      <c r="N9" s="2" t="inlineStr">
        <is>
          <t>沪深300</t>
        </is>
      </c>
      <c r="O9" t="inlineStr">
        <is>
          <t>2026-08-31</t>
        </is>
      </c>
      <c r="P9" t="inlineStr">
        <is>
          <t>2026-09-15</t>
        </is>
      </c>
    </row>
    <row r="10">
      <c r="A10" s="2" t="inlineStr">
        <is>
          <t>新时代智能量化3号</t>
        </is>
      </c>
      <c r="B10" s="2" t="inlineStr">
        <is>
          <t>SEM001</t>
        </is>
      </c>
      <c r="C10" s="2" t="inlineStr">
        <is>
          <t>套利策略</t>
        </is>
      </c>
      <c r="D10" s="2" t="inlineStr">
        <is>
          <t>可转债套利</t>
        </is>
      </c>
      <c r="E10" s="2" t="inlineStr">
        <is>
          <t>杭州探融投资</t>
        </is>
      </c>
      <c r="F10" s="2" t="inlineStr">
        <is>
          <t>2018-10-29</t>
        </is>
      </c>
      <c r="G10" s="2" t="inlineStr">
        <is>
          <t>1.2000%</t>
        </is>
      </c>
      <c r="H10" s="2" t="inlineStr">
        <is>
          <t>3.1200%</t>
        </is>
      </c>
      <c r="I10" s="2" t="inlineStr">
        <is>
          <t>56.7600%</t>
        </is>
      </c>
      <c r="J10" s="2" t="inlineStr">
        <is>
          <t>46.1500%</t>
        </is>
      </c>
      <c r="K10" s="2" t="inlineStr">
        <is>
          <t>3.3000%</t>
        </is>
      </c>
      <c r="L10" s="2" t="n">
        <v>0.9453</v>
      </c>
      <c r="M10" s="2" t="n">
        <v>0.3637</v>
      </c>
      <c r="N10" s="2" t="inlineStr">
        <is>
          <t>沪深300</t>
        </is>
      </c>
      <c r="O10" t="inlineStr">
        <is>
          <t>2026-08-31</t>
        </is>
      </c>
      <c r="P10" t="inlineStr">
        <is>
          <t>2026-09-15</t>
        </is>
      </c>
    </row>
    <row r="11">
      <c r="A11" s="2" t="inlineStr">
        <is>
          <t>悬铃C号2期</t>
        </is>
      </c>
      <c r="B11" s="2" t="inlineStr">
        <is>
          <t>SGH303</t>
        </is>
      </c>
      <c r="C11" s="2" t="inlineStr">
        <is>
          <t>套利策略</t>
        </is>
      </c>
      <c r="D11" s="2" t="inlineStr">
        <is>
          <t>可转债套利</t>
        </is>
      </c>
      <c r="E11" s="2" t="inlineStr">
        <is>
          <t>上海悬铃</t>
        </is>
      </c>
      <c r="F11" s="2" t="inlineStr">
        <is>
          <t>2019-04-24</t>
        </is>
      </c>
      <c r="G11" s="2" t="inlineStr">
        <is>
          <t>-8.6500%</t>
        </is>
      </c>
      <c r="H11" s="2" t="inlineStr">
        <is>
          <t>1.8300%</t>
        </is>
      </c>
      <c r="I11" s="2" t="inlineStr">
        <is>
          <t>56.7600%</t>
        </is>
      </c>
      <c r="J11" s="2" t="inlineStr">
        <is>
          <t>30.7700%</t>
        </is>
      </c>
      <c r="K11" s="2" t="inlineStr">
        <is>
          <t>13.0600%</t>
        </is>
      </c>
      <c r="L11" s="2" t="n">
        <v>0.14</v>
      </c>
      <c r="M11" s="2" t="n">
        <v>-0.9845</v>
      </c>
      <c r="N11" s="2" t="inlineStr">
        <is>
          <t>沪深300</t>
        </is>
      </c>
      <c r="O11" t="inlineStr">
        <is>
          <t>2026-08-31</t>
        </is>
      </c>
      <c r="P11" t="inlineStr">
        <is>
          <t>2026-09-15</t>
        </is>
      </c>
    </row>
    <row r="12">
      <c r="A12" s="2" t="inlineStr">
        <is>
          <t>爱凡哲九号</t>
        </is>
      </c>
      <c r="B12" s="2" t="inlineStr">
        <is>
          <t>SJA112</t>
        </is>
      </c>
      <c r="C12" s="2" t="inlineStr">
        <is>
          <t>套利策略</t>
        </is>
      </c>
      <c r="D12" s="2" t="inlineStr">
        <is>
          <t>期货套利</t>
        </is>
      </c>
      <c r="E12" s="2" t="inlineStr">
        <is>
          <t>爱凡哲投资</t>
        </is>
      </c>
      <c r="F12" s="2" t="inlineStr">
        <is>
          <t>2019-09-02</t>
        </is>
      </c>
      <c r="G12" s="2" t="inlineStr">
        <is>
          <t>11.5800%</t>
        </is>
      </c>
      <c r="H12" s="2" t="inlineStr">
        <is>
          <t>11.7800%</t>
        </is>
      </c>
      <c r="I12" s="2" t="inlineStr">
        <is>
          <t>89.1900%</t>
        </is>
      </c>
      <c r="J12" s="2" t="inlineStr">
        <is>
          <t>84.6200%</t>
        </is>
      </c>
      <c r="K12" s="2" t="inlineStr">
        <is>
          <t>1.2900%</t>
        </is>
      </c>
      <c r="L12" s="2" t="n">
        <v>9.1289</v>
      </c>
      <c r="M12" s="2" t="n">
        <v>32.2942</v>
      </c>
      <c r="N12" s="2" t="inlineStr">
        <is>
          <t>沪深300</t>
        </is>
      </c>
      <c r="O12" t="inlineStr">
        <is>
          <t>2026-08-31</t>
        </is>
      </c>
      <c r="P12" t="inlineStr">
        <is>
          <t>2026-09-15</t>
        </is>
      </c>
    </row>
    <row r="13">
      <c r="A13" s="2" t="inlineStr">
        <is>
          <t>恒如套利三号</t>
        </is>
      </c>
      <c r="B13" s="2" t="inlineStr">
        <is>
          <t>SGQ731</t>
        </is>
      </c>
      <c r="C13" s="2" t="inlineStr">
        <is>
          <t>套利策略</t>
        </is>
      </c>
      <c r="D13" s="2" t="inlineStr">
        <is>
          <t>期货套利</t>
        </is>
      </c>
      <c r="E13" s="2" t="inlineStr">
        <is>
          <t>上海恒如投资</t>
        </is>
      </c>
      <c r="F13" s="2" t="inlineStr">
        <is>
          <t>2019-09-19</t>
        </is>
      </c>
      <c r="G13" s="2" t="inlineStr">
        <is>
          <t>2.1300%</t>
        </is>
      </c>
      <c r="H13" s="2" t="inlineStr">
        <is>
          <t>5.7000%</t>
        </is>
      </c>
      <c r="I13" s="2" t="inlineStr">
        <is>
          <t>72.9700%</t>
        </is>
      </c>
      <c r="J13" s="2" t="inlineStr">
        <is>
          <t>61.5400%</t>
        </is>
      </c>
      <c r="K13" s="2" t="inlineStr">
        <is>
          <t>1.5000%</t>
        </is>
      </c>
      <c r="L13" s="2" t="n">
        <v>3.8103</v>
      </c>
      <c r="M13" s="2" t="n">
        <v>2.6842</v>
      </c>
      <c r="N13" s="2" t="inlineStr">
        <is>
          <t>沪深300</t>
        </is>
      </c>
      <c r="O13" t="inlineStr">
        <is>
          <t>2026-08-31</t>
        </is>
      </c>
      <c r="P13" t="inlineStr">
        <is>
          <t>2026-09-15</t>
        </is>
      </c>
    </row>
    <row r="14">
      <c r="A14" s="2" t="inlineStr">
        <is>
          <t>鹿秀驯鹿二号</t>
        </is>
      </c>
      <c r="B14" s="2" t="inlineStr">
        <is>
          <t>SGF269</t>
        </is>
      </c>
      <c r="C14" s="2" t="inlineStr">
        <is>
          <t>套利策略</t>
        </is>
      </c>
      <c r="D14" s="2" t="inlineStr">
        <is>
          <t>-</t>
        </is>
      </c>
      <c r="E14" s="2" t="inlineStr">
        <is>
          <t>青岛鹿秀投资</t>
        </is>
      </c>
      <c r="F14" s="2" t="inlineStr">
        <is>
          <t>2019-10-17</t>
        </is>
      </c>
      <c r="G14" s="2" t="inlineStr">
        <is>
          <t>3.9900%</t>
        </is>
      </c>
      <c r="H14" s="2" t="inlineStr">
        <is>
          <t>2.4600%</t>
        </is>
      </c>
      <c r="I14" s="2" t="inlineStr">
        <is>
          <t>81.0800%</t>
        </is>
      </c>
      <c r="J14" s="2" t="inlineStr">
        <is>
          <t>92.3100%</t>
        </is>
      </c>
      <c r="K14" s="2" t="inlineStr">
        <is>
          <t>4.6300%</t>
        </is>
      </c>
      <c r="L14" s="2" t="n">
        <v>0.5323</v>
      </c>
      <c r="M14" s="2" t="n">
        <v>183.94</v>
      </c>
      <c r="N14" s="2" t="inlineStr">
        <is>
          <t>沪深300</t>
        </is>
      </c>
      <c r="O14" t="inlineStr">
        <is>
          <t>2026-08-31</t>
        </is>
      </c>
      <c r="P14" t="inlineStr">
        <is>
          <t>2026-09-15</t>
        </is>
      </c>
    </row>
    <row r="15">
      <c r="A15" s="2" t="inlineStr">
        <is>
          <t>本利达利磐一号</t>
        </is>
      </c>
      <c r="B15" s="2" t="inlineStr">
        <is>
          <t>SJF426</t>
        </is>
      </c>
      <c r="C15" s="2" t="inlineStr">
        <is>
          <t>套利策略</t>
        </is>
      </c>
      <c r="D15" s="2" t="inlineStr">
        <is>
          <t>混合套利</t>
        </is>
      </c>
      <c r="E15" s="2" t="inlineStr">
        <is>
          <t>深圳本利达资管</t>
        </is>
      </c>
      <c r="F15" s="2" t="inlineStr">
        <is>
          <t>2019-11-01</t>
        </is>
      </c>
      <c r="G15" s="2" t="inlineStr">
        <is>
          <t>11.0000%</t>
        </is>
      </c>
      <c r="H15" s="2" t="inlineStr">
        <is>
          <t>12.0800%</t>
        </is>
      </c>
      <c r="I15" s="2" t="inlineStr">
        <is>
          <t>67.5700%</t>
        </is>
      </c>
      <c r="J15" s="2" t="inlineStr">
        <is>
          <t>76.9200%</t>
        </is>
      </c>
      <c r="K15" s="2" t="inlineStr">
        <is>
          <t>11.4400%</t>
        </is>
      </c>
      <c r="L15" s="2" t="n">
        <v>1.0562</v>
      </c>
      <c r="M15" s="2" t="n">
        <v>0.9691</v>
      </c>
      <c r="N15" s="2" t="inlineStr">
        <is>
          <t>沪深300</t>
        </is>
      </c>
      <c r="O15" t="inlineStr">
        <is>
          <t>2026-08-31</t>
        </is>
      </c>
      <c r="P15" t="inlineStr">
        <is>
          <t>2026-09-15</t>
        </is>
      </c>
    </row>
    <row r="16">
      <c r="A16" s="2" t="inlineStr">
        <is>
          <t>和熙新月1号</t>
        </is>
      </c>
      <c r="B16" s="2" t="inlineStr">
        <is>
          <t>SJG287</t>
        </is>
      </c>
      <c r="C16" s="2" t="inlineStr">
        <is>
          <t>套利策略</t>
        </is>
      </c>
      <c r="D16" s="2" t="inlineStr">
        <is>
          <t>期货套利</t>
        </is>
      </c>
      <c r="E16" s="2" t="inlineStr">
        <is>
          <t>浙江和熙资管</t>
        </is>
      </c>
      <c r="F16" s="2" t="inlineStr">
        <is>
          <t>2019-11-14</t>
        </is>
      </c>
      <c r="G16" s="2" t="inlineStr">
        <is>
          <t>-0.2900%</t>
        </is>
      </c>
      <c r="H16" s="2" t="inlineStr">
        <is>
          <t>2.0700%</t>
        </is>
      </c>
      <c r="I16" s="2" t="inlineStr">
        <is>
          <t>48.6500%</t>
        </is>
      </c>
      <c r="J16" s="2" t="inlineStr">
        <is>
          <t>46.1500%</t>
        </is>
      </c>
      <c r="K16" s="2" t="inlineStr">
        <is>
          <t>8.5300%</t>
        </is>
      </c>
      <c r="L16" s="2" t="n">
        <v>0.243</v>
      </c>
      <c r="M16" s="2" t="n">
        <v>-0.0337</v>
      </c>
      <c r="N16" s="2" t="inlineStr">
        <is>
          <t>沪深300</t>
        </is>
      </c>
      <c r="O16" t="inlineStr">
        <is>
          <t>2026-08-31</t>
        </is>
      </c>
      <c r="P16" t="inlineStr">
        <is>
          <t>2026-09-15</t>
        </is>
      </c>
    </row>
    <row r="17">
      <c r="A17" s="2" t="inlineStr">
        <is>
          <t>鹿秀统计套利1号</t>
        </is>
      </c>
      <c r="B17" s="2" t="inlineStr">
        <is>
          <t>SJJ138</t>
        </is>
      </c>
      <c r="C17" s="2" t="inlineStr">
        <is>
          <t>套利策略</t>
        </is>
      </c>
      <c r="D17" s="2" t="inlineStr">
        <is>
          <t>期货套利</t>
        </is>
      </c>
      <c r="E17" s="2" t="inlineStr">
        <is>
          <t>青岛鹿秀投资</t>
        </is>
      </c>
      <c r="F17" s="2" t="inlineStr">
        <is>
          <t>2019-12-02</t>
        </is>
      </c>
      <c r="G17" s="2" t="inlineStr">
        <is>
          <t>3.0400%</t>
        </is>
      </c>
      <c r="H17" s="2" t="inlineStr">
        <is>
          <t>3.5500%</t>
        </is>
      </c>
      <c r="I17" s="2" t="inlineStr">
        <is>
          <t>91.8900%</t>
        </is>
      </c>
      <c r="J17" s="2" t="inlineStr">
        <is>
          <t>100.0000%</t>
        </is>
      </c>
      <c r="K17" s="2" t="inlineStr">
        <is>
          <t>0.0900%</t>
        </is>
      </c>
      <c r="L17" s="2" t="n">
        <v>38.6537</v>
      </c>
      <c r="M17" s="2" t="n">
        <v>38.3242</v>
      </c>
      <c r="N17" s="2" t="inlineStr">
        <is>
          <t>沪深300</t>
        </is>
      </c>
      <c r="O17" t="inlineStr">
        <is>
          <t>2026-08-31</t>
        </is>
      </c>
      <c r="P17" t="inlineStr">
        <is>
          <t>2026-09-15</t>
        </is>
      </c>
    </row>
    <row r="18">
      <c r="A18" s="2" t="inlineStr">
        <is>
          <t>唐龙量化对冲99号</t>
        </is>
      </c>
      <c r="B18" s="2" t="inlineStr">
        <is>
          <t>SJQ683</t>
        </is>
      </c>
      <c r="C18" s="2" t="inlineStr">
        <is>
          <t>套利策略</t>
        </is>
      </c>
      <c r="D18" s="2" t="inlineStr">
        <is>
          <t>可转债套利</t>
        </is>
      </c>
      <c r="E18" s="2" t="inlineStr">
        <is>
          <t>福建平潭唐龙资管</t>
        </is>
      </c>
      <c r="F18" s="2" t="inlineStr">
        <is>
          <t>2020-02-24</t>
        </is>
      </c>
      <c r="G18" s="2" t="inlineStr">
        <is>
          <t>1.7700%</t>
        </is>
      </c>
      <c r="H18" s="2" t="inlineStr">
        <is>
          <t>4.3400%</t>
        </is>
      </c>
      <c r="I18" s="2" t="inlineStr">
        <is>
          <t>67.5700%</t>
        </is>
      </c>
      <c r="J18" s="2" t="inlineStr">
        <is>
          <t>61.5400%</t>
        </is>
      </c>
      <c r="K18" s="2" t="inlineStr">
        <is>
          <t>14.0700%</t>
        </is>
      </c>
      <c r="L18" s="2" t="n">
        <v>0.3081</v>
      </c>
      <c r="M18" s="2" t="n">
        <v>5.3488</v>
      </c>
      <c r="N18" s="2" t="inlineStr">
        <is>
          <t>沪深300</t>
        </is>
      </c>
      <c r="O18" t="inlineStr">
        <is>
          <t>2026-08-31</t>
        </is>
      </c>
      <c r="P18" t="inlineStr">
        <is>
          <t>2026-09-15</t>
        </is>
      </c>
    </row>
    <row r="19">
      <c r="A19" s="2" t="inlineStr">
        <is>
          <t>凡德量化八号</t>
        </is>
      </c>
      <c r="B19" s="2" t="inlineStr">
        <is>
          <t>SJS811</t>
        </is>
      </c>
      <c r="C19" s="2" t="inlineStr">
        <is>
          <t>套利策略</t>
        </is>
      </c>
      <c r="D19" s="2" t="inlineStr">
        <is>
          <t>期货套利</t>
        </is>
      </c>
      <c r="E19" s="2" t="inlineStr">
        <is>
          <t>广东凡德投资</t>
        </is>
      </c>
      <c r="F19" s="2" t="inlineStr">
        <is>
          <t>2020-03-02</t>
        </is>
      </c>
      <c r="G19" s="2" t="inlineStr">
        <is>
          <t>-1.3600%</t>
        </is>
      </c>
      <c r="H19" s="2" t="inlineStr">
        <is>
          <t>4.2100%</t>
        </is>
      </c>
      <c r="I19" s="2" t="inlineStr">
        <is>
          <t>56.7600%</t>
        </is>
      </c>
      <c r="J19" s="2" t="inlineStr">
        <is>
          <t>53.8500%</t>
        </is>
      </c>
      <c r="K19" s="2" t="inlineStr">
        <is>
          <t>12.2600%</t>
        </is>
      </c>
      <c r="L19" s="2" t="n">
        <v>0.3434</v>
      </c>
      <c r="M19" s="2" t="n">
        <v>-0.1109</v>
      </c>
      <c r="N19" s="2" t="inlineStr">
        <is>
          <t>沪深300</t>
        </is>
      </c>
      <c r="O19" t="inlineStr">
        <is>
          <t>2026-08-31</t>
        </is>
      </c>
      <c r="P19" t="inlineStr">
        <is>
          <t>2026-09-15</t>
        </is>
      </c>
    </row>
    <row r="20">
      <c r="A20" s="2" t="inlineStr">
        <is>
          <t>百奕传家一号</t>
        </is>
      </c>
      <c r="B20" s="2" t="inlineStr">
        <is>
          <t>SJS027</t>
        </is>
      </c>
      <c r="C20" s="2" t="inlineStr">
        <is>
          <t>套利策略</t>
        </is>
      </c>
      <c r="D20" s="2" t="inlineStr">
        <is>
          <t>可转债套利</t>
        </is>
      </c>
      <c r="E20" s="2" t="inlineStr">
        <is>
          <t>上海百奕投资</t>
        </is>
      </c>
      <c r="F20" s="2" t="inlineStr">
        <is>
          <t>2020-03-23</t>
        </is>
      </c>
      <c r="G20" s="2" t="inlineStr">
        <is>
          <t>13.8600%</t>
        </is>
      </c>
      <c r="H20" s="2" t="inlineStr">
        <is>
          <t>5.9800%</t>
        </is>
      </c>
      <c r="I20" s="2" t="inlineStr">
        <is>
          <t>62.1600%</t>
        </is>
      </c>
      <c r="J20" s="2" t="inlineStr">
        <is>
          <t>53.8500%</t>
        </is>
      </c>
      <c r="K20" s="2" t="inlineStr">
        <is>
          <t>11.1700%</t>
        </is>
      </c>
      <c r="L20" s="2" t="n">
        <v>0.5355</v>
      </c>
      <c r="M20" s="2" t="n">
        <v>3.4603</v>
      </c>
      <c r="N20" s="2" t="inlineStr">
        <is>
          <t>沪深300</t>
        </is>
      </c>
      <c r="O20" t="inlineStr">
        <is>
          <t>2026-08-31</t>
        </is>
      </c>
      <c r="P20" t="inlineStr">
        <is>
          <t>2026-09-15</t>
        </is>
      </c>
    </row>
    <row r="21">
      <c r="A21" s="2" t="inlineStr">
        <is>
          <t>蒙森斯道特恒星三号</t>
        </is>
      </c>
      <c r="B21" s="2" t="inlineStr">
        <is>
          <t>SJM626</t>
        </is>
      </c>
      <c r="C21" s="2" t="inlineStr">
        <is>
          <t>套利策略</t>
        </is>
      </c>
      <c r="D21" s="2" t="inlineStr">
        <is>
          <t>期货套利</t>
        </is>
      </c>
      <c r="E21" s="2" t="inlineStr">
        <is>
          <t>上海蒙森投资</t>
        </is>
      </c>
      <c r="F21" s="2" t="inlineStr">
        <is>
          <t>2020-04-03</t>
        </is>
      </c>
      <c r="G21" s="2" t="inlineStr">
        <is>
          <t>7.1500%</t>
        </is>
      </c>
      <c r="H21" s="2" t="inlineStr">
        <is>
          <t>7.0600%</t>
        </is>
      </c>
      <c r="I21" s="2" t="inlineStr">
        <is>
          <t>48.6500%</t>
        </is>
      </c>
      <c r="J21" s="2" t="inlineStr">
        <is>
          <t>30.7700%</t>
        </is>
      </c>
      <c r="K21" s="2" t="inlineStr">
        <is>
          <t>7.9700%</t>
        </is>
      </c>
      <c r="L21" s="2" t="n">
        <v>0.8857</v>
      </c>
      <c r="M21" s="2" t="n">
        <v>2.14</v>
      </c>
      <c r="N21" s="2" t="inlineStr">
        <is>
          <t>沪深300</t>
        </is>
      </c>
      <c r="O21" t="inlineStr">
        <is>
          <t>2026-08-31</t>
        </is>
      </c>
      <c r="P21" t="inlineStr">
        <is>
          <t>2026-09-15</t>
        </is>
      </c>
    </row>
    <row r="22">
      <c r="A22" s="2" t="inlineStr">
        <is>
          <t>银瓴运通对冲套利致远3号</t>
        </is>
      </c>
      <c r="B22" s="2" t="inlineStr">
        <is>
          <t>SLC023</t>
        </is>
      </c>
      <c r="C22" s="2" t="inlineStr">
        <is>
          <t>套利策略</t>
        </is>
      </c>
      <c r="D22" s="2" t="inlineStr">
        <is>
          <t>期货套利</t>
        </is>
      </c>
      <c r="E22" s="2" t="inlineStr">
        <is>
          <t>广西银瓴资产</t>
        </is>
      </c>
      <c r="F22" s="2" t="inlineStr">
        <is>
          <t>2020-06-16</t>
        </is>
      </c>
      <c r="G22" s="2" t="inlineStr">
        <is>
          <t>-4.1500%</t>
        </is>
      </c>
      <c r="H22" s="2" t="inlineStr">
        <is>
          <t>0.0400%</t>
        </is>
      </c>
      <c r="I22" s="2" t="inlineStr">
        <is>
          <t>54.0500%</t>
        </is>
      </c>
      <c r="J22" s="2" t="inlineStr">
        <is>
          <t>61.5400%</t>
        </is>
      </c>
      <c r="K22" s="2" t="inlineStr">
        <is>
          <t>11.3000%</t>
        </is>
      </c>
      <c r="L22" s="2" t="n">
        <v>0.0034</v>
      </c>
      <c r="M22" s="2" t="n">
        <v>-0.4031</v>
      </c>
      <c r="N22" s="2" t="inlineStr">
        <is>
          <t>沪深300</t>
        </is>
      </c>
      <c r="O22" t="inlineStr">
        <is>
          <t>2026-08-31</t>
        </is>
      </c>
      <c r="P22" t="inlineStr">
        <is>
          <t>2026-09-15</t>
        </is>
      </c>
    </row>
    <row r="23">
      <c r="A23" s="2" t="inlineStr">
        <is>
          <t>银瓴运通对冲套利进取2号</t>
        </is>
      </c>
      <c r="B23" s="2" t="inlineStr">
        <is>
          <t>SLC022</t>
        </is>
      </c>
      <c r="C23" s="2" t="inlineStr">
        <is>
          <t>套利策略</t>
        </is>
      </c>
      <c r="D23" s="2" t="inlineStr">
        <is>
          <t>期货套利</t>
        </is>
      </c>
      <c r="E23" s="2" t="inlineStr">
        <is>
          <t>广西银瓴资产</t>
        </is>
      </c>
      <c r="F23" s="2" t="inlineStr">
        <is>
          <t>2020-06-16</t>
        </is>
      </c>
      <c r="G23" s="2" t="inlineStr">
        <is>
          <t>-1.5000%</t>
        </is>
      </c>
      <c r="H23" s="2" t="inlineStr">
        <is>
          <t>-1.1800%</t>
        </is>
      </c>
      <c r="I23" s="2" t="inlineStr">
        <is>
          <t>43.2400%</t>
        </is>
      </c>
      <c r="J23" s="2" t="inlineStr">
        <is>
          <t>38.4600%</t>
        </is>
      </c>
      <c r="K23" s="2" t="inlineStr">
        <is>
          <t>17.3800%</t>
        </is>
      </c>
      <c r="L23" s="2" t="n">
        <v>-0.068</v>
      </c>
      <c r="M23" s="2" t="n">
        <v>-0.197</v>
      </c>
      <c r="N23" s="2" t="inlineStr">
        <is>
          <t>沪深300</t>
        </is>
      </c>
      <c r="O23" t="inlineStr">
        <is>
          <t>2026-08-31</t>
        </is>
      </c>
      <c r="P23" t="inlineStr">
        <is>
          <t>2026-09-15</t>
        </is>
      </c>
    </row>
    <row r="24">
      <c r="A24" s="2" t="inlineStr">
        <is>
          <t>铭杉量化稳健5号</t>
        </is>
      </c>
      <c r="B24" s="2" t="inlineStr">
        <is>
          <t>SLT573</t>
        </is>
      </c>
      <c r="C24" s="2" t="inlineStr">
        <is>
          <t>套利策略</t>
        </is>
      </c>
      <c r="D24" s="2" t="inlineStr">
        <is>
          <t>期货套利</t>
        </is>
      </c>
      <c r="E24" s="2" t="inlineStr">
        <is>
          <t>上海铭杉投资</t>
        </is>
      </c>
      <c r="F24" s="2" t="inlineStr">
        <is>
          <t>2020-09-14</t>
        </is>
      </c>
      <c r="G24" s="2" t="inlineStr">
        <is>
          <t>5.6300%</t>
        </is>
      </c>
      <c r="H24" s="2" t="inlineStr">
        <is>
          <t>5.7800%</t>
        </is>
      </c>
      <c r="I24" s="2" t="inlineStr">
        <is>
          <t>86.4900%</t>
        </is>
      </c>
      <c r="J24" s="2" t="inlineStr">
        <is>
          <t>76.9200%</t>
        </is>
      </c>
      <c r="K24" s="2" t="inlineStr">
        <is>
          <t>2.5100%</t>
        </is>
      </c>
      <c r="L24" s="2" t="n">
        <v>2.3046</v>
      </c>
      <c r="M24" s="2" t="n">
        <v>2.2427</v>
      </c>
      <c r="N24" s="2" t="inlineStr">
        <is>
          <t>沪深300</t>
        </is>
      </c>
      <c r="O24" t="inlineStr">
        <is>
          <t>2026-08-31</t>
        </is>
      </c>
      <c r="P24" t="inlineStr">
        <is>
          <t>2026-09-15</t>
        </is>
      </c>
    </row>
    <row r="25">
      <c r="A25" s="2" t="inlineStr">
        <is>
          <t>数为道策套利一号</t>
        </is>
      </c>
      <c r="B25" s="2" t="inlineStr">
        <is>
          <t>SNA956</t>
        </is>
      </c>
      <c r="C25" s="2" t="inlineStr">
        <is>
          <t>套利策略</t>
        </is>
      </c>
      <c r="D25" s="2" t="inlineStr">
        <is>
          <t>基金套利</t>
        </is>
      </c>
      <c r="E25" s="2" t="inlineStr">
        <is>
          <t>福州数为</t>
        </is>
      </c>
      <c r="F25" s="2" t="inlineStr">
        <is>
          <t>2020-10-19</t>
        </is>
      </c>
      <c r="G25" s="2" t="inlineStr">
        <is>
          <t>-34.8900%</t>
        </is>
      </c>
      <c r="H25" s="2" t="inlineStr">
        <is>
          <t>-11.2200%</t>
        </is>
      </c>
      <c r="I25" s="2" t="inlineStr">
        <is>
          <t>40.5400%</t>
        </is>
      </c>
      <c r="J25" s="2" t="inlineStr">
        <is>
          <t>23.0800%</t>
        </is>
      </c>
      <c r="K25" s="2" t="inlineStr">
        <is>
          <t>37.0200%</t>
        </is>
      </c>
      <c r="L25" s="2" t="n">
        <v>-0.3032</v>
      </c>
      <c r="M25" s="2" t="n">
        <v>-0.9425</v>
      </c>
      <c r="N25" s="2" t="inlineStr">
        <is>
          <t>沪深300</t>
        </is>
      </c>
      <c r="O25" t="inlineStr">
        <is>
          <t>2026-08-31</t>
        </is>
      </c>
      <c r="P25" t="inlineStr">
        <is>
          <t>2026-09-15</t>
        </is>
      </c>
    </row>
    <row r="26">
      <c r="A26" s="2" t="inlineStr">
        <is>
          <t>犇牛稳进3号</t>
        </is>
      </c>
      <c r="B26" s="2" t="inlineStr">
        <is>
          <t>SNE543</t>
        </is>
      </c>
      <c r="C26" s="2" t="inlineStr">
        <is>
          <t>套利策略</t>
        </is>
      </c>
      <c r="D26" s="2" t="inlineStr">
        <is>
          <t>期权套利</t>
        </is>
      </c>
      <c r="E26" s="2" t="inlineStr">
        <is>
          <t>上海犇牛</t>
        </is>
      </c>
      <c r="F26" s="2" t="inlineStr">
        <is>
          <t>2020-11-09</t>
        </is>
      </c>
      <c r="G26" s="2" t="inlineStr">
        <is>
          <t>3.7400%</t>
        </is>
      </c>
      <c r="H26" s="2" t="inlineStr">
        <is>
          <t>4.5500%</t>
        </is>
      </c>
      <c r="I26" s="2" t="inlineStr">
        <is>
          <t>59.4600%</t>
        </is>
      </c>
      <c r="J26" s="2" t="inlineStr">
        <is>
          <t>76.9200%</t>
        </is>
      </c>
      <c r="K26" s="2" t="inlineStr">
        <is>
          <t>2.6500%</t>
        </is>
      </c>
      <c r="L26" s="2" t="n">
        <v>1.715</v>
      </c>
      <c r="M26" s="2" t="n">
        <v>4.4377</v>
      </c>
      <c r="N26" s="2" t="inlineStr">
        <is>
          <t>沪深300</t>
        </is>
      </c>
      <c r="O26" t="inlineStr">
        <is>
          <t>2026-08-31</t>
        </is>
      </c>
      <c r="P26" t="inlineStr">
        <is>
          <t>2026-09-15</t>
        </is>
      </c>
    </row>
    <row r="27">
      <c r="A27" s="2" t="inlineStr">
        <is>
          <t>致同云峰A</t>
        </is>
      </c>
      <c r="B27" s="2" t="inlineStr">
        <is>
          <t>SNB380</t>
        </is>
      </c>
      <c r="C27" s="2" t="inlineStr">
        <is>
          <t>套利策略</t>
        </is>
      </c>
      <c r="D27" s="2" t="inlineStr">
        <is>
          <t>期货套利</t>
        </is>
      </c>
      <c r="E27" s="2" t="inlineStr">
        <is>
          <t>上海致同投资</t>
        </is>
      </c>
      <c r="F27" s="2" t="inlineStr">
        <is>
          <t>2020-11-10</t>
        </is>
      </c>
      <c r="G27" s="2" t="inlineStr">
        <is>
          <t>4.0800%</t>
        </is>
      </c>
      <c r="H27" s="2" t="inlineStr">
        <is>
          <t>4.2200%</t>
        </is>
      </c>
      <c r="I27" s="2" t="inlineStr">
        <is>
          <t>72.9700%</t>
        </is>
      </c>
      <c r="J27" s="2" t="inlineStr">
        <is>
          <t>69.2300%</t>
        </is>
      </c>
      <c r="K27" s="2" t="inlineStr">
        <is>
          <t>1.4500%</t>
        </is>
      </c>
      <c r="L27" s="2" t="n">
        <v>2.9089</v>
      </c>
      <c r="M27" s="2" t="n">
        <v>2.8094</v>
      </c>
      <c r="N27" s="2" t="inlineStr">
        <is>
          <t>沪深300</t>
        </is>
      </c>
      <c r="O27" t="inlineStr">
        <is>
          <t>2026-08-31</t>
        </is>
      </c>
      <c r="P27" t="inlineStr">
        <is>
          <t>2026-09-15</t>
        </is>
      </c>
    </row>
    <row r="28">
      <c r="A28" s="2" t="inlineStr">
        <is>
          <t>橡杉量化套利十号</t>
        </is>
      </c>
      <c r="B28" s="2" t="inlineStr">
        <is>
          <t>SLY435</t>
        </is>
      </c>
      <c r="C28" s="2" t="inlineStr">
        <is>
          <t>套利策略</t>
        </is>
      </c>
      <c r="D28" s="2" t="inlineStr">
        <is>
          <t>期货套利</t>
        </is>
      </c>
      <c r="E28" s="2" t="inlineStr">
        <is>
          <t>上海橡杉资管</t>
        </is>
      </c>
      <c r="F28" s="2" t="inlineStr">
        <is>
          <t>2020-11-24</t>
        </is>
      </c>
      <c r="G28" s="2" t="inlineStr">
        <is>
          <t>4.6500%</t>
        </is>
      </c>
      <c r="H28" s="2" t="inlineStr">
        <is>
          <t>2.9000%</t>
        </is>
      </c>
      <c r="I28" s="2" t="inlineStr">
        <is>
          <t>59.4600%</t>
        </is>
      </c>
      <c r="J28" s="2" t="inlineStr">
        <is>
          <t>61.5400%</t>
        </is>
      </c>
      <c r="K28" s="2" t="inlineStr">
        <is>
          <t>0.8800%</t>
        </is>
      </c>
      <c r="L28" s="2" t="n">
        <v>3.3085</v>
      </c>
      <c r="M28" s="2" t="n">
        <v>5.3118</v>
      </c>
      <c r="N28" s="2" t="inlineStr">
        <is>
          <t>沪深300</t>
        </is>
      </c>
      <c r="O28" t="inlineStr">
        <is>
          <t>2026-08-31</t>
        </is>
      </c>
      <c r="P28" t="inlineStr">
        <is>
          <t>2026-09-15</t>
        </is>
      </c>
    </row>
    <row r="29">
      <c r="A29" s="2" t="inlineStr">
        <is>
          <t>裕锦量化专享1号</t>
        </is>
      </c>
      <c r="B29" s="2" t="inlineStr">
        <is>
          <t>SNE165</t>
        </is>
      </c>
      <c r="C29" s="2" t="inlineStr">
        <is>
          <t>套利策略</t>
        </is>
      </c>
      <c r="D29" s="2" t="inlineStr">
        <is>
          <t>期货套利</t>
        </is>
      </c>
      <c r="E29" s="2" t="inlineStr">
        <is>
          <t>深圳裕锦</t>
        </is>
      </c>
      <c r="F29" s="2" t="inlineStr">
        <is>
          <t>2020-12-01</t>
        </is>
      </c>
      <c r="G29" s="2" t="inlineStr">
        <is>
          <t>17.5600%</t>
        </is>
      </c>
      <c r="H29" s="2" t="inlineStr">
        <is>
          <t>17.2000%</t>
        </is>
      </c>
      <c r="I29" s="2" t="inlineStr">
        <is>
          <t>83.7800%</t>
        </is>
      </c>
      <c r="J29" s="2" t="inlineStr">
        <is>
          <t>76.9200%</t>
        </is>
      </c>
      <c r="K29" s="2" t="inlineStr">
        <is>
          <t>1.0500%</t>
        </is>
      </c>
      <c r="L29" s="2" t="n">
        <v>16.4367</v>
      </c>
      <c r="M29" s="2" t="n">
        <v>37.7886</v>
      </c>
      <c r="N29" s="2" t="inlineStr">
        <is>
          <t>沪深300</t>
        </is>
      </c>
      <c r="O29" t="inlineStr">
        <is>
          <t>2026-08-31</t>
        </is>
      </c>
      <c r="P29" t="inlineStr">
        <is>
          <t>2026-09-15</t>
        </is>
      </c>
    </row>
    <row r="30">
      <c r="A30" s="2" t="inlineStr">
        <is>
          <t>杭州探融-锦鲤智能量化3号</t>
        </is>
      </c>
      <c r="B30" s="2" t="inlineStr">
        <is>
          <t>SQC001</t>
        </is>
      </c>
      <c r="C30" s="2" t="inlineStr">
        <is>
          <t>套利策略</t>
        </is>
      </c>
      <c r="D30" s="2" t="inlineStr">
        <is>
          <t>可转债套利</t>
        </is>
      </c>
      <c r="E30" s="2" t="inlineStr">
        <is>
          <t>杭州探融投资</t>
        </is>
      </c>
      <c r="F30" s="2" t="inlineStr">
        <is>
          <t>2021-04-19</t>
        </is>
      </c>
      <c r="G30" s="2" t="inlineStr">
        <is>
          <t>0.1900%</t>
        </is>
      </c>
      <c r="H30" s="2" t="inlineStr">
        <is>
          <t>3.7100%</t>
        </is>
      </c>
      <c r="I30" s="2" t="inlineStr">
        <is>
          <t>59.4600%</t>
        </is>
      </c>
      <c r="J30" s="2" t="inlineStr">
        <is>
          <t>46.1500%</t>
        </is>
      </c>
      <c r="K30" s="2" t="inlineStr">
        <is>
          <t>2.4400%</t>
        </is>
      </c>
      <c r="L30" s="2" t="n">
        <v>1.5207</v>
      </c>
      <c r="M30" s="2" t="n">
        <v>0.0794</v>
      </c>
      <c r="N30" s="2" t="inlineStr">
        <is>
          <t>沪深300</t>
        </is>
      </c>
      <c r="O30" t="inlineStr">
        <is>
          <t>2026-08-31</t>
        </is>
      </c>
      <c r="P30" t="inlineStr">
        <is>
          <t>2026-09-15</t>
        </is>
      </c>
    </row>
    <row r="31">
      <c r="A31" s="2" t="inlineStr">
        <is>
          <t>平凡笃行君享</t>
        </is>
      </c>
      <c r="B31" s="2" t="inlineStr">
        <is>
          <t>SQD327</t>
        </is>
      </c>
      <c r="C31" s="2" t="inlineStr">
        <is>
          <t>套利策略</t>
        </is>
      </c>
      <c r="D31" s="2" t="inlineStr">
        <is>
          <t>-</t>
        </is>
      </c>
      <c r="E31" s="2" t="inlineStr">
        <is>
          <t>北京平凡</t>
        </is>
      </c>
      <c r="F31" s="2" t="inlineStr">
        <is>
          <t>2021-04-29</t>
        </is>
      </c>
      <c r="G31" s="2" t="inlineStr">
        <is>
          <t>7.0200%</t>
        </is>
      </c>
      <c r="H31" s="2" t="inlineStr">
        <is>
          <t>2.8800%</t>
        </is>
      </c>
      <c r="I31" s="2" t="inlineStr">
        <is>
          <t>56.7600%</t>
        </is>
      </c>
      <c r="J31" s="2" t="inlineStr">
        <is>
          <t>69.2300%</t>
        </is>
      </c>
      <c r="K31" s="2" t="inlineStr">
        <is>
          <t>7.9600%</t>
        </is>
      </c>
      <c r="L31" s="2" t="n">
        <v>0.3618</v>
      </c>
      <c r="M31" s="2" t="n">
        <v>0.8821</v>
      </c>
      <c r="N31" s="2" t="inlineStr">
        <is>
          <t>沪深300</t>
        </is>
      </c>
      <c r="O31" t="inlineStr">
        <is>
          <t>2026-08-31</t>
        </is>
      </c>
      <c r="P31" t="inlineStr">
        <is>
          <t>2026-09-15</t>
        </is>
      </c>
    </row>
    <row r="32">
      <c r="A32" s="2" t="inlineStr">
        <is>
          <t>银瓴运通稳健1号五期</t>
        </is>
      </c>
      <c r="B32" s="2" t="inlineStr">
        <is>
          <t>SNW762</t>
        </is>
      </c>
      <c r="C32" s="2" t="inlineStr">
        <is>
          <t>套利策略</t>
        </is>
      </c>
      <c r="D32" s="2" t="inlineStr">
        <is>
          <t>期货套利</t>
        </is>
      </c>
      <c r="E32" s="2" t="inlineStr">
        <is>
          <t>广西银瓴资产</t>
        </is>
      </c>
      <c r="F32" s="2" t="inlineStr">
        <is>
          <t>2021-05-13</t>
        </is>
      </c>
      <c r="G32" s="2" t="inlineStr">
        <is>
          <t>1.8500%</t>
        </is>
      </c>
      <c r="H32" s="2" t="inlineStr">
        <is>
          <t>1.8100%</t>
        </is>
      </c>
      <c r="I32" s="2" t="inlineStr">
        <is>
          <t>56.7600%</t>
        </is>
      </c>
      <c r="J32" s="2" t="inlineStr">
        <is>
          <t>61.5400%</t>
        </is>
      </c>
      <c r="K32" s="2" t="inlineStr">
        <is>
          <t>6.9000%</t>
        </is>
      </c>
      <c r="L32" s="2" t="n">
        <v>0.2628</v>
      </c>
      <c r="M32" s="2" t="n">
        <v>0.2674</v>
      </c>
      <c r="N32" s="2" t="inlineStr">
        <is>
          <t>沪深300</t>
        </is>
      </c>
      <c r="O32" t="inlineStr">
        <is>
          <t>2026-08-31</t>
        </is>
      </c>
      <c r="P32" t="inlineStr">
        <is>
          <t>2026-09-15</t>
        </is>
      </c>
    </row>
    <row r="33">
      <c r="A33" s="2" t="inlineStr">
        <is>
          <t>荣熙商品1号</t>
        </is>
      </c>
      <c r="B33" s="2" t="inlineStr">
        <is>
          <t>SQS292</t>
        </is>
      </c>
      <c r="C33" s="2" t="inlineStr">
        <is>
          <t>套利策略</t>
        </is>
      </c>
      <c r="D33" s="2" t="inlineStr">
        <is>
          <t>期货套利</t>
        </is>
      </c>
      <c r="E33" s="2" t="inlineStr">
        <is>
          <t>上海荣熙</t>
        </is>
      </c>
      <c r="F33" s="2" t="inlineStr">
        <is>
          <t>2021-06-10</t>
        </is>
      </c>
      <c r="G33" s="2" t="inlineStr">
        <is>
          <t>1.4400%</t>
        </is>
      </c>
      <c r="H33" s="2" t="inlineStr">
        <is>
          <t>6.8800%</t>
        </is>
      </c>
      <c r="I33" s="2" t="inlineStr">
        <is>
          <t>54.0500%</t>
        </is>
      </c>
      <c r="J33" s="2" t="inlineStr">
        <is>
          <t>46.1500%</t>
        </is>
      </c>
      <c r="K33" s="2" t="inlineStr">
        <is>
          <t>5.8600%</t>
        </is>
      </c>
      <c r="L33" s="2" t="n">
        <v>1.1729</v>
      </c>
      <c r="M33" s="2" t="n">
        <v>0.2711</v>
      </c>
      <c r="N33" s="2" t="inlineStr">
        <is>
          <t>沪深300</t>
        </is>
      </c>
      <c r="O33" t="inlineStr">
        <is>
          <t>2026-08-31</t>
        </is>
      </c>
      <c r="P33" t="inlineStr">
        <is>
          <t>2026-09-15</t>
        </is>
      </c>
    </row>
    <row r="34">
      <c r="A34" s="2" t="inlineStr">
        <is>
          <t>银瓴多德价值投资1号</t>
        </is>
      </c>
      <c r="B34" s="2" t="inlineStr">
        <is>
          <t>SQV390</t>
        </is>
      </c>
      <c r="C34" s="2" t="inlineStr">
        <is>
          <t>套利策略</t>
        </is>
      </c>
      <c r="D34" s="2" t="inlineStr">
        <is>
          <t>期货套利</t>
        </is>
      </c>
      <c r="E34" s="2" t="inlineStr">
        <is>
          <t>广西银瓴资产</t>
        </is>
      </c>
      <c r="F34" s="2" t="inlineStr">
        <is>
          <t>2021-07-05</t>
        </is>
      </c>
      <c r="G34" s="2" t="inlineStr">
        <is>
          <t>-2.5800%</t>
        </is>
      </c>
      <c r="H34" s="2" t="inlineStr">
        <is>
          <t>-2.7100%</t>
        </is>
      </c>
      <c r="I34" s="2" t="inlineStr">
        <is>
          <t>45.9500%</t>
        </is>
      </c>
      <c r="J34" s="2" t="inlineStr">
        <is>
          <t>46.1500%</t>
        </is>
      </c>
      <c r="K34" s="2" t="inlineStr">
        <is>
          <t>23.9100%</t>
        </is>
      </c>
      <c r="L34" s="2" t="n">
        <v>-0.1133</v>
      </c>
      <c r="M34" s="2" t="n">
        <v>-0.1593</v>
      </c>
      <c r="N34" s="2" t="inlineStr">
        <is>
          <t>沪深300</t>
        </is>
      </c>
      <c r="O34" t="inlineStr">
        <is>
          <t>2026-08-31</t>
        </is>
      </c>
      <c r="P34" t="inlineStr">
        <is>
          <t>2026-09-15</t>
        </is>
      </c>
    </row>
    <row r="35">
      <c r="A35" s="2" t="inlineStr">
        <is>
          <t>银瓴运通对冲套利宝城6号</t>
        </is>
      </c>
      <c r="B35" s="2" t="inlineStr">
        <is>
          <t>SQU465</t>
        </is>
      </c>
      <c r="C35" s="2" t="inlineStr">
        <is>
          <t>套利策略</t>
        </is>
      </c>
      <c r="D35" s="2" t="inlineStr">
        <is>
          <t>期货套利</t>
        </is>
      </c>
      <c r="E35" s="2" t="inlineStr">
        <is>
          <t>广西银瓴资产</t>
        </is>
      </c>
      <c r="F35" s="2" t="inlineStr">
        <is>
          <t>2021-07-15</t>
        </is>
      </c>
      <c r="G35" s="2" t="inlineStr">
        <is>
          <t>-9.1500%</t>
        </is>
      </c>
      <c r="H35" s="2" t="inlineStr">
        <is>
          <t>-4.1200%</t>
        </is>
      </c>
      <c r="I35" s="2" t="inlineStr">
        <is>
          <t>45.9500%</t>
        </is>
      </c>
      <c r="J35" s="2" t="inlineStr">
        <is>
          <t>46.1500%</t>
        </is>
      </c>
      <c r="K35" s="2" t="inlineStr">
        <is>
          <t>19.8900%</t>
        </is>
      </c>
      <c r="L35" s="2" t="n">
        <v>-0.207</v>
      </c>
      <c r="M35" s="2" t="n">
        <v>-0.5723</v>
      </c>
      <c r="N35" s="2" t="inlineStr">
        <is>
          <t>沪深300</t>
        </is>
      </c>
      <c r="O35" t="inlineStr">
        <is>
          <t>2026-08-31</t>
        </is>
      </c>
      <c r="P35" t="inlineStr">
        <is>
          <t>2026-09-15</t>
        </is>
      </c>
    </row>
    <row r="36">
      <c r="A36" s="2" t="inlineStr">
        <is>
          <t>银瓴运通对冲套利进取2号二期</t>
        </is>
      </c>
      <c r="B36" s="2" t="inlineStr">
        <is>
          <t>SQZ278</t>
        </is>
      </c>
      <c r="C36" s="2" t="inlineStr">
        <is>
          <t>套利策略</t>
        </is>
      </c>
      <c r="D36" s="2" t="inlineStr">
        <is>
          <t>期货套利</t>
        </is>
      </c>
      <c r="E36" s="2" t="inlineStr">
        <is>
          <t>广西银瓴资产</t>
        </is>
      </c>
      <c r="F36" s="2" t="inlineStr">
        <is>
          <t>2021-07-15</t>
        </is>
      </c>
      <c r="G36" s="2" t="inlineStr">
        <is>
          <t>3.0900%</t>
        </is>
      </c>
      <c r="H36" s="2" t="inlineStr">
        <is>
          <t>4.8000%</t>
        </is>
      </c>
      <c r="I36" s="2" t="inlineStr">
        <is>
          <t>62.1600%</t>
        </is>
      </c>
      <c r="J36" s="2" t="inlineStr">
        <is>
          <t>53.8500%</t>
        </is>
      </c>
      <c r="K36" s="2" t="inlineStr">
        <is>
          <t>7.8800%</t>
        </is>
      </c>
      <c r="L36" s="2" t="n">
        <v>0.6093</v>
      </c>
      <c r="M36" s="2" t="n">
        <v>0.5168</v>
      </c>
      <c r="N36" s="2" t="inlineStr">
        <is>
          <t>沪深300</t>
        </is>
      </c>
      <c r="O36" t="inlineStr">
        <is>
          <t>2026-08-31</t>
        </is>
      </c>
      <c r="P36" t="inlineStr">
        <is>
          <t>2026-09-15</t>
        </is>
      </c>
    </row>
    <row r="37">
      <c r="A37" s="2" t="inlineStr">
        <is>
          <t>福邑共赢一号</t>
        </is>
      </c>
      <c r="B37" s="2" t="inlineStr">
        <is>
          <t>SSB040</t>
        </is>
      </c>
      <c r="C37" s="2" t="inlineStr">
        <is>
          <t>套利策略</t>
        </is>
      </c>
      <c r="D37" s="2" t="inlineStr">
        <is>
          <t>期货套利</t>
        </is>
      </c>
      <c r="E37" s="2" t="inlineStr">
        <is>
          <t>上海福邑</t>
        </is>
      </c>
      <c r="F37" s="2" t="inlineStr">
        <is>
          <t>2021-08-24</t>
        </is>
      </c>
      <c r="G37" s="2" t="inlineStr">
        <is>
          <t>21.8000%</t>
        </is>
      </c>
      <c r="H37" s="2" t="inlineStr">
        <is>
          <t>9.0900%</t>
        </is>
      </c>
      <c r="I37" s="2" t="inlineStr">
        <is>
          <t>54.0500%</t>
        </is>
      </c>
      <c r="J37" s="2" t="inlineStr">
        <is>
          <t>61.5400%</t>
        </is>
      </c>
      <c r="K37" s="2" t="inlineStr">
        <is>
          <t>20.0400%</t>
        </is>
      </c>
      <c r="L37" s="2" t="n">
        <v>0.4534</v>
      </c>
      <c r="M37" s="2" t="n">
        <v>1.0881</v>
      </c>
      <c r="N37" s="2" t="inlineStr">
        <is>
          <t>沪深300</t>
        </is>
      </c>
      <c r="O37" t="inlineStr">
        <is>
          <t>2026-08-31</t>
        </is>
      </c>
      <c r="P37" t="inlineStr">
        <is>
          <t>2026-09-15</t>
        </is>
      </c>
    </row>
    <row r="38">
      <c r="A38" s="2" t="inlineStr">
        <is>
          <t>银瓴汇金6号</t>
        </is>
      </c>
      <c r="B38" s="2" t="inlineStr">
        <is>
          <t>SSN446</t>
        </is>
      </c>
      <c r="C38" s="2" t="inlineStr">
        <is>
          <t>套利策略</t>
        </is>
      </c>
      <c r="D38" s="2" t="inlineStr">
        <is>
          <t>期货套利</t>
        </is>
      </c>
      <c r="E38" s="2" t="inlineStr">
        <is>
          <t>广西银瓴资产</t>
        </is>
      </c>
      <c r="F38" s="2" t="inlineStr">
        <is>
          <t>2021-09-01</t>
        </is>
      </c>
      <c r="G38" s="2" t="inlineStr">
        <is>
          <t>20.4400%</t>
        </is>
      </c>
      <c r="H38" s="2" t="inlineStr">
        <is>
          <t>5.1100%</t>
        </is>
      </c>
      <c r="I38" s="2" t="inlineStr">
        <is>
          <t>37.8400%</t>
        </is>
      </c>
      <c r="J38" s="2" t="inlineStr">
        <is>
          <t>38.4600%</t>
        </is>
      </c>
      <c r="K38" s="2" t="inlineStr">
        <is>
          <t>11.6900%</t>
        </is>
      </c>
      <c r="L38" s="2" t="n">
        <v>0.4368</v>
      </c>
      <c r="M38" s="2" t="n">
        <v>1.7482</v>
      </c>
      <c r="N38" s="2" t="inlineStr">
        <is>
          <t>沪深300</t>
        </is>
      </c>
      <c r="O38" t="inlineStr">
        <is>
          <t>2026-08-31</t>
        </is>
      </c>
      <c r="P38" t="inlineStr">
        <is>
          <t>2026-09-15</t>
        </is>
      </c>
    </row>
    <row r="39">
      <c r="A39" s="2" t="inlineStr">
        <is>
          <t>岳皋泰山核心一号</t>
        </is>
      </c>
      <c r="B39" s="2" t="inlineStr">
        <is>
          <t>SSH674</t>
        </is>
      </c>
      <c r="C39" s="2" t="inlineStr">
        <is>
          <t>套利策略</t>
        </is>
      </c>
      <c r="D39" s="2" t="inlineStr">
        <is>
          <t>-</t>
        </is>
      </c>
      <c r="E39" s="2" t="inlineStr">
        <is>
          <t>上海岳皋投资</t>
        </is>
      </c>
      <c r="F39" s="2" t="inlineStr">
        <is>
          <t>2021-09-08</t>
        </is>
      </c>
      <c r="G39" s="2" t="inlineStr">
        <is>
          <t>2.5200%</t>
        </is>
      </c>
      <c r="H39" s="2" t="inlineStr">
        <is>
          <t>2.9900%</t>
        </is>
      </c>
      <c r="I39" s="2" t="inlineStr">
        <is>
          <t>70.2700%</t>
        </is>
      </c>
      <c r="J39" s="2" t="inlineStr">
        <is>
          <t>69.2300%</t>
        </is>
      </c>
      <c r="K39" s="2" t="inlineStr">
        <is>
          <t>4.6400%</t>
        </is>
      </c>
      <c r="L39" s="2" t="n">
        <v>0.6443</v>
      </c>
      <c r="M39" s="2" t="n">
        <v>0.8719</v>
      </c>
      <c r="N39" s="2" t="inlineStr">
        <is>
          <t>沪深300</t>
        </is>
      </c>
      <c r="O39" t="inlineStr">
        <is>
          <t>2026-08-31</t>
        </is>
      </c>
      <c r="P39" t="inlineStr">
        <is>
          <t>2026-09-15</t>
        </is>
      </c>
    </row>
    <row r="40">
      <c r="A40" s="2" t="inlineStr">
        <is>
          <t>龙帆恒盛稳固8号</t>
        </is>
      </c>
      <c r="B40" s="2" t="inlineStr">
        <is>
          <t>SSU654</t>
        </is>
      </c>
      <c r="C40" s="2" t="inlineStr">
        <is>
          <t>套利策略</t>
        </is>
      </c>
      <c r="D40" s="2" t="inlineStr">
        <is>
          <t>期货套利</t>
        </is>
      </c>
      <c r="E40" s="2" t="inlineStr">
        <is>
          <t>厦门龙帆资管</t>
        </is>
      </c>
      <c r="F40" s="2" t="inlineStr">
        <is>
          <t>2021-09-23</t>
        </is>
      </c>
      <c r="G40" s="2" t="inlineStr">
        <is>
          <t>9.1000%</t>
        </is>
      </c>
      <c r="H40" s="2" t="inlineStr">
        <is>
          <t>5.2800%</t>
        </is>
      </c>
      <c r="I40" s="2" t="inlineStr">
        <is>
          <t>72.9700%</t>
        </is>
      </c>
      <c r="J40" s="2" t="inlineStr">
        <is>
          <t>84.6200%</t>
        </is>
      </c>
      <c r="K40" s="2" t="inlineStr">
        <is>
          <t>5.4300%</t>
        </is>
      </c>
      <c r="L40" s="2" t="n">
        <v>0.9731</v>
      </c>
      <c r="M40" s="2" t="n">
        <v>6.362</v>
      </c>
      <c r="N40" s="2" t="inlineStr">
        <is>
          <t>沪深300</t>
        </is>
      </c>
      <c r="O40" t="inlineStr">
        <is>
          <t>2026-08-31</t>
        </is>
      </c>
      <c r="P40" t="inlineStr">
        <is>
          <t>2026-09-15</t>
        </is>
      </c>
    </row>
    <row r="41">
      <c r="A41" s="2" t="inlineStr">
        <is>
          <t>龙帆恒盛稳固9号</t>
        </is>
      </c>
      <c r="B41" s="2" t="inlineStr">
        <is>
          <t>SSX605</t>
        </is>
      </c>
      <c r="C41" s="2" t="inlineStr">
        <is>
          <t>套利策略</t>
        </is>
      </c>
      <c r="D41" s="2" t="inlineStr">
        <is>
          <t>期货套利</t>
        </is>
      </c>
      <c r="E41" s="2" t="inlineStr">
        <is>
          <t>厦门龙帆资管</t>
        </is>
      </c>
      <c r="F41" s="2" t="inlineStr">
        <is>
          <t>2021-10-20</t>
        </is>
      </c>
      <c r="G41" s="2" t="inlineStr">
        <is>
          <t>8.6800%</t>
        </is>
      </c>
      <c r="H41" s="2" t="inlineStr">
        <is>
          <t>5.0100%</t>
        </is>
      </c>
      <c r="I41" s="2" t="inlineStr">
        <is>
          <t>72.9700%</t>
        </is>
      </c>
      <c r="J41" s="2" t="inlineStr">
        <is>
          <t>76.9200%</t>
        </is>
      </c>
      <c r="K41" s="2" t="inlineStr">
        <is>
          <t>1.3000%</t>
        </is>
      </c>
      <c r="L41" s="2" t="n">
        <v>3.8514</v>
      </c>
      <c r="M41" s="2" t="n">
        <v>20.6426</v>
      </c>
      <c r="N41" s="2" t="inlineStr">
        <is>
          <t>沪深300</t>
        </is>
      </c>
      <c r="O41" t="inlineStr">
        <is>
          <t>2026-08-31</t>
        </is>
      </c>
      <c r="P41" t="inlineStr">
        <is>
          <t>2026-09-15</t>
        </is>
      </c>
    </row>
    <row r="42">
      <c r="A42" s="2" t="inlineStr">
        <is>
          <t>中安鼎盛善行可转债1号</t>
        </is>
      </c>
      <c r="B42" s="2" t="inlineStr">
        <is>
          <t>STH005</t>
        </is>
      </c>
      <c r="C42" s="2" t="inlineStr">
        <is>
          <t>套利策略</t>
        </is>
      </c>
      <c r="D42" s="2" t="inlineStr">
        <is>
          <t>可转债套利</t>
        </is>
      </c>
      <c r="E42" s="2" t="inlineStr">
        <is>
          <t>深圳中安鼎盛</t>
        </is>
      </c>
      <c r="F42" s="2" t="inlineStr">
        <is>
          <t>2021-11-26</t>
        </is>
      </c>
      <c r="G42" s="2" t="inlineStr">
        <is>
          <t>-6.4500%</t>
        </is>
      </c>
      <c r="H42" s="2" t="inlineStr">
        <is>
          <t>2.0300%</t>
        </is>
      </c>
      <c r="I42" s="2" t="inlineStr">
        <is>
          <t>48.6500%</t>
        </is>
      </c>
      <c r="J42" s="2" t="inlineStr">
        <is>
          <t>30.7700%</t>
        </is>
      </c>
      <c r="K42" s="2" t="inlineStr">
        <is>
          <t>10.4200%</t>
        </is>
      </c>
      <c r="L42" s="2" t="n">
        <v>0.1945</v>
      </c>
      <c r="M42" s="2" t="n">
        <v>-0.8042</v>
      </c>
      <c r="N42" s="2" t="inlineStr">
        <is>
          <t>沪深300</t>
        </is>
      </c>
      <c r="O42" t="inlineStr">
        <is>
          <t>2026-08-31</t>
        </is>
      </c>
      <c r="P42" t="inlineStr">
        <is>
          <t>2026-09-15</t>
        </is>
      </c>
    </row>
    <row r="43">
      <c r="A43" s="2" t="inlineStr">
        <is>
          <t>九招真格量化商品套利一号</t>
        </is>
      </c>
      <c r="B43" s="2" t="inlineStr">
        <is>
          <t>STK200</t>
        </is>
      </c>
      <c r="C43" s="2" t="inlineStr">
        <is>
          <t>套利策略</t>
        </is>
      </c>
      <c r="D43" s="2" t="inlineStr">
        <is>
          <t>期货套利</t>
        </is>
      </c>
      <c r="E43" s="2" t="inlineStr">
        <is>
          <t>武汉九招</t>
        </is>
      </c>
      <c r="F43" s="2" t="inlineStr">
        <is>
          <t>2021-12-13</t>
        </is>
      </c>
      <c r="G43" s="2" t="inlineStr">
        <is>
          <t>10.8900%</t>
        </is>
      </c>
      <c r="H43" s="2" t="inlineStr">
        <is>
          <t>8.4400%</t>
        </is>
      </c>
      <c r="I43" s="2" t="inlineStr">
        <is>
          <t>64.8600%</t>
        </is>
      </c>
      <c r="J43" s="2" t="inlineStr">
        <is>
          <t>46.1500%</t>
        </is>
      </c>
      <c r="K43" s="2" t="inlineStr">
        <is>
          <t>3.2200%</t>
        </is>
      </c>
      <c r="L43" s="2" t="n">
        <v>2.6184</v>
      </c>
      <c r="M43" s="2" t="n">
        <v>6.2862</v>
      </c>
      <c r="N43" s="2" t="inlineStr">
        <is>
          <t>沪深300</t>
        </is>
      </c>
      <c r="O43" t="inlineStr">
        <is>
          <t>2026-08-31</t>
        </is>
      </c>
      <c r="P43" t="inlineStr">
        <is>
          <t>2026-09-15</t>
        </is>
      </c>
    </row>
    <row r="44">
      <c r="A44" s="2" t="inlineStr">
        <is>
          <t>博润小牛3号</t>
        </is>
      </c>
      <c r="B44" s="2" t="inlineStr">
        <is>
          <t>STV728</t>
        </is>
      </c>
      <c r="C44" s="2" t="inlineStr">
        <is>
          <t>套利策略</t>
        </is>
      </c>
      <c r="D44" s="2" t="inlineStr">
        <is>
          <t>基金套利</t>
        </is>
      </c>
      <c r="E44" s="2" t="inlineStr">
        <is>
          <t>北京博润银泰投资</t>
        </is>
      </c>
      <c r="F44" s="2" t="inlineStr">
        <is>
          <t>2022-03-04</t>
        </is>
      </c>
      <c r="G44" s="2" t="inlineStr">
        <is>
          <t>13.8300%</t>
        </is>
      </c>
      <c r="H44" s="2" t="inlineStr">
        <is>
          <t>16.6200%</t>
        </is>
      </c>
      <c r="I44" s="2" t="inlineStr">
        <is>
          <t>83.7800%</t>
        </is>
      </c>
      <c r="J44" s="2" t="inlineStr">
        <is>
          <t>76.9200%</t>
        </is>
      </c>
      <c r="K44" s="2" t="inlineStr">
        <is>
          <t>2.2300%</t>
        </is>
      </c>
      <c r="L44" s="2" t="n">
        <v>7.4562</v>
      </c>
      <c r="M44" s="2" t="n">
        <v>6.4275</v>
      </c>
      <c r="N44" s="2" t="inlineStr">
        <is>
          <t>沪深300</t>
        </is>
      </c>
      <c r="O44" t="inlineStr">
        <is>
          <t>2026-08-31</t>
        </is>
      </c>
      <c r="P44" t="inlineStr">
        <is>
          <t>2026-09-15</t>
        </is>
      </c>
    </row>
    <row r="45">
      <c r="A45" s="2" t="inlineStr">
        <is>
          <t>银杏善投1号</t>
        </is>
      </c>
      <c r="B45" s="2" t="inlineStr">
        <is>
          <t>STK219</t>
        </is>
      </c>
      <c r="C45" s="2" t="inlineStr">
        <is>
          <t>套利策略</t>
        </is>
      </c>
      <c r="D45" s="2" t="inlineStr">
        <is>
          <t>期货套利</t>
        </is>
      </c>
      <c r="E45" s="2" t="inlineStr">
        <is>
          <t>上海银杏</t>
        </is>
      </c>
      <c r="F45" s="2" t="inlineStr">
        <is>
          <t>2022-02-25</t>
        </is>
      </c>
      <c r="G45" s="2" t="inlineStr">
        <is>
          <t>1.0300%</t>
        </is>
      </c>
      <c r="H45" s="2" t="inlineStr">
        <is>
          <t>4.2400%</t>
        </is>
      </c>
      <c r="I45" s="2" t="inlineStr">
        <is>
          <t>70.2700%</t>
        </is>
      </c>
      <c r="J45" s="2" t="inlineStr">
        <is>
          <t>61.5400%</t>
        </is>
      </c>
      <c r="K45" s="2" t="inlineStr">
        <is>
          <t>19.0400%</t>
        </is>
      </c>
      <c r="L45" s="2" t="n">
        <v>0.2229</v>
      </c>
      <c r="M45" s="2" t="n">
        <v>0.0539</v>
      </c>
      <c r="N45" s="2" t="inlineStr">
        <is>
          <t>沪深300</t>
        </is>
      </c>
      <c r="O45" t="inlineStr">
        <is>
          <t>2026-08-31</t>
        </is>
      </c>
      <c r="P45" t="inlineStr">
        <is>
          <t>2026-09-15</t>
        </is>
      </c>
    </row>
    <row r="46">
      <c r="A46" s="2" t="inlineStr">
        <is>
          <t>悬铃C号9期</t>
        </is>
      </c>
      <c r="B46" s="2" t="inlineStr">
        <is>
          <t>SVH343</t>
        </is>
      </c>
      <c r="C46" s="2" t="inlineStr">
        <is>
          <t>套利策略</t>
        </is>
      </c>
      <c r="D46" s="2" t="inlineStr">
        <is>
          <t>可转债套利</t>
        </is>
      </c>
      <c r="E46" s="2" t="inlineStr">
        <is>
          <t>上海悬铃</t>
        </is>
      </c>
      <c r="F46" s="2" t="inlineStr">
        <is>
          <t>2022-04-20</t>
        </is>
      </c>
      <c r="G46" s="2" t="inlineStr">
        <is>
          <t>6.5800%</t>
        </is>
      </c>
      <c r="H46" s="2" t="inlineStr">
        <is>
          <t>10.6800%</t>
        </is>
      </c>
      <c r="I46" s="2" t="inlineStr">
        <is>
          <t>70.2700%</t>
        </is>
      </c>
      <c r="J46" s="2" t="inlineStr">
        <is>
          <t>61.5400%</t>
        </is>
      </c>
      <c r="K46" s="2" t="inlineStr">
        <is>
          <t>8.3000%</t>
        </is>
      </c>
      <c r="L46" s="2" t="n">
        <v>1.2867</v>
      </c>
      <c r="M46" s="2" t="n">
        <v>1.8469</v>
      </c>
      <c r="N46" s="2" t="inlineStr">
        <is>
          <t>沪深300</t>
        </is>
      </c>
      <c r="O46" t="inlineStr">
        <is>
          <t>2026-08-31</t>
        </is>
      </c>
      <c r="P46" t="inlineStr">
        <is>
          <t>2026-09-15</t>
        </is>
      </c>
    </row>
    <row r="47">
      <c r="A47" s="2" t="inlineStr">
        <is>
          <t>爱凡哲AH多空1号</t>
        </is>
      </c>
      <c r="B47" s="2" t="inlineStr">
        <is>
          <t>SVM785</t>
        </is>
      </c>
      <c r="C47" s="2" t="inlineStr">
        <is>
          <t>套利策略</t>
        </is>
      </c>
      <c r="D47" s="2" t="inlineStr">
        <is>
          <t>-</t>
        </is>
      </c>
      <c r="E47" s="2" t="inlineStr">
        <is>
          <t>爱凡哲投资</t>
        </is>
      </c>
      <c r="F47" s="2" t="inlineStr">
        <is>
          <t>2022-04-22</t>
        </is>
      </c>
      <c r="G47" s="2" t="inlineStr">
        <is>
          <t>7.9400%</t>
        </is>
      </c>
      <c r="H47" s="2" t="inlineStr">
        <is>
          <t>10.0500%</t>
        </is>
      </c>
      <c r="I47" s="2" t="inlineStr">
        <is>
          <t>86.4900%</t>
        </is>
      </c>
      <c r="J47" s="2" t="inlineStr">
        <is>
          <t>92.3100%</t>
        </is>
      </c>
      <c r="K47" s="2" t="inlineStr">
        <is>
          <t>2.0400%</t>
        </is>
      </c>
      <c r="L47" s="2" t="n">
        <v>4.9175</v>
      </c>
      <c r="M47" s="2" t="n">
        <v>6.2465</v>
      </c>
      <c r="N47" s="2" t="inlineStr">
        <is>
          <t>沪深300</t>
        </is>
      </c>
      <c r="O47" t="inlineStr">
        <is>
          <t>2026-08-31</t>
        </is>
      </c>
      <c r="P47" t="inlineStr">
        <is>
          <t>2026-09-15</t>
        </is>
      </c>
    </row>
    <row r="48">
      <c r="A48" s="2" t="inlineStr">
        <is>
          <t>钧誉酬勤量化3号</t>
        </is>
      </c>
      <c r="B48" s="2" t="inlineStr">
        <is>
          <t>SVP121</t>
        </is>
      </c>
      <c r="C48" s="2" t="inlineStr">
        <is>
          <t>套利策略</t>
        </is>
      </c>
      <c r="D48" s="2" t="inlineStr">
        <is>
          <t>期货套利</t>
        </is>
      </c>
      <c r="E48" s="2" t="inlineStr">
        <is>
          <t>珠海钧誉资管</t>
        </is>
      </c>
      <c r="F48" s="2" t="inlineStr">
        <is>
          <t>2022-05-05</t>
        </is>
      </c>
      <c r="G48" s="2" t="inlineStr">
        <is>
          <t>6.3200%</t>
        </is>
      </c>
      <c r="H48" s="2" t="inlineStr">
        <is>
          <t>5.2100%</t>
        </is>
      </c>
      <c r="I48" s="2" t="inlineStr">
        <is>
          <t>72.9700%</t>
        </is>
      </c>
      <c r="J48" s="2" t="inlineStr">
        <is>
          <t>92.3100%</t>
        </is>
      </c>
      <c r="K48" s="2" t="inlineStr">
        <is>
          <t>1.3600%</t>
        </is>
      </c>
      <c r="L48" s="2" t="n">
        <v>3.8345</v>
      </c>
      <c r="M48" s="2" t="n">
        <v>5.7719</v>
      </c>
      <c r="N48" s="2" t="inlineStr">
        <is>
          <t>沪深300</t>
        </is>
      </c>
      <c r="O48" t="inlineStr">
        <is>
          <t>2026-08-31</t>
        </is>
      </c>
      <c r="P48" t="inlineStr">
        <is>
          <t>2026-09-15</t>
        </is>
      </c>
    </row>
    <row r="49">
      <c r="A49" s="2" t="inlineStr">
        <is>
          <t>汇富联合日盈12号</t>
        </is>
      </c>
      <c r="B49" s="2" t="inlineStr">
        <is>
          <t>SVQ519</t>
        </is>
      </c>
      <c r="C49" s="2" t="inlineStr">
        <is>
          <t>套利策略</t>
        </is>
      </c>
      <c r="D49" s="2" t="inlineStr">
        <is>
          <t>期货套利</t>
        </is>
      </c>
      <c r="E49" s="2" t="inlineStr">
        <is>
          <t>深圳前海汇富联合</t>
        </is>
      </c>
      <c r="F49" s="2" t="inlineStr">
        <is>
          <t>2022-05-12</t>
        </is>
      </c>
      <c r="G49" s="2" t="inlineStr">
        <is>
          <t>28.2700%</t>
        </is>
      </c>
      <c r="H49" s="2" t="inlineStr">
        <is>
          <t>8.6900%</t>
        </is>
      </c>
      <c r="I49" s="2" t="inlineStr">
        <is>
          <t>78.3800%</t>
        </is>
      </c>
      <c r="J49" s="2" t="inlineStr">
        <is>
          <t>84.6200%</t>
        </is>
      </c>
      <c r="K49" s="2" t="inlineStr">
        <is>
          <t>5.7500%</t>
        </is>
      </c>
      <c r="L49" s="2" t="n">
        <v>1.5108</v>
      </c>
      <c r="M49" s="2" t="n">
        <v>15.5616</v>
      </c>
      <c r="N49" s="2" t="inlineStr">
        <is>
          <t>沪深300</t>
        </is>
      </c>
      <c r="O49" t="inlineStr">
        <is>
          <t>2026-08-31</t>
        </is>
      </c>
      <c r="P49" t="inlineStr">
        <is>
          <t>2026-09-15</t>
        </is>
      </c>
    </row>
    <row r="50">
      <c r="A50" s="2" t="inlineStr">
        <is>
          <t>融相慎远一号</t>
        </is>
      </c>
      <c r="B50" s="2" t="inlineStr">
        <is>
          <t>SVK536</t>
        </is>
      </c>
      <c r="C50" s="2" t="inlineStr">
        <is>
          <t>套利策略</t>
        </is>
      </c>
      <c r="D50" s="2" t="inlineStr">
        <is>
          <t>-</t>
        </is>
      </c>
      <c r="E50" s="2" t="inlineStr">
        <is>
          <t>海南融相</t>
        </is>
      </c>
      <c r="F50" s="2" t="inlineStr">
        <is>
          <t>2022-05-09</t>
        </is>
      </c>
      <c r="G50" s="2" t="inlineStr">
        <is>
          <t>-0.2500%</t>
        </is>
      </c>
      <c r="H50" s="2" t="inlineStr">
        <is>
          <t>4.4900%</t>
        </is>
      </c>
      <c r="I50" s="2" t="inlineStr">
        <is>
          <t>72.9700%</t>
        </is>
      </c>
      <c r="J50" s="2" t="inlineStr">
        <is>
          <t>61.5400%</t>
        </is>
      </c>
      <c r="K50" s="2" t="inlineStr">
        <is>
          <t>6.5300%</t>
        </is>
      </c>
      <c r="L50" s="2" t="n">
        <v>0.6883</v>
      </c>
      <c r="M50" s="2" t="n">
        <v>-0.0388</v>
      </c>
      <c r="N50" s="2" t="inlineStr">
        <is>
          <t>沪深300</t>
        </is>
      </c>
      <c r="O50" t="inlineStr">
        <is>
          <t>2026-08-31</t>
        </is>
      </c>
      <c r="P50" t="inlineStr">
        <is>
          <t>2026-09-15</t>
        </is>
      </c>
    </row>
    <row r="51">
      <c r="A51" s="2" t="inlineStr">
        <is>
          <t>晨翰11号</t>
        </is>
      </c>
      <c r="B51" s="2" t="inlineStr">
        <is>
          <t>SVT598</t>
        </is>
      </c>
      <c r="C51" s="2" t="inlineStr">
        <is>
          <t>套利策略</t>
        </is>
      </c>
      <c r="D51" s="2" t="inlineStr">
        <is>
          <t>期货套利</t>
        </is>
      </c>
      <c r="E51" s="2" t="inlineStr">
        <is>
          <t>晋江晨翰</t>
        </is>
      </c>
      <c r="F51" s="2" t="inlineStr">
        <is>
          <t>2022-06-10</t>
        </is>
      </c>
      <c r="G51" s="2" t="inlineStr">
        <is>
          <t>3.4700%</t>
        </is>
      </c>
      <c r="H51" s="2" t="inlineStr">
        <is>
          <t>3.4300%</t>
        </is>
      </c>
      <c r="I51" s="2" t="inlineStr">
        <is>
          <t>64.8600%</t>
        </is>
      </c>
      <c r="J51" s="2" t="inlineStr">
        <is>
          <t>61.5400%</t>
        </is>
      </c>
      <c r="K51" s="2" t="inlineStr">
        <is>
          <t>2.3900%</t>
        </is>
      </c>
      <c r="L51" s="2" t="n">
        <v>1.4362</v>
      </c>
      <c r="M51" s="2" t="n">
        <v>2.2803</v>
      </c>
      <c r="N51" s="2" t="inlineStr">
        <is>
          <t>沪深300</t>
        </is>
      </c>
      <c r="O51" t="inlineStr">
        <is>
          <t>2026-08-31</t>
        </is>
      </c>
      <c r="P51" t="inlineStr">
        <is>
          <t>2026-09-15</t>
        </is>
      </c>
    </row>
    <row r="52">
      <c r="A52" s="2" t="inlineStr">
        <is>
          <t>致同添利套利多策略三期</t>
        </is>
      </c>
      <c r="B52" s="2" t="inlineStr">
        <is>
          <t>STY632</t>
        </is>
      </c>
      <c r="C52" s="2" t="inlineStr">
        <is>
          <t>套利策略</t>
        </is>
      </c>
      <c r="D52" s="2" t="inlineStr">
        <is>
          <t>期货套利</t>
        </is>
      </c>
      <c r="E52" s="2" t="inlineStr">
        <is>
          <t>上海致同投资</t>
        </is>
      </c>
      <c r="F52" s="2" t="inlineStr">
        <is>
          <t>2022-07-28</t>
        </is>
      </c>
      <c r="G52" s="2" t="inlineStr">
        <is>
          <t>2.9400%</t>
        </is>
      </c>
      <c r="H52" s="2" t="inlineStr">
        <is>
          <t>3.5700%</t>
        </is>
      </c>
      <c r="I52" s="2" t="inlineStr">
        <is>
          <t>75.6800%</t>
        </is>
      </c>
      <c r="J52" s="2" t="inlineStr">
        <is>
          <t>76.9200%</t>
        </is>
      </c>
      <c r="K52" s="2" t="inlineStr">
        <is>
          <t>0.8500%</t>
        </is>
      </c>
      <c r="L52" s="2" t="n">
        <v>4.2133</v>
      </c>
      <c r="M52" s="2" t="n">
        <v>3.4659</v>
      </c>
      <c r="N52" s="2" t="inlineStr">
        <is>
          <t>沪深300</t>
        </is>
      </c>
      <c r="O52" t="inlineStr">
        <is>
          <t>2026-08-31</t>
        </is>
      </c>
      <c r="P52" t="inlineStr">
        <is>
          <t>2026-09-15</t>
        </is>
      </c>
    </row>
    <row r="53">
      <c r="A53" s="2" t="inlineStr">
        <is>
          <t>博牛转债策略2号</t>
        </is>
      </c>
      <c r="B53" s="2" t="inlineStr">
        <is>
          <t>SVY871</t>
        </is>
      </c>
      <c r="C53" s="2" t="inlineStr">
        <is>
          <t>套利策略</t>
        </is>
      </c>
      <c r="D53" s="2" t="inlineStr">
        <is>
          <t>可转债套利</t>
        </is>
      </c>
      <c r="E53" s="2" t="inlineStr">
        <is>
          <t>广州博牛</t>
        </is>
      </c>
      <c r="F53" s="2" t="inlineStr">
        <is>
          <t>2022-08-15</t>
        </is>
      </c>
      <c r="G53" s="2" t="inlineStr">
        <is>
          <t>-1.6700%</t>
        </is>
      </c>
      <c r="H53" s="2" t="inlineStr">
        <is>
          <t>4.1900%</t>
        </is>
      </c>
      <c r="I53" s="2" t="inlineStr">
        <is>
          <t>59.4600%</t>
        </is>
      </c>
      <c r="J53" s="2" t="inlineStr">
        <is>
          <t>30.7700%</t>
        </is>
      </c>
      <c r="K53" s="2" t="inlineStr">
        <is>
          <t>4.5000%</t>
        </is>
      </c>
      <c r="L53" s="2" t="n">
        <v>0.9319</v>
      </c>
      <c r="M53" s="2" t="n">
        <v>-0.3713</v>
      </c>
      <c r="N53" s="2" t="inlineStr">
        <is>
          <t>中证转债</t>
        </is>
      </c>
      <c r="O53" t="inlineStr">
        <is>
          <t>2026-08-31</t>
        </is>
      </c>
      <c r="P53" t="inlineStr">
        <is>
          <t>2026-09-15</t>
        </is>
      </c>
    </row>
    <row r="54">
      <c r="A54" s="2" t="inlineStr">
        <is>
          <t>银瓴运通致远3号五期</t>
        </is>
      </c>
      <c r="B54" s="2" t="inlineStr">
        <is>
          <t>SXF666</t>
        </is>
      </c>
      <c r="C54" s="2" t="inlineStr">
        <is>
          <t>套利策略</t>
        </is>
      </c>
      <c r="D54" s="2" t="inlineStr">
        <is>
          <t>混合套利</t>
        </is>
      </c>
      <c r="E54" s="2" t="inlineStr">
        <is>
          <t>广西银瓴资产</t>
        </is>
      </c>
      <c r="F54" s="2" t="inlineStr">
        <is>
          <t>2022-08-31</t>
        </is>
      </c>
      <c r="G54" s="2" t="inlineStr">
        <is>
          <t>-4.4800%</t>
        </is>
      </c>
      <c r="H54" s="2" t="inlineStr">
        <is>
          <t>2.6600%</t>
        </is>
      </c>
      <c r="I54" s="2" t="inlineStr">
        <is>
          <t>51.3500%</t>
        </is>
      </c>
      <c r="J54" s="2" t="inlineStr">
        <is>
          <t>30.7700%</t>
        </is>
      </c>
      <c r="K54" s="2" t="inlineStr">
        <is>
          <t>8.5800%</t>
        </is>
      </c>
      <c r="L54" s="2" t="n">
        <v>0.31</v>
      </c>
      <c r="M54" s="2" t="n">
        <v>-0.5652</v>
      </c>
      <c r="N54" s="2" t="inlineStr">
        <is>
          <t>沪深300</t>
        </is>
      </c>
      <c r="O54" t="inlineStr">
        <is>
          <t>2026-08-31</t>
        </is>
      </c>
      <c r="P54" t="inlineStr">
        <is>
          <t>2026-09-15</t>
        </is>
      </c>
    </row>
    <row r="55">
      <c r="A55" s="2" t="inlineStr">
        <is>
          <t>汉盛浩远1号</t>
        </is>
      </c>
      <c r="B55" s="2" t="inlineStr">
        <is>
          <t>SXE156</t>
        </is>
      </c>
      <c r="C55" s="2" t="inlineStr">
        <is>
          <t>套利策略</t>
        </is>
      </c>
      <c r="D55" s="2" t="inlineStr">
        <is>
          <t>可转债套利</t>
        </is>
      </c>
      <c r="E55" s="2" t="inlineStr">
        <is>
          <t>上海汉鸿</t>
        </is>
      </c>
      <c r="F55" s="2" t="inlineStr">
        <is>
          <t>2022-09-06</t>
        </is>
      </c>
      <c r="G55" s="2" t="inlineStr">
        <is>
          <t>0.8400%</t>
        </is>
      </c>
      <c r="H55" s="2" t="inlineStr">
        <is>
          <t>15.6100%</t>
        </is>
      </c>
      <c r="I55" s="2" t="inlineStr">
        <is>
          <t>72.9700%</t>
        </is>
      </c>
      <c r="J55" s="2" t="inlineStr">
        <is>
          <t>61.5400%</t>
        </is>
      </c>
      <c r="K55" s="2" t="inlineStr">
        <is>
          <t>11.7900%</t>
        </is>
      </c>
      <c r="L55" s="2" t="n">
        <v>1.3236</v>
      </c>
      <c r="M55" s="2" t="n">
        <v>0.092</v>
      </c>
      <c r="N55" s="2" t="inlineStr">
        <is>
          <t>沪深300</t>
        </is>
      </c>
      <c r="O55" t="inlineStr">
        <is>
          <t>2026-08-31</t>
        </is>
      </c>
      <c r="P55" t="inlineStr">
        <is>
          <t>2026-09-15</t>
        </is>
      </c>
    </row>
    <row r="56">
      <c r="A56" s="2" t="inlineStr">
        <is>
          <t>泽盈毅明1号</t>
        </is>
      </c>
      <c r="B56" s="2" t="inlineStr">
        <is>
          <t>STP012</t>
        </is>
      </c>
      <c r="C56" s="2" t="inlineStr">
        <is>
          <t>套利策略</t>
        </is>
      </c>
      <c r="D56" s="2" t="inlineStr">
        <is>
          <t>基金套利</t>
        </is>
      </c>
      <c r="E56" s="2" t="inlineStr">
        <is>
          <t>青岛泽盈资管</t>
        </is>
      </c>
      <c r="F56" s="2" t="inlineStr">
        <is>
          <t>2022-10-17</t>
        </is>
      </c>
      <c r="G56" s="2" t="inlineStr">
        <is>
          <t>3.7300%</t>
        </is>
      </c>
      <c r="H56" s="2" t="inlineStr">
        <is>
          <t>23.0300%</t>
        </is>
      </c>
      <c r="I56" s="2" t="inlineStr">
        <is>
          <t>81.0800%</t>
        </is>
      </c>
      <c r="J56" s="2" t="inlineStr">
        <is>
          <t>76.9200%</t>
        </is>
      </c>
      <c r="K56" s="2" t="inlineStr">
        <is>
          <t>3.4700%</t>
        </is>
      </c>
      <c r="L56" s="2" t="n">
        <v>6.6333</v>
      </c>
      <c r="M56" s="2" t="n">
        <v>10.1131</v>
      </c>
      <c r="N56" s="2" t="inlineStr">
        <is>
          <t>沪深300</t>
        </is>
      </c>
      <c r="O56" t="inlineStr">
        <is>
          <t>2026-08-31</t>
        </is>
      </c>
      <c r="P56" t="inlineStr">
        <is>
          <t>2026-09-15</t>
        </is>
      </c>
    </row>
    <row r="57">
      <c r="A57" s="2" t="inlineStr">
        <is>
          <t>银杏善利3号</t>
        </is>
      </c>
      <c r="B57" s="2" t="inlineStr">
        <is>
          <t>SXN943</t>
        </is>
      </c>
      <c r="C57" s="2" t="inlineStr">
        <is>
          <t>套利策略</t>
        </is>
      </c>
      <c r="D57" s="2" t="inlineStr">
        <is>
          <t>期货套利</t>
        </is>
      </c>
      <c r="E57" s="2" t="inlineStr">
        <is>
          <t>上海银杏</t>
        </is>
      </c>
      <c r="F57" s="2" t="inlineStr">
        <is>
          <t>2022-10-19</t>
        </is>
      </c>
      <c r="G57" s="2" t="inlineStr">
        <is>
          <t>7.5800%</t>
        </is>
      </c>
      <c r="H57" s="2" t="inlineStr">
        <is>
          <t>7.0100%</t>
        </is>
      </c>
      <c r="I57" s="2" t="inlineStr">
        <is>
          <t>72.9700%</t>
        </is>
      </c>
      <c r="J57" s="2" t="inlineStr">
        <is>
          <t>61.5400%</t>
        </is>
      </c>
      <c r="K57" s="2" t="inlineStr">
        <is>
          <t>2.5300%</t>
        </is>
      </c>
      <c r="L57" s="2" t="n">
        <v>2.7666</v>
      </c>
      <c r="M57" s="2" t="n">
        <v>3.367</v>
      </c>
      <c r="N57" s="2" t="inlineStr">
        <is>
          <t>沪深300</t>
        </is>
      </c>
      <c r="O57" t="inlineStr">
        <is>
          <t>2026-08-31</t>
        </is>
      </c>
      <c r="P57" t="inlineStr">
        <is>
          <t>2026-09-15</t>
        </is>
      </c>
    </row>
    <row r="58">
      <c r="A58" s="2" t="inlineStr">
        <is>
          <t>银杏善利6号</t>
        </is>
      </c>
      <c r="B58" s="2" t="inlineStr">
        <is>
          <t>SXS440</t>
        </is>
      </c>
      <c r="C58" s="2" t="inlineStr">
        <is>
          <t>套利策略</t>
        </is>
      </c>
      <c r="D58" s="2" t="inlineStr">
        <is>
          <t>期货套利</t>
        </is>
      </c>
      <c r="E58" s="2" t="inlineStr">
        <is>
          <t>上海银杏</t>
        </is>
      </c>
      <c r="F58" s="2" t="inlineStr">
        <is>
          <t>2022-11-10</t>
        </is>
      </c>
      <c r="G58" s="2" t="inlineStr">
        <is>
          <t>1.3700%</t>
        </is>
      </c>
      <c r="H58" s="2" t="inlineStr">
        <is>
          <t>5.9900%</t>
        </is>
      </c>
      <c r="I58" s="2" t="inlineStr">
        <is>
          <t>70.2700%</t>
        </is>
      </c>
      <c r="J58" s="2" t="inlineStr">
        <is>
          <t>61.5400%</t>
        </is>
      </c>
      <c r="K58" s="2" t="inlineStr">
        <is>
          <t>4.2400%</t>
        </is>
      </c>
      <c r="L58" s="2" t="n">
        <v>1.4129</v>
      </c>
      <c r="M58" s="2" t="n">
        <v>0.6343</v>
      </c>
      <c r="N58" s="2" t="inlineStr">
        <is>
          <t>沪深300</t>
        </is>
      </c>
      <c r="O58" t="inlineStr">
        <is>
          <t>2026-08-31</t>
        </is>
      </c>
      <c r="P58" t="inlineStr">
        <is>
          <t>2026-09-15</t>
        </is>
      </c>
    </row>
    <row r="59">
      <c r="A59" s="2" t="inlineStr">
        <is>
          <t>博润易量稳健1号</t>
        </is>
      </c>
      <c r="B59" s="2" t="inlineStr">
        <is>
          <t>SXL913</t>
        </is>
      </c>
      <c r="C59" s="2" t="inlineStr">
        <is>
          <t>套利策略</t>
        </is>
      </c>
      <c r="D59" s="2" t="inlineStr">
        <is>
          <t>期货套利</t>
        </is>
      </c>
      <c r="E59" s="2" t="inlineStr">
        <is>
          <t>北京博润银泰投资</t>
        </is>
      </c>
      <c r="F59" s="2" t="inlineStr">
        <is>
          <t>2022-11-30</t>
        </is>
      </c>
      <c r="G59" s="2" t="inlineStr">
        <is>
          <t>7.8300%</t>
        </is>
      </c>
      <c r="H59" s="2" t="inlineStr">
        <is>
          <t>5.1900%</t>
        </is>
      </c>
      <c r="I59" s="2" t="inlineStr">
        <is>
          <t>62.1600%</t>
        </is>
      </c>
      <c r="J59" s="2" t="inlineStr">
        <is>
          <t>53.8500%</t>
        </is>
      </c>
      <c r="K59" s="2" t="inlineStr">
        <is>
          <t>3.7000%</t>
        </is>
      </c>
      <c r="L59" s="2" t="n">
        <v>1.4043</v>
      </c>
      <c r="M59" s="2" t="n">
        <v>2.1177</v>
      </c>
      <c r="N59" s="2" t="inlineStr">
        <is>
          <t>沪深300</t>
        </is>
      </c>
      <c r="O59" t="inlineStr">
        <is>
          <t>2026-08-31</t>
        </is>
      </c>
      <c r="P59" t="inlineStr">
        <is>
          <t>2026-09-15</t>
        </is>
      </c>
    </row>
    <row r="60">
      <c r="A60" s="2" t="inlineStr">
        <is>
          <t>金麦穗卓诚一号</t>
        </is>
      </c>
      <c r="B60" s="2" t="inlineStr">
        <is>
          <t>SXU186</t>
        </is>
      </c>
      <c r="C60" s="2" t="inlineStr">
        <is>
          <t>套利策略</t>
        </is>
      </c>
      <c r="D60" s="2" t="inlineStr">
        <is>
          <t>期货套利</t>
        </is>
      </c>
      <c r="E60" s="2" t="inlineStr">
        <is>
          <t>山东金麦穗</t>
        </is>
      </c>
      <c r="F60" s="2" t="inlineStr">
        <is>
          <t>2022-12-01</t>
        </is>
      </c>
      <c r="G60" s="2" t="inlineStr">
        <is>
          <t>6.0800%</t>
        </is>
      </c>
      <c r="H60" s="2" t="inlineStr">
        <is>
          <t>8.8300%</t>
        </is>
      </c>
      <c r="I60" s="2" t="inlineStr">
        <is>
          <t>64.8600%</t>
        </is>
      </c>
      <c r="J60" s="2" t="inlineStr">
        <is>
          <t>46.1500%</t>
        </is>
      </c>
      <c r="K60" s="2" t="inlineStr">
        <is>
          <t>7.3900%</t>
        </is>
      </c>
      <c r="L60" s="2" t="n">
        <v>1.1958</v>
      </c>
      <c r="M60" s="2" t="n">
        <v>1.396</v>
      </c>
      <c r="N60" s="2" t="inlineStr">
        <is>
          <t>沪深300</t>
        </is>
      </c>
      <c r="O60" t="inlineStr">
        <is>
          <t>2026-08-31</t>
        </is>
      </c>
      <c r="P60" t="inlineStr">
        <is>
          <t>2026-09-15</t>
        </is>
      </c>
    </row>
    <row r="61">
      <c r="A61" s="2" t="inlineStr">
        <is>
          <t>慕途稳健2号</t>
        </is>
      </c>
      <c r="B61" s="2" t="inlineStr">
        <is>
          <t>SXW938</t>
        </is>
      </c>
      <c r="C61" s="2" t="inlineStr">
        <is>
          <t>套利策略</t>
        </is>
      </c>
      <c r="D61" s="2" t="inlineStr">
        <is>
          <t>期权套利</t>
        </is>
      </c>
      <c r="E61" s="2" t="inlineStr">
        <is>
          <t>慕途基金</t>
        </is>
      </c>
      <c r="F61" s="2" t="inlineStr">
        <is>
          <t>2022-12-13</t>
        </is>
      </c>
      <c r="G61" s="2" t="inlineStr">
        <is>
          <t>7.6300%</t>
        </is>
      </c>
      <c r="H61" s="2" t="inlineStr">
        <is>
          <t>7.6000%</t>
        </is>
      </c>
      <c r="I61" s="2" t="inlineStr">
        <is>
          <t>97.3000%</t>
        </is>
      </c>
      <c r="J61" s="2" t="inlineStr">
        <is>
          <t>92.3100%</t>
        </is>
      </c>
      <c r="K61" s="2" t="inlineStr">
        <is>
          <t>0.7700%</t>
        </is>
      </c>
      <c r="L61" s="2" t="n">
        <v>9.850199999999999</v>
      </c>
      <c r="M61" s="2" t="n">
        <v>9.8866</v>
      </c>
      <c r="N61" s="2" t="inlineStr">
        <is>
          <t>沪深300</t>
        </is>
      </c>
      <c r="O61" t="inlineStr">
        <is>
          <t>2026-08-31</t>
        </is>
      </c>
      <c r="P61" t="inlineStr">
        <is>
          <t>2026-09-15</t>
        </is>
      </c>
    </row>
    <row r="62">
      <c r="A62" s="2" t="inlineStr">
        <is>
          <t>方普安享二号</t>
        </is>
      </c>
      <c r="B62" s="2" t="inlineStr">
        <is>
          <t>SXY895</t>
        </is>
      </c>
      <c r="C62" s="2" t="inlineStr">
        <is>
          <t>套利策略</t>
        </is>
      </c>
      <c r="D62" s="2" t="inlineStr">
        <is>
          <t>基金套利</t>
        </is>
      </c>
      <c r="E62" s="2" t="inlineStr">
        <is>
          <t>珠海横琴方普</t>
        </is>
      </c>
      <c r="F62" s="2" t="inlineStr">
        <is>
          <t>2022-12-16</t>
        </is>
      </c>
      <c r="G62" s="2" t="inlineStr">
        <is>
          <t>3.8100%</t>
        </is>
      </c>
      <c r="H62" s="2" t="n"/>
      <c r="I62" s="2" t="n"/>
      <c r="J62" s="2" t="inlineStr">
        <is>
          <t>53.8500%</t>
        </is>
      </c>
      <c r="K62" s="2" t="n"/>
      <c r="L62" s="2" t="n"/>
      <c r="M62" s="2" t="n">
        <v>1.5339</v>
      </c>
      <c r="N62" s="2" t="inlineStr">
        <is>
          <t>沪深300</t>
        </is>
      </c>
      <c r="O62" t="inlineStr">
        <is>
          <t>2026-08-31</t>
        </is>
      </c>
      <c r="P62" t="inlineStr">
        <is>
          <t>2026-09-15</t>
        </is>
      </c>
    </row>
    <row r="63">
      <c r="A63" s="2" t="inlineStr">
        <is>
          <t>佳泽信享5号</t>
        </is>
      </c>
      <c r="B63" s="2" t="inlineStr">
        <is>
          <t>SZC395</t>
        </is>
      </c>
      <c r="C63" s="2" t="inlineStr">
        <is>
          <t>套利策略</t>
        </is>
      </c>
      <c r="D63" s="2" t="inlineStr">
        <is>
          <t>期货套利</t>
        </is>
      </c>
      <c r="E63" s="2" t="inlineStr">
        <is>
          <t>海南佳泽</t>
        </is>
      </c>
      <c r="F63" s="2" t="inlineStr">
        <is>
          <t>2023-01-10</t>
        </is>
      </c>
      <c r="G63" s="2" t="inlineStr">
        <is>
          <t>6.2900%</t>
        </is>
      </c>
      <c r="H63" s="2" t="inlineStr">
        <is>
          <t>4.7800%</t>
        </is>
      </c>
      <c r="I63" s="2" t="inlineStr">
        <is>
          <t>70.2700%</t>
        </is>
      </c>
      <c r="J63" s="2" t="inlineStr">
        <is>
          <t>84.6200%</t>
        </is>
      </c>
      <c r="K63" s="2" t="inlineStr">
        <is>
          <t>2.4800%</t>
        </is>
      </c>
      <c r="L63" s="2" t="n">
        <v>1.9252</v>
      </c>
      <c r="M63" s="2" t="n">
        <v>6.6879</v>
      </c>
      <c r="N63" s="2" t="inlineStr">
        <is>
          <t>沪深300</t>
        </is>
      </c>
      <c r="O63" t="inlineStr">
        <is>
          <t>2026-08-31</t>
        </is>
      </c>
      <c r="P63" t="inlineStr">
        <is>
          <t>2026-09-15</t>
        </is>
      </c>
    </row>
    <row r="64">
      <c r="A64" s="2" t="inlineStr">
        <is>
          <t>衍舟弄潮2号</t>
        </is>
      </c>
      <c r="B64" s="2" t="inlineStr">
        <is>
          <t>SZG044</t>
        </is>
      </c>
      <c r="C64" s="2" t="inlineStr">
        <is>
          <t>套利策略</t>
        </is>
      </c>
      <c r="D64" s="2" t="inlineStr">
        <is>
          <t>混合套利</t>
        </is>
      </c>
      <c r="E64" s="2" t="inlineStr">
        <is>
          <t>海南衍舟</t>
        </is>
      </c>
      <c r="F64" s="2" t="inlineStr">
        <is>
          <t>2023-02-02</t>
        </is>
      </c>
      <c r="G64" s="2" t="inlineStr">
        <is>
          <t>-5.2400%</t>
        </is>
      </c>
      <c r="H64" s="2" t="inlineStr">
        <is>
          <t>2.4200%</t>
        </is>
      </c>
      <c r="I64" s="2" t="inlineStr">
        <is>
          <t>62.1600%</t>
        </is>
      </c>
      <c r="J64" s="2" t="inlineStr">
        <is>
          <t>30.7700%</t>
        </is>
      </c>
      <c r="K64" s="2" t="inlineStr">
        <is>
          <t>9.4200%</t>
        </is>
      </c>
      <c r="L64" s="2" t="n">
        <v>0.2572</v>
      </c>
      <c r="M64" s="2" t="n">
        <v>-0.6306</v>
      </c>
      <c r="N64" s="2" t="inlineStr">
        <is>
          <t>沪深300</t>
        </is>
      </c>
      <c r="O64" t="inlineStr">
        <is>
          <t>2026-08-31</t>
        </is>
      </c>
      <c r="P64" t="inlineStr">
        <is>
          <t>2026-09-15</t>
        </is>
      </c>
    </row>
    <row r="65">
      <c r="A65" s="2" t="inlineStr">
        <is>
          <t>银瓴汇金1号</t>
        </is>
      </c>
      <c r="B65" s="2" t="inlineStr">
        <is>
          <t>SZP369</t>
        </is>
      </c>
      <c r="C65" s="2" t="inlineStr">
        <is>
          <t>套利策略</t>
        </is>
      </c>
      <c r="D65" s="2" t="inlineStr">
        <is>
          <t>混合套利</t>
        </is>
      </c>
      <c r="E65" s="2" t="inlineStr">
        <is>
          <t>广西银瓴资产</t>
        </is>
      </c>
      <c r="F65" s="2" t="inlineStr">
        <is>
          <t>2023-03-21</t>
        </is>
      </c>
      <c r="G65" s="2" t="inlineStr">
        <is>
          <t>-5.3500%</t>
        </is>
      </c>
      <c r="H65" s="2" t="inlineStr">
        <is>
          <t>7.8500%</t>
        </is>
      </c>
      <c r="I65" s="2" t="inlineStr">
        <is>
          <t>56.7600%</t>
        </is>
      </c>
      <c r="J65" s="2" t="inlineStr">
        <is>
          <t>61.5400%</t>
        </is>
      </c>
      <c r="K65" s="2" t="inlineStr">
        <is>
          <t>18.3200%</t>
        </is>
      </c>
      <c r="L65" s="2" t="n">
        <v>0.4286</v>
      </c>
      <c r="M65" s="2" t="n">
        <v>-0.3524</v>
      </c>
      <c r="N65" s="2" t="inlineStr">
        <is>
          <t>沪深300</t>
        </is>
      </c>
      <c r="O65" t="inlineStr">
        <is>
          <t>2026-08-31</t>
        </is>
      </c>
      <c r="P65" t="inlineStr">
        <is>
          <t>2026-09-15</t>
        </is>
      </c>
    </row>
    <row r="66">
      <c r="A66" s="2" t="inlineStr">
        <is>
          <t>砚博乘风量化14号</t>
        </is>
      </c>
      <c r="B66" s="2" t="inlineStr">
        <is>
          <t>SZN225</t>
        </is>
      </c>
      <c r="C66" s="2" t="inlineStr">
        <is>
          <t>套利策略</t>
        </is>
      </c>
      <c r="D66" s="2" t="inlineStr">
        <is>
          <t>基金套利</t>
        </is>
      </c>
      <c r="E66" s="2" t="inlineStr">
        <is>
          <t>深圳前海砚博乘风资管</t>
        </is>
      </c>
      <c r="F66" s="2" t="inlineStr">
        <is>
          <t>2023-03-07</t>
        </is>
      </c>
      <c r="G66" s="2" t="inlineStr">
        <is>
          <t>2.7700%</t>
        </is>
      </c>
      <c r="H66" s="2" t="inlineStr">
        <is>
          <t>2.1900%</t>
        </is>
      </c>
      <c r="I66" s="2" t="inlineStr">
        <is>
          <t>64.8600%</t>
        </is>
      </c>
      <c r="J66" s="2" t="inlineStr">
        <is>
          <t>61.5400%</t>
        </is>
      </c>
      <c r="K66" s="2" t="inlineStr">
        <is>
          <t>5.3900%</t>
        </is>
      </c>
      <c r="L66" s="2" t="n">
        <v>0.407</v>
      </c>
      <c r="M66" s="2" t="n">
        <v>1.2327</v>
      </c>
      <c r="N66" s="2" t="inlineStr">
        <is>
          <t>沪深300</t>
        </is>
      </c>
      <c r="O66" t="inlineStr">
        <is>
          <t>2026-08-31</t>
        </is>
      </c>
      <c r="P66" t="inlineStr">
        <is>
          <t>2026-09-15</t>
        </is>
      </c>
    </row>
    <row r="67">
      <c r="A67" s="2" t="inlineStr">
        <is>
          <t>平凡凡响二号</t>
        </is>
      </c>
      <c r="B67" s="2" t="inlineStr">
        <is>
          <t>SZU727</t>
        </is>
      </c>
      <c r="C67" s="2" t="inlineStr">
        <is>
          <t>套利策略</t>
        </is>
      </c>
      <c r="D67" s="2" t="inlineStr">
        <is>
          <t>基金套利</t>
        </is>
      </c>
      <c r="E67" s="2" t="inlineStr">
        <is>
          <t>北京平凡</t>
        </is>
      </c>
      <c r="F67" s="2" t="inlineStr">
        <is>
          <t>2023-04-07</t>
        </is>
      </c>
      <c r="G67" s="2" t="inlineStr">
        <is>
          <t>8.5000%</t>
        </is>
      </c>
      <c r="H67" s="2" t="inlineStr">
        <is>
          <t>4.9100%</t>
        </is>
      </c>
      <c r="I67" s="2" t="inlineStr">
        <is>
          <t>86.4900%</t>
        </is>
      </c>
      <c r="J67" s="2" t="inlineStr">
        <is>
          <t>100.0000%</t>
        </is>
      </c>
      <c r="K67" s="2" t="inlineStr">
        <is>
          <t>0.6800%</t>
        </is>
      </c>
      <c r="L67" s="2" t="n">
        <v>7.1749</v>
      </c>
      <c r="M67" s="2" t="n">
        <v>65.2953</v>
      </c>
      <c r="N67" s="2" t="inlineStr">
        <is>
          <t>沪深300</t>
        </is>
      </c>
      <c r="O67" t="inlineStr">
        <is>
          <t>2026-08-31</t>
        </is>
      </c>
      <c r="P67" t="inlineStr">
        <is>
          <t>2026-09-15</t>
        </is>
      </c>
    </row>
    <row r="68">
      <c r="A68" s="2" t="inlineStr">
        <is>
          <t>银瓴鑫源</t>
        </is>
      </c>
      <c r="B68" s="2" t="inlineStr">
        <is>
          <t>S04011</t>
        </is>
      </c>
      <c r="C68" s="2" t="inlineStr">
        <is>
          <t>套利策略</t>
        </is>
      </c>
      <c r="D68" s="2" t="inlineStr">
        <is>
          <t>混合套利</t>
        </is>
      </c>
      <c r="E68" s="2" t="inlineStr">
        <is>
          <t>广西银瓴资产</t>
        </is>
      </c>
      <c r="F68" s="2" t="inlineStr">
        <is>
          <t>2023-05-15</t>
        </is>
      </c>
      <c r="G68" s="2" t="inlineStr">
        <is>
          <t>-7.2800%</t>
        </is>
      </c>
      <c r="H68" s="2" t="n"/>
      <c r="I68" s="2" t="n"/>
      <c r="J68" s="2" t="inlineStr">
        <is>
          <t>38.4600%</t>
        </is>
      </c>
      <c r="K68" s="2" t="n"/>
      <c r="L68" s="2" t="n"/>
      <c r="M68" s="2" t="n">
        <v>-0.3723</v>
      </c>
      <c r="N68" s="2" t="inlineStr">
        <is>
          <t>沪深300</t>
        </is>
      </c>
      <c r="O68" t="inlineStr">
        <is>
          <t>2026-08-31</t>
        </is>
      </c>
      <c r="P68" t="inlineStr">
        <is>
          <t>2026-09-15</t>
        </is>
      </c>
    </row>
    <row r="69">
      <c r="A69" s="2" t="inlineStr">
        <is>
          <t>鑫泰禾汇投1号</t>
        </is>
      </c>
      <c r="B69" s="2" t="inlineStr">
        <is>
          <t>SZP735</t>
        </is>
      </c>
      <c r="C69" s="2" t="inlineStr">
        <is>
          <t>套利策略</t>
        </is>
      </c>
      <c r="D69" s="2" t="inlineStr">
        <is>
          <t>基金套利</t>
        </is>
      </c>
      <c r="E69" s="2" t="inlineStr">
        <is>
          <t>深圳鑫泰禾</t>
        </is>
      </c>
      <c r="F69" s="2" t="inlineStr">
        <is>
          <t>2023-03-13</t>
        </is>
      </c>
      <c r="G69" s="2" t="inlineStr">
        <is>
          <t>4.8100%</t>
        </is>
      </c>
      <c r="H69" s="2" t="inlineStr">
        <is>
          <t>10.1300%</t>
        </is>
      </c>
      <c r="I69" s="2" t="inlineStr">
        <is>
          <t>67.5700%</t>
        </is>
      </c>
      <c r="J69" s="2" t="inlineStr">
        <is>
          <t>69.2300%</t>
        </is>
      </c>
      <c r="K69" s="2" t="inlineStr">
        <is>
          <t>9.2200%</t>
        </is>
      </c>
      <c r="L69" s="2" t="n">
        <v>1.0979</v>
      </c>
      <c r="M69" s="2" t="n">
        <v>6.1503</v>
      </c>
      <c r="N69" s="2" t="inlineStr">
        <is>
          <t>沪深300</t>
        </is>
      </c>
      <c r="O69" t="inlineStr">
        <is>
          <t>2026-08-31</t>
        </is>
      </c>
      <c r="P69" t="inlineStr">
        <is>
          <t>2026-09-15</t>
        </is>
      </c>
    </row>
    <row r="70">
      <c r="A70" s="2" t="inlineStr">
        <is>
          <t>金和和善对冲5号</t>
        </is>
      </c>
      <c r="B70" s="2" t="inlineStr">
        <is>
          <t>SZX748</t>
        </is>
      </c>
      <c r="C70" s="2" t="inlineStr">
        <is>
          <t>套利策略</t>
        </is>
      </c>
      <c r="D70" s="2" t="inlineStr">
        <is>
          <t>基金套利</t>
        </is>
      </c>
      <c r="E70" s="2" t="inlineStr">
        <is>
          <t>上海金和晟</t>
        </is>
      </c>
      <c r="F70" s="2" t="inlineStr">
        <is>
          <t>2023-04-26</t>
        </is>
      </c>
      <c r="G70" s="2" t="inlineStr">
        <is>
          <t>4.6900%</t>
        </is>
      </c>
      <c r="H70" s="2" t="inlineStr">
        <is>
          <t>10.8500%</t>
        </is>
      </c>
      <c r="I70" s="2" t="inlineStr">
        <is>
          <t>83.7800%</t>
        </is>
      </c>
      <c r="J70" s="2" t="inlineStr">
        <is>
          <t>76.9200%</t>
        </is>
      </c>
      <c r="K70" s="2" t="inlineStr">
        <is>
          <t>1.1600%</t>
        </is>
      </c>
      <c r="L70" s="2" t="n">
        <v>9.358599999999999</v>
      </c>
      <c r="M70" s="2" t="n">
        <v>4.0479</v>
      </c>
      <c r="N70" s="2" t="inlineStr">
        <is>
          <t>沪深300</t>
        </is>
      </c>
      <c r="O70" t="inlineStr">
        <is>
          <t>2026-08-31</t>
        </is>
      </c>
      <c r="P70" t="inlineStr">
        <is>
          <t>2026-09-15</t>
        </is>
      </c>
    </row>
    <row r="71">
      <c r="A71" s="2" t="inlineStr">
        <is>
          <t>银瓴汇金3号</t>
        </is>
      </c>
      <c r="B71" s="2" t="inlineStr">
        <is>
          <t>S03979</t>
        </is>
      </c>
      <c r="C71" s="2" t="inlineStr">
        <is>
          <t>套利策略</t>
        </is>
      </c>
      <c r="D71" s="2" t="inlineStr">
        <is>
          <t>期货套利</t>
        </is>
      </c>
      <c r="E71" s="2" t="inlineStr">
        <is>
          <t>广西银瓴资产</t>
        </is>
      </c>
      <c r="F71" s="2" t="inlineStr">
        <is>
          <t>2023-05-19</t>
        </is>
      </c>
      <c r="G71" s="2" t="inlineStr">
        <is>
          <t>-4.1300%</t>
        </is>
      </c>
      <c r="H71" s="2" t="inlineStr">
        <is>
          <t>1.1600%</t>
        </is>
      </c>
      <c r="I71" s="2" t="inlineStr">
        <is>
          <t>51.3500%</t>
        </is>
      </c>
      <c r="J71" s="2" t="inlineStr">
        <is>
          <t>38.4600%</t>
        </is>
      </c>
      <c r="K71" s="2" t="inlineStr">
        <is>
          <t>12.2700%</t>
        </is>
      </c>
      <c r="L71" s="2" t="n">
        <v>0.0946</v>
      </c>
      <c r="M71" s="2" t="n">
        <v>-0.3364</v>
      </c>
      <c r="N71" s="2" t="inlineStr">
        <is>
          <t>沪深300</t>
        </is>
      </c>
      <c r="O71" t="inlineStr">
        <is>
          <t>2026-08-31</t>
        </is>
      </c>
      <c r="P71" t="inlineStr">
        <is>
          <t>2026-09-15</t>
        </is>
      </c>
    </row>
    <row r="72">
      <c r="A72" s="2" t="inlineStr">
        <is>
          <t>奶酪鑫鑫宝二号</t>
        </is>
      </c>
      <c r="B72" s="2" t="inlineStr">
        <is>
          <t>SB2838</t>
        </is>
      </c>
      <c r="C72" s="2" t="inlineStr">
        <is>
          <t>套利策略</t>
        </is>
      </c>
      <c r="D72" s="2" t="inlineStr">
        <is>
          <t>期货套利</t>
        </is>
      </c>
      <c r="E72" s="2" t="inlineStr">
        <is>
          <t>广东奶酪</t>
        </is>
      </c>
      <c r="F72" s="2" t="inlineStr">
        <is>
          <t>2023-06-15</t>
        </is>
      </c>
      <c r="G72" s="2" t="inlineStr">
        <is>
          <t>6.6900%</t>
        </is>
      </c>
      <c r="H72" s="2" t="inlineStr">
        <is>
          <t>4.7400%</t>
        </is>
      </c>
      <c r="I72" s="2" t="inlineStr">
        <is>
          <t>100.0000%</t>
        </is>
      </c>
      <c r="J72" s="2" t="inlineStr">
        <is>
          <t>100.0000%</t>
        </is>
      </c>
      <c r="K72" s="2" t="inlineStr">
        <is>
          <t>0.0000%</t>
        </is>
      </c>
      <c r="L72" s="2" t="n"/>
      <c r="M72" s="2" t="n"/>
      <c r="N72" s="2" t="inlineStr">
        <is>
          <t>沪深300</t>
        </is>
      </c>
      <c r="O72" t="inlineStr">
        <is>
          <t>2026-08-31</t>
        </is>
      </c>
      <c r="P72" t="inlineStr">
        <is>
          <t>2026-09-15</t>
        </is>
      </c>
    </row>
    <row r="73">
      <c r="A73" s="2" t="inlineStr">
        <is>
          <t>岳皋泰山核心一号B类</t>
        </is>
      </c>
      <c r="B73" s="2" t="inlineStr">
        <is>
          <t>SH674B</t>
        </is>
      </c>
      <c r="C73" s="2" t="inlineStr">
        <is>
          <t>套利策略</t>
        </is>
      </c>
      <c r="D73" s="2" t="inlineStr">
        <is>
          <t>-</t>
        </is>
      </c>
      <c r="E73" s="2" t="inlineStr">
        <is>
          <t>上海岳皋投资</t>
        </is>
      </c>
      <c r="F73" s="2" t="inlineStr">
        <is>
          <t>2021-09-08</t>
        </is>
      </c>
      <c r="G73" s="2" t="inlineStr">
        <is>
          <t>1.7100%</t>
        </is>
      </c>
      <c r="H73" s="2" t="inlineStr">
        <is>
          <t>2.2500%</t>
        </is>
      </c>
      <c r="I73" s="2" t="inlineStr">
        <is>
          <t>72.9700%</t>
        </is>
      </c>
      <c r="J73" s="2" t="inlineStr">
        <is>
          <t>69.2300%</t>
        </is>
      </c>
      <c r="K73" s="2" t="inlineStr">
        <is>
          <t>4.7500%</t>
        </is>
      </c>
      <c r="L73" s="2" t="n">
        <v>0.4737</v>
      </c>
      <c r="M73" s="2" t="n">
        <v>0.5081</v>
      </c>
      <c r="N73" s="2" t="inlineStr">
        <is>
          <t>沪深300</t>
        </is>
      </c>
      <c r="O73" t="inlineStr">
        <is>
          <t>2026-08-31</t>
        </is>
      </c>
      <c r="P73" t="inlineStr">
        <is>
          <t>2026-09-15</t>
        </is>
      </c>
    </row>
    <row r="74">
      <c r="A74" s="2" t="inlineStr">
        <is>
          <t>韵之嘉益</t>
        </is>
      </c>
      <c r="B74" s="2" t="inlineStr">
        <is>
          <t>SB1775</t>
        </is>
      </c>
      <c r="C74" s="2" t="inlineStr">
        <is>
          <t>套利策略</t>
        </is>
      </c>
      <c r="D74" s="2" t="inlineStr">
        <is>
          <t>期权套利</t>
        </is>
      </c>
      <c r="E74" s="2" t="inlineStr">
        <is>
          <t>北京韵之</t>
        </is>
      </c>
      <c r="F74" s="2" t="inlineStr">
        <is>
          <t>2023-08-03</t>
        </is>
      </c>
      <c r="G74" s="2" t="inlineStr">
        <is>
          <t>-12.0900%</t>
        </is>
      </c>
      <c r="H74" s="2" t="inlineStr">
        <is>
          <t>-5.6000%</t>
        </is>
      </c>
      <c r="I74" s="2" t="inlineStr">
        <is>
          <t>56.7600%</t>
        </is>
      </c>
      <c r="J74" s="2" t="inlineStr">
        <is>
          <t>46.1500%</t>
        </is>
      </c>
      <c r="K74" s="2" t="inlineStr">
        <is>
          <t>19.0400%</t>
        </is>
      </c>
      <c r="L74" s="2" t="n">
        <v>-0.294</v>
      </c>
      <c r="M74" s="2" t="n">
        <v>-0.7939000000000001</v>
      </c>
      <c r="N74" s="2" t="inlineStr">
        <is>
          <t>沪深300</t>
        </is>
      </c>
      <c r="O74" t="inlineStr">
        <is>
          <t>2026-08-31</t>
        </is>
      </c>
      <c r="P74" t="inlineStr">
        <is>
          <t>2026-09-15</t>
        </is>
      </c>
    </row>
    <row r="75">
      <c r="A75" s="2" t="inlineStr">
        <is>
          <t>杨湜套利1号</t>
        </is>
      </c>
      <c r="B75" s="2" t="inlineStr">
        <is>
          <t>SB6565</t>
        </is>
      </c>
      <c r="C75" s="2" t="inlineStr">
        <is>
          <t>套利策略</t>
        </is>
      </c>
      <c r="D75" s="2" t="inlineStr">
        <is>
          <t>期货套利</t>
        </is>
      </c>
      <c r="E75" s="2" t="inlineStr">
        <is>
          <t>上海杨湜投资</t>
        </is>
      </c>
      <c r="F75" s="2" t="inlineStr">
        <is>
          <t>2023-08-18</t>
        </is>
      </c>
      <c r="G75" s="2" t="inlineStr">
        <is>
          <t>7.2900%</t>
        </is>
      </c>
      <c r="H75" s="2" t="inlineStr">
        <is>
          <t>8.0200%</t>
        </is>
      </c>
      <c r="I75" s="2" t="inlineStr">
        <is>
          <t>83.7800%</t>
        </is>
      </c>
      <c r="J75" s="2" t="inlineStr">
        <is>
          <t>76.9200%</t>
        </is>
      </c>
      <c r="K75" s="2" t="inlineStr">
        <is>
          <t>2.3000%</t>
        </is>
      </c>
      <c r="L75" s="2" t="n">
        <v>3.4842</v>
      </c>
      <c r="M75" s="2" t="n">
        <v>3.3072</v>
      </c>
      <c r="N75" s="2" t="inlineStr">
        <is>
          <t>沪深300</t>
        </is>
      </c>
      <c r="O75" t="inlineStr">
        <is>
          <t>2026-08-31</t>
        </is>
      </c>
      <c r="P75" t="inlineStr">
        <is>
          <t>2026-09-15</t>
        </is>
      </c>
    </row>
    <row r="76">
      <c r="A76" s="2" t="inlineStr">
        <is>
          <t>奶酪平价套利稳健一号</t>
        </is>
      </c>
      <c r="B76" s="2" t="inlineStr">
        <is>
          <t>SAAS17</t>
        </is>
      </c>
      <c r="C76" s="2" t="inlineStr">
        <is>
          <t>套利策略</t>
        </is>
      </c>
      <c r="D76" s="2" t="inlineStr">
        <is>
          <t>期权套利</t>
        </is>
      </c>
      <c r="E76" s="2" t="inlineStr">
        <is>
          <t>广东奶酪</t>
        </is>
      </c>
      <c r="F76" s="2" t="inlineStr">
        <is>
          <t>2023-09-05</t>
        </is>
      </c>
      <c r="G76" s="2" t="inlineStr">
        <is>
          <t>7.2700%</t>
        </is>
      </c>
      <c r="H76" s="2" t="inlineStr">
        <is>
          <t>3.9300%</t>
        </is>
      </c>
      <c r="I76" s="2" t="inlineStr">
        <is>
          <t>81.0800%</t>
        </is>
      </c>
      <c r="J76" s="2" t="inlineStr">
        <is>
          <t>100.0000%</t>
        </is>
      </c>
      <c r="K76" s="2" t="inlineStr">
        <is>
          <t>0.7300%</t>
        </is>
      </c>
      <c r="L76" s="2" t="n">
        <v>5.3477</v>
      </c>
      <c r="M76" s="2" t="n">
        <v>29.5035</v>
      </c>
      <c r="N76" s="2" t="inlineStr">
        <is>
          <t>沪深300</t>
        </is>
      </c>
      <c r="O76" t="inlineStr">
        <is>
          <t>2026-08-31</t>
        </is>
      </c>
      <c r="P76" t="inlineStr">
        <is>
          <t>2026-09-15</t>
        </is>
      </c>
    </row>
    <row r="77">
      <c r="A77" s="2" t="inlineStr">
        <is>
          <t>银万财派恒星套利1号</t>
        </is>
      </c>
      <c r="B77" s="2" t="inlineStr">
        <is>
          <t>SB7490</t>
        </is>
      </c>
      <c r="C77" s="2" t="inlineStr">
        <is>
          <t>套利策略</t>
        </is>
      </c>
      <c r="D77" s="2" t="inlineStr">
        <is>
          <t>-</t>
        </is>
      </c>
      <c r="E77" s="2" t="inlineStr">
        <is>
          <t>浙江银万</t>
        </is>
      </c>
      <c r="F77" s="2" t="inlineStr">
        <is>
          <t>2023-08-17</t>
        </is>
      </c>
      <c r="G77" s="2" t="inlineStr">
        <is>
          <t>10.0100%</t>
        </is>
      </c>
      <c r="H77" s="2" t="inlineStr">
        <is>
          <t>6.2700%</t>
        </is>
      </c>
      <c r="I77" s="2" t="inlineStr">
        <is>
          <t>51.3500%</t>
        </is>
      </c>
      <c r="J77" s="2" t="inlineStr">
        <is>
          <t>46.1500%</t>
        </is>
      </c>
      <c r="K77" s="2" t="inlineStr">
        <is>
          <t>7.9100%</t>
        </is>
      </c>
      <c r="L77" s="2" t="n">
        <v>0.7927999999999999</v>
      </c>
      <c r="M77" s="2" t="n">
        <v>1.6817</v>
      </c>
      <c r="N77" s="2" t="inlineStr">
        <is>
          <t>沪深300</t>
        </is>
      </c>
      <c r="O77" t="inlineStr">
        <is>
          <t>2026-08-31</t>
        </is>
      </c>
      <c r="P77" t="inlineStr">
        <is>
          <t>2026-09-15</t>
        </is>
      </c>
    </row>
    <row r="78">
      <c r="A78" s="2" t="inlineStr">
        <is>
          <t>佳泽信享5号A类</t>
        </is>
      </c>
      <c r="B78" s="2" t="inlineStr">
        <is>
          <t>ZC395A</t>
        </is>
      </c>
      <c r="C78" s="2" t="inlineStr">
        <is>
          <t>套利策略</t>
        </is>
      </c>
      <c r="D78" s="2" t="inlineStr">
        <is>
          <t>期货套利</t>
        </is>
      </c>
      <c r="E78" s="2" t="inlineStr">
        <is>
          <t>海南佳泽</t>
        </is>
      </c>
      <c r="F78" s="2" t="inlineStr">
        <is>
          <t>2023-01-10</t>
        </is>
      </c>
      <c r="G78" s="2" t="inlineStr">
        <is>
          <t>7.3300%</t>
        </is>
      </c>
      <c r="H78" s="2" t="inlineStr">
        <is>
          <t>5.8100%</t>
        </is>
      </c>
      <c r="I78" s="2" t="inlineStr">
        <is>
          <t>81.0800%</t>
        </is>
      </c>
      <c r="J78" s="2" t="inlineStr">
        <is>
          <t>92.3100%</t>
        </is>
      </c>
      <c r="K78" s="2" t="inlineStr">
        <is>
          <t>2.4400%</t>
        </is>
      </c>
      <c r="L78" s="2" t="n">
        <v>2.3816</v>
      </c>
      <c r="M78" s="2" t="n">
        <v>15.9709</v>
      </c>
      <c r="N78" s="2" t="inlineStr">
        <is>
          <t>沪深300</t>
        </is>
      </c>
      <c r="O78" t="inlineStr">
        <is>
          <t>2026-08-31</t>
        </is>
      </c>
      <c r="P78" t="inlineStr">
        <is>
          <t>2026-09-15</t>
        </is>
      </c>
    </row>
    <row r="79">
      <c r="A79" s="2" t="inlineStr">
        <is>
          <t>佳泽信享5号B类</t>
        </is>
      </c>
      <c r="B79" s="2" t="inlineStr">
        <is>
          <t>ZC395B</t>
        </is>
      </c>
      <c r="C79" s="2" t="inlineStr">
        <is>
          <t>套利策略</t>
        </is>
      </c>
      <c r="D79" s="2" t="inlineStr">
        <is>
          <t>期货套利</t>
        </is>
      </c>
      <c r="E79" s="2" t="inlineStr">
        <is>
          <t>海南佳泽</t>
        </is>
      </c>
      <c r="F79" s="2" t="inlineStr">
        <is>
          <t>2023-01-10</t>
        </is>
      </c>
      <c r="G79" s="2" t="inlineStr">
        <is>
          <t>6.2700%</t>
        </is>
      </c>
      <c r="H79" s="2" t="inlineStr">
        <is>
          <t>4.7700%</t>
        </is>
      </c>
      <c r="I79" s="2" t="inlineStr">
        <is>
          <t>72.9700%</t>
        </is>
      </c>
      <c r="J79" s="2" t="inlineStr">
        <is>
          <t>84.6200%</t>
        </is>
      </c>
      <c r="K79" s="2" t="inlineStr">
        <is>
          <t>2.4600%</t>
        </is>
      </c>
      <c r="L79" s="2" t="n">
        <v>1.9401</v>
      </c>
      <c r="M79" s="2" t="n">
        <v>12.8428</v>
      </c>
      <c r="N79" s="2" t="inlineStr">
        <is>
          <t>沪深300</t>
        </is>
      </c>
      <c r="O79" t="inlineStr">
        <is>
          <t>2026-08-31</t>
        </is>
      </c>
      <c r="P79" t="inlineStr">
        <is>
          <t>2026-09-15</t>
        </is>
      </c>
    </row>
    <row r="80">
      <c r="A80" s="2" t="inlineStr">
        <is>
          <t>鋆晟衡泰进取1号</t>
        </is>
      </c>
      <c r="B80" s="2" t="inlineStr">
        <is>
          <t>SB4982</t>
        </is>
      </c>
      <c r="C80" s="2" t="inlineStr">
        <is>
          <t>套利策略</t>
        </is>
      </c>
      <c r="D80" s="2" t="inlineStr">
        <is>
          <t>混合套利</t>
        </is>
      </c>
      <c r="E80" s="2" t="inlineStr">
        <is>
          <t>上海鋆晟投资</t>
        </is>
      </c>
      <c r="F80" s="2" t="inlineStr">
        <is>
          <t>2023-09-22</t>
        </is>
      </c>
      <c r="G80" s="2" t="inlineStr">
        <is>
          <t>9.0200%</t>
        </is>
      </c>
      <c r="H80" s="2" t="n"/>
      <c r="I80" s="2" t="n"/>
      <c r="J80" s="2" t="inlineStr">
        <is>
          <t>84.6200%</t>
        </is>
      </c>
      <c r="K80" s="2" t="n"/>
      <c r="L80" s="2" t="n"/>
      <c r="M80" s="2" t="n">
        <v>3.5626</v>
      </c>
      <c r="N80" s="2" t="inlineStr">
        <is>
          <t>沪深300</t>
        </is>
      </c>
      <c r="O80" t="inlineStr">
        <is>
          <t>2026-08-31</t>
        </is>
      </c>
      <c r="P80" t="inlineStr">
        <is>
          <t>2026-09-15</t>
        </is>
      </c>
    </row>
    <row r="81">
      <c r="A81" s="2" t="inlineStr">
        <is>
          <t>嘉和传承精研倍赢一期</t>
        </is>
      </c>
      <c r="B81" s="2" t="inlineStr">
        <is>
          <t>SACJ77</t>
        </is>
      </c>
      <c r="C81" s="2" t="inlineStr">
        <is>
          <t>套利策略</t>
        </is>
      </c>
      <c r="D81" s="2" t="inlineStr">
        <is>
          <t>期货套利</t>
        </is>
      </c>
      <c r="E81" s="2" t="inlineStr">
        <is>
          <t>上海嘉和传承</t>
        </is>
      </c>
      <c r="F81" s="2" t="inlineStr">
        <is>
          <t>2023-11-14</t>
        </is>
      </c>
      <c r="G81" s="2" t="inlineStr">
        <is>
          <t>28.2200%</t>
        </is>
      </c>
      <c r="H81" s="2" t="n"/>
      <c r="I81" s="2" t="n"/>
      <c r="J81" s="2" t="inlineStr">
        <is>
          <t>69.2300%</t>
        </is>
      </c>
      <c r="K81" s="2" t="n"/>
      <c r="L81" s="2" t="n"/>
      <c r="M81" s="2" t="n">
        <v>2.1308</v>
      </c>
      <c r="N81" s="2" t="inlineStr">
        <is>
          <t>沪深300</t>
        </is>
      </c>
      <c r="O81" t="inlineStr">
        <is>
          <t>2026-08-31</t>
        </is>
      </c>
      <c r="P81" t="inlineStr">
        <is>
          <t>2026-09-15</t>
        </is>
      </c>
    </row>
    <row r="82">
      <c r="A82" s="2" t="inlineStr">
        <is>
          <t>嘉和传承精研倍赢一期A类</t>
        </is>
      </c>
      <c r="B82" s="2" t="inlineStr">
        <is>
          <t>ACJ77A</t>
        </is>
      </c>
      <c r="C82" s="2" t="inlineStr">
        <is>
          <t>套利策略</t>
        </is>
      </c>
      <c r="D82" s="2" t="inlineStr">
        <is>
          <t>期货套利</t>
        </is>
      </c>
      <c r="E82" s="2" t="inlineStr">
        <is>
          <t>上海嘉和传承</t>
        </is>
      </c>
      <c r="F82" s="2" t="inlineStr">
        <is>
          <t>2023-11-14</t>
        </is>
      </c>
      <c r="G82" s="2" t="inlineStr">
        <is>
          <t>28.3000%</t>
        </is>
      </c>
      <c r="H82" s="2" t="n"/>
      <c r="I82" s="2" t="n"/>
      <c r="J82" s="2" t="inlineStr">
        <is>
          <t>69.2300%</t>
        </is>
      </c>
      <c r="K82" s="2" t="n"/>
      <c r="L82" s="2" t="n"/>
      <c r="M82" s="2" t="n">
        <v>2.1366</v>
      </c>
      <c r="N82" s="2" t="inlineStr">
        <is>
          <t>沪深300</t>
        </is>
      </c>
      <c r="O82" t="inlineStr">
        <is>
          <t>2026-08-31</t>
        </is>
      </c>
      <c r="P82" t="inlineStr">
        <is>
          <t>2026-09-15</t>
        </is>
      </c>
    </row>
    <row r="83">
      <c r="A83" s="2" t="inlineStr">
        <is>
          <t>广联宏丰利1号</t>
        </is>
      </c>
      <c r="B83" s="2" t="inlineStr">
        <is>
          <t>SAGN89</t>
        </is>
      </c>
      <c r="C83" s="2" t="inlineStr">
        <is>
          <t>套利策略</t>
        </is>
      </c>
      <c r="D83" s="2" t="inlineStr">
        <is>
          <t>期货套利</t>
        </is>
      </c>
      <c r="E83" s="2" t="inlineStr">
        <is>
          <t>海南广联宏</t>
        </is>
      </c>
      <c r="F83" s="2" t="inlineStr">
        <is>
          <t>2024-01-31</t>
        </is>
      </c>
      <c r="G83" s="2" t="inlineStr">
        <is>
          <t>49.9700%</t>
        </is>
      </c>
      <c r="H83" s="2" t="n"/>
      <c r="I83" s="2" t="n"/>
      <c r="J83" s="2" t="inlineStr">
        <is>
          <t>84.6200%</t>
        </is>
      </c>
      <c r="K83" s="2" t="n"/>
      <c r="L83" s="2" t="n"/>
      <c r="M83" s="2" t="n">
        <v>9.721299999999999</v>
      </c>
      <c r="N83" s="2" t="inlineStr">
        <is>
          <t>沪深300</t>
        </is>
      </c>
      <c r="O83" t="inlineStr">
        <is>
          <t>2026-08-31</t>
        </is>
      </c>
      <c r="P83" t="inlineStr">
        <is>
          <t>2026-09-15</t>
        </is>
      </c>
    </row>
    <row r="84">
      <c r="A84" s="2" t="inlineStr">
        <is>
          <t>简文长风1号</t>
        </is>
      </c>
      <c r="B84" s="2" t="inlineStr">
        <is>
          <t>SAFF81</t>
        </is>
      </c>
      <c r="C84" s="2" t="inlineStr">
        <is>
          <t>套利策略</t>
        </is>
      </c>
      <c r="D84" s="2" t="inlineStr">
        <is>
          <t>期货套利</t>
        </is>
      </c>
      <c r="E84" s="2" t="inlineStr">
        <is>
          <t>上海简文</t>
        </is>
      </c>
      <c r="F84" s="2" t="inlineStr">
        <is>
          <t>2024-01-29</t>
        </is>
      </c>
      <c r="G84" s="2" t="inlineStr">
        <is>
          <t>8.7100%</t>
        </is>
      </c>
      <c r="H84" s="2" t="n"/>
      <c r="I84" s="2" t="n"/>
      <c r="J84" s="2" t="inlineStr">
        <is>
          <t>53.8500%</t>
        </is>
      </c>
      <c r="K84" s="2" t="n"/>
      <c r="L84" s="2" t="n"/>
      <c r="M84" s="2" t="n">
        <v>0.7385</v>
      </c>
      <c r="N84" s="2" t="inlineStr">
        <is>
          <t>沪深300</t>
        </is>
      </c>
      <c r="O84" t="inlineStr">
        <is>
          <t>2026-08-31</t>
        </is>
      </c>
      <c r="P84" t="inlineStr">
        <is>
          <t>2026-09-15</t>
        </is>
      </c>
    </row>
    <row r="85">
      <c r="A85" s="2" t="inlineStr">
        <is>
          <t>巨量边界ETF对冲1号</t>
        </is>
      </c>
      <c r="B85" s="2" t="inlineStr">
        <is>
          <t>SAGT43</t>
        </is>
      </c>
      <c r="C85" s="2" t="inlineStr">
        <is>
          <t>套利策略</t>
        </is>
      </c>
      <c r="D85" s="2" t="inlineStr">
        <is>
          <t>-</t>
        </is>
      </c>
      <c r="E85" s="2" t="inlineStr">
        <is>
          <t>北京巨量边界</t>
        </is>
      </c>
      <c r="F85" s="2" t="inlineStr">
        <is>
          <t>2024-03-28</t>
        </is>
      </c>
      <c r="G85" s="2" t="inlineStr">
        <is>
          <t>9.0700%</t>
        </is>
      </c>
      <c r="H85" s="2" t="n"/>
      <c r="I85" s="2" t="n"/>
      <c r="J85" s="2" t="inlineStr">
        <is>
          <t>76.9200%</t>
        </is>
      </c>
      <c r="K85" s="2" t="n"/>
      <c r="L85" s="2" t="n"/>
      <c r="M85" s="2" t="n">
        <v>5.3935</v>
      </c>
      <c r="N85" s="2" t="inlineStr">
        <is>
          <t>沪深300</t>
        </is>
      </c>
      <c r="O85" t="inlineStr">
        <is>
          <t>2026-08-31</t>
        </is>
      </c>
      <c r="P85" t="inlineStr">
        <is>
          <t>2026-09-15</t>
        </is>
      </c>
    </row>
    <row r="86">
      <c r="A86" s="2" t="inlineStr">
        <is>
          <t>慕途商品套利1号</t>
        </is>
      </c>
      <c r="B86" s="2" t="inlineStr">
        <is>
          <t>SAHX36</t>
        </is>
      </c>
      <c r="C86" s="2" t="inlineStr">
        <is>
          <t>套利策略</t>
        </is>
      </c>
      <c r="D86" s="2" t="inlineStr">
        <is>
          <t>期货套利</t>
        </is>
      </c>
      <c r="E86" s="2" t="inlineStr">
        <is>
          <t>慕途基金</t>
        </is>
      </c>
      <c r="F86" s="2" t="inlineStr">
        <is>
          <t>2024-03-25</t>
        </is>
      </c>
      <c r="G86" s="2" t="inlineStr">
        <is>
          <t>12.8700%</t>
        </is>
      </c>
      <c r="H86" s="2" t="n"/>
      <c r="I86" s="2" t="n"/>
      <c r="J86" s="2" t="inlineStr">
        <is>
          <t>84.6200%</t>
        </is>
      </c>
      <c r="K86" s="2" t="n"/>
      <c r="L86" s="2" t="n"/>
      <c r="M86" s="2" t="n">
        <v>10.2232</v>
      </c>
      <c r="N86" s="2" t="inlineStr">
        <is>
          <t>沪深300</t>
        </is>
      </c>
      <c r="O86" t="inlineStr">
        <is>
          <t>2026-08-31</t>
        </is>
      </c>
      <c r="P86" t="inlineStr">
        <is>
          <t>2026-09-15</t>
        </is>
      </c>
    </row>
    <row r="87">
      <c r="A87" s="2" t="inlineStr">
        <is>
          <t>远澜冬青跨境套利1号</t>
        </is>
      </c>
      <c r="B87" s="2" t="inlineStr">
        <is>
          <t>SAHU42</t>
        </is>
      </c>
      <c r="C87" s="2" t="inlineStr">
        <is>
          <t>套利策略</t>
        </is>
      </c>
      <c r="D87" s="2" t="inlineStr">
        <is>
          <t>期货套利</t>
        </is>
      </c>
      <c r="E87" s="2" t="inlineStr">
        <is>
          <t>上海远澜</t>
        </is>
      </c>
      <c r="F87" s="2" t="inlineStr">
        <is>
          <t>2024-03-22</t>
        </is>
      </c>
      <c r="G87" s="2" t="inlineStr">
        <is>
          <t>27.5500%</t>
        </is>
      </c>
      <c r="H87" s="2" t="n"/>
      <c r="I87" s="2" t="n"/>
      <c r="J87" s="2" t="inlineStr">
        <is>
          <t>38.4600%</t>
        </is>
      </c>
      <c r="K87" s="2" t="n"/>
      <c r="L87" s="2" t="n"/>
      <c r="M87" s="2" t="n">
        <v>1.5015</v>
      </c>
      <c r="N87" s="2" t="inlineStr">
        <is>
          <t>沪深300</t>
        </is>
      </c>
      <c r="O87" t="inlineStr">
        <is>
          <t>2026-08-31</t>
        </is>
      </c>
      <c r="P87" t="inlineStr">
        <is>
          <t>2026-09-15</t>
        </is>
      </c>
    </row>
    <row r="88">
      <c r="A88" s="2" t="inlineStr">
        <is>
          <t>唐德幽兰量化套利一号</t>
        </is>
      </c>
      <c r="B88" s="2" t="inlineStr">
        <is>
          <t>SAHM04</t>
        </is>
      </c>
      <c r="C88" s="2" t="inlineStr">
        <is>
          <t>套利策略</t>
        </is>
      </c>
      <c r="D88" s="2" t="inlineStr">
        <is>
          <t>期货套利</t>
        </is>
      </c>
      <c r="E88" s="2" t="inlineStr">
        <is>
          <t>深圳唐德</t>
        </is>
      </c>
      <c r="F88" s="2" t="inlineStr">
        <is>
          <t>2024-04-26</t>
        </is>
      </c>
      <c r="G88" s="2" t="inlineStr">
        <is>
          <t>8.6300%</t>
        </is>
      </c>
      <c r="H88" s="2" t="n"/>
      <c r="I88" s="2" t="n"/>
      <c r="J88" s="2" t="inlineStr">
        <is>
          <t>84.6200%</t>
        </is>
      </c>
      <c r="K88" s="2" t="n"/>
      <c r="L88" s="2" t="n"/>
      <c r="M88" s="2" t="n">
        <v>3.4077</v>
      </c>
      <c r="N88" s="2" t="inlineStr">
        <is>
          <t>沪深300</t>
        </is>
      </c>
      <c r="O88" t="inlineStr">
        <is>
          <t>2026-08-31</t>
        </is>
      </c>
      <c r="P88" t="inlineStr">
        <is>
          <t>2026-09-15</t>
        </is>
      </c>
    </row>
    <row r="89">
      <c r="A89" s="2" t="inlineStr">
        <is>
          <t>广联宏长青树2号</t>
        </is>
      </c>
      <c r="B89" s="2" t="inlineStr">
        <is>
          <t>SAEJ83</t>
        </is>
      </c>
      <c r="C89" s="2" t="inlineStr">
        <is>
          <t>套利策略</t>
        </is>
      </c>
      <c r="D89" s="2" t="inlineStr">
        <is>
          <t>期货套利</t>
        </is>
      </c>
      <c r="E89" s="2" t="inlineStr">
        <is>
          <t>海南广联宏</t>
        </is>
      </c>
      <c r="F89" s="2" t="inlineStr">
        <is>
          <t>2024-05-09</t>
        </is>
      </c>
      <c r="G89" s="2" t="inlineStr">
        <is>
          <t>15.6200%</t>
        </is>
      </c>
      <c r="H89" s="2" t="n"/>
      <c r="I89" s="2" t="n"/>
      <c r="J89" s="2" t="inlineStr">
        <is>
          <t>76.9200%</t>
        </is>
      </c>
      <c r="K89" s="2" t="n"/>
      <c r="L89" s="2" t="n"/>
      <c r="M89" s="2" t="n">
        <v>2.5832</v>
      </c>
      <c r="N89" s="2" t="inlineStr">
        <is>
          <t>沪深300</t>
        </is>
      </c>
      <c r="O89" t="inlineStr">
        <is>
          <t>2026-08-31</t>
        </is>
      </c>
      <c r="P89" t="inlineStr">
        <is>
          <t>2026-09-15</t>
        </is>
      </c>
    </row>
    <row r="90">
      <c r="A90" s="2" t="inlineStr">
        <is>
          <t>宽辅优享1号</t>
        </is>
      </c>
      <c r="B90" s="2" t="inlineStr">
        <is>
          <t>SAKB02</t>
        </is>
      </c>
      <c r="C90" s="2" t="inlineStr">
        <is>
          <t>套利策略</t>
        </is>
      </c>
      <c r="D90" s="2" t="inlineStr">
        <is>
          <t>-</t>
        </is>
      </c>
      <c r="E90" s="2" t="inlineStr">
        <is>
          <t>海南宽辅</t>
        </is>
      </c>
      <c r="F90" s="2" t="inlineStr">
        <is>
          <t>2024-04-19</t>
        </is>
      </c>
      <c r="G90" s="2" t="inlineStr">
        <is>
          <t>4.0300%</t>
        </is>
      </c>
      <c r="H90" s="2" t="n"/>
      <c r="I90" s="2" t="n"/>
      <c r="J90" s="2" t="inlineStr">
        <is>
          <t>76.9200%</t>
        </is>
      </c>
      <c r="K90" s="2" t="n"/>
      <c r="L90" s="2" t="n"/>
      <c r="M90" s="2" t="n">
        <v>6.829</v>
      </c>
      <c r="N90" s="2" t="inlineStr">
        <is>
          <t>沪深300</t>
        </is>
      </c>
      <c r="O90" t="inlineStr">
        <is>
          <t>2026-08-31</t>
        </is>
      </c>
      <c r="P90" t="inlineStr">
        <is>
          <t>2026-09-15</t>
        </is>
      </c>
    </row>
    <row r="91">
      <c r="A91" s="2" t="inlineStr">
        <is>
          <t>博普安兴私享一号B类</t>
        </is>
      </c>
      <c r="B91" s="2" t="inlineStr">
        <is>
          <t>AHS76B</t>
        </is>
      </c>
      <c r="C91" s="2" t="inlineStr">
        <is>
          <t>套利策略</t>
        </is>
      </c>
      <c r="D91" s="2" t="inlineStr">
        <is>
          <t>期货套利</t>
        </is>
      </c>
      <c r="E91" s="2" t="inlineStr">
        <is>
          <t>深圳前海博普资管</t>
        </is>
      </c>
      <c r="F91" s="2" t="inlineStr">
        <is>
          <t>2024-03-22</t>
        </is>
      </c>
      <c r="G91" s="2" t="inlineStr">
        <is>
          <t>6.1700%</t>
        </is>
      </c>
      <c r="H91" s="2" t="n"/>
      <c r="I91" s="2" t="n"/>
      <c r="J91" s="2" t="inlineStr">
        <is>
          <t>92.3100%</t>
        </is>
      </c>
      <c r="K91" s="2" t="n"/>
      <c r="L91" s="2" t="n"/>
      <c r="M91" s="2" t="n">
        <v>9.4391</v>
      </c>
      <c r="N91" s="2" t="inlineStr">
        <is>
          <t>沪深300</t>
        </is>
      </c>
      <c r="O91" t="inlineStr">
        <is>
          <t>2026-08-31</t>
        </is>
      </c>
      <c r="P91" t="inlineStr">
        <is>
          <t>2026-09-15</t>
        </is>
      </c>
    </row>
    <row r="92">
      <c r="A92" s="2" t="inlineStr">
        <is>
          <t>龙智福星</t>
        </is>
      </c>
      <c r="B92" s="2" t="inlineStr">
        <is>
          <t>SALD19</t>
        </is>
      </c>
      <c r="C92" s="2" t="inlineStr">
        <is>
          <t>套利策略</t>
        </is>
      </c>
      <c r="D92" s="2" t="inlineStr">
        <is>
          <t>基金套利</t>
        </is>
      </c>
      <c r="E92" s="2" t="inlineStr">
        <is>
          <t>广州龙智投资</t>
        </is>
      </c>
      <c r="F92" s="2" t="inlineStr">
        <is>
          <t>2024-06-05</t>
        </is>
      </c>
      <c r="G92" s="2" t="inlineStr">
        <is>
          <t>0.7500%</t>
        </is>
      </c>
      <c r="H92" s="2" t="n"/>
      <c r="I92" s="2" t="n"/>
      <c r="J92" s="2" t="inlineStr">
        <is>
          <t>69.2300%</t>
        </is>
      </c>
      <c r="K92" s="2" t="n"/>
      <c r="L92" s="2" t="n"/>
      <c r="M92" s="2" t="n">
        <v>0.5633</v>
      </c>
      <c r="N92" s="2" t="inlineStr">
        <is>
          <t>沪深300</t>
        </is>
      </c>
      <c r="O92" t="inlineStr">
        <is>
          <t>2026-08-31</t>
        </is>
      </c>
      <c r="P92" t="inlineStr">
        <is>
          <t>2026-09-15</t>
        </is>
      </c>
    </row>
    <row r="93">
      <c r="A93" s="2" t="inlineStr">
        <is>
          <t>嘉和传承精研倍赢二期A类</t>
        </is>
      </c>
      <c r="B93" s="2" t="inlineStr">
        <is>
          <t>AJV57A</t>
        </is>
      </c>
      <c r="C93" s="2" t="inlineStr">
        <is>
          <t>套利策略</t>
        </is>
      </c>
      <c r="D93" s="2" t="inlineStr">
        <is>
          <t>期货套利</t>
        </is>
      </c>
      <c r="E93" s="2" t="inlineStr">
        <is>
          <t>上海嘉和传承</t>
        </is>
      </c>
      <c r="F93" s="2" t="inlineStr">
        <is>
          <t>2024-04-22</t>
        </is>
      </c>
      <c r="G93" s="2" t="inlineStr">
        <is>
          <t>26.6700%</t>
        </is>
      </c>
      <c r="H93" s="2" t="n"/>
      <c r="I93" s="2" t="n"/>
      <c r="J93" s="2" t="inlineStr">
        <is>
          <t>61.5400%</t>
        </is>
      </c>
      <c r="K93" s="2" t="n"/>
      <c r="L93" s="2" t="n"/>
      <c r="M93" s="2" t="n">
        <v>1.5622</v>
      </c>
      <c r="N93" s="2" t="inlineStr">
        <is>
          <t>沪深300</t>
        </is>
      </c>
      <c r="O93" t="inlineStr">
        <is>
          <t>2026-08-31</t>
        </is>
      </c>
      <c r="P93" t="inlineStr">
        <is>
          <t>2026-09-15</t>
        </is>
      </c>
    </row>
    <row r="94">
      <c r="A94" s="2" t="inlineStr">
        <is>
          <t>利恩华龙股票进取一号</t>
        </is>
      </c>
      <c r="B94" s="2" t="inlineStr">
        <is>
          <t>SALW01</t>
        </is>
      </c>
      <c r="C94" s="2" t="inlineStr">
        <is>
          <t>套利策略</t>
        </is>
      </c>
      <c r="D94" s="2" t="inlineStr">
        <is>
          <t>-</t>
        </is>
      </c>
      <c r="E94" s="2" t="inlineStr">
        <is>
          <t>上海利恩</t>
        </is>
      </c>
      <c r="F94" s="2" t="inlineStr">
        <is>
          <t>2024-07-17</t>
        </is>
      </c>
      <c r="G94" s="2" t="inlineStr">
        <is>
          <t>-0.7100%</t>
        </is>
      </c>
      <c r="H94" s="2" t="n"/>
      <c r="I94" s="2" t="n"/>
      <c r="J94" s="2" t="inlineStr">
        <is>
          <t>53.8500%</t>
        </is>
      </c>
      <c r="K94" s="2" t="n"/>
      <c r="L94" s="2" t="n"/>
      <c r="M94" s="2" t="n">
        <v>-0.129</v>
      </c>
      <c r="N94" s="2" t="inlineStr">
        <is>
          <t>沪深300</t>
        </is>
      </c>
      <c r="O94" t="inlineStr">
        <is>
          <t>2026-08-31</t>
        </is>
      </c>
      <c r="P94" t="inlineStr">
        <is>
          <t>2026-09-15</t>
        </is>
      </c>
    </row>
    <row r="95">
      <c r="A95" s="2" t="inlineStr">
        <is>
          <t>博普安兴私享一号A类</t>
        </is>
      </c>
      <c r="B95" s="2" t="inlineStr">
        <is>
          <t>AHS76A</t>
        </is>
      </c>
      <c r="C95" s="2" t="inlineStr">
        <is>
          <t>套利策略</t>
        </is>
      </c>
      <c r="D95" s="2" t="inlineStr">
        <is>
          <t>-</t>
        </is>
      </c>
      <c r="E95" s="2" t="inlineStr">
        <is>
          <t>深圳前海博普资管</t>
        </is>
      </c>
      <c r="F95" s="2" t="inlineStr">
        <is>
          <t>2024-03-22</t>
        </is>
      </c>
      <c r="G95" s="2" t="n"/>
      <c r="H95" s="2" t="n"/>
      <c r="I95" s="2" t="n"/>
      <c r="J95" s="2" t="n"/>
      <c r="K95" s="2" t="n"/>
      <c r="L95" s="2" t="n"/>
      <c r="M95" s="2" t="n"/>
      <c r="N95" s="2" t="inlineStr">
        <is>
          <t>沪深300</t>
        </is>
      </c>
      <c r="O95" t="inlineStr">
        <is>
          <t>2026-08-31</t>
        </is>
      </c>
      <c r="P95" t="inlineStr">
        <is>
          <t>2026-09-15</t>
        </is>
      </c>
    </row>
    <row r="96">
      <c r="A96" s="2" t="inlineStr">
        <is>
          <t>鑫泰禾安赢1号</t>
        </is>
      </c>
      <c r="B96" s="2" t="inlineStr">
        <is>
          <t>SAQB15</t>
        </is>
      </c>
      <c r="C96" s="2" t="inlineStr">
        <is>
          <t>套利策略</t>
        </is>
      </c>
      <c r="D96" s="2" t="inlineStr">
        <is>
          <t>基金套利</t>
        </is>
      </c>
      <c r="E96" s="2" t="inlineStr">
        <is>
          <t>深圳鑫泰禾</t>
        </is>
      </c>
      <c r="F96" s="2" t="inlineStr">
        <is>
          <t>2024-10-21</t>
        </is>
      </c>
      <c r="G96" s="2" t="inlineStr">
        <is>
          <t>6.0100%</t>
        </is>
      </c>
      <c r="H96" s="2" t="n"/>
      <c r="I96" s="2" t="n"/>
      <c r="J96" s="2" t="inlineStr">
        <is>
          <t>69.2300%</t>
        </is>
      </c>
      <c r="K96" s="2" t="n"/>
      <c r="L96" s="2" t="n"/>
      <c r="M96" s="2" t="n">
        <v>0.8894</v>
      </c>
      <c r="N96" s="2" t="inlineStr">
        <is>
          <t>中证全债</t>
        </is>
      </c>
      <c r="O96" t="inlineStr">
        <is>
          <t>2026-08-31</t>
        </is>
      </c>
      <c r="P96" t="inlineStr">
        <is>
          <t>2026-09-15</t>
        </is>
      </c>
    </row>
    <row r="97">
      <c r="A97" s="2" t="inlineStr">
        <is>
          <t>慕途盈川1号</t>
        </is>
      </c>
      <c r="B97" s="2" t="inlineStr">
        <is>
          <t>SAQQ67</t>
        </is>
      </c>
      <c r="C97" s="2" t="inlineStr">
        <is>
          <t>套利策略</t>
        </is>
      </c>
      <c r="D97" s="2" t="inlineStr">
        <is>
          <t>期货套利</t>
        </is>
      </c>
      <c r="E97" s="2" t="inlineStr">
        <is>
          <t>慕途基金</t>
        </is>
      </c>
      <c r="F97" s="2" t="inlineStr">
        <is>
          <t>2024-11-25</t>
        </is>
      </c>
      <c r="G97" s="2" t="inlineStr">
        <is>
          <t>13.1200%</t>
        </is>
      </c>
      <c r="H97" s="2" t="n"/>
      <c r="I97" s="2" t="n"/>
      <c r="J97" s="2" t="inlineStr">
        <is>
          <t>76.9200%</t>
        </is>
      </c>
      <c r="K97" s="2" t="n"/>
      <c r="L97" s="2" t="n"/>
      <c r="M97" s="2" t="n">
        <v>5.8131</v>
      </c>
      <c r="N97" s="2" t="inlineStr">
        <is>
          <t>沪深300</t>
        </is>
      </c>
      <c r="O97" t="inlineStr">
        <is>
          <t>2026-08-31</t>
        </is>
      </c>
      <c r="P97" t="inlineStr">
        <is>
          <t>2026-09-15</t>
        </is>
      </c>
    </row>
    <row r="98">
      <c r="A98" s="2" t="inlineStr">
        <is>
          <t>根鸟利恩稳健套利二号</t>
        </is>
      </c>
      <c r="B98" s="2" t="inlineStr">
        <is>
          <t>SARN68</t>
        </is>
      </c>
      <c r="C98" s="2" t="inlineStr">
        <is>
          <t>套利策略</t>
        </is>
      </c>
      <c r="D98" s="2" t="inlineStr">
        <is>
          <t>-</t>
        </is>
      </c>
      <c r="E98" s="2" t="inlineStr">
        <is>
          <t>上海利恩</t>
        </is>
      </c>
      <c r="F98" s="2" t="inlineStr">
        <is>
          <t>2024-12-03</t>
        </is>
      </c>
      <c r="G98" s="2" t="inlineStr">
        <is>
          <t>5.6400%</t>
        </is>
      </c>
      <c r="H98" s="2" t="n"/>
      <c r="I98" s="2" t="n"/>
      <c r="J98" s="2" t="inlineStr">
        <is>
          <t>69.2300%</t>
        </is>
      </c>
      <c r="K98" s="2" t="n"/>
      <c r="L98" s="2" t="n"/>
      <c r="M98" s="2" t="n">
        <v>3.3661</v>
      </c>
      <c r="N98" s="2" t="inlineStr">
        <is>
          <t>沪深300</t>
        </is>
      </c>
      <c r="O98" t="inlineStr">
        <is>
          <t>2026-08-31</t>
        </is>
      </c>
      <c r="P98" t="inlineStr">
        <is>
          <t>2026-09-15</t>
        </is>
      </c>
    </row>
    <row r="99">
      <c r="A99" s="2" t="inlineStr">
        <is>
          <t>唐德幽兰量化套利一号A类</t>
        </is>
      </c>
      <c r="B99" s="2" t="inlineStr">
        <is>
          <t>AHM04A</t>
        </is>
      </c>
      <c r="C99" s="2" t="inlineStr">
        <is>
          <t>套利策略</t>
        </is>
      </c>
      <c r="D99" s="2" t="inlineStr">
        <is>
          <t>期货套利</t>
        </is>
      </c>
      <c r="E99" s="2" t="inlineStr">
        <is>
          <t>深圳唐德</t>
        </is>
      </c>
      <c r="F99" s="2" t="inlineStr">
        <is>
          <t>2024-04-26</t>
        </is>
      </c>
      <c r="G99" s="2" t="inlineStr">
        <is>
          <t>8.6100%</t>
        </is>
      </c>
      <c r="H99" s="2" t="n"/>
      <c r="I99" s="2" t="n"/>
      <c r="J99" s="2" t="inlineStr">
        <is>
          <t>84.6200%</t>
        </is>
      </c>
      <c r="K99" s="2" t="n"/>
      <c r="L99" s="2" t="n"/>
      <c r="M99" s="2" t="n">
        <v>3.3996</v>
      </c>
      <c r="N99" s="2" t="inlineStr">
        <is>
          <t>沪深300</t>
        </is>
      </c>
      <c r="O99" t="inlineStr">
        <is>
          <t>2026-08-31</t>
        </is>
      </c>
      <c r="P99" t="inlineStr">
        <is>
          <t>2026-09-15</t>
        </is>
      </c>
    </row>
    <row r="100">
      <c r="A100" s="2" t="inlineStr">
        <is>
          <t>启元高粱2号</t>
        </is>
      </c>
      <c r="B100" s="2" t="inlineStr">
        <is>
          <t>SZW093</t>
        </is>
      </c>
      <c r="C100" s="2" t="inlineStr">
        <is>
          <t>套利策略</t>
        </is>
      </c>
      <c r="D100" s="2" t="inlineStr">
        <is>
          <t>-</t>
        </is>
      </c>
      <c r="E100" s="2" t="inlineStr">
        <is>
          <t>温州启元资管</t>
        </is>
      </c>
      <c r="F100" s="2" t="inlineStr">
        <is>
          <t>2024-12-17</t>
        </is>
      </c>
      <c r="G100" s="2" t="inlineStr">
        <is>
          <t>-4.3400%</t>
        </is>
      </c>
      <c r="H100" s="2" t="n"/>
      <c r="I100" s="2" t="n"/>
      <c r="J100" s="2" t="inlineStr">
        <is>
          <t>53.8500%</t>
        </is>
      </c>
      <c r="K100" s="2" t="n"/>
      <c r="L100" s="2" t="n"/>
      <c r="M100" s="2" t="n">
        <v>-0.243</v>
      </c>
      <c r="N100" s="2" t="inlineStr">
        <is>
          <t>沪深300</t>
        </is>
      </c>
      <c r="O100" t="inlineStr">
        <is>
          <t>2026-08-31</t>
        </is>
      </c>
      <c r="P100" t="inlineStr">
        <is>
          <t>2026-09-15</t>
        </is>
      </c>
    </row>
    <row r="101">
      <c r="A101" s="2" t="inlineStr">
        <is>
          <t>六妙星滚雪粒1号</t>
        </is>
      </c>
      <c r="B101" s="2" t="inlineStr">
        <is>
          <t>SASB96</t>
        </is>
      </c>
      <c r="C101" s="2" t="inlineStr">
        <is>
          <t>套利策略</t>
        </is>
      </c>
      <c r="D101" s="2" t="inlineStr">
        <is>
          <t>期权套利</t>
        </is>
      </c>
      <c r="E101" s="2" t="inlineStr">
        <is>
          <t>北京六妙星</t>
        </is>
      </c>
      <c r="F101" s="2" t="inlineStr">
        <is>
          <t>2024-12-16</t>
        </is>
      </c>
      <c r="G101" s="2" t="inlineStr">
        <is>
          <t>9.3100%</t>
        </is>
      </c>
      <c r="H101" s="2" t="n"/>
      <c r="I101" s="2" t="n"/>
      <c r="J101" s="2" t="inlineStr">
        <is>
          <t>61.5400%</t>
        </is>
      </c>
      <c r="K101" s="2" t="n"/>
      <c r="L101" s="2" t="n"/>
      <c r="M101" s="2" t="n">
        <v>1.132</v>
      </c>
      <c r="N101" s="2" t="inlineStr">
        <is>
          <t>沪深300</t>
        </is>
      </c>
      <c r="O101" t="inlineStr">
        <is>
          <t>2026-08-31</t>
        </is>
      </c>
      <c r="P101" t="inlineStr">
        <is>
          <t>2026-09-15</t>
        </is>
      </c>
    </row>
    <row r="102">
      <c r="A102" s="2" t="inlineStr">
        <is>
          <t>纵帆禾裕二号</t>
        </is>
      </c>
      <c r="B102" s="2" t="inlineStr">
        <is>
          <t>SASG02</t>
        </is>
      </c>
      <c r="C102" s="2" t="inlineStr">
        <is>
          <t>套利策略</t>
        </is>
      </c>
      <c r="D102" s="2" t="inlineStr">
        <is>
          <t>期权套利</t>
        </is>
      </c>
      <c r="E102" s="2" t="inlineStr">
        <is>
          <t>海南纵帆</t>
        </is>
      </c>
      <c r="F102" s="2" t="inlineStr">
        <is>
          <t>2024-12-24</t>
        </is>
      </c>
      <c r="G102" s="2" t="inlineStr">
        <is>
          <t>5.1900%</t>
        </is>
      </c>
      <c r="H102" s="2" t="n"/>
      <c r="I102" s="2" t="n"/>
      <c r="J102" s="2" t="inlineStr">
        <is>
          <t>69.2300%</t>
        </is>
      </c>
      <c r="K102" s="2" t="n"/>
      <c r="L102" s="2" t="n"/>
      <c r="M102" s="2" t="n">
        <v>1.0967</v>
      </c>
      <c r="N102" s="2" t="inlineStr">
        <is>
          <t>沪深300</t>
        </is>
      </c>
      <c r="O102" t="inlineStr">
        <is>
          <t>2026-08-31</t>
        </is>
      </c>
      <c r="P102" t="inlineStr">
        <is>
          <t>2026-09-15</t>
        </is>
      </c>
    </row>
    <row r="103">
      <c r="A103" s="2" t="inlineStr">
        <is>
          <t>纵帆禾裕一号</t>
        </is>
      </c>
      <c r="B103" s="2" t="inlineStr">
        <is>
          <t>SARX48</t>
        </is>
      </c>
      <c r="C103" s="2" t="inlineStr">
        <is>
          <t>套利策略</t>
        </is>
      </c>
      <c r="D103" s="2" t="inlineStr">
        <is>
          <t>期权套利</t>
        </is>
      </c>
      <c r="E103" s="2" t="inlineStr">
        <is>
          <t>海南纵帆</t>
        </is>
      </c>
      <c r="F103" s="2" t="inlineStr">
        <is>
          <t>2024-12-31</t>
        </is>
      </c>
      <c r="G103" s="2" t="inlineStr">
        <is>
          <t>6.8800%</t>
        </is>
      </c>
      <c r="H103" s="2" t="n"/>
      <c r="I103" s="2" t="n"/>
      <c r="J103" s="2" t="inlineStr">
        <is>
          <t>69.2300%</t>
        </is>
      </c>
      <c r="K103" s="2" t="n"/>
      <c r="L103" s="2" t="n"/>
      <c r="M103" s="2" t="n">
        <v>2.4093</v>
      </c>
      <c r="N103" s="2" t="inlineStr">
        <is>
          <t>沪深300</t>
        </is>
      </c>
      <c r="O103" t="inlineStr">
        <is>
          <t>2026-08-31</t>
        </is>
      </c>
      <c r="P103" t="inlineStr">
        <is>
          <t>2026-09-15</t>
        </is>
      </c>
    </row>
    <row r="104">
      <c r="A104" s="2" t="inlineStr">
        <is>
          <t>广联宏稳健2号</t>
        </is>
      </c>
      <c r="B104" s="2" t="inlineStr">
        <is>
          <t>SATV20</t>
        </is>
      </c>
      <c r="C104" s="2" t="inlineStr">
        <is>
          <t>套利策略</t>
        </is>
      </c>
      <c r="D104" s="2" t="inlineStr">
        <is>
          <t>期货套利</t>
        </is>
      </c>
      <c r="E104" s="2" t="inlineStr">
        <is>
          <t>海南广联宏</t>
        </is>
      </c>
      <c r="F104" s="2" t="inlineStr">
        <is>
          <t>2025-02-17</t>
        </is>
      </c>
      <c r="G104" s="2" t="inlineStr">
        <is>
          <t>21.3800%</t>
        </is>
      </c>
      <c r="H104" s="2" t="n"/>
      <c r="I104" s="2" t="n"/>
      <c r="J104" s="2" t="inlineStr">
        <is>
          <t>84.6200%</t>
        </is>
      </c>
      <c r="K104" s="2" t="n"/>
      <c r="L104" s="2" t="n"/>
      <c r="M104" s="2" t="n">
        <v>11.3657</v>
      </c>
      <c r="N104" s="2" t="inlineStr">
        <is>
          <t>沪深300</t>
        </is>
      </c>
      <c r="O104" t="inlineStr">
        <is>
          <t>2026-08-31</t>
        </is>
      </c>
      <c r="P104" t="inlineStr">
        <is>
          <t>2026-09-15</t>
        </is>
      </c>
    </row>
    <row r="105">
      <c r="A105" s="2" t="inlineStr">
        <is>
          <t>濡圣橡石2号</t>
        </is>
      </c>
      <c r="B105" s="2" t="inlineStr">
        <is>
          <t>SATY96</t>
        </is>
      </c>
      <c r="C105" s="2" t="inlineStr">
        <is>
          <t>套利策略</t>
        </is>
      </c>
      <c r="D105" s="2" t="inlineStr">
        <is>
          <t>期货套利</t>
        </is>
      </c>
      <c r="E105" s="2" t="inlineStr">
        <is>
          <t>上海濡圣</t>
        </is>
      </c>
      <c r="F105" s="2" t="inlineStr">
        <is>
          <t>2025-02-18</t>
        </is>
      </c>
      <c r="G105" s="2" t="inlineStr">
        <is>
          <t>1.1800%</t>
        </is>
      </c>
      <c r="H105" s="2" t="n"/>
      <c r="I105" s="2" t="n"/>
      <c r="J105" s="2" t="inlineStr">
        <is>
          <t>38.4600%</t>
        </is>
      </c>
      <c r="K105" s="2" t="n"/>
      <c r="L105" s="2" t="n"/>
      <c r="M105" s="2" t="n">
        <v>0.1176</v>
      </c>
      <c r="N105" s="2" t="inlineStr">
        <is>
          <t>沪深300</t>
        </is>
      </c>
      <c r="O105" t="inlineStr">
        <is>
          <t>2026-08-31</t>
        </is>
      </c>
      <c r="P105" t="inlineStr">
        <is>
          <t>2026-09-15</t>
        </is>
      </c>
    </row>
    <row r="106">
      <c r="A106" s="2" t="inlineStr">
        <is>
          <t>九木套利1号</t>
        </is>
      </c>
      <c r="B106" s="2" t="inlineStr">
        <is>
          <t>SAXN78</t>
        </is>
      </c>
      <c r="C106" s="2" t="inlineStr">
        <is>
          <t>套利策略</t>
        </is>
      </c>
      <c r="D106" s="2" t="inlineStr">
        <is>
          <t>期货套利</t>
        </is>
      </c>
      <c r="E106" s="2" t="inlineStr">
        <is>
          <t>深圳九木</t>
        </is>
      </c>
      <c r="F106" s="2" t="inlineStr">
        <is>
          <t>2025-04-22</t>
        </is>
      </c>
      <c r="G106" s="2" t="inlineStr">
        <is>
          <t>0.9900%</t>
        </is>
      </c>
      <c r="H106" s="2" t="n"/>
      <c r="I106" s="2" t="n"/>
      <c r="J106" s="2" t="inlineStr">
        <is>
          <t>53.8500%</t>
        </is>
      </c>
      <c r="K106" s="2" t="n"/>
      <c r="L106" s="2" t="n"/>
      <c r="M106" s="2" t="n">
        <v>0.2797</v>
      </c>
      <c r="N106" s="2" t="inlineStr">
        <is>
          <t>南华商品指数</t>
        </is>
      </c>
      <c r="O106" t="inlineStr">
        <is>
          <t>2026-08-31</t>
        </is>
      </c>
      <c r="P106" t="inlineStr">
        <is>
          <t>2026-09-15</t>
        </is>
      </c>
    </row>
    <row r="107">
      <c r="A107" s="2" t="inlineStr">
        <is>
          <t>邦阁赤水1号</t>
        </is>
      </c>
      <c r="B107" s="2" t="inlineStr">
        <is>
          <t>SAYN63</t>
        </is>
      </c>
      <c r="C107" s="2" t="inlineStr">
        <is>
          <t>套利策略</t>
        </is>
      </c>
      <c r="D107" s="2" t="inlineStr">
        <is>
          <t>可转债套利</t>
        </is>
      </c>
      <c r="E107" s="2" t="inlineStr">
        <is>
          <t>上海邦阁</t>
        </is>
      </c>
      <c r="F107" s="2" t="inlineStr">
        <is>
          <t>2025-05-29</t>
        </is>
      </c>
      <c r="G107" s="2" t="inlineStr">
        <is>
          <t>-11.8900%</t>
        </is>
      </c>
      <c r="H107" s="2" t="n"/>
      <c r="I107" s="2" t="n"/>
      <c r="J107" s="2" t="inlineStr">
        <is>
          <t>7.6900%</t>
        </is>
      </c>
      <c r="K107" s="2" t="n"/>
      <c r="L107" s="2" t="n"/>
      <c r="M107" s="2" t="n">
        <v>-0.8362000000000001</v>
      </c>
      <c r="N107" s="2" t="inlineStr">
        <is>
          <t>沪深300</t>
        </is>
      </c>
      <c r="O107" t="inlineStr">
        <is>
          <t>2026-08-31</t>
        </is>
      </c>
      <c r="P107" t="inlineStr">
        <is>
          <t>2026-09-15</t>
        </is>
      </c>
    </row>
    <row r="108">
      <c r="A108" s="2" t="inlineStr">
        <is>
          <t>嘉和传承如期而至二期A类</t>
        </is>
      </c>
      <c r="B108" s="2" t="inlineStr">
        <is>
          <t>AYU55A</t>
        </is>
      </c>
      <c r="C108" s="2" t="inlineStr">
        <is>
          <t>套利策略</t>
        </is>
      </c>
      <c r="D108" s="2" t="inlineStr">
        <is>
          <t>-</t>
        </is>
      </c>
      <c r="E108" s="2" t="inlineStr">
        <is>
          <t>上海嘉和传承</t>
        </is>
      </c>
      <c r="F108" s="2" t="inlineStr">
        <is>
          <t>2025-06-03</t>
        </is>
      </c>
      <c r="G108" s="2" t="inlineStr">
        <is>
          <t>32.6800%</t>
        </is>
      </c>
      <c r="H108" s="2" t="n"/>
      <c r="I108" s="2" t="n"/>
      <c r="J108" s="2" t="inlineStr">
        <is>
          <t>69.2300%</t>
        </is>
      </c>
      <c r="K108" s="2" t="n"/>
      <c r="L108" s="2" t="n"/>
      <c r="M108" s="2" t="n">
        <v>3.7418</v>
      </c>
      <c r="N108" s="2" t="inlineStr">
        <is>
          <t>沪深300</t>
        </is>
      </c>
      <c r="O108" t="inlineStr">
        <is>
          <t>2026-08-31</t>
        </is>
      </c>
      <c r="P108" t="inlineStr">
        <is>
          <t>2026-09-15</t>
        </is>
      </c>
    </row>
    <row r="109">
      <c r="A109" s="2" t="inlineStr">
        <is>
          <t>龙智五福</t>
        </is>
      </c>
      <c r="B109" s="2" t="inlineStr">
        <is>
          <t>SAZX46</t>
        </is>
      </c>
      <c r="C109" s="2" t="inlineStr">
        <is>
          <t>套利策略</t>
        </is>
      </c>
      <c r="D109" s="2" t="inlineStr">
        <is>
          <t>-</t>
        </is>
      </c>
      <c r="E109" s="2" t="inlineStr">
        <is>
          <t>广州龙智投资</t>
        </is>
      </c>
      <c r="F109" s="2" t="inlineStr">
        <is>
          <t>2025-06-19</t>
        </is>
      </c>
      <c r="G109" s="2" t="inlineStr">
        <is>
          <t>0.4400%</t>
        </is>
      </c>
      <c r="H109" s="2" t="n"/>
      <c r="I109" s="2" t="n"/>
      <c r="J109" s="2" t="inlineStr">
        <is>
          <t>38.4600%</t>
        </is>
      </c>
      <c r="K109" s="2" t="n"/>
      <c r="L109" s="2" t="n"/>
      <c r="M109" s="2" t="n">
        <v>0.1365</v>
      </c>
      <c r="N109" s="2" t="inlineStr">
        <is>
          <t>沪深300</t>
        </is>
      </c>
      <c r="O109" t="inlineStr">
        <is>
          <t>2026-08-31</t>
        </is>
      </c>
      <c r="P109" t="inlineStr">
        <is>
          <t>2026-09-15</t>
        </is>
      </c>
    </row>
    <row r="110">
      <c r="A110" s="2" t="inlineStr">
        <is>
          <t>六妙星彩云归低波2号</t>
        </is>
      </c>
      <c r="B110" s="2" t="inlineStr">
        <is>
          <t>SBAQ94</t>
        </is>
      </c>
      <c r="C110" s="2" t="inlineStr">
        <is>
          <t>套利策略</t>
        </is>
      </c>
      <c r="D110" s="2" t="inlineStr">
        <is>
          <t>期货套利</t>
        </is>
      </c>
      <c r="E110" s="2" t="inlineStr">
        <is>
          <t>北京六妙星</t>
        </is>
      </c>
      <c r="F110" s="2" t="inlineStr">
        <is>
          <t>2025-06-25</t>
        </is>
      </c>
      <c r="G110" s="2" t="inlineStr">
        <is>
          <t>1.9400%</t>
        </is>
      </c>
      <c r="H110" s="2" t="n"/>
      <c r="I110" s="2" t="n"/>
      <c r="J110" s="2" t="inlineStr">
        <is>
          <t>53.8500%</t>
        </is>
      </c>
      <c r="K110" s="2" t="n"/>
      <c r="L110" s="2" t="n"/>
      <c r="M110" s="2" t="n">
        <v>0.5657</v>
      </c>
      <c r="N110" s="2" t="inlineStr">
        <is>
          <t>沪深300</t>
        </is>
      </c>
      <c r="O110" t="inlineStr">
        <is>
          <t>2026-08-31</t>
        </is>
      </c>
      <c r="P110" t="inlineStr">
        <is>
          <t>2026-09-15</t>
        </is>
      </c>
    </row>
    <row r="111">
      <c r="A111" s="2" t="inlineStr">
        <is>
          <t>纵帆禾裕三号</t>
        </is>
      </c>
      <c r="B111" s="2" t="inlineStr">
        <is>
          <t>SBDG79</t>
        </is>
      </c>
      <c r="C111" s="2" t="inlineStr">
        <is>
          <t>套利策略</t>
        </is>
      </c>
      <c r="D111" s="2" t="inlineStr">
        <is>
          <t>期权套利</t>
        </is>
      </c>
      <c r="E111" s="2" t="inlineStr">
        <is>
          <t>海南纵帆</t>
        </is>
      </c>
      <c r="F111" s="2" t="inlineStr">
        <is>
          <t>2025-08-08</t>
        </is>
      </c>
      <c r="G111" s="2" t="inlineStr">
        <is>
          <t>4.6100%</t>
        </is>
      </c>
      <c r="H111" s="2" t="n"/>
      <c r="I111" s="2" t="n"/>
      <c r="J111" s="2" t="inlineStr">
        <is>
          <t>69.2300%</t>
        </is>
      </c>
      <c r="K111" s="2" t="n"/>
      <c r="L111" s="2" t="n"/>
      <c r="M111" s="2" t="n">
        <v>1.0222</v>
      </c>
      <c r="N111" s="2" t="inlineStr">
        <is>
          <t>沪深300</t>
        </is>
      </c>
      <c r="O111" t="inlineStr">
        <is>
          <t>2026-08-31</t>
        </is>
      </c>
      <c r="P111" t="inlineStr">
        <is>
          <t>2026-09-15</t>
        </is>
      </c>
    </row>
    <row r="112">
      <c r="A112" s="2" t="inlineStr">
        <is>
          <t>鋆晟狮王套利</t>
        </is>
      </c>
      <c r="B112" s="2" t="inlineStr">
        <is>
          <t>SGS754</t>
        </is>
      </c>
      <c r="C112" s="2" t="inlineStr">
        <is>
          <t>套利策略</t>
        </is>
      </c>
      <c r="D112" s="2" t="inlineStr">
        <is>
          <t>期货套利</t>
        </is>
      </c>
      <c r="E112" s="2" t="inlineStr">
        <is>
          <t>上海鋆晟投资</t>
        </is>
      </c>
      <c r="F112" s="2" t="inlineStr">
        <is>
          <t>2019-07-18</t>
        </is>
      </c>
      <c r="G112" s="2" t="inlineStr">
        <is>
          <t>13.2800%</t>
        </is>
      </c>
      <c r="H112" s="2" t="inlineStr">
        <is>
          <t>7.0400%</t>
        </is>
      </c>
      <c r="I112" s="2" t="inlineStr">
        <is>
          <t>78.3800%</t>
        </is>
      </c>
      <c r="J112" s="2" t="inlineStr">
        <is>
          <t>84.6200%</t>
        </is>
      </c>
      <c r="K112" s="2" t="inlineStr">
        <is>
          <t>1.4700%</t>
        </is>
      </c>
      <c r="L112" s="2" t="n">
        <v>4.7863</v>
      </c>
      <c r="M112" s="2" t="n">
        <v>12.3634</v>
      </c>
      <c r="N112" s="2" t="inlineStr">
        <is>
          <t>沪深300</t>
        </is>
      </c>
      <c r="O112" t="inlineStr">
        <is>
          <t>2026-08-31</t>
        </is>
      </c>
      <c r="P112" t="inlineStr">
        <is>
          <t>2026-09-15</t>
        </is>
      </c>
    </row>
    <row r="113">
      <c r="A113" s="2" t="inlineStr">
        <is>
          <t>晟通京华宏观对冲</t>
        </is>
      </c>
      <c r="B113" s="2" t="inlineStr">
        <is>
          <t>SNG078</t>
        </is>
      </c>
      <c r="C113" s="2" t="inlineStr">
        <is>
          <t>套利策略</t>
        </is>
      </c>
      <c r="D113" s="2" t="inlineStr">
        <is>
          <t>期货套利</t>
        </is>
      </c>
      <c r="E113" s="2" t="inlineStr">
        <is>
          <t>深圳前海晟通资管</t>
        </is>
      </c>
      <c r="F113" s="2" t="inlineStr">
        <is>
          <t>2020-12-04</t>
        </is>
      </c>
      <c r="G113" s="2" t="inlineStr">
        <is>
          <t>-1.3600%</t>
        </is>
      </c>
      <c r="H113" s="2" t="inlineStr">
        <is>
          <t>1.8600%</t>
        </is>
      </c>
      <c r="I113" s="2" t="inlineStr">
        <is>
          <t>45.9500%</t>
        </is>
      </c>
      <c r="J113" s="2" t="inlineStr">
        <is>
          <t>38.4600%</t>
        </is>
      </c>
      <c r="K113" s="2" t="inlineStr">
        <is>
          <t>13.9600%</t>
        </is>
      </c>
      <c r="L113" s="2" t="n">
        <v>0.1332</v>
      </c>
      <c r="M113" s="2" t="n">
        <v>-0.0975</v>
      </c>
      <c r="N113" s="2" t="inlineStr">
        <is>
          <t>沪深300</t>
        </is>
      </c>
      <c r="O113" t="inlineStr">
        <is>
          <t>2026-08-31</t>
        </is>
      </c>
      <c r="P113" t="inlineStr">
        <is>
          <t>2026-09-15</t>
        </is>
      </c>
    </row>
    <row r="114">
      <c r="A114" s="2" t="inlineStr">
        <is>
          <t>量客投资金选套利1号</t>
        </is>
      </c>
      <c r="B114" s="2" t="inlineStr">
        <is>
          <t>SNH457</t>
        </is>
      </c>
      <c r="C114" s="2" t="inlineStr">
        <is>
          <t>套利策略</t>
        </is>
      </c>
      <c r="D114" s="2" t="inlineStr">
        <is>
          <t>期权套利</t>
        </is>
      </c>
      <c r="E114" s="2" t="inlineStr">
        <is>
          <t>上海量客</t>
        </is>
      </c>
      <c r="F114" s="2" t="inlineStr">
        <is>
          <t>2020-12-31</t>
        </is>
      </c>
      <c r="G114" s="2" t="inlineStr">
        <is>
          <t>6.2900%</t>
        </is>
      </c>
      <c r="H114" s="2" t="inlineStr">
        <is>
          <t>8.6200%</t>
        </is>
      </c>
      <c r="I114" s="2" t="inlineStr">
        <is>
          <t>94.5900%</t>
        </is>
      </c>
      <c r="J114" s="2" t="inlineStr">
        <is>
          <t>100.0000%</t>
        </is>
      </c>
      <c r="K114" s="2" t="inlineStr">
        <is>
          <t>0.3300%</t>
        </is>
      </c>
      <c r="L114" s="2" t="n">
        <v>25.7396</v>
      </c>
      <c r="M114" s="2" t="n">
        <v>43.285</v>
      </c>
      <c r="N114" s="2" t="inlineStr">
        <is>
          <t>沪深300</t>
        </is>
      </c>
      <c r="O114" t="inlineStr">
        <is>
          <t>2026-08-31</t>
        </is>
      </c>
      <c r="P114" t="inlineStr">
        <is>
          <t>2026-09-15</t>
        </is>
      </c>
    </row>
    <row r="115">
      <c r="A115" s="2" t="inlineStr">
        <is>
          <t>洮利11号1期</t>
        </is>
      </c>
      <c r="B115" s="2" t="inlineStr">
        <is>
          <t>SNS371</t>
        </is>
      </c>
      <c r="C115" s="2" t="inlineStr">
        <is>
          <t>套利策略</t>
        </is>
      </c>
      <c r="D115" s="2" t="inlineStr">
        <is>
          <t>期货套利</t>
        </is>
      </c>
      <c r="E115" s="2" t="inlineStr">
        <is>
          <t>上海洮利</t>
        </is>
      </c>
      <c r="F115" s="2" t="inlineStr">
        <is>
          <t>2021-01-15</t>
        </is>
      </c>
      <c r="G115" s="2" t="inlineStr">
        <is>
          <t>-22.9200%</t>
        </is>
      </c>
      <c r="H115" s="2" t="inlineStr">
        <is>
          <t>-13.7300%</t>
        </is>
      </c>
      <c r="I115" s="2" t="inlineStr">
        <is>
          <t>48.6500%</t>
        </is>
      </c>
      <c r="J115" s="2" t="inlineStr">
        <is>
          <t>53.8500%</t>
        </is>
      </c>
      <c r="K115" s="2" t="inlineStr">
        <is>
          <t>39.0900%</t>
        </is>
      </c>
      <c r="L115" s="2" t="n">
        <v>-0.3512</v>
      </c>
      <c r="M115" s="2" t="n">
        <v>-0.5883</v>
      </c>
      <c r="N115" s="2" t="inlineStr">
        <is>
          <t>沪深300</t>
        </is>
      </c>
      <c r="O115" t="inlineStr">
        <is>
          <t>2026-08-31</t>
        </is>
      </c>
      <c r="P115" t="inlineStr">
        <is>
          <t>2026-09-15</t>
        </is>
      </c>
    </row>
    <row r="116">
      <c r="A116" s="2" t="inlineStr">
        <is>
          <t>悬铃稳健1号</t>
        </is>
      </c>
      <c r="B116" s="2" t="inlineStr">
        <is>
          <t>SVB806</t>
        </is>
      </c>
      <c r="C116" s="2" t="inlineStr">
        <is>
          <t>套利策略</t>
        </is>
      </c>
      <c r="D116" s="2" t="inlineStr">
        <is>
          <t>-</t>
        </is>
      </c>
      <c r="E116" s="2" t="inlineStr">
        <is>
          <t>上海悬铃</t>
        </is>
      </c>
      <c r="F116" s="2" t="inlineStr">
        <is>
          <t>2022-02-16</t>
        </is>
      </c>
      <c r="G116" s="2" t="inlineStr">
        <is>
          <t>-2.9200%</t>
        </is>
      </c>
      <c r="H116" s="2" t="inlineStr">
        <is>
          <t>3.9800%</t>
        </is>
      </c>
      <c r="I116" s="2" t="inlineStr">
        <is>
          <t>56.7600%</t>
        </is>
      </c>
      <c r="J116" s="2" t="inlineStr">
        <is>
          <t>46.1500%</t>
        </is>
      </c>
      <c r="K116" s="2" t="inlineStr">
        <is>
          <t>8.1400%</t>
        </is>
      </c>
      <c r="L116" s="2" t="n">
        <v>0.4892</v>
      </c>
      <c r="M116" s="2" t="n">
        <v>-0.5723</v>
      </c>
      <c r="N116" s="2" t="inlineStr">
        <is>
          <t>沪深300</t>
        </is>
      </c>
      <c r="O116" t="inlineStr">
        <is>
          <t>2026-08-31</t>
        </is>
      </c>
      <c r="P116" t="inlineStr">
        <is>
          <t>2026-09-15</t>
        </is>
      </c>
    </row>
    <row r="117">
      <c r="A117" s="2" t="inlineStr">
        <is>
          <t>若谷凌云一号</t>
        </is>
      </c>
      <c r="B117" s="2" t="inlineStr">
        <is>
          <t>SVQ802</t>
        </is>
      </c>
      <c r="C117" s="2" t="inlineStr">
        <is>
          <t>套利策略</t>
        </is>
      </c>
      <c r="D117" s="2" t="inlineStr">
        <is>
          <t>期货套利</t>
        </is>
      </c>
      <c r="E117" s="2" t="inlineStr">
        <is>
          <t>海南若谷</t>
        </is>
      </c>
      <c r="F117" s="2" t="inlineStr">
        <is>
          <t>2022-05-18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inlineStr">
        <is>
          <t>沪深300</t>
        </is>
      </c>
      <c r="O117" t="inlineStr">
        <is>
          <t>2026-08-31</t>
        </is>
      </c>
      <c r="P117" t="inlineStr">
        <is>
          <t>2026-09-15</t>
        </is>
      </c>
    </row>
    <row r="118">
      <c r="A118" s="2" t="inlineStr">
        <is>
          <t>时间稳健1号</t>
        </is>
      </c>
      <c r="B118" s="2" t="inlineStr">
        <is>
          <t>SZM840</t>
        </is>
      </c>
      <c r="C118" s="2" t="inlineStr">
        <is>
          <t>套利策略</t>
        </is>
      </c>
      <c r="D118" s="2" t="inlineStr">
        <is>
          <t>-</t>
        </is>
      </c>
      <c r="E118" s="2" t="inlineStr">
        <is>
          <t>青岛时间</t>
        </is>
      </c>
      <c r="F118" s="2" t="inlineStr">
        <is>
          <t>2023-03-01</t>
        </is>
      </c>
      <c r="G118" s="2" t="inlineStr">
        <is>
          <t>25.2700%</t>
        </is>
      </c>
      <c r="H118" s="2" t="inlineStr">
        <is>
          <t>32.7000%</t>
        </is>
      </c>
      <c r="I118" s="2" t="inlineStr">
        <is>
          <t>62.1600%</t>
        </is>
      </c>
      <c r="J118" s="2" t="inlineStr">
        <is>
          <t>84.6200%</t>
        </is>
      </c>
      <c r="K118" s="2" t="inlineStr">
        <is>
          <t>22.0200%</t>
        </is>
      </c>
      <c r="L118" s="2" t="n">
        <v>1.485</v>
      </c>
      <c r="M118" s="2" t="n">
        <v>26.5849</v>
      </c>
      <c r="N118" s="2" t="inlineStr">
        <is>
          <t>沪深300</t>
        </is>
      </c>
      <c r="O118" t="inlineStr">
        <is>
          <t>2026-08-31</t>
        </is>
      </c>
      <c r="P118" t="inlineStr">
        <is>
          <t>2026-09-15</t>
        </is>
      </c>
    </row>
    <row r="119">
      <c r="A119" s="2" t="inlineStr">
        <is>
          <t>安合融信匠人匠心7号</t>
        </is>
      </c>
      <c r="B119" s="2" t="inlineStr">
        <is>
          <t>SZN919</t>
        </is>
      </c>
      <c r="C119" s="2" t="inlineStr">
        <is>
          <t>套利策略</t>
        </is>
      </c>
      <c r="D119" s="2" t="inlineStr">
        <is>
          <t>-</t>
        </is>
      </c>
      <c r="E119" s="2" t="inlineStr">
        <is>
          <t>青岛安合融信</t>
        </is>
      </c>
      <c r="F119" s="2" t="inlineStr">
        <is>
          <t>2023-03-16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inlineStr">
        <is>
          <t>沪深300</t>
        </is>
      </c>
      <c r="O119" t="inlineStr">
        <is>
          <t>2026-08-31</t>
        </is>
      </c>
      <c r="P119" t="inlineStr">
        <is>
          <t>2026-09-15</t>
        </is>
      </c>
    </row>
    <row r="120">
      <c r="A120" s="2" t="inlineStr">
        <is>
          <t>交叉智能-量化增强2号</t>
        </is>
      </c>
      <c r="B120" s="2" t="inlineStr">
        <is>
          <t>SZD351</t>
        </is>
      </c>
      <c r="C120" s="2" t="inlineStr">
        <is>
          <t>套利策略</t>
        </is>
      </c>
      <c r="D120" s="2" t="inlineStr">
        <is>
          <t>期货套利</t>
        </is>
      </c>
      <c r="E120" s="2" t="inlineStr">
        <is>
          <t>北京交叉智能</t>
        </is>
      </c>
      <c r="F120" s="2" t="inlineStr">
        <is>
          <t>2023-04-19</t>
        </is>
      </c>
      <c r="G120" s="2" t="inlineStr">
        <is>
          <t>1.1200%</t>
        </is>
      </c>
      <c r="H120" s="2" t="inlineStr">
        <is>
          <t>8.8700%</t>
        </is>
      </c>
      <c r="I120" s="2" t="inlineStr">
        <is>
          <t>81.0800%</t>
        </is>
      </c>
      <c r="J120" s="2" t="inlineStr">
        <is>
          <t>69.2300%</t>
        </is>
      </c>
      <c r="K120" s="2" t="inlineStr">
        <is>
          <t>3.4600%</t>
        </is>
      </c>
      <c r="L120" s="2" t="n">
        <v>2.5648</v>
      </c>
      <c r="M120" s="2" t="n">
        <v>0.3249</v>
      </c>
      <c r="N120" s="2" t="inlineStr">
        <is>
          <t>沪深300</t>
        </is>
      </c>
      <c r="O120" t="inlineStr">
        <is>
          <t>2026-08-31</t>
        </is>
      </c>
      <c r="P120" t="inlineStr">
        <is>
          <t>2026-09-15</t>
        </is>
      </c>
    </row>
    <row r="121">
      <c r="A121" s="2" t="inlineStr">
        <is>
          <t>在赢利贞一号</t>
        </is>
      </c>
      <c r="B121" s="2" t="inlineStr">
        <is>
          <t>SAGE45</t>
        </is>
      </c>
      <c r="C121" s="2" t="inlineStr">
        <is>
          <t>套利策略</t>
        </is>
      </c>
      <c r="D121" s="2" t="inlineStr">
        <is>
          <t>-</t>
        </is>
      </c>
      <c r="E121" s="2" t="inlineStr">
        <is>
          <t>浙江在赢</t>
        </is>
      </c>
      <c r="F121" s="2" t="inlineStr">
        <is>
          <t>2024-02-01</t>
        </is>
      </c>
      <c r="G121" s="2" t="inlineStr">
        <is>
          <t>10.6000%</t>
        </is>
      </c>
      <c r="H121" s="2" t="n"/>
      <c r="I121" s="2" t="n"/>
      <c r="J121" s="2" t="inlineStr">
        <is>
          <t>69.2300%</t>
        </is>
      </c>
      <c r="K121" s="2" t="n"/>
      <c r="L121" s="2" t="n"/>
      <c r="M121" s="2" t="n">
        <v>6.5775</v>
      </c>
      <c r="N121" s="2" t="inlineStr">
        <is>
          <t>沪深300</t>
        </is>
      </c>
      <c r="O121" t="inlineStr">
        <is>
          <t>2026-08-31</t>
        </is>
      </c>
      <c r="P121" t="inlineStr">
        <is>
          <t>2026-09-15</t>
        </is>
      </c>
    </row>
    <row r="122">
      <c r="A122" s="2" t="inlineStr">
        <is>
          <t>奶酪善水六号</t>
        </is>
      </c>
      <c r="B122" s="2" t="inlineStr">
        <is>
          <t>SAHN66</t>
        </is>
      </c>
      <c r="C122" s="2" t="inlineStr">
        <is>
          <t>套利策略</t>
        </is>
      </c>
      <c r="D122" s="2" t="inlineStr">
        <is>
          <t>-</t>
        </is>
      </c>
      <c r="E122" s="2" t="inlineStr">
        <is>
          <t>广东奶酪</t>
        </is>
      </c>
      <c r="F122" s="2" t="inlineStr">
        <is>
          <t>2024-03-05</t>
        </is>
      </c>
      <c r="G122" s="2" t="inlineStr">
        <is>
          <t>11.3400%</t>
        </is>
      </c>
      <c r="H122" s="2" t="n"/>
      <c r="I122" s="2" t="n"/>
      <c r="J122" s="2" t="inlineStr">
        <is>
          <t>69.2300%</t>
        </is>
      </c>
      <c r="K122" s="2" t="n"/>
      <c r="L122" s="2" t="n"/>
      <c r="M122" s="2" t="n">
        <v>1.1986</v>
      </c>
      <c r="N122" s="2" t="inlineStr">
        <is>
          <t>沪深300</t>
        </is>
      </c>
      <c r="O122" t="inlineStr">
        <is>
          <t>2026-08-31</t>
        </is>
      </c>
      <c r="P122" t="inlineStr">
        <is>
          <t>2026-09-15</t>
        </is>
      </c>
    </row>
    <row r="123">
      <c r="A123" s="2" t="inlineStr">
        <is>
          <t>华睿东方世家进取6号</t>
        </is>
      </c>
      <c r="B123" s="2" t="inlineStr">
        <is>
          <t>SAJD40</t>
        </is>
      </c>
      <c r="C123" s="2" t="inlineStr">
        <is>
          <t>套利策略</t>
        </is>
      </c>
      <c r="D123" s="2" t="inlineStr">
        <is>
          <t>期货套利</t>
        </is>
      </c>
      <c r="E123" s="2" t="inlineStr">
        <is>
          <t>天津华睿千和资管</t>
        </is>
      </c>
      <c r="F123" s="2" t="inlineStr">
        <is>
          <t>2024-03-25</t>
        </is>
      </c>
      <c r="G123" s="2" t="inlineStr">
        <is>
          <t>8.9300%</t>
        </is>
      </c>
      <c r="H123" s="2" t="n"/>
      <c r="I123" s="2" t="n"/>
      <c r="J123" s="2" t="inlineStr">
        <is>
          <t>53.8500%</t>
        </is>
      </c>
      <c r="K123" s="2" t="n"/>
      <c r="L123" s="2" t="n"/>
      <c r="M123" s="2" t="n">
        <v>0.7448</v>
      </c>
      <c r="N123" s="2" t="inlineStr">
        <is>
          <t>沪深300</t>
        </is>
      </c>
      <c r="O123" t="inlineStr">
        <is>
          <t>2026-08-31</t>
        </is>
      </c>
      <c r="P123" t="inlineStr">
        <is>
          <t>2026-09-15</t>
        </is>
      </c>
    </row>
    <row r="124">
      <c r="A124" s="2" t="inlineStr">
        <is>
          <t>涌涵农本一号</t>
        </is>
      </c>
      <c r="B124" s="2" t="inlineStr">
        <is>
          <t>SAWA30</t>
        </is>
      </c>
      <c r="C124" s="2" t="inlineStr">
        <is>
          <t>套利策略</t>
        </is>
      </c>
      <c r="D124" s="2" t="inlineStr">
        <is>
          <t>-</t>
        </is>
      </c>
      <c r="E124" s="2" t="inlineStr">
        <is>
          <t>上海涌涵</t>
        </is>
      </c>
      <c r="F124" s="2" t="inlineStr">
        <is>
          <t>2025-05-26</t>
        </is>
      </c>
      <c r="G124" s="2" t="inlineStr">
        <is>
          <t>24.4300%</t>
        </is>
      </c>
      <c r="H124" s="2" t="n"/>
      <c r="I124" s="2" t="n"/>
      <c r="J124" s="2" t="inlineStr">
        <is>
          <t>46.1500%</t>
        </is>
      </c>
      <c r="K124" s="2" t="n"/>
      <c r="L124" s="2" t="n"/>
      <c r="M124" s="2" t="n">
        <v>1.243</v>
      </c>
      <c r="N124" s="2" t="inlineStr">
        <is>
          <t>沪深300</t>
        </is>
      </c>
      <c r="O124" t="inlineStr">
        <is>
          <t>2026-08-31</t>
        </is>
      </c>
      <c r="P124" t="inlineStr">
        <is>
          <t>2026-09-15</t>
        </is>
      </c>
    </row>
    <row r="125">
      <c r="A125" s="2" t="inlineStr">
        <is>
          <t>慧衍锐智3号A类</t>
        </is>
      </c>
      <c r="B125" s="2" t="inlineStr">
        <is>
          <t>AGE96A</t>
        </is>
      </c>
      <c r="C125" s="2" t="inlineStr">
        <is>
          <t>套利策略</t>
        </is>
      </c>
      <c r="D125" s="2" t="inlineStr">
        <is>
          <t>-</t>
        </is>
      </c>
      <c r="E125" s="2" t="inlineStr">
        <is>
          <t>上海慧衍</t>
        </is>
      </c>
      <c r="F125" s="2" t="inlineStr">
        <is>
          <t>2024-01-19</t>
        </is>
      </c>
      <c r="G125" s="2" t="inlineStr">
        <is>
          <t>3.0800%</t>
        </is>
      </c>
      <c r="H125" s="2" t="n"/>
      <c r="I125" s="2" t="n"/>
      <c r="J125" s="2" t="inlineStr">
        <is>
          <t>46.1500%</t>
        </is>
      </c>
      <c r="K125" s="2" t="n"/>
      <c r="L125" s="2" t="n"/>
      <c r="M125" s="2" t="n">
        <v>0.4982</v>
      </c>
      <c r="N125" s="2" t="inlineStr">
        <is>
          <t>沪深300</t>
        </is>
      </c>
      <c r="O125" t="inlineStr">
        <is>
          <t>2026-08-31</t>
        </is>
      </c>
      <c r="P125" t="inlineStr">
        <is>
          <t>2026-09-15</t>
        </is>
      </c>
    </row>
    <row r="126">
      <c r="A126" s="2" t="inlineStr">
        <is>
          <t>时间稳健1号B类</t>
        </is>
      </c>
      <c r="B126" s="2" t="inlineStr">
        <is>
          <t>ZM840B</t>
        </is>
      </c>
      <c r="C126" s="2" t="inlineStr">
        <is>
          <t>套利策略</t>
        </is>
      </c>
      <c r="D126" s="2" t="inlineStr">
        <is>
          <t>-</t>
        </is>
      </c>
      <c r="E126" s="2" t="inlineStr">
        <is>
          <t>青岛时间</t>
        </is>
      </c>
      <c r="F126" s="2" t="inlineStr">
        <is>
          <t>2023-03-01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inlineStr">
        <is>
          <t>沪深300</t>
        </is>
      </c>
      <c r="O126" t="inlineStr">
        <is>
          <t>2026-08-31</t>
        </is>
      </c>
      <c r="P126" t="inlineStr">
        <is>
          <t>2026-09-15</t>
        </is>
      </c>
    </row>
    <row r="127">
      <c r="A127" s="2" t="inlineStr">
        <is>
          <t>磬晟启晟1号</t>
        </is>
      </c>
      <c r="B127" s="2" t="inlineStr">
        <is>
          <t>SCB058</t>
        </is>
      </c>
      <c r="C127" s="2" t="inlineStr">
        <is>
          <t>套利策略</t>
        </is>
      </c>
      <c r="D127" s="2" t="inlineStr">
        <is>
          <t>基金套利</t>
        </is>
      </c>
      <c r="E127" s="2" t="inlineStr">
        <is>
          <t>上海磬晟</t>
        </is>
      </c>
      <c r="F127" s="2" t="inlineStr">
        <is>
          <t>2018-01-31</t>
        </is>
      </c>
      <c r="G127" s="2" t="inlineStr">
        <is>
          <t>-1.8000%</t>
        </is>
      </c>
      <c r="H127" s="2" t="inlineStr">
        <is>
          <t>0.2400%</t>
        </is>
      </c>
      <c r="I127" s="2" t="inlineStr">
        <is>
          <t>45.9500%</t>
        </is>
      </c>
      <c r="J127" s="2" t="inlineStr">
        <is>
          <t>61.5400%</t>
        </is>
      </c>
      <c r="K127" s="2" t="inlineStr">
        <is>
          <t>10.3700%</t>
        </is>
      </c>
      <c r="L127" s="2" t="n">
        <v>0.0234</v>
      </c>
      <c r="M127" s="2" t="n">
        <v>-0.2132</v>
      </c>
      <c r="N127" s="2" t="inlineStr">
        <is>
          <t>沪深300</t>
        </is>
      </c>
      <c r="O127" t="inlineStr">
        <is>
          <t>2026-08-31</t>
        </is>
      </c>
      <c r="P127" t="inlineStr">
        <is>
          <t>2026-09-15</t>
        </is>
      </c>
    </row>
    <row r="128">
      <c r="A128" s="2" t="inlineStr">
        <is>
          <t>悬铃瑞享C号1期</t>
        </is>
      </c>
      <c r="B128" s="2" t="inlineStr">
        <is>
          <t>SZF187</t>
        </is>
      </c>
      <c r="C128" s="2" t="inlineStr">
        <is>
          <t>套利策略</t>
        </is>
      </c>
      <c r="D128" s="2" t="inlineStr">
        <is>
          <t>-</t>
        </is>
      </c>
      <c r="E128" s="2" t="inlineStr">
        <is>
          <t>上海悬铃</t>
        </is>
      </c>
      <c r="F128" s="2" t="inlineStr">
        <is>
          <t>2023-04-18</t>
        </is>
      </c>
      <c r="G128" s="2" t="inlineStr">
        <is>
          <t>-10.0200%</t>
        </is>
      </c>
      <c r="H128" s="2" t="inlineStr">
        <is>
          <t>-0.4300%</t>
        </is>
      </c>
      <c r="I128" s="2" t="inlineStr">
        <is>
          <t>54.0500%</t>
        </is>
      </c>
      <c r="J128" s="2" t="inlineStr">
        <is>
          <t>30.7700%</t>
        </is>
      </c>
      <c r="K128" s="2" t="inlineStr">
        <is>
          <t>11.7700%</t>
        </is>
      </c>
      <c r="L128" s="2" t="n">
        <v>-0.0365</v>
      </c>
      <c r="M128" s="2" t="n">
        <v>-0.881</v>
      </c>
      <c r="N128" s="2" t="inlineStr">
        <is>
          <t>沪深300</t>
        </is>
      </c>
      <c r="O128" t="inlineStr">
        <is>
          <t>2026-08-31</t>
        </is>
      </c>
      <c r="P128" t="inlineStr">
        <is>
          <t>2026-09-15</t>
        </is>
      </c>
    </row>
    <row r="129">
      <c r="A129" s="2" t="inlineStr">
        <is>
          <t>奶酪鑫鑫宝九号</t>
        </is>
      </c>
      <c r="B129" s="2" t="inlineStr">
        <is>
          <t>SACM90</t>
        </is>
      </c>
      <c r="C129" s="2" t="inlineStr">
        <is>
          <t>套利策略</t>
        </is>
      </c>
      <c r="D129" s="2" t="inlineStr">
        <is>
          <t>-</t>
        </is>
      </c>
      <c r="E129" s="2" t="inlineStr">
        <is>
          <t>广东奶酪</t>
        </is>
      </c>
      <c r="F129" s="2" t="inlineStr">
        <is>
          <t>2023-10-24</t>
        </is>
      </c>
      <c r="G129" s="2" t="inlineStr">
        <is>
          <t>3.8400%</t>
        </is>
      </c>
      <c r="H129" s="2" t="n"/>
      <c r="I129" s="2" t="n"/>
      <c r="J129" s="2" t="inlineStr">
        <is>
          <t>100.0000%</t>
        </is>
      </c>
      <c r="K129" s="2" t="n"/>
      <c r="L129" s="2" t="n"/>
      <c r="M129" s="2" t="n"/>
      <c r="N129" s="2" t="inlineStr">
        <is>
          <t>沪深300</t>
        </is>
      </c>
      <c r="O129" t="inlineStr">
        <is>
          <t>2026-08-31</t>
        </is>
      </c>
      <c r="P129" t="inlineStr">
        <is>
          <t>2026-09-15</t>
        </is>
      </c>
    </row>
    <row r="130">
      <c r="A130" s="2" t="inlineStr">
        <is>
          <t>博普安兴私享一号C类</t>
        </is>
      </c>
      <c r="B130" s="2" t="inlineStr">
        <is>
          <t>AHS76C</t>
        </is>
      </c>
      <c r="C130" s="2" t="inlineStr">
        <is>
          <t>套利策略</t>
        </is>
      </c>
      <c r="D130" s="2" t="inlineStr">
        <is>
          <t>-</t>
        </is>
      </c>
      <c r="E130" s="2" t="inlineStr">
        <is>
          <t>深圳前海博普资管</t>
        </is>
      </c>
      <c r="F130" s="2" t="inlineStr">
        <is>
          <t>2024-03-22</t>
        </is>
      </c>
      <c r="G130" s="2" t="inlineStr">
        <is>
          <t>6.1700%</t>
        </is>
      </c>
      <c r="H130" s="2" t="n"/>
      <c r="I130" s="2" t="n"/>
      <c r="J130" s="2" t="inlineStr">
        <is>
          <t>92.3100%</t>
        </is>
      </c>
      <c r="K130" s="2" t="n"/>
      <c r="L130" s="2" t="n"/>
      <c r="M130" s="2" t="n">
        <v>9.310700000000001</v>
      </c>
      <c r="N130" s="2" t="inlineStr">
        <is>
          <t>沪深300</t>
        </is>
      </c>
      <c r="O130" t="inlineStr">
        <is>
          <t>2026-08-31</t>
        </is>
      </c>
      <c r="P130" t="inlineStr">
        <is>
          <t>2026-09-15</t>
        </is>
      </c>
    </row>
    <row r="131">
      <c r="A131" s="2" t="inlineStr">
        <is>
          <t>盛冠达稳享量化套利</t>
        </is>
      </c>
      <c r="B131" s="2" t="inlineStr">
        <is>
          <t>SAUA99</t>
        </is>
      </c>
      <c r="C131" s="2" t="inlineStr">
        <is>
          <t>套利策略</t>
        </is>
      </c>
      <c r="D131" s="2" t="inlineStr">
        <is>
          <t>-</t>
        </is>
      </c>
      <c r="E131" s="2" t="inlineStr">
        <is>
          <t>海南盛冠达</t>
        </is>
      </c>
      <c r="F131" s="2" t="inlineStr">
        <is>
          <t>2025-06-04</t>
        </is>
      </c>
      <c r="G131" s="2" t="inlineStr">
        <is>
          <t>3.2100%</t>
        </is>
      </c>
      <c r="H131" s="2" t="n"/>
      <c r="I131" s="2" t="n"/>
      <c r="J131" s="2" t="inlineStr">
        <is>
          <t>53.8500%</t>
        </is>
      </c>
      <c r="K131" s="2" t="n"/>
      <c r="L131" s="2" t="n"/>
      <c r="M131" s="2" t="n">
        <v>2.0447</v>
      </c>
      <c r="N131" s="2" t="inlineStr">
        <is>
          <t>沪深300</t>
        </is>
      </c>
      <c r="O131" t="inlineStr">
        <is>
          <t>2026-08-31</t>
        </is>
      </c>
      <c r="P131" t="inlineStr">
        <is>
          <t>2026-09-15</t>
        </is>
      </c>
    </row>
    <row r="132">
      <c r="A132" s="2" t="inlineStr">
        <is>
          <t>悬铃成长1号</t>
        </is>
      </c>
      <c r="B132" s="2" t="inlineStr">
        <is>
          <t>STP551</t>
        </is>
      </c>
      <c r="C132" s="2" t="inlineStr">
        <is>
          <t>套利策略</t>
        </is>
      </c>
      <c r="D132" s="2" t="inlineStr">
        <is>
          <t>可转债套利</t>
        </is>
      </c>
      <c r="E132" s="2" t="inlineStr">
        <is>
          <t>上海悬铃</t>
        </is>
      </c>
      <c r="F132" s="2" t="inlineStr">
        <is>
          <t>2021-12-29</t>
        </is>
      </c>
      <c r="G132" s="2" t="inlineStr">
        <is>
          <t>2.5700%</t>
        </is>
      </c>
      <c r="H132" s="2" t="inlineStr">
        <is>
          <t>9.5100%</t>
        </is>
      </c>
      <c r="I132" s="2" t="inlineStr">
        <is>
          <t>62.1600%</t>
        </is>
      </c>
      <c r="J132" s="2" t="inlineStr">
        <is>
          <t>53.8500%</t>
        </is>
      </c>
      <c r="K132" s="2" t="inlineStr">
        <is>
          <t>13.6200%</t>
        </is>
      </c>
      <c r="L132" s="2" t="n">
        <v>0.6979</v>
      </c>
      <c r="M132" s="2" t="n">
        <v>0.3125</v>
      </c>
      <c r="N132" s="2" t="inlineStr">
        <is>
          <t>沪深300</t>
        </is>
      </c>
      <c r="O132" t="inlineStr">
        <is>
          <t>2026-08-31</t>
        </is>
      </c>
      <c r="P132" t="inlineStr">
        <is>
          <t>2026-09-15</t>
        </is>
      </c>
    </row>
    <row r="133">
      <c r="A133" s="2" t="inlineStr">
        <is>
          <t>岳鑫遥4号</t>
        </is>
      </c>
      <c r="B133" s="2" t="inlineStr">
        <is>
          <t>SXT179</t>
        </is>
      </c>
      <c r="C133" s="2" t="inlineStr">
        <is>
          <t>套利策略</t>
        </is>
      </c>
      <c r="D133" s="2" t="inlineStr">
        <is>
          <t>-</t>
        </is>
      </c>
      <c r="E133" s="2" t="inlineStr">
        <is>
          <t>北京岳鑫遥</t>
        </is>
      </c>
      <c r="F133" s="2" t="inlineStr">
        <is>
          <t>2022-11-24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inlineStr">
        <is>
          <t>沪深300</t>
        </is>
      </c>
      <c r="O133" t="inlineStr">
        <is>
          <t>2026-08-31</t>
        </is>
      </c>
      <c r="P133" t="inlineStr">
        <is>
          <t>2026-09-15</t>
        </is>
      </c>
    </row>
    <row r="134">
      <c r="A134" s="2" t="inlineStr">
        <is>
          <t>安合融信匠人匠心10号</t>
        </is>
      </c>
      <c r="B134" s="2" t="inlineStr">
        <is>
          <t>SB9656</t>
        </is>
      </c>
      <c r="C134" s="2" t="inlineStr">
        <is>
          <t>套利策略</t>
        </is>
      </c>
      <c r="D134" s="2" t="inlineStr">
        <is>
          <t>-</t>
        </is>
      </c>
      <c r="E134" s="2" t="inlineStr">
        <is>
          <t>青岛安合融信</t>
        </is>
      </c>
      <c r="F134" s="2" t="inlineStr">
        <is>
          <t>2023-09-05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inlineStr">
        <is>
          <t>沪深300</t>
        </is>
      </c>
      <c r="O134" t="inlineStr">
        <is>
          <t>2026-08-31</t>
        </is>
      </c>
      <c r="P134" t="inlineStr">
        <is>
          <t>2026-09-15</t>
        </is>
      </c>
    </row>
    <row r="135">
      <c r="A135" s="2" t="inlineStr">
        <is>
          <t>灵涛卧龙</t>
        </is>
      </c>
      <c r="B135" s="2" t="inlineStr">
        <is>
          <t>SEU753</t>
        </is>
      </c>
      <c r="C135" s="2" t="inlineStr">
        <is>
          <t>套利策略</t>
        </is>
      </c>
      <c r="D135" s="2" t="inlineStr">
        <is>
          <t>-</t>
        </is>
      </c>
      <c r="E135" s="2" t="inlineStr">
        <is>
          <t>灵涛基金</t>
        </is>
      </c>
      <c r="F135" s="2" t="inlineStr">
        <is>
          <t>2018-12-13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inlineStr">
        <is>
          <t>沪深300</t>
        </is>
      </c>
      <c r="O135" t="inlineStr">
        <is>
          <t>2026-08-31</t>
        </is>
      </c>
      <c r="P135" t="inlineStr">
        <is>
          <t>2026-09-15</t>
        </is>
      </c>
    </row>
    <row r="136">
      <c r="A136" s="2" t="inlineStr">
        <is>
          <t>祁腾蜂赢1号</t>
        </is>
      </c>
      <c r="B136" s="2" t="inlineStr">
        <is>
          <t>SEV580</t>
        </is>
      </c>
      <c r="C136" s="2" t="inlineStr">
        <is>
          <t>套利策略</t>
        </is>
      </c>
      <c r="D136" s="2" t="inlineStr">
        <is>
          <t>期货套利</t>
        </is>
      </c>
      <c r="E136" s="2" t="inlineStr">
        <is>
          <t>宁波祁腾投资</t>
        </is>
      </c>
      <c r="F136" s="2" t="inlineStr">
        <is>
          <t>2019-01-25</t>
        </is>
      </c>
      <c r="G136" s="2" t="inlineStr">
        <is>
          <t>13.8160%</t>
        </is>
      </c>
      <c r="H136" s="2" t="inlineStr">
        <is>
          <t>11.9543%</t>
        </is>
      </c>
      <c r="I136" s="2" t="inlineStr">
        <is>
          <t>78.3784%</t>
        </is>
      </c>
      <c r="J136" s="2" t="inlineStr">
        <is>
          <t>76.9231%</t>
        </is>
      </c>
      <c r="K136" s="2" t="inlineStr">
        <is>
          <t>0.5331%</t>
        </is>
      </c>
      <c r="L136" s="2" t="n">
        <v>22.42441875204224</v>
      </c>
      <c r="M136" s="2" t="n">
        <v>28.40951309019366</v>
      </c>
      <c r="N136" s="2" t="inlineStr">
        <is>
          <t>沪深300</t>
        </is>
      </c>
      <c r="O136" t="inlineStr">
        <is>
          <t>2026-08-31</t>
        </is>
      </c>
      <c r="P136" t="inlineStr">
        <is>
          <t>2026-09-15</t>
        </is>
      </c>
    </row>
    <row r="137">
      <c r="A137" s="2" t="inlineStr">
        <is>
          <t>殊馥馥源套利1号</t>
        </is>
      </c>
      <c r="B137" s="2" t="inlineStr">
        <is>
          <t>SGM512</t>
        </is>
      </c>
      <c r="C137" s="2" t="inlineStr">
        <is>
          <t>套利策略</t>
        </is>
      </c>
      <c r="D137" s="2" t="inlineStr">
        <is>
          <t>基金套利</t>
        </is>
      </c>
      <c r="E137" s="2" t="inlineStr">
        <is>
          <t>上海殊馥投资</t>
        </is>
      </c>
      <c r="F137" s="2" t="inlineStr">
        <is>
          <t>2019-04-30</t>
        </is>
      </c>
      <c r="G137" s="2" t="inlineStr">
        <is>
          <t>9.2200%</t>
        </is>
      </c>
      <c r="H137" s="2" t="inlineStr">
        <is>
          <t>6.7700%</t>
        </is>
      </c>
      <c r="I137" s="2" t="inlineStr">
        <is>
          <t>78.3800%</t>
        </is>
      </c>
      <c r="J137" s="2" t="inlineStr">
        <is>
          <t>92.3100%</t>
        </is>
      </c>
      <c r="K137" s="2" t="inlineStr">
        <is>
          <t>5.0200%</t>
        </is>
      </c>
      <c r="L137" s="2" t="n">
        <v>1.3488</v>
      </c>
      <c r="M137" s="2" t="n">
        <v>10.566</v>
      </c>
      <c r="N137" s="2" t="inlineStr">
        <is>
          <t>沪深300</t>
        </is>
      </c>
      <c r="O137" t="inlineStr">
        <is>
          <t>2026-08-31</t>
        </is>
      </c>
      <c r="P137" t="inlineStr">
        <is>
          <t>2026-09-15</t>
        </is>
      </c>
    </row>
    <row r="138">
      <c r="A138" s="2" t="inlineStr">
        <is>
          <t>杉阳云杉混合1号</t>
        </is>
      </c>
      <c r="B138" s="2" t="inlineStr">
        <is>
          <t>SLA063</t>
        </is>
      </c>
      <c r="C138" s="2" t="inlineStr">
        <is>
          <t>套利策略</t>
        </is>
      </c>
      <c r="D138" s="2" t="inlineStr">
        <is>
          <t>混合套利</t>
        </is>
      </c>
      <c r="E138" s="2" t="inlineStr">
        <is>
          <t>上海杉阳</t>
        </is>
      </c>
      <c r="F138" s="2" t="inlineStr">
        <is>
          <t>2020-05-29</t>
        </is>
      </c>
      <c r="G138" s="2" t="inlineStr">
        <is>
          <t>7.9700%</t>
        </is>
      </c>
      <c r="H138" s="2" t="inlineStr">
        <is>
          <t>4.5600%</t>
        </is>
      </c>
      <c r="I138" s="2" t="inlineStr">
        <is>
          <t>72.9700%</t>
        </is>
      </c>
      <c r="J138" s="2" t="inlineStr">
        <is>
          <t>84.6200%</t>
        </is>
      </c>
      <c r="K138" s="2" t="inlineStr">
        <is>
          <t>3.0000%</t>
        </is>
      </c>
      <c r="L138" s="2" t="n">
        <v>1.5177</v>
      </c>
      <c r="M138" s="2" t="n">
        <v>16.426</v>
      </c>
      <c r="N138" s="2" t="inlineStr">
        <is>
          <t>沪深300</t>
        </is>
      </c>
      <c r="O138" t="inlineStr">
        <is>
          <t>2026-08-31</t>
        </is>
      </c>
      <c r="P138" t="inlineStr">
        <is>
          <t>2026-09-15</t>
        </is>
      </c>
    </row>
    <row r="139">
      <c r="A139" s="2" t="inlineStr">
        <is>
          <t>申毅格物22号</t>
        </is>
      </c>
      <c r="B139" s="2" t="inlineStr">
        <is>
          <t>SLD523</t>
        </is>
      </c>
      <c r="C139" s="2" t="inlineStr">
        <is>
          <t>套利策略</t>
        </is>
      </c>
      <c r="D139" s="2" t="inlineStr">
        <is>
          <t>-</t>
        </is>
      </c>
      <c r="E139" s="2" t="inlineStr">
        <is>
          <t>上海申毅投资</t>
        </is>
      </c>
      <c r="F139" s="2" t="inlineStr">
        <is>
          <t>2020-07-14</t>
        </is>
      </c>
      <c r="G139" s="2" t="inlineStr">
        <is>
          <t>6.3200%</t>
        </is>
      </c>
      <c r="H139" s="2" t="inlineStr">
        <is>
          <t>9.6700%</t>
        </is>
      </c>
      <c r="I139" s="2" t="inlineStr">
        <is>
          <t>67.5700%</t>
        </is>
      </c>
      <c r="J139" s="2" t="inlineStr">
        <is>
          <t>53.8500%</t>
        </is>
      </c>
      <c r="K139" s="2" t="inlineStr">
        <is>
          <t>13.1800%</t>
        </is>
      </c>
      <c r="L139" s="2" t="n">
        <v>0.7339</v>
      </c>
      <c r="M139" s="2" t="n">
        <v>1.7011</v>
      </c>
      <c r="N139" s="2" t="inlineStr">
        <is>
          <t>沪深300</t>
        </is>
      </c>
      <c r="O139" t="inlineStr">
        <is>
          <t>2026-08-31</t>
        </is>
      </c>
      <c r="P139" t="inlineStr">
        <is>
          <t>2026-09-15</t>
        </is>
      </c>
    </row>
    <row r="140">
      <c r="A140" s="2" t="inlineStr">
        <is>
          <t>鹿秀驯鹿5号</t>
        </is>
      </c>
      <c r="B140" s="2" t="inlineStr">
        <is>
          <t>SLN352</t>
        </is>
      </c>
      <c r="C140" s="2" t="inlineStr">
        <is>
          <t>套利策略</t>
        </is>
      </c>
      <c r="D140" s="2" t="inlineStr">
        <is>
          <t>-</t>
        </is>
      </c>
      <c r="E140" s="2" t="inlineStr">
        <is>
          <t>青岛鹿秀投资</t>
        </is>
      </c>
      <c r="F140" s="2" t="inlineStr">
        <is>
          <t>2020-08-31</t>
        </is>
      </c>
      <c r="G140" s="2" t="inlineStr">
        <is>
          <t>-42.1800%</t>
        </is>
      </c>
      <c r="H140" s="2" t="inlineStr">
        <is>
          <t>-18.8200%</t>
        </is>
      </c>
      <c r="I140" s="2" t="inlineStr">
        <is>
          <t>37.8400%</t>
        </is>
      </c>
      <c r="J140" s="2" t="inlineStr">
        <is>
          <t>46.1500%</t>
        </is>
      </c>
      <c r="K140" s="2" t="inlineStr">
        <is>
          <t>54.8400%</t>
        </is>
      </c>
      <c r="L140" s="2" t="n">
        <v>-0.3432</v>
      </c>
      <c r="M140" s="2" t="n">
        <v>-0.8451</v>
      </c>
      <c r="N140" s="2" t="inlineStr">
        <is>
          <t>沪深300</t>
        </is>
      </c>
      <c r="O140" t="inlineStr">
        <is>
          <t>2026-08-31</t>
        </is>
      </c>
      <c r="P140" t="inlineStr">
        <is>
          <t>2026-09-15</t>
        </is>
      </c>
    </row>
    <row r="141">
      <c r="A141" s="2" t="inlineStr">
        <is>
          <t>鹿秀驯鹿10号</t>
        </is>
      </c>
      <c r="B141" s="2" t="inlineStr">
        <is>
          <t>SNK594</t>
        </is>
      </c>
      <c r="C141" s="2" t="inlineStr">
        <is>
          <t>套利策略</t>
        </is>
      </c>
      <c r="D141" s="2" t="inlineStr">
        <is>
          <t>-</t>
        </is>
      </c>
      <c r="E141" s="2" t="inlineStr">
        <is>
          <t>青岛鹿秀投资</t>
        </is>
      </c>
      <c r="F141" s="2" t="inlineStr">
        <is>
          <t>2020-12-09</t>
        </is>
      </c>
      <c r="G141" s="2" t="inlineStr">
        <is>
          <t>50.8200%</t>
        </is>
      </c>
      <c r="H141" s="2" t="inlineStr">
        <is>
          <t>32.9300%</t>
        </is>
      </c>
      <c r="I141" s="2" t="inlineStr">
        <is>
          <t>67.5700%</t>
        </is>
      </c>
      <c r="J141" s="2" t="inlineStr">
        <is>
          <t>61.5400%</t>
        </is>
      </c>
      <c r="K141" s="2" t="inlineStr">
        <is>
          <t>29.2600%</t>
        </is>
      </c>
      <c r="L141" s="2" t="n">
        <v>1.1255</v>
      </c>
      <c r="M141" s="2" t="n">
        <v>1.7368</v>
      </c>
      <c r="N141" s="2" t="inlineStr">
        <is>
          <t>沪深300</t>
        </is>
      </c>
      <c r="O141" t="inlineStr">
        <is>
          <t>2026-08-31</t>
        </is>
      </c>
      <c r="P141" t="inlineStr">
        <is>
          <t>2026-09-15</t>
        </is>
      </c>
    </row>
    <row r="142">
      <c r="A142" s="2" t="inlineStr">
        <is>
          <t>九招真格量化套利一号</t>
        </is>
      </c>
      <c r="B142" s="2" t="inlineStr">
        <is>
          <t>SQD546</t>
        </is>
      </c>
      <c r="C142" s="2" t="inlineStr">
        <is>
          <t>套利策略</t>
        </is>
      </c>
      <c r="D142" s="2" t="inlineStr">
        <is>
          <t>期货套利</t>
        </is>
      </c>
      <c r="E142" s="2" t="inlineStr">
        <is>
          <t>武汉九招</t>
        </is>
      </c>
      <c r="F142" s="2" t="inlineStr">
        <is>
          <t>2021-03-16</t>
        </is>
      </c>
      <c r="G142" s="2" t="inlineStr">
        <is>
          <t>14.6600%</t>
        </is>
      </c>
      <c r="H142" s="2" t="inlineStr">
        <is>
          <t>13.8100%</t>
        </is>
      </c>
      <c r="I142" s="2" t="inlineStr">
        <is>
          <t>89.1900%</t>
        </is>
      </c>
      <c r="J142" s="2" t="inlineStr">
        <is>
          <t>100.0000%</t>
        </is>
      </c>
      <c r="K142" s="2" t="inlineStr">
        <is>
          <t>2.4900%</t>
        </is>
      </c>
      <c r="L142" s="2" t="n">
        <v>5.5511</v>
      </c>
      <c r="M142" s="2" t="n">
        <v>30.8888</v>
      </c>
      <c r="N142" s="2" t="inlineStr">
        <is>
          <t>中证全债</t>
        </is>
      </c>
      <c r="O142" t="inlineStr">
        <is>
          <t>2026-08-31</t>
        </is>
      </c>
      <c r="P142" t="inlineStr">
        <is>
          <t>2026-09-15</t>
        </is>
      </c>
    </row>
    <row r="143">
      <c r="A143" s="2" t="inlineStr">
        <is>
          <t>宏翼高频1号</t>
        </is>
      </c>
      <c r="B143" s="2" t="inlineStr">
        <is>
          <t>SQA623</t>
        </is>
      </c>
      <c r="C143" s="2" t="inlineStr">
        <is>
          <t>套利策略</t>
        </is>
      </c>
      <c r="D143" s="2" t="inlineStr">
        <is>
          <t>期货套利</t>
        </is>
      </c>
      <c r="E143" s="2" t="inlineStr">
        <is>
          <t>上海宏翼</t>
        </is>
      </c>
      <c r="F143" s="2" t="inlineStr">
        <is>
          <t>2021-03-30</t>
        </is>
      </c>
      <c r="G143" s="2" t="inlineStr">
        <is>
          <t>10.1700%</t>
        </is>
      </c>
      <c r="H143" s="2" t="inlineStr">
        <is>
          <t>11.4000%</t>
        </is>
      </c>
      <c r="I143" s="2" t="inlineStr">
        <is>
          <t>70.2700%</t>
        </is>
      </c>
      <c r="J143" s="2" t="inlineStr">
        <is>
          <t>61.5400%</t>
        </is>
      </c>
      <c r="K143" s="2" t="inlineStr">
        <is>
          <t>17.3400%</t>
        </is>
      </c>
      <c r="L143" s="2" t="n">
        <v>0.6575</v>
      </c>
      <c r="M143" s="2" t="n">
        <v>0.5867</v>
      </c>
      <c r="N143" s="2" t="inlineStr">
        <is>
          <t>沪深300</t>
        </is>
      </c>
      <c r="O143" t="inlineStr">
        <is>
          <t>2026-08-31</t>
        </is>
      </c>
      <c r="P143" t="inlineStr">
        <is>
          <t>2026-09-15</t>
        </is>
      </c>
    </row>
    <row r="144">
      <c r="A144" s="2" t="inlineStr">
        <is>
          <t>钧誉厚德量化对冲11号</t>
        </is>
      </c>
      <c r="B144" s="2" t="inlineStr">
        <is>
          <t>SQN453</t>
        </is>
      </c>
      <c r="C144" s="2" t="inlineStr">
        <is>
          <t>套利策略</t>
        </is>
      </c>
      <c r="D144" s="2" t="inlineStr">
        <is>
          <t>期货套利</t>
        </is>
      </c>
      <c r="E144" s="2" t="inlineStr">
        <is>
          <t>珠海钧誉资管</t>
        </is>
      </c>
      <c r="F144" s="2" t="inlineStr">
        <is>
          <t>2021-05-07</t>
        </is>
      </c>
      <c r="G144" s="2" t="inlineStr">
        <is>
          <t>10.9031%</t>
        </is>
      </c>
      <c r="H144" s="2" t="inlineStr">
        <is>
          <t>8.0306%</t>
        </is>
      </c>
      <c r="I144" s="2" t="n"/>
      <c r="J144" s="2" t="n"/>
      <c r="K144" s="2" t="inlineStr">
        <is>
          <t>0.8267%</t>
        </is>
      </c>
      <c r="L144" s="2" t="n">
        <v>9.713653175759775</v>
      </c>
      <c r="M144" s="2" t="n">
        <v>13.18818828764583</v>
      </c>
      <c r="N144" s="2" t="inlineStr">
        <is>
          <t>沪深300</t>
        </is>
      </c>
      <c r="O144" t="inlineStr">
        <is>
          <t>2026-08-31</t>
        </is>
      </c>
      <c r="P144" t="inlineStr">
        <is>
          <t>2026-09-15</t>
        </is>
      </c>
    </row>
    <row r="145">
      <c r="A145" s="2" t="inlineStr">
        <is>
          <t>巨博华多元策略1号</t>
        </is>
      </c>
      <c r="B145" s="2" t="inlineStr">
        <is>
          <t>SQW105</t>
        </is>
      </c>
      <c r="C145" s="2" t="inlineStr">
        <is>
          <t>套利策略</t>
        </is>
      </c>
      <c r="D145" s="2" t="inlineStr">
        <is>
          <t>期货套利</t>
        </is>
      </c>
      <c r="E145" s="2" t="inlineStr">
        <is>
          <t>深圳巨博华</t>
        </is>
      </c>
      <c r="F145" s="2" t="inlineStr">
        <is>
          <t>2021-07-12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inlineStr">
        <is>
          <t>沪深300</t>
        </is>
      </c>
      <c r="O145" t="inlineStr">
        <is>
          <t>2026-08-31</t>
        </is>
      </c>
      <c r="P145" t="inlineStr">
        <is>
          <t>2026-09-15</t>
        </is>
      </c>
    </row>
    <row r="146">
      <c r="A146" s="2" t="inlineStr">
        <is>
          <t>杉阳云杉混合1号A类</t>
        </is>
      </c>
      <c r="B146" s="2" t="inlineStr">
        <is>
          <t>LA063A</t>
        </is>
      </c>
      <c r="C146" s="2" t="inlineStr">
        <is>
          <t>套利策略</t>
        </is>
      </c>
      <c r="D146" s="2" t="inlineStr">
        <is>
          <t>期货套利</t>
        </is>
      </c>
      <c r="E146" s="2" t="inlineStr">
        <is>
          <t>上海杉阳</t>
        </is>
      </c>
      <c r="F146" s="2" t="inlineStr">
        <is>
          <t>2020-05-29</t>
        </is>
      </c>
      <c r="G146" s="2" t="inlineStr">
        <is>
          <t>7.3000%</t>
        </is>
      </c>
      <c r="H146" s="2" t="inlineStr">
        <is>
          <t>4.1200%</t>
        </is>
      </c>
      <c r="I146" s="2" t="inlineStr">
        <is>
          <t>70.2700%</t>
        </is>
      </c>
      <c r="J146" s="2" t="inlineStr">
        <is>
          <t>76.9200%</t>
        </is>
      </c>
      <c r="K146" s="2" t="inlineStr">
        <is>
          <t>3.1000%</t>
        </is>
      </c>
      <c r="L146" s="2" t="n">
        <v>1.3296</v>
      </c>
      <c r="M146" s="2" t="n">
        <v>12.4944</v>
      </c>
      <c r="N146" s="2" t="inlineStr">
        <is>
          <t>沪深300</t>
        </is>
      </c>
      <c r="O146" t="inlineStr">
        <is>
          <t>2026-08-31</t>
        </is>
      </c>
      <c r="P146" t="inlineStr">
        <is>
          <t>2026-09-15</t>
        </is>
      </c>
    </row>
    <row r="147">
      <c r="A147" s="2" t="inlineStr">
        <is>
          <t>嘉和传承精研二期</t>
        </is>
      </c>
      <c r="B147" s="2" t="inlineStr">
        <is>
          <t>STD929</t>
        </is>
      </c>
      <c r="C147" s="2" t="inlineStr">
        <is>
          <t>套利策略</t>
        </is>
      </c>
      <c r="D147" s="2" t="inlineStr">
        <is>
          <t>期货套利</t>
        </is>
      </c>
      <c r="E147" s="2" t="inlineStr">
        <is>
          <t>上海嘉和传承</t>
        </is>
      </c>
      <c r="F147" s="2" t="inlineStr">
        <is>
          <t>2021-12-07</t>
        </is>
      </c>
      <c r="G147" s="2" t="inlineStr">
        <is>
          <t>6.9400%</t>
        </is>
      </c>
      <c r="H147" s="2" t="inlineStr">
        <is>
          <t>11.8900%</t>
        </is>
      </c>
      <c r="I147" s="2" t="inlineStr">
        <is>
          <t>59.4600%</t>
        </is>
      </c>
      <c r="J147" s="2" t="inlineStr">
        <is>
          <t>53.8500%</t>
        </is>
      </c>
      <c r="K147" s="2" t="inlineStr">
        <is>
          <t>8.9400%</t>
        </is>
      </c>
      <c r="L147" s="2" t="n">
        <v>1.3293</v>
      </c>
      <c r="M147" s="2" t="n">
        <v>0.7759</v>
      </c>
      <c r="N147" s="2" t="inlineStr">
        <is>
          <t>沪深300</t>
        </is>
      </c>
      <c r="O147" t="inlineStr">
        <is>
          <t>2026-08-31</t>
        </is>
      </c>
      <c r="P147" t="inlineStr">
        <is>
          <t>2026-09-15</t>
        </is>
      </c>
    </row>
    <row r="148">
      <c r="A148" s="2" t="inlineStr">
        <is>
          <t>呈瑞复合策略1号</t>
        </is>
      </c>
      <c r="B148" s="2" t="inlineStr">
        <is>
          <t>STK755</t>
        </is>
      </c>
      <c r="C148" s="2" t="inlineStr">
        <is>
          <t>套利策略</t>
        </is>
      </c>
      <c r="D148" s="2" t="inlineStr">
        <is>
          <t>-</t>
        </is>
      </c>
      <c r="E148" s="2" t="inlineStr">
        <is>
          <t>上海呈瑞投资</t>
        </is>
      </c>
      <c r="F148" s="2" t="inlineStr">
        <is>
          <t>2021-12-17</t>
        </is>
      </c>
      <c r="G148" s="2" t="inlineStr">
        <is>
          <t>92.8700%</t>
        </is>
      </c>
      <c r="H148" s="2" t="inlineStr">
        <is>
          <t>20.2700%</t>
        </is>
      </c>
      <c r="I148" s="2" t="inlineStr">
        <is>
          <t>62.1600%</t>
        </is>
      </c>
      <c r="J148" s="2" t="inlineStr">
        <is>
          <t>61.5400%</t>
        </is>
      </c>
      <c r="K148" s="2" t="inlineStr">
        <is>
          <t>29.4300%</t>
        </is>
      </c>
      <c r="L148" s="2" t="n">
        <v>0.6889</v>
      </c>
      <c r="M148" s="2" t="n">
        <v>5.4499</v>
      </c>
      <c r="N148" s="2" t="inlineStr">
        <is>
          <t>沪深300</t>
        </is>
      </c>
      <c r="O148" t="inlineStr">
        <is>
          <t>2026-08-31</t>
        </is>
      </c>
      <c r="P148" t="inlineStr">
        <is>
          <t>2026-09-15</t>
        </is>
      </c>
    </row>
    <row r="149">
      <c r="A149" s="2" t="inlineStr">
        <is>
          <t>晨翰6号</t>
        </is>
      </c>
      <c r="B149" s="2" t="inlineStr">
        <is>
          <t>STS460</t>
        </is>
      </c>
      <c r="C149" s="2" t="inlineStr">
        <is>
          <t>套利策略</t>
        </is>
      </c>
      <c r="D149" s="2" t="inlineStr">
        <is>
          <t>期货套利</t>
        </is>
      </c>
      <c r="E149" s="2" t="inlineStr">
        <is>
          <t>晋江晨翰</t>
        </is>
      </c>
      <c r="F149" s="2" t="inlineStr">
        <is>
          <t>2022-01-14</t>
        </is>
      </c>
      <c r="G149" s="2" t="inlineStr">
        <is>
          <t>8.8300%</t>
        </is>
      </c>
      <c r="H149" s="2" t="inlineStr">
        <is>
          <t>5.4200%</t>
        </is>
      </c>
      <c r="I149" s="2" t="inlineStr">
        <is>
          <t>54.0500%</t>
        </is>
      </c>
      <c r="J149" s="2" t="inlineStr">
        <is>
          <t>46.1500%</t>
        </is>
      </c>
      <c r="K149" s="2" t="inlineStr">
        <is>
          <t>5.0300%</t>
        </is>
      </c>
      <c r="L149" s="2" t="n">
        <v>1.0765</v>
      </c>
      <c r="M149" s="2" t="n">
        <v>1.7546</v>
      </c>
      <c r="N149" s="2" t="inlineStr">
        <is>
          <t>沪深300</t>
        </is>
      </c>
      <c r="O149" t="inlineStr">
        <is>
          <t>2026-08-31</t>
        </is>
      </c>
      <c r="P149" t="inlineStr">
        <is>
          <t>2026-09-15</t>
        </is>
      </c>
    </row>
    <row r="150">
      <c r="A150" s="2" t="inlineStr">
        <is>
          <t>博普量化对冲6号A类</t>
        </is>
      </c>
      <c r="B150" s="2" t="inlineStr">
        <is>
          <t>EE891A</t>
        </is>
      </c>
      <c r="C150" s="2" t="inlineStr">
        <is>
          <t>套利策略</t>
        </is>
      </c>
      <c r="D150" s="2" t="inlineStr">
        <is>
          <t>期货套利</t>
        </is>
      </c>
      <c r="E150" s="2" t="inlineStr">
        <is>
          <t>深圳前海博普资管</t>
        </is>
      </c>
      <c r="F150" s="2" t="inlineStr">
        <is>
          <t>2018-11-26</t>
        </is>
      </c>
      <c r="G150" s="2" t="inlineStr">
        <is>
          <t>3.8300%</t>
        </is>
      </c>
      <c r="H150" s="2" t="inlineStr">
        <is>
          <t>0.9800%</t>
        </is>
      </c>
      <c r="I150" s="2" t="inlineStr">
        <is>
          <t>59.4600%</t>
        </is>
      </c>
      <c r="J150" s="2" t="inlineStr">
        <is>
          <t>53.8500%</t>
        </is>
      </c>
      <c r="K150" s="2" t="inlineStr">
        <is>
          <t>9.8300%</t>
        </is>
      </c>
      <c r="L150" s="2" t="n">
        <v>0.1001</v>
      </c>
      <c r="M150" s="2" t="n">
        <v>1.3858</v>
      </c>
      <c r="N150" s="2" t="inlineStr">
        <is>
          <t>沪深300</t>
        </is>
      </c>
      <c r="O150" t="inlineStr">
        <is>
          <t>2026-08-31</t>
        </is>
      </c>
      <c r="P150" t="inlineStr">
        <is>
          <t>2026-09-15</t>
        </is>
      </c>
    </row>
    <row r="151">
      <c r="A151" s="2" t="inlineStr">
        <is>
          <t>兆祥祥瑞套利1号</t>
        </is>
      </c>
      <c r="B151" s="2" t="inlineStr">
        <is>
          <t>SXJ965</t>
        </is>
      </c>
      <c r="C151" s="2" t="inlineStr">
        <is>
          <t>套利策略</t>
        </is>
      </c>
      <c r="D151" s="2" t="inlineStr">
        <is>
          <t>-</t>
        </is>
      </c>
      <c r="E151" s="2" t="inlineStr">
        <is>
          <t>青岛兆祥资管</t>
        </is>
      </c>
      <c r="F151" s="2" t="inlineStr">
        <is>
          <t>2022-09-16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inlineStr">
        <is>
          <t>沪深300</t>
        </is>
      </c>
      <c r="O151" t="inlineStr">
        <is>
          <t>2026-08-31</t>
        </is>
      </c>
      <c r="P151" t="inlineStr">
        <is>
          <t>2026-09-15</t>
        </is>
      </c>
    </row>
    <row r="152">
      <c r="A152" s="2" t="inlineStr">
        <is>
          <t>中益仁东染千顷</t>
        </is>
      </c>
      <c r="B152" s="2" t="inlineStr">
        <is>
          <t>SXK740</t>
        </is>
      </c>
      <c r="C152" s="2" t="inlineStr">
        <is>
          <t>套利策略</t>
        </is>
      </c>
      <c r="D152" s="2" t="inlineStr">
        <is>
          <t>期货套利</t>
        </is>
      </c>
      <c r="E152" s="2" t="inlineStr">
        <is>
          <t>日照中益仁</t>
        </is>
      </c>
      <c r="F152" s="2" t="inlineStr">
        <is>
          <t>2022-09-23</t>
        </is>
      </c>
      <c r="G152" s="2" t="inlineStr">
        <is>
          <t>9.4600%</t>
        </is>
      </c>
      <c r="H152" s="2" t="inlineStr">
        <is>
          <t>8.3900%</t>
        </is>
      </c>
      <c r="I152" s="2" t="inlineStr">
        <is>
          <t>89.1900%</t>
        </is>
      </c>
      <c r="J152" s="2" t="inlineStr">
        <is>
          <t>76.9200%</t>
        </is>
      </c>
      <c r="K152" s="2" t="inlineStr">
        <is>
          <t>2.7700%</t>
        </is>
      </c>
      <c r="L152" s="2" t="n">
        <v>3.034</v>
      </c>
      <c r="M152" s="2" t="n">
        <v>3.4194</v>
      </c>
      <c r="N152" s="2" t="inlineStr">
        <is>
          <t>沪深300</t>
        </is>
      </c>
      <c r="O152" t="inlineStr">
        <is>
          <t>2026-08-31</t>
        </is>
      </c>
      <c r="P152" t="inlineStr">
        <is>
          <t>2026-09-15</t>
        </is>
      </c>
    </row>
    <row r="153">
      <c r="A153" s="2" t="inlineStr">
        <is>
          <t>华实行远1号</t>
        </is>
      </c>
      <c r="B153" s="2" t="inlineStr">
        <is>
          <t>SXK867</t>
        </is>
      </c>
      <c r="C153" s="2" t="inlineStr">
        <is>
          <t>套利策略</t>
        </is>
      </c>
      <c r="D153" s="2" t="inlineStr">
        <is>
          <t>期货套利</t>
        </is>
      </c>
      <c r="E153" s="2" t="inlineStr">
        <is>
          <t>青岛华实</t>
        </is>
      </c>
      <c r="F153" s="2" t="inlineStr">
        <is>
          <t>2022-10-13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inlineStr">
        <is>
          <t>沪深300</t>
        </is>
      </c>
      <c r="O153" t="inlineStr">
        <is>
          <t>2026-08-31</t>
        </is>
      </c>
      <c r="P153" t="inlineStr">
        <is>
          <t>2026-09-15</t>
        </is>
      </c>
    </row>
    <row r="154">
      <c r="A154" s="2" t="inlineStr">
        <is>
          <t>系数CTA套利五号</t>
        </is>
      </c>
      <c r="B154" s="2" t="inlineStr">
        <is>
          <t>SXT086</t>
        </is>
      </c>
      <c r="C154" s="2" t="inlineStr">
        <is>
          <t>套利策略</t>
        </is>
      </c>
      <c r="D154" s="2" t="inlineStr">
        <is>
          <t>期货套利</t>
        </is>
      </c>
      <c r="E154" s="2" t="inlineStr">
        <is>
          <t>上海系数投资</t>
        </is>
      </c>
      <c r="F154" s="2" t="inlineStr">
        <is>
          <t>2022-11-16</t>
        </is>
      </c>
      <c r="G154" s="2" t="inlineStr">
        <is>
          <t>0.6522%</t>
        </is>
      </c>
      <c r="H154" s="2" t="inlineStr">
        <is>
          <t>9.2638%</t>
        </is>
      </c>
      <c r="I154" s="2" t="inlineStr">
        <is>
          <t>64.8649%</t>
        </is>
      </c>
      <c r="J154" s="2" t="inlineStr">
        <is>
          <t>46.1538%</t>
        </is>
      </c>
      <c r="K154" s="2" t="inlineStr">
        <is>
          <t>4.3115%</t>
        </is>
      </c>
      <c r="L154" s="2" t="n">
        <v>2.148639414312028</v>
      </c>
      <c r="M154" s="2" t="n">
        <v>0.1512704939754808</v>
      </c>
      <c r="N154" s="2" t="inlineStr">
        <is>
          <t>南华商品指数</t>
        </is>
      </c>
      <c r="O154" t="inlineStr">
        <is>
          <t>2026-08-31</t>
        </is>
      </c>
      <c r="P154" t="inlineStr">
        <is>
          <t>2026-09-15</t>
        </is>
      </c>
    </row>
    <row r="155">
      <c r="A155" s="2" t="inlineStr">
        <is>
          <t>世宽若水尘心1号</t>
        </is>
      </c>
      <c r="B155" s="2" t="inlineStr">
        <is>
          <t>SXT731</t>
        </is>
      </c>
      <c r="C155" s="2" t="inlineStr">
        <is>
          <t>套利策略</t>
        </is>
      </c>
      <c r="D155" s="2" t="inlineStr">
        <is>
          <t>期货套利</t>
        </is>
      </c>
      <c r="E155" s="2" t="inlineStr">
        <is>
          <t>厦门世宽</t>
        </is>
      </c>
      <c r="F155" s="2" t="inlineStr">
        <is>
          <t>2022-11-18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inlineStr">
        <is>
          <t>沪深300</t>
        </is>
      </c>
      <c r="O155" t="inlineStr">
        <is>
          <t>2026-08-31</t>
        </is>
      </c>
      <c r="P155" t="inlineStr">
        <is>
          <t>2026-09-15</t>
        </is>
      </c>
    </row>
    <row r="156">
      <c r="A156" s="2" t="inlineStr">
        <is>
          <t>世宽若水尘心3号</t>
        </is>
      </c>
      <c r="B156" s="2" t="inlineStr">
        <is>
          <t>SXT730</t>
        </is>
      </c>
      <c r="C156" s="2" t="inlineStr">
        <is>
          <t>套利策略</t>
        </is>
      </c>
      <c r="D156" s="2" t="inlineStr">
        <is>
          <t>期货套利</t>
        </is>
      </c>
      <c r="E156" s="2" t="inlineStr">
        <is>
          <t>厦门世宽</t>
        </is>
      </c>
      <c r="F156" s="2" t="inlineStr">
        <is>
          <t>2022-11-18</t>
        </is>
      </c>
      <c r="G156" s="2" t="inlineStr">
        <is>
          <t>20.4885%</t>
        </is>
      </c>
      <c r="H156" s="2" t="inlineStr">
        <is>
          <t>15.3224%</t>
        </is>
      </c>
      <c r="I156" s="2" t="n"/>
      <c r="J156" s="2" t="n"/>
      <c r="K156" s="2" t="inlineStr">
        <is>
          <t>1.0808%</t>
        </is>
      </c>
      <c r="L156" s="2" t="n">
        <v>14.17736958551017</v>
      </c>
      <c r="M156" s="2" t="n">
        <v>22.11060400114958</v>
      </c>
      <c r="N156" s="2" t="inlineStr">
        <is>
          <t>沪深300</t>
        </is>
      </c>
      <c r="O156" t="inlineStr">
        <is>
          <t>2026-08-31</t>
        </is>
      </c>
      <c r="P156" t="inlineStr">
        <is>
          <t>2026-09-15</t>
        </is>
      </c>
    </row>
    <row r="157">
      <c r="A157" s="2" t="inlineStr">
        <is>
          <t>泓倍商品相对价值1号A类</t>
        </is>
      </c>
      <c r="B157" s="2" t="inlineStr">
        <is>
          <t>CU913A</t>
        </is>
      </c>
      <c r="C157" s="2" t="inlineStr">
        <is>
          <t>套利策略</t>
        </is>
      </c>
      <c r="D157" s="2" t="inlineStr">
        <is>
          <t>期货套利</t>
        </is>
      </c>
      <c r="E157" s="2" t="inlineStr">
        <is>
          <t>上海泓倍投资</t>
        </is>
      </c>
      <c r="F157" s="2" t="inlineStr">
        <is>
          <t>2018-11-09</t>
        </is>
      </c>
      <c r="G157" s="2" t="inlineStr">
        <is>
          <t>6.0300%</t>
        </is>
      </c>
      <c r="H157" s="2" t="inlineStr">
        <is>
          <t>3.9500%</t>
        </is>
      </c>
      <c r="I157" s="2" t="inlineStr">
        <is>
          <t>62.1600%</t>
        </is>
      </c>
      <c r="J157" s="2" t="inlineStr">
        <is>
          <t>46.1500%</t>
        </is>
      </c>
      <c r="K157" s="2" t="inlineStr">
        <is>
          <t>8.8300%</t>
        </is>
      </c>
      <c r="L157" s="2" t="n">
        <v>0.4473</v>
      </c>
      <c r="M157" s="2" t="n">
        <v>0.9262</v>
      </c>
      <c r="N157" s="2" t="inlineStr">
        <is>
          <t>沪深300</t>
        </is>
      </c>
      <c r="O157" t="inlineStr">
        <is>
          <t>2026-08-31</t>
        </is>
      </c>
      <c r="P157" t="inlineStr">
        <is>
          <t>2026-09-15</t>
        </is>
      </c>
    </row>
    <row r="158">
      <c r="A158" s="2" t="inlineStr">
        <is>
          <t>珞瑜阳明1号</t>
        </is>
      </c>
      <c r="B158" s="2" t="inlineStr">
        <is>
          <t>SB4100</t>
        </is>
      </c>
      <c r="C158" s="2" t="inlineStr">
        <is>
          <t>套利策略</t>
        </is>
      </c>
      <c r="D158" s="2" t="inlineStr">
        <is>
          <t>期货套利</t>
        </is>
      </c>
      <c r="E158" s="2" t="inlineStr">
        <is>
          <t>深圳珞瑜</t>
        </is>
      </c>
      <c r="F158" s="2" t="inlineStr">
        <is>
          <t>2023-06-30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inlineStr">
        <is>
          <t>沪深300</t>
        </is>
      </c>
      <c r="O158" t="inlineStr">
        <is>
          <t>2026-08-31</t>
        </is>
      </c>
      <c r="P158" t="inlineStr">
        <is>
          <t>2026-09-15</t>
        </is>
      </c>
    </row>
    <row r="159">
      <c r="A159" s="2" t="inlineStr">
        <is>
          <t>乾元光辉岁月稳进32号</t>
        </is>
      </c>
      <c r="B159" s="2" t="inlineStr">
        <is>
          <t>SB7615</t>
        </is>
      </c>
      <c r="C159" s="2" t="inlineStr">
        <is>
          <t>套利策略</t>
        </is>
      </c>
      <c r="D159" s="2" t="inlineStr">
        <is>
          <t>-</t>
        </is>
      </c>
      <c r="E159" s="2" t="inlineStr">
        <is>
          <t>深圳乾元资始</t>
        </is>
      </c>
      <c r="F159" s="2" t="inlineStr">
        <is>
          <t>2023-08-02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inlineStr">
        <is>
          <t>沪深300</t>
        </is>
      </c>
      <c r="O159" t="inlineStr">
        <is>
          <t>2026-08-31</t>
        </is>
      </c>
      <c r="P159" t="inlineStr">
        <is>
          <t>2026-09-15</t>
        </is>
      </c>
    </row>
    <row r="160">
      <c r="A160" s="2" t="inlineStr">
        <is>
          <t>博普安兴私享一号</t>
        </is>
      </c>
      <c r="B160" s="2" t="inlineStr">
        <is>
          <t>SAHS76</t>
        </is>
      </c>
      <c r="C160" s="2" t="inlineStr">
        <is>
          <t>套利策略</t>
        </is>
      </c>
      <c r="D160" s="2" t="inlineStr">
        <is>
          <t>-</t>
        </is>
      </c>
      <c r="E160" s="2" t="inlineStr">
        <is>
          <t>深圳前海博普资管</t>
        </is>
      </c>
      <c r="F160" s="2" t="inlineStr">
        <is>
          <t>2024-03-22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inlineStr">
        <is>
          <t>沪深300</t>
        </is>
      </c>
      <c r="O160" t="inlineStr">
        <is>
          <t>2026-08-31</t>
        </is>
      </c>
      <c r="P160" t="inlineStr">
        <is>
          <t>2026-09-15</t>
        </is>
      </c>
    </row>
    <row r="161">
      <c r="A161" s="2" t="inlineStr">
        <is>
          <t>博普日添月益A类</t>
        </is>
      </c>
      <c r="B161" s="2" t="inlineStr">
        <is>
          <t>JW903A</t>
        </is>
      </c>
      <c r="C161" s="2" t="inlineStr">
        <is>
          <t>套利策略</t>
        </is>
      </c>
      <c r="D161" s="2" t="inlineStr">
        <is>
          <t>基金套利</t>
        </is>
      </c>
      <c r="E161" s="2" t="inlineStr">
        <is>
          <t>深圳前海博普资管</t>
        </is>
      </c>
      <c r="F161" s="2" t="inlineStr">
        <is>
          <t>2020-03-27</t>
        </is>
      </c>
      <c r="G161" s="2" t="inlineStr">
        <is>
          <t>7.1100%</t>
        </is>
      </c>
      <c r="H161" s="2" t="inlineStr">
        <is>
          <t>6.0300%</t>
        </is>
      </c>
      <c r="I161" s="2" t="inlineStr">
        <is>
          <t>86.4900%</t>
        </is>
      </c>
      <c r="J161" s="2" t="inlineStr">
        <is>
          <t>92.3100%</t>
        </is>
      </c>
      <c r="K161" s="2" t="inlineStr">
        <is>
          <t>2.8200%</t>
        </is>
      </c>
      <c r="L161" s="2" t="n">
        <v>2.1397</v>
      </c>
      <c r="M161" s="2" t="n">
        <v>9.3847</v>
      </c>
      <c r="N161" s="2" t="inlineStr">
        <is>
          <t>沪深300</t>
        </is>
      </c>
      <c r="O161" t="inlineStr">
        <is>
          <t>2026-08-31</t>
        </is>
      </c>
      <c r="P161" t="inlineStr">
        <is>
          <t>2026-09-15</t>
        </is>
      </c>
    </row>
    <row r="162">
      <c r="A162" s="2" t="inlineStr">
        <is>
          <t>毅远稳健套利16号</t>
        </is>
      </c>
      <c r="B162" s="2" t="inlineStr">
        <is>
          <t>SAQK03</t>
        </is>
      </c>
      <c r="C162" s="2" t="inlineStr">
        <is>
          <t>套利策略</t>
        </is>
      </c>
      <c r="D162" s="2" t="inlineStr">
        <is>
          <t>-</t>
        </is>
      </c>
      <c r="E162" s="2" t="inlineStr">
        <is>
          <t>上海毅远</t>
        </is>
      </c>
      <c r="F162" s="2" t="inlineStr">
        <is>
          <t>2024-11-04</t>
        </is>
      </c>
      <c r="G162" s="2" t="inlineStr">
        <is>
          <t>11.7800%</t>
        </is>
      </c>
      <c r="H162" s="2" t="n"/>
      <c r="I162" s="2" t="n"/>
      <c r="J162" s="2" t="inlineStr">
        <is>
          <t>53.8500%</t>
        </is>
      </c>
      <c r="K162" s="2" t="n"/>
      <c r="L162" s="2" t="n"/>
      <c r="M162" s="2" t="n">
        <v>0.4227</v>
      </c>
      <c r="N162" s="2" t="inlineStr">
        <is>
          <t>沪深300</t>
        </is>
      </c>
      <c r="O162" t="inlineStr">
        <is>
          <t>2026-08-31</t>
        </is>
      </c>
      <c r="P162" t="inlineStr">
        <is>
          <t>2026-09-15</t>
        </is>
      </c>
    </row>
    <row r="163">
      <c r="A163" s="2" t="inlineStr">
        <is>
          <t>滨风屹禾7号</t>
        </is>
      </c>
      <c r="B163" s="2" t="inlineStr">
        <is>
          <t>SARF55</t>
        </is>
      </c>
      <c r="C163" s="2" t="inlineStr">
        <is>
          <t>套利策略</t>
        </is>
      </c>
      <c r="D163" s="2" t="inlineStr">
        <is>
          <t>期货套利</t>
        </is>
      </c>
      <c r="E163" s="2" t="inlineStr">
        <is>
          <t>鹰潭滨风投资</t>
        </is>
      </c>
      <c r="F163" s="2" t="inlineStr">
        <is>
          <t>2024-12-10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inlineStr">
        <is>
          <t>沪深300</t>
        </is>
      </c>
      <c r="O163" t="inlineStr">
        <is>
          <t>2026-08-31</t>
        </is>
      </c>
      <c r="P163" t="inlineStr">
        <is>
          <t>2026-09-15</t>
        </is>
      </c>
    </row>
    <row r="164">
      <c r="A164" s="2" t="inlineStr">
        <is>
          <t>阶石稳健1号</t>
        </is>
      </c>
      <c r="B164" s="2" t="inlineStr">
        <is>
          <t>SATE65</t>
        </is>
      </c>
      <c r="C164" s="2" t="inlineStr">
        <is>
          <t>套利策略</t>
        </is>
      </c>
      <c r="D164" s="2" t="inlineStr">
        <is>
          <t>基金套利</t>
        </is>
      </c>
      <c r="E164" s="2" t="inlineStr">
        <is>
          <t>深圳阶石</t>
        </is>
      </c>
      <c r="F164" s="2" t="inlineStr">
        <is>
          <t>2025-02-06</t>
        </is>
      </c>
      <c r="G164" s="2" t="inlineStr">
        <is>
          <t>29.9200%</t>
        </is>
      </c>
      <c r="H164" s="2" t="n"/>
      <c r="I164" s="2" t="n"/>
      <c r="J164" s="2" t="inlineStr">
        <is>
          <t>92.3100%</t>
        </is>
      </c>
      <c r="K164" s="2" t="n"/>
      <c r="L164" s="2" t="n"/>
      <c r="M164" s="2" t="n">
        <v>69.0354</v>
      </c>
      <c r="N164" s="2" t="inlineStr">
        <is>
          <t>沪深300</t>
        </is>
      </c>
      <c r="O164" t="inlineStr">
        <is>
          <t>2026-08-31</t>
        </is>
      </c>
      <c r="P164" t="inlineStr">
        <is>
          <t>2026-09-15</t>
        </is>
      </c>
    </row>
    <row r="165">
      <c r="A165" s="2" t="inlineStr">
        <is>
          <t>木莲安澜1号</t>
        </is>
      </c>
      <c r="B165" s="2" t="inlineStr">
        <is>
          <t>SATL22</t>
        </is>
      </c>
      <c r="C165" s="2" t="inlineStr">
        <is>
          <t>套利策略</t>
        </is>
      </c>
      <c r="D165" s="2" t="inlineStr">
        <is>
          <t>期货套利</t>
        </is>
      </c>
      <c r="E165" s="2" t="inlineStr">
        <is>
          <t>深圳木莲</t>
        </is>
      </c>
      <c r="F165" s="2" t="inlineStr">
        <is>
          <t>2025-02-28</t>
        </is>
      </c>
      <c r="G165" s="2" t="inlineStr">
        <is>
          <t>-1.1600%</t>
        </is>
      </c>
      <c r="H165" s="2" t="n"/>
      <c r="I165" s="2" t="n"/>
      <c r="J165" s="2" t="inlineStr">
        <is>
          <t>61.5400%</t>
        </is>
      </c>
      <c r="K165" s="2" t="n"/>
      <c r="L165" s="2" t="n"/>
      <c r="M165" s="2" t="n">
        <v>-0.1889</v>
      </c>
      <c r="N165" s="2" t="inlineStr">
        <is>
          <t>沪深300</t>
        </is>
      </c>
      <c r="O165" t="inlineStr">
        <is>
          <t>2026-08-31</t>
        </is>
      </c>
      <c r="P165" t="inlineStr">
        <is>
          <t>2026-09-15</t>
        </is>
      </c>
    </row>
    <row r="166">
      <c r="A166" s="2" t="inlineStr">
        <is>
          <t>巨熊金龙二号</t>
        </is>
      </c>
      <c r="B166" s="2" t="inlineStr">
        <is>
          <t>SAVL62</t>
        </is>
      </c>
      <c r="C166" s="2" t="inlineStr">
        <is>
          <t>套利策略</t>
        </is>
      </c>
      <c r="D166" s="2" t="inlineStr">
        <is>
          <t>期货套利</t>
        </is>
      </c>
      <c r="E166" s="2" t="inlineStr">
        <is>
          <t>深圳巨熊</t>
        </is>
      </c>
      <c r="F166" s="2" t="inlineStr">
        <is>
          <t>2025-03-21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inlineStr">
        <is>
          <t>沪深300</t>
        </is>
      </c>
      <c r="O166" t="inlineStr">
        <is>
          <t>2026-08-31</t>
        </is>
      </c>
      <c r="P166" t="inlineStr">
        <is>
          <t>2026-09-15</t>
        </is>
      </c>
    </row>
    <row r="167">
      <c r="A167" s="2" t="inlineStr">
        <is>
          <t>阶石稳健9号</t>
        </is>
      </c>
      <c r="B167" s="2" t="inlineStr">
        <is>
          <t>SAZW60</t>
        </is>
      </c>
      <c r="C167" s="2" t="inlineStr">
        <is>
          <t>套利策略</t>
        </is>
      </c>
      <c r="D167" s="2" t="inlineStr">
        <is>
          <t>基金套利</t>
        </is>
      </c>
      <c r="E167" s="2" t="inlineStr">
        <is>
          <t>深圳阶石</t>
        </is>
      </c>
      <c r="F167" s="2" t="inlineStr">
        <is>
          <t>2025-06-10</t>
        </is>
      </c>
      <c r="G167" s="2" t="inlineStr">
        <is>
          <t>7.9600%</t>
        </is>
      </c>
      <c r="H167" s="2" t="n"/>
      <c r="I167" s="2" t="n"/>
      <c r="J167" s="2" t="inlineStr">
        <is>
          <t>76.9200%</t>
        </is>
      </c>
      <c r="K167" s="2" t="n"/>
      <c r="L167" s="2" t="n"/>
      <c r="M167" s="2" t="n">
        <v>19.0575</v>
      </c>
      <c r="N167" s="2" t="inlineStr">
        <is>
          <t>沪深300</t>
        </is>
      </c>
      <c r="O167" t="inlineStr">
        <is>
          <t>2026-08-31</t>
        </is>
      </c>
      <c r="P167" t="inlineStr">
        <is>
          <t>2026-09-15</t>
        </is>
      </c>
    </row>
    <row r="168">
      <c r="A168" s="2" t="inlineStr">
        <is>
          <t>木莲安澜1号A类</t>
        </is>
      </c>
      <c r="B168" s="2" t="inlineStr">
        <is>
          <t>ATL22A</t>
        </is>
      </c>
      <c r="C168" s="2" t="inlineStr">
        <is>
          <t>套利策略</t>
        </is>
      </c>
      <c r="D168" s="2" t="inlineStr">
        <is>
          <t>期货套利</t>
        </is>
      </c>
      <c r="E168" s="2" t="inlineStr">
        <is>
          <t>深圳木莲</t>
        </is>
      </c>
      <c r="F168" s="2" t="inlineStr">
        <is>
          <t>2025-02-28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inlineStr">
        <is>
          <t>沪深300</t>
        </is>
      </c>
      <c r="O168" t="inlineStr">
        <is>
          <t>2026-08-31</t>
        </is>
      </c>
      <c r="P168" t="inlineStr">
        <is>
          <t>2026-09-15</t>
        </is>
      </c>
    </row>
    <row r="169">
      <c r="A169" s="2" t="inlineStr">
        <is>
          <t>兆祥祥瑞套利1号B类</t>
        </is>
      </c>
      <c r="B169" s="2" t="inlineStr">
        <is>
          <t>XJ965B</t>
        </is>
      </c>
      <c r="C169" s="2" t="inlineStr">
        <is>
          <t>套利策略</t>
        </is>
      </c>
      <c r="D169" s="2" t="inlineStr">
        <is>
          <t>-</t>
        </is>
      </c>
      <c r="E169" s="2" t="inlineStr">
        <is>
          <t>青岛兆祥资管</t>
        </is>
      </c>
      <c r="F169" s="2" t="inlineStr">
        <is>
          <t>2022-09-16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inlineStr">
        <is>
          <t>沪深300</t>
        </is>
      </c>
      <c r="O169" t="inlineStr">
        <is>
          <t>2026-08-31</t>
        </is>
      </c>
      <c r="P169" t="inlineStr">
        <is>
          <t>2026-09-15</t>
        </is>
      </c>
    </row>
    <row r="170">
      <c r="A170" s="2" t="inlineStr">
        <is>
          <t>鋆晟衡泰进取1号B类</t>
        </is>
      </c>
      <c r="B170" s="2" t="inlineStr">
        <is>
          <t>B4982B</t>
        </is>
      </c>
      <c r="C170" s="2" t="inlineStr">
        <is>
          <t>套利策略</t>
        </is>
      </c>
      <c r="D170" s="2" t="inlineStr">
        <is>
          <t>混合套利</t>
        </is>
      </c>
      <c r="E170" s="2" t="inlineStr">
        <is>
          <t>上海鋆晟投资</t>
        </is>
      </c>
      <c r="F170" s="2" t="inlineStr">
        <is>
          <t>2023-09-22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inlineStr">
        <is>
          <t>沪深300</t>
        </is>
      </c>
      <c r="O170" t="inlineStr">
        <is>
          <t>2026-08-31</t>
        </is>
      </c>
      <c r="P170" t="inlineStr">
        <is>
          <t>2026-09-15</t>
        </is>
      </c>
    </row>
    <row r="171">
      <c r="A171" s="2" t="inlineStr">
        <is>
          <t>博普跨市场1号</t>
        </is>
      </c>
      <c r="B171" s="2" t="inlineStr">
        <is>
          <t>SN5169</t>
        </is>
      </c>
      <c r="C171" s="2" t="inlineStr">
        <is>
          <t>套利策略</t>
        </is>
      </c>
      <c r="D171" s="2" t="inlineStr">
        <is>
          <t>-</t>
        </is>
      </c>
      <c r="E171" s="2" t="inlineStr">
        <is>
          <t>深圳博普科技</t>
        </is>
      </c>
      <c r="F171" s="2" t="inlineStr">
        <is>
          <t>2016-11-21</t>
        </is>
      </c>
      <c r="G171" s="2" t="inlineStr">
        <is>
          <t>4.9400%</t>
        </is>
      </c>
      <c r="H171" s="2" t="inlineStr">
        <is>
          <t>4.6900%</t>
        </is>
      </c>
      <c r="I171" s="2" t="inlineStr">
        <is>
          <t>83.7800%</t>
        </is>
      </c>
      <c r="J171" s="2" t="inlineStr">
        <is>
          <t>92.3100%</t>
        </is>
      </c>
      <c r="K171" s="2" t="inlineStr">
        <is>
          <t>3.5700%</t>
        </is>
      </c>
      <c r="L171" s="2" t="n">
        <v>1.3136</v>
      </c>
      <c r="M171" s="2" t="n">
        <v>7.7364</v>
      </c>
      <c r="N171" s="2" t="inlineStr">
        <is>
          <t>沪深300</t>
        </is>
      </c>
      <c r="O171" t="inlineStr">
        <is>
          <t>2026-08-31</t>
        </is>
      </c>
      <c r="P171" t="inlineStr">
        <is>
          <t>2026-09-15</t>
        </is>
      </c>
    </row>
    <row r="172">
      <c r="A172" s="2" t="inlineStr">
        <is>
          <t>博益安盈精英1号</t>
        </is>
      </c>
      <c r="B172" s="2" t="inlineStr">
        <is>
          <t>SL9566</t>
        </is>
      </c>
      <c r="C172" s="2" t="inlineStr">
        <is>
          <t>套利策略</t>
        </is>
      </c>
      <c r="D172" s="2" t="inlineStr">
        <is>
          <t>混合套利</t>
        </is>
      </c>
      <c r="E172" s="2" t="inlineStr">
        <is>
          <t>深圳博益安盈</t>
        </is>
      </c>
      <c r="F172" s="2" t="inlineStr">
        <is>
          <t>2016-08-29</t>
        </is>
      </c>
      <c r="G172" s="2" t="inlineStr">
        <is>
          <t>17.2900%</t>
        </is>
      </c>
      <c r="H172" s="2" t="inlineStr">
        <is>
          <t>8.8900%</t>
        </is>
      </c>
      <c r="I172" s="2" t="inlineStr">
        <is>
          <t>56.7600%</t>
        </is>
      </c>
      <c r="J172" s="2" t="inlineStr">
        <is>
          <t>69.2300%</t>
        </is>
      </c>
      <c r="K172" s="2" t="inlineStr">
        <is>
          <t>3.0900%</t>
        </is>
      </c>
      <c r="L172" s="2" t="n">
        <v>2.876</v>
      </c>
      <c r="M172" s="2" t="n">
        <v>5.5935</v>
      </c>
      <c r="N172" s="2" t="inlineStr">
        <is>
          <t>沪深300</t>
        </is>
      </c>
      <c r="O172" t="inlineStr">
        <is>
          <t>2026-08-31</t>
        </is>
      </c>
      <c r="P172" t="inlineStr">
        <is>
          <t>2026-09-15</t>
        </is>
      </c>
    </row>
    <row r="173">
      <c r="A173" s="2" t="inlineStr">
        <is>
          <t>珺墀价值投资甄选系列</t>
        </is>
      </c>
      <c r="B173" s="2" t="inlineStr">
        <is>
          <t>SD8791</t>
        </is>
      </c>
      <c r="C173" s="2" t="inlineStr">
        <is>
          <t>套利策略</t>
        </is>
      </c>
      <c r="D173" s="2" t="inlineStr">
        <is>
          <t>-</t>
        </is>
      </c>
      <c r="E173" s="2" t="inlineStr">
        <is>
          <t>上海珺墀资管</t>
        </is>
      </c>
      <c r="F173" s="2" t="inlineStr">
        <is>
          <t>2015-12-09</t>
        </is>
      </c>
      <c r="G173" s="2" t="inlineStr">
        <is>
          <t>14.2500%</t>
        </is>
      </c>
      <c r="H173" s="2" t="inlineStr">
        <is>
          <t>20.3600%</t>
        </is>
      </c>
      <c r="I173" s="2" t="inlineStr">
        <is>
          <t>54.0500%</t>
        </is>
      </c>
      <c r="J173" s="2" t="inlineStr">
        <is>
          <t>53.8500%</t>
        </is>
      </c>
      <c r="K173" s="2" t="inlineStr">
        <is>
          <t>35.0600%</t>
        </is>
      </c>
      <c r="L173" s="2" t="n">
        <v>0.5807</v>
      </c>
      <c r="M173" s="2" t="n">
        <v>0.7689</v>
      </c>
      <c r="N173" s="2" t="inlineStr">
        <is>
          <t>沪深300</t>
        </is>
      </c>
      <c r="O173" t="inlineStr">
        <is>
          <t>2026-08-31</t>
        </is>
      </c>
      <c r="P173" t="inlineStr">
        <is>
          <t>2026-09-15</t>
        </is>
      </c>
    </row>
    <row r="174">
      <c r="A174" s="2" t="inlineStr">
        <is>
          <t>盛泉恒元多策略量化对冲2号基金</t>
        </is>
      </c>
      <c r="B174" s="2" t="inlineStr">
        <is>
          <t>S67533</t>
        </is>
      </c>
      <c r="C174" s="2" t="inlineStr">
        <is>
          <t>套利策略</t>
        </is>
      </c>
      <c r="D174" s="2" t="inlineStr">
        <is>
          <t>股票套利</t>
        </is>
      </c>
      <c r="E174" s="2" t="inlineStr">
        <is>
          <t>南京盛泉恒元投资</t>
        </is>
      </c>
      <c r="F174" s="2" t="inlineStr">
        <is>
          <t>2015-09-11</t>
        </is>
      </c>
      <c r="G174" s="2" t="inlineStr">
        <is>
          <t>10.6600%</t>
        </is>
      </c>
      <c r="H174" s="2" t="inlineStr">
        <is>
          <t>8.1600%</t>
        </is>
      </c>
      <c r="I174" s="2" t="inlineStr">
        <is>
          <t>75.6800%</t>
        </is>
      </c>
      <c r="J174" s="2" t="inlineStr">
        <is>
          <t>84.6200%</t>
        </is>
      </c>
      <c r="K174" s="2" t="inlineStr">
        <is>
          <t>5.1200%</t>
        </is>
      </c>
      <c r="L174" s="2" t="n">
        <v>1.5917</v>
      </c>
      <c r="M174" s="2" t="n">
        <v>2.0948</v>
      </c>
      <c r="N174" s="2" t="inlineStr">
        <is>
          <t>沪深300</t>
        </is>
      </c>
      <c r="O174" t="inlineStr">
        <is>
          <t>2026-08-31</t>
        </is>
      </c>
      <c r="P174" t="inlineStr">
        <is>
          <t>2026-09-15</t>
        </is>
      </c>
    </row>
    <row r="175">
      <c r="A175" s="2" t="inlineStr">
        <is>
          <t>申毅多策略量化7号</t>
        </is>
      </c>
      <c r="B175" s="2" t="inlineStr">
        <is>
          <t>S35707</t>
        </is>
      </c>
      <c r="C175" s="2" t="inlineStr">
        <is>
          <t>套利策略</t>
        </is>
      </c>
      <c r="D175" s="2" t="inlineStr">
        <is>
          <t>期权套利</t>
        </is>
      </c>
      <c r="E175" s="2" t="inlineStr">
        <is>
          <t>上海申毅投资</t>
        </is>
      </c>
      <c r="F175" s="2" t="inlineStr">
        <is>
          <t>2015-07-06</t>
        </is>
      </c>
      <c r="G175" s="2" t="inlineStr">
        <is>
          <t>2.2700%</t>
        </is>
      </c>
      <c r="H175" s="2" t="inlineStr">
        <is>
          <t>9.3900%</t>
        </is>
      </c>
      <c r="I175" s="2" t="inlineStr">
        <is>
          <t>78.3800%</t>
        </is>
      </c>
      <c r="J175" s="2" t="inlineStr">
        <is>
          <t>69.2300%</t>
        </is>
      </c>
      <c r="K175" s="2" t="inlineStr">
        <is>
          <t>9.9900%</t>
        </is>
      </c>
      <c r="L175" s="2" t="n">
        <v>0.9405</v>
      </c>
      <c r="M175" s="2" t="n">
        <v>0.6341</v>
      </c>
      <c r="N175" s="2" t="inlineStr">
        <is>
          <t>沪深300</t>
        </is>
      </c>
      <c r="O175" t="inlineStr">
        <is>
          <t>2026-08-31</t>
        </is>
      </c>
      <c r="P175" t="inlineStr">
        <is>
          <t>2026-09-15</t>
        </is>
      </c>
    </row>
    <row r="176">
      <c r="A176" s="2" t="inlineStr">
        <is>
          <t>汇艾稳健3号</t>
        </is>
      </c>
      <c r="B176" s="2" t="inlineStr">
        <is>
          <t>SR8584</t>
        </is>
      </c>
      <c r="C176" s="2" t="inlineStr">
        <is>
          <t>套利策略</t>
        </is>
      </c>
      <c r="D176" s="2" t="inlineStr">
        <is>
          <t>期货套利</t>
        </is>
      </c>
      <c r="E176" s="2" t="inlineStr">
        <is>
          <t>上海汇艾资管</t>
        </is>
      </c>
      <c r="F176" s="2" t="inlineStr">
        <is>
          <t>2017-02-06</t>
        </is>
      </c>
      <c r="G176" s="2" t="inlineStr">
        <is>
          <t>8.0700%</t>
        </is>
      </c>
      <c r="H176" s="2" t="inlineStr">
        <is>
          <t>4.4400%</t>
        </is>
      </c>
      <c r="I176" s="2" t="inlineStr">
        <is>
          <t>81.0800%</t>
        </is>
      </c>
      <c r="J176" s="2" t="inlineStr">
        <is>
          <t>100.0000%</t>
        </is>
      </c>
      <c r="K176" s="2" t="inlineStr">
        <is>
          <t>1.0600%</t>
        </is>
      </c>
      <c r="L176" s="2" t="n">
        <v>4.1872</v>
      </c>
      <c r="M176" s="2" t="n">
        <v>10.32</v>
      </c>
      <c r="N176" s="2" t="inlineStr">
        <is>
          <t>沪深300</t>
        </is>
      </c>
      <c r="O176" t="inlineStr">
        <is>
          <t>2026-08-31</t>
        </is>
      </c>
      <c r="P176" t="inlineStr">
        <is>
          <t>2026-09-15</t>
        </is>
      </c>
    </row>
    <row r="177">
      <c r="A177" s="2" t="inlineStr">
        <is>
          <t>博普稳增3号</t>
        </is>
      </c>
      <c r="B177" s="2" t="inlineStr">
        <is>
          <t>SW7191</t>
        </is>
      </c>
      <c r="C177" s="2" t="inlineStr">
        <is>
          <t>套利策略</t>
        </is>
      </c>
      <c r="D177" s="2" t="inlineStr">
        <is>
          <t>期货套利</t>
        </is>
      </c>
      <c r="E177" s="2" t="inlineStr">
        <is>
          <t>深圳博普科技</t>
        </is>
      </c>
      <c r="F177" s="2" t="inlineStr">
        <is>
          <t>2017-10-23</t>
        </is>
      </c>
      <c r="G177" s="2" t="inlineStr">
        <is>
          <t>5.6300%</t>
        </is>
      </c>
      <c r="H177" s="2" t="inlineStr">
        <is>
          <t>4.1700%</t>
        </is>
      </c>
      <c r="I177" s="2" t="inlineStr">
        <is>
          <t>78.3800%</t>
        </is>
      </c>
      <c r="J177" s="2" t="inlineStr">
        <is>
          <t>84.6200%</t>
        </is>
      </c>
      <c r="K177" s="2" t="inlineStr">
        <is>
          <t>2.1100%</t>
        </is>
      </c>
      <c r="L177" s="2" t="n">
        <v>1.9802</v>
      </c>
      <c r="M177" s="2" t="n">
        <v>9.5761</v>
      </c>
      <c r="N177" s="2" t="inlineStr">
        <is>
          <t>沪深300</t>
        </is>
      </c>
      <c r="O177" t="inlineStr">
        <is>
          <t>2026-08-31</t>
        </is>
      </c>
      <c r="P177" t="inlineStr">
        <is>
          <t>2026-09-15</t>
        </is>
      </c>
    </row>
    <row r="178">
      <c r="A178" s="2" t="inlineStr">
        <is>
          <t>盛冠达试金石3号</t>
        </is>
      </c>
      <c r="B178" s="2" t="inlineStr">
        <is>
          <t>SW1709</t>
        </is>
      </c>
      <c r="C178" s="2" t="inlineStr">
        <is>
          <t>套利策略</t>
        </is>
      </c>
      <c r="D178" s="2" t="inlineStr">
        <is>
          <t>期货套利</t>
        </is>
      </c>
      <c r="E178" s="2" t="inlineStr">
        <is>
          <t>海南盛冠达</t>
        </is>
      </c>
      <c r="F178" s="2" t="inlineStr">
        <is>
          <t>2017-11-02</t>
        </is>
      </c>
      <c r="G178" s="2" t="inlineStr">
        <is>
          <t>2.7100%</t>
        </is>
      </c>
      <c r="H178" s="2" t="inlineStr">
        <is>
          <t>4.7500%</t>
        </is>
      </c>
      <c r="I178" s="2" t="inlineStr">
        <is>
          <t>67.5700%</t>
        </is>
      </c>
      <c r="J178" s="2" t="inlineStr">
        <is>
          <t>69.2300%</t>
        </is>
      </c>
      <c r="K178" s="2" t="inlineStr">
        <is>
          <t>3.9300%</t>
        </is>
      </c>
      <c r="L178" s="2" t="n">
        <v>1.2084</v>
      </c>
      <c r="M178" s="2" t="n">
        <v>1.3063</v>
      </c>
      <c r="N178" s="2" t="inlineStr">
        <is>
          <t>沪深300</t>
        </is>
      </c>
      <c r="O178" t="inlineStr">
        <is>
          <t>2026-08-31</t>
        </is>
      </c>
      <c r="P178" t="inlineStr">
        <is>
          <t>2026-09-15</t>
        </is>
      </c>
    </row>
    <row r="179">
      <c r="A179" s="2" t="inlineStr">
        <is>
          <t>盛泉恒元量化套利12号专项</t>
        </is>
      </c>
      <c r="B179" s="2" t="inlineStr">
        <is>
          <t>SEE184</t>
        </is>
      </c>
      <c r="C179" s="2" t="inlineStr">
        <is>
          <t>套利策略</t>
        </is>
      </c>
      <c r="D179" s="2" t="inlineStr">
        <is>
          <t>股票套利</t>
        </is>
      </c>
      <c r="E179" s="2" t="inlineStr">
        <is>
          <t>南京盛泉恒元投资</t>
        </is>
      </c>
      <c r="F179" s="2" t="inlineStr">
        <is>
          <t>2018-08-28</t>
        </is>
      </c>
      <c r="G179" s="2" t="inlineStr">
        <is>
          <t>9.7800%</t>
        </is>
      </c>
      <c r="H179" s="2" t="inlineStr">
        <is>
          <t>6.8200%</t>
        </is>
      </c>
      <c r="I179" s="2" t="inlineStr">
        <is>
          <t>72.9700%</t>
        </is>
      </c>
      <c r="J179" s="2" t="inlineStr">
        <is>
          <t>76.9200%</t>
        </is>
      </c>
      <c r="K179" s="2" t="inlineStr">
        <is>
          <t>6.4100%</t>
        </is>
      </c>
      <c r="L179" s="2" t="n">
        <v>1.0651</v>
      </c>
      <c r="M179" s="2" t="n">
        <v>1.9112</v>
      </c>
      <c r="N179" s="2" t="inlineStr">
        <is>
          <t>沪深300</t>
        </is>
      </c>
      <c r="O179" t="inlineStr">
        <is>
          <t>2026-08-31</t>
        </is>
      </c>
      <c r="P179" t="inlineStr">
        <is>
          <t>2026-09-15</t>
        </is>
      </c>
    </row>
    <row r="180">
      <c r="A180" s="2" t="inlineStr">
        <is>
          <t>东方富银命运1号</t>
        </is>
      </c>
      <c r="B180" s="2" t="inlineStr">
        <is>
          <t>SEG244</t>
        </is>
      </c>
      <c r="C180" s="2" t="inlineStr">
        <is>
          <t>套利策略</t>
        </is>
      </c>
      <c r="D180" s="2" t="inlineStr">
        <is>
          <t>可转债套利</t>
        </is>
      </c>
      <c r="E180" s="2" t="inlineStr">
        <is>
          <t>深圳东方富银投资</t>
        </is>
      </c>
      <c r="F180" s="2" t="inlineStr">
        <is>
          <t>2018-08-22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inlineStr">
        <is>
          <t>沪深300</t>
        </is>
      </c>
      <c r="O180" t="inlineStr">
        <is>
          <t>2026-08-31</t>
        </is>
      </c>
      <c r="P180" t="inlineStr">
        <is>
          <t>2026-09-15</t>
        </is>
      </c>
    </row>
    <row r="181">
      <c r="A181" s="2" t="inlineStr">
        <is>
          <t>致同稳健成长1期</t>
        </is>
      </c>
      <c r="B181" s="2" t="inlineStr">
        <is>
          <t>SEP459</t>
        </is>
      </c>
      <c r="C181" s="2" t="inlineStr">
        <is>
          <t>套利策略</t>
        </is>
      </c>
      <c r="D181" s="2" t="inlineStr">
        <is>
          <t>期货套利</t>
        </is>
      </c>
      <c r="E181" s="2" t="inlineStr">
        <is>
          <t>上海致同投资</t>
        </is>
      </c>
      <c r="F181" s="2" t="inlineStr">
        <is>
          <t>2018-10-16</t>
        </is>
      </c>
      <c r="G181" s="2" t="inlineStr">
        <is>
          <t>4.8600%</t>
        </is>
      </c>
      <c r="H181" s="2" t="inlineStr">
        <is>
          <t>6.1400%</t>
        </is>
      </c>
      <c r="I181" s="2" t="inlineStr">
        <is>
          <t>89.1900%</t>
        </is>
      </c>
      <c r="J181" s="2" t="inlineStr">
        <is>
          <t>92.3100%</t>
        </is>
      </c>
      <c r="K181" s="2" t="inlineStr">
        <is>
          <t>0.7100%</t>
        </is>
      </c>
      <c r="L181" s="2" t="n">
        <v>8.5906</v>
      </c>
      <c r="M181" s="2" t="n">
        <v>6.8107</v>
      </c>
      <c r="N181" s="2" t="inlineStr">
        <is>
          <t>沪深300</t>
        </is>
      </c>
      <c r="O181" t="inlineStr">
        <is>
          <t>2026-08-31</t>
        </is>
      </c>
      <c r="P181" t="inlineStr">
        <is>
          <t>2026-09-15</t>
        </is>
      </c>
    </row>
    <row r="182">
      <c r="A182" s="2" t="inlineStr">
        <is>
          <t>博普量化对冲6号</t>
        </is>
      </c>
      <c r="B182" s="2" t="inlineStr">
        <is>
          <t>SEE891</t>
        </is>
      </c>
      <c r="C182" s="2" t="inlineStr">
        <is>
          <t>套利策略</t>
        </is>
      </c>
      <c r="D182" s="2" t="inlineStr">
        <is>
          <t>期货套利</t>
        </is>
      </c>
      <c r="E182" s="2" t="inlineStr">
        <is>
          <t>深圳前海博普资管</t>
        </is>
      </c>
      <c r="F182" s="2" t="inlineStr">
        <is>
          <t>2018-11-26</t>
        </is>
      </c>
      <c r="G182" s="2" t="inlineStr">
        <is>
          <t>3.9400%</t>
        </is>
      </c>
      <c r="H182" s="2" t="n"/>
      <c r="I182" s="2" t="n"/>
      <c r="J182" s="2" t="inlineStr">
        <is>
          <t>61.5400%</t>
        </is>
      </c>
      <c r="K182" s="2" t="n"/>
      <c r="L182" s="2" t="n"/>
      <c r="M182" s="2" t="n">
        <v>1.4543</v>
      </c>
      <c r="N182" s="2" t="inlineStr">
        <is>
          <t>沪深300</t>
        </is>
      </c>
      <c r="O182" t="inlineStr">
        <is>
          <t>2026-08-31</t>
        </is>
      </c>
      <c r="P182" t="inlineStr">
        <is>
          <t>2026-09-15</t>
        </is>
      </c>
    </row>
    <row r="183">
      <c r="A183" s="2" t="inlineStr">
        <is>
          <t>冲和稳健增长一号</t>
        </is>
      </c>
      <c r="B183" s="2" t="inlineStr">
        <is>
          <t>SEW918</t>
        </is>
      </c>
      <c r="C183" s="2" t="inlineStr">
        <is>
          <t>套利策略</t>
        </is>
      </c>
      <c r="D183" s="2" t="inlineStr">
        <is>
          <t>期权套利</t>
        </is>
      </c>
      <c r="E183" s="2" t="inlineStr">
        <is>
          <t>北京冲和资管</t>
        </is>
      </c>
      <c r="F183" s="2" t="inlineStr">
        <is>
          <t>2018-12-27</t>
        </is>
      </c>
      <c r="G183" s="2" t="inlineStr">
        <is>
          <t>4.6000%</t>
        </is>
      </c>
      <c r="H183" s="2" t="inlineStr">
        <is>
          <t>2.9900%</t>
        </is>
      </c>
      <c r="I183" s="2" t="inlineStr">
        <is>
          <t>75.6800%</t>
        </is>
      </c>
      <c r="J183" s="2" t="inlineStr">
        <is>
          <t>69.2300%</t>
        </is>
      </c>
      <c r="K183" s="2" t="inlineStr">
        <is>
          <t>23.2300%</t>
        </is>
      </c>
      <c r="L183" s="2" t="n">
        <v>0.1289</v>
      </c>
      <c r="M183" s="2" t="n">
        <v>1.3795</v>
      </c>
      <c r="N183" s="2" t="inlineStr">
        <is>
          <t>沪深300</t>
        </is>
      </c>
      <c r="O183" t="inlineStr">
        <is>
          <t>2026-08-31</t>
        </is>
      </c>
      <c r="P183" t="inlineStr">
        <is>
          <t>2026-09-15</t>
        </is>
      </c>
    </row>
    <row r="184">
      <c r="A184" s="2" t="inlineStr">
        <is>
          <t>晨乐佳享3号</t>
        </is>
      </c>
      <c r="B184" s="2" t="inlineStr">
        <is>
          <t>SEX105</t>
        </is>
      </c>
      <c r="C184" s="2" t="inlineStr">
        <is>
          <t>套利策略</t>
        </is>
      </c>
      <c r="D184" s="2" t="inlineStr">
        <is>
          <t>期货套利</t>
        </is>
      </c>
      <c r="E184" s="2" t="inlineStr">
        <is>
          <t>北京晨乐资管</t>
        </is>
      </c>
      <c r="F184" s="2" t="inlineStr">
        <is>
          <t>2019-01-03</t>
        </is>
      </c>
      <c r="G184" s="2" t="inlineStr">
        <is>
          <t>-33.2400%</t>
        </is>
      </c>
      <c r="H184" s="2" t="inlineStr">
        <is>
          <t>-7.8600%</t>
        </is>
      </c>
      <c r="I184" s="2" t="inlineStr">
        <is>
          <t>51.3500%</t>
        </is>
      </c>
      <c r="J184" s="2" t="inlineStr">
        <is>
          <t>38.4600%</t>
        </is>
      </c>
      <c r="K184" s="2" t="inlineStr">
        <is>
          <t>55.3400%</t>
        </is>
      </c>
      <c r="L184" s="2" t="n">
        <v>-0.142</v>
      </c>
      <c r="M184" s="2" t="n">
        <v>-0.8283</v>
      </c>
      <c r="N184" s="2" t="inlineStr">
        <is>
          <t>沪深300</t>
        </is>
      </c>
      <c r="O184" t="inlineStr">
        <is>
          <t>2026-08-31</t>
        </is>
      </c>
      <c r="P184" t="inlineStr">
        <is>
          <t>2026-09-15</t>
        </is>
      </c>
    </row>
    <row r="185">
      <c r="A185" s="2" t="inlineStr">
        <is>
          <t>盛泉恒元量化套利11号</t>
        </is>
      </c>
      <c r="B185" s="2" t="inlineStr">
        <is>
          <t>SEX315</t>
        </is>
      </c>
      <c r="C185" s="2" t="inlineStr">
        <is>
          <t>套利策略</t>
        </is>
      </c>
      <c r="D185" s="2" t="inlineStr">
        <is>
          <t>混合套利</t>
        </is>
      </c>
      <c r="E185" s="2" t="inlineStr">
        <is>
          <t>南京盛泉恒元投资</t>
        </is>
      </c>
      <c r="F185" s="2" t="inlineStr">
        <is>
          <t>2019-01-22</t>
        </is>
      </c>
      <c r="G185" s="2" t="inlineStr">
        <is>
          <t>9.7900%</t>
        </is>
      </c>
      <c r="H185" s="2" t="inlineStr">
        <is>
          <t>6.9200%</t>
        </is>
      </c>
      <c r="I185" s="2" t="inlineStr">
        <is>
          <t>70.2700%</t>
        </is>
      </c>
      <c r="J185" s="2" t="inlineStr">
        <is>
          <t>76.9200%</t>
        </is>
      </c>
      <c r="K185" s="2" t="inlineStr">
        <is>
          <t>6.2200%</t>
        </is>
      </c>
      <c r="L185" s="2" t="n">
        <v>1.1123</v>
      </c>
      <c r="M185" s="2" t="n">
        <v>1.9132</v>
      </c>
      <c r="N185" s="2" t="inlineStr">
        <is>
          <t>沪深300</t>
        </is>
      </c>
      <c r="O185" t="inlineStr">
        <is>
          <t>2026-08-31</t>
        </is>
      </c>
      <c r="P185" t="inlineStr">
        <is>
          <t>2026-09-15</t>
        </is>
      </c>
    </row>
    <row r="186">
      <c r="A186" s="2" t="inlineStr">
        <is>
          <t>殊馥兴义2号</t>
        </is>
      </c>
      <c r="B186" s="2" t="inlineStr">
        <is>
          <t>SGH592</t>
        </is>
      </c>
      <c r="C186" s="2" t="inlineStr">
        <is>
          <t>套利策略</t>
        </is>
      </c>
      <c r="D186" s="2" t="inlineStr">
        <is>
          <t>期货套利</t>
        </is>
      </c>
      <c r="E186" s="2" t="inlineStr">
        <is>
          <t>上海殊馥投资</t>
        </is>
      </c>
      <c r="F186" s="2" t="inlineStr">
        <is>
          <t>2019-03-25</t>
        </is>
      </c>
      <c r="G186" s="2" t="inlineStr">
        <is>
          <t>8.3100%</t>
        </is>
      </c>
      <c r="H186" s="2" t="inlineStr">
        <is>
          <t>7.0700%</t>
        </is>
      </c>
      <c r="I186" s="2" t="inlineStr">
        <is>
          <t>81.0800%</t>
        </is>
      </c>
      <c r="J186" s="2" t="inlineStr">
        <is>
          <t>69.2300%</t>
        </is>
      </c>
      <c r="K186" s="2" t="inlineStr">
        <is>
          <t>2.1600%</t>
        </is>
      </c>
      <c r="L186" s="2" t="n">
        <v>3.2729</v>
      </c>
      <c r="M186" s="2" t="n">
        <v>3.8492</v>
      </c>
      <c r="N186" s="2" t="inlineStr">
        <is>
          <t>沪深300</t>
        </is>
      </c>
      <c r="O186" t="inlineStr">
        <is>
          <t>2026-08-31</t>
        </is>
      </c>
      <c r="P186" t="inlineStr">
        <is>
          <t>2026-09-15</t>
        </is>
      </c>
    </row>
    <row r="187">
      <c r="A187" s="2" t="inlineStr">
        <is>
          <t>永泉奇点1号混合投资</t>
        </is>
      </c>
      <c r="B187" s="2" t="inlineStr">
        <is>
          <t>SGM299</t>
        </is>
      </c>
      <c r="C187" s="2" t="inlineStr">
        <is>
          <t>套利策略</t>
        </is>
      </c>
      <c r="D187" s="2" t="inlineStr">
        <is>
          <t>期货套利</t>
        </is>
      </c>
      <c r="E187" s="2" t="inlineStr">
        <is>
          <t>宁波永泉</t>
        </is>
      </c>
      <c r="F187" s="2" t="inlineStr">
        <is>
          <t>2019-04-30</t>
        </is>
      </c>
      <c r="G187" s="2" t="inlineStr">
        <is>
          <t>5.9000%</t>
        </is>
      </c>
      <c r="H187" s="2" t="inlineStr">
        <is>
          <t>9.1400%</t>
        </is>
      </c>
      <c r="I187" s="2" t="inlineStr">
        <is>
          <t>86.4900%</t>
        </is>
      </c>
      <c r="J187" s="2" t="inlineStr">
        <is>
          <t>92.3100%</t>
        </is>
      </c>
      <c r="K187" s="2" t="inlineStr">
        <is>
          <t>1.4400%</t>
        </is>
      </c>
      <c r="L187" s="2" t="n">
        <v>6.3414</v>
      </c>
      <c r="M187" s="2" t="n">
        <v>25.0412</v>
      </c>
      <c r="N187" s="2" t="inlineStr">
        <is>
          <t>沪深300</t>
        </is>
      </c>
      <c r="O187" t="inlineStr">
        <is>
          <t>2026-08-31</t>
        </is>
      </c>
      <c r="P187" t="inlineStr">
        <is>
          <t>2026-09-15</t>
        </is>
      </c>
    </row>
    <row r="188">
      <c r="A188" s="2" t="inlineStr">
        <is>
          <t>宏量鼎诚</t>
        </is>
      </c>
      <c r="B188" s="2" t="inlineStr">
        <is>
          <t>SGQ716</t>
        </is>
      </c>
      <c r="C188" s="2" t="inlineStr">
        <is>
          <t>套利策略</t>
        </is>
      </c>
      <c r="D188" s="2" t="inlineStr">
        <is>
          <t>基金套利</t>
        </is>
      </c>
      <c r="E188" s="2" t="inlineStr">
        <is>
          <t>北京宏量资管</t>
        </is>
      </c>
      <c r="F188" s="2" t="inlineStr">
        <is>
          <t>2019-05-28</t>
        </is>
      </c>
      <c r="G188" s="2" t="inlineStr">
        <is>
          <t>-2.6800%</t>
        </is>
      </c>
      <c r="H188" s="2" t="inlineStr">
        <is>
          <t>14.5300%</t>
        </is>
      </c>
      <c r="I188" s="2" t="inlineStr">
        <is>
          <t>56.7600%</t>
        </is>
      </c>
      <c r="J188" s="2" t="inlineStr">
        <is>
          <t>30.7700%</t>
        </is>
      </c>
      <c r="K188" s="2" t="inlineStr">
        <is>
          <t>2.8100%</t>
        </is>
      </c>
      <c r="L188" s="2" t="n">
        <v>5.1715</v>
      </c>
      <c r="M188" s="2" t="n">
        <v>-0.9537</v>
      </c>
      <c r="N188" s="2" t="inlineStr">
        <is>
          <t>沪深300</t>
        </is>
      </c>
      <c r="O188" t="inlineStr">
        <is>
          <t>2026-08-31</t>
        </is>
      </c>
      <c r="P188" t="inlineStr">
        <is>
          <t>2026-09-15</t>
        </is>
      </c>
    </row>
    <row r="189">
      <c r="A189" s="2" t="inlineStr">
        <is>
          <t>永泉奇点2号混合投资</t>
        </is>
      </c>
      <c r="B189" s="2" t="inlineStr">
        <is>
          <t>SJB356</t>
        </is>
      </c>
      <c r="C189" s="2" t="inlineStr">
        <is>
          <t>套利策略</t>
        </is>
      </c>
      <c r="D189" s="2" t="inlineStr">
        <is>
          <t>期货套利</t>
        </is>
      </c>
      <c r="E189" s="2" t="inlineStr">
        <is>
          <t>宁波永泉</t>
        </is>
      </c>
      <c r="F189" s="2" t="inlineStr">
        <is>
          <t>2019-09-20</t>
        </is>
      </c>
      <c r="G189" s="2" t="inlineStr">
        <is>
          <t>5.4300%</t>
        </is>
      </c>
      <c r="H189" s="2" t="inlineStr">
        <is>
          <t>12.0600%</t>
        </is>
      </c>
      <c r="I189" s="2" t="inlineStr">
        <is>
          <t>86.4900%</t>
        </is>
      </c>
      <c r="J189" s="2" t="inlineStr">
        <is>
          <t>100.0000%</t>
        </is>
      </c>
      <c r="K189" s="2" t="inlineStr">
        <is>
          <t>2.2700%</t>
        </is>
      </c>
      <c r="L189" s="2" t="n">
        <v>5.3032</v>
      </c>
      <c r="M189" s="2" t="n">
        <v>17.0322</v>
      </c>
      <c r="N189" s="2" t="inlineStr">
        <is>
          <t>沪深300</t>
        </is>
      </c>
      <c r="O189" t="inlineStr">
        <is>
          <t>2026-08-31</t>
        </is>
      </c>
      <c r="P189" t="inlineStr">
        <is>
          <t>2026-09-15</t>
        </is>
      </c>
    </row>
    <row r="190">
      <c r="A190" s="2" t="inlineStr">
        <is>
          <t>厦门言起博士一号</t>
        </is>
      </c>
      <c r="B190" s="2" t="inlineStr">
        <is>
          <t>SJR679</t>
        </is>
      </c>
      <c r="C190" s="2" t="inlineStr">
        <is>
          <t>套利策略</t>
        </is>
      </c>
      <c r="D190" s="2" t="inlineStr">
        <is>
          <t>期权套利</t>
        </is>
      </c>
      <c r="E190" s="2" t="inlineStr">
        <is>
          <t>厦门言起投资</t>
        </is>
      </c>
      <c r="F190" s="2" t="inlineStr">
        <is>
          <t>2020-02-20</t>
        </is>
      </c>
      <c r="G190" s="2" t="inlineStr">
        <is>
          <t>-9.8400%</t>
        </is>
      </c>
      <c r="H190" s="2" t="inlineStr">
        <is>
          <t>-0.7200%</t>
        </is>
      </c>
      <c r="I190" s="2" t="inlineStr">
        <is>
          <t>62.1600%</t>
        </is>
      </c>
      <c r="J190" s="2" t="inlineStr">
        <is>
          <t>53.8500%</t>
        </is>
      </c>
      <c r="K190" s="2" t="inlineStr">
        <is>
          <t>13.1200%</t>
        </is>
      </c>
      <c r="L190" s="2" t="n">
        <v>-0.0546</v>
      </c>
      <c r="M190" s="2" t="n">
        <v>-0.75</v>
      </c>
      <c r="N190" s="2" t="inlineStr">
        <is>
          <t>沪深300</t>
        </is>
      </c>
      <c r="O190" t="inlineStr">
        <is>
          <t>2026-08-31</t>
        </is>
      </c>
      <c r="P190" t="inlineStr">
        <is>
          <t>2026-09-15</t>
        </is>
      </c>
    </row>
    <row r="191">
      <c r="A191" s="2" t="inlineStr">
        <is>
          <t>平凡浩睿</t>
        </is>
      </c>
      <c r="B191" s="2" t="inlineStr">
        <is>
          <t>SJS890</t>
        </is>
      </c>
      <c r="C191" s="2" t="inlineStr">
        <is>
          <t>套利策略</t>
        </is>
      </c>
      <c r="D191" s="2" t="inlineStr">
        <is>
          <t>基金套利</t>
        </is>
      </c>
      <c r="E191" s="2" t="inlineStr">
        <is>
          <t>北京平凡</t>
        </is>
      </c>
      <c r="F191" s="2" t="inlineStr">
        <is>
          <t>2020-03-04</t>
        </is>
      </c>
      <c r="G191" s="2" t="inlineStr">
        <is>
          <t>19.2300%</t>
        </is>
      </c>
      <c r="H191" s="2" t="inlineStr">
        <is>
          <t>13.7800%</t>
        </is>
      </c>
      <c r="I191" s="2" t="inlineStr">
        <is>
          <t>86.4900%</t>
        </is>
      </c>
      <c r="J191" s="2" t="inlineStr">
        <is>
          <t>92.3100%</t>
        </is>
      </c>
      <c r="K191" s="2" t="inlineStr">
        <is>
          <t>2.5700%</t>
        </is>
      </c>
      <c r="L191" s="2" t="n">
        <v>5.3568</v>
      </c>
      <c r="M191" s="2" t="n">
        <v>48.0868</v>
      </c>
      <c r="N191" s="2" t="inlineStr">
        <is>
          <t>沪深300</t>
        </is>
      </c>
      <c r="O191" t="inlineStr">
        <is>
          <t>2026-08-31</t>
        </is>
      </c>
      <c r="P191" t="inlineStr">
        <is>
          <t>2026-09-15</t>
        </is>
      </c>
    </row>
    <row r="192">
      <c r="A192" s="2" t="inlineStr">
        <is>
          <t>博普日添月益</t>
        </is>
      </c>
      <c r="B192" s="2" t="inlineStr">
        <is>
          <t>SJW903</t>
        </is>
      </c>
      <c r="C192" s="2" t="inlineStr">
        <is>
          <t>套利策略</t>
        </is>
      </c>
      <c r="D192" s="2" t="inlineStr">
        <is>
          <t>基金套利</t>
        </is>
      </c>
      <c r="E192" s="2" t="inlineStr">
        <is>
          <t>深圳前海博普资管</t>
        </is>
      </c>
      <c r="F192" s="2" t="inlineStr">
        <is>
          <t>2020-03-27</t>
        </is>
      </c>
      <c r="G192" s="2" t="inlineStr">
        <is>
          <t>7.0400%</t>
        </is>
      </c>
      <c r="H192" s="2" t="inlineStr">
        <is>
          <t>6.0000%</t>
        </is>
      </c>
      <c r="I192" s="2" t="inlineStr">
        <is>
          <t>89.1900%</t>
        </is>
      </c>
      <c r="J192" s="2" t="inlineStr">
        <is>
          <t>100.0000%</t>
        </is>
      </c>
      <c r="K192" s="2" t="inlineStr">
        <is>
          <t>2.8200%</t>
        </is>
      </c>
      <c r="L192" s="2" t="n">
        <v>2.1266</v>
      </c>
      <c r="M192" s="2" t="n">
        <v>9.179600000000001</v>
      </c>
      <c r="N192" s="2" t="inlineStr">
        <is>
          <t>沪深300</t>
        </is>
      </c>
      <c r="O192" t="inlineStr">
        <is>
          <t>2026-08-31</t>
        </is>
      </c>
      <c r="P192" t="inlineStr">
        <is>
          <t>2026-09-15</t>
        </is>
      </c>
    </row>
    <row r="193">
      <c r="A193" s="2" t="inlineStr">
        <is>
          <t>鸣熙资产-招享套利1号</t>
        </is>
      </c>
      <c r="B193" s="2" t="inlineStr">
        <is>
          <t>SJZ381</t>
        </is>
      </c>
      <c r="C193" s="2" t="inlineStr">
        <is>
          <t>套利策略</t>
        </is>
      </c>
      <c r="D193" s="2" t="inlineStr">
        <is>
          <t>期货套利</t>
        </is>
      </c>
      <c r="E193" s="2" t="inlineStr">
        <is>
          <t>鸣熙资本</t>
        </is>
      </c>
      <c r="F193" s="2" t="inlineStr">
        <is>
          <t>2020-04-16</t>
        </is>
      </c>
      <c r="G193" s="2" t="inlineStr">
        <is>
          <t>4.2400%</t>
        </is>
      </c>
      <c r="H193" s="2" t="inlineStr">
        <is>
          <t>7.3700%</t>
        </is>
      </c>
      <c r="I193" s="2" t="inlineStr">
        <is>
          <t>89.1900%</t>
        </is>
      </c>
      <c r="J193" s="2" t="inlineStr">
        <is>
          <t>69.2300%</t>
        </is>
      </c>
      <c r="K193" s="2" t="inlineStr">
        <is>
          <t>0.4700%</t>
        </is>
      </c>
      <c r="L193" s="2" t="n">
        <v>15.7244</v>
      </c>
      <c r="M193" s="2" t="n">
        <v>9.0449</v>
      </c>
      <c r="N193" s="2" t="inlineStr">
        <is>
          <t>沪深300</t>
        </is>
      </c>
      <c r="O193" t="inlineStr">
        <is>
          <t>2026-08-31</t>
        </is>
      </c>
      <c r="P193" t="inlineStr">
        <is>
          <t>2026-09-15</t>
        </is>
      </c>
    </row>
    <row r="194">
      <c r="A194" s="2" t="inlineStr">
        <is>
          <t>盛冠达量化套利6号</t>
        </is>
      </c>
      <c r="B194" s="2" t="inlineStr">
        <is>
          <t>SJZ209</t>
        </is>
      </c>
      <c r="C194" s="2" t="inlineStr">
        <is>
          <t>套利策略</t>
        </is>
      </c>
      <c r="D194" s="2" t="inlineStr">
        <is>
          <t>期货套利</t>
        </is>
      </c>
      <c r="E194" s="2" t="inlineStr">
        <is>
          <t>海南盛冠达</t>
        </is>
      </c>
      <c r="F194" s="2" t="inlineStr">
        <is>
          <t>2020-06-01</t>
        </is>
      </c>
      <c r="G194" s="2" t="inlineStr">
        <is>
          <t>3.8600%</t>
        </is>
      </c>
      <c r="H194" s="2" t="inlineStr">
        <is>
          <t>3.7300%</t>
        </is>
      </c>
      <c r="I194" s="2" t="inlineStr">
        <is>
          <t>64.8600%</t>
        </is>
      </c>
      <c r="J194" s="2" t="inlineStr">
        <is>
          <t>61.5400%</t>
        </is>
      </c>
      <c r="K194" s="2" t="inlineStr">
        <is>
          <t>4.2200%</t>
        </is>
      </c>
      <c r="L194" s="2" t="n">
        <v>0.8835</v>
      </c>
      <c r="M194" s="2" t="n">
        <v>1.8359</v>
      </c>
      <c r="N194" s="2" t="inlineStr">
        <is>
          <t>沪深300</t>
        </is>
      </c>
      <c r="O194" t="inlineStr">
        <is>
          <t>2026-08-31</t>
        </is>
      </c>
      <c r="P194" t="inlineStr">
        <is>
          <t>2026-09-15</t>
        </is>
      </c>
    </row>
    <row r="195">
      <c r="A195" s="2" t="inlineStr">
        <is>
          <t>盛泉恒元量化套利27号</t>
        </is>
      </c>
      <c r="B195" s="2" t="inlineStr">
        <is>
          <t>SJY718</t>
        </is>
      </c>
      <c r="C195" s="2" t="inlineStr">
        <is>
          <t>套利策略</t>
        </is>
      </c>
      <c r="D195" s="2" t="inlineStr">
        <is>
          <t>混合套利</t>
        </is>
      </c>
      <c r="E195" s="2" t="inlineStr">
        <is>
          <t>南京盛泉恒元投资</t>
        </is>
      </c>
      <c r="F195" s="2" t="inlineStr">
        <is>
          <t>2020-06-16</t>
        </is>
      </c>
      <c r="G195" s="2" t="inlineStr">
        <is>
          <t>9.0200%</t>
        </is>
      </c>
      <c r="H195" s="2" t="inlineStr">
        <is>
          <t>6.6400%</t>
        </is>
      </c>
      <c r="I195" s="2" t="inlineStr">
        <is>
          <t>70.2700%</t>
        </is>
      </c>
      <c r="J195" s="2" t="inlineStr">
        <is>
          <t>76.9200%</t>
        </is>
      </c>
      <c r="K195" s="2" t="inlineStr">
        <is>
          <t>6.0500%</t>
        </is>
      </c>
      <c r="L195" s="2" t="n">
        <v>1.098</v>
      </c>
      <c r="M195" s="2" t="n">
        <v>1.6156</v>
      </c>
      <c r="N195" s="2" t="inlineStr">
        <is>
          <t>沪深300</t>
        </is>
      </c>
      <c r="O195" t="inlineStr">
        <is>
          <t>2026-08-31</t>
        </is>
      </c>
      <c r="P195" t="inlineStr">
        <is>
          <t>2026-09-15</t>
        </is>
      </c>
    </row>
    <row r="196">
      <c r="A196" s="2" t="inlineStr">
        <is>
          <t>杉阳云杉转债1号</t>
        </is>
      </c>
      <c r="B196" s="2" t="inlineStr">
        <is>
          <t>SLE395</t>
        </is>
      </c>
      <c r="C196" s="2" t="inlineStr">
        <is>
          <t>套利策略</t>
        </is>
      </c>
      <c r="D196" s="2" t="inlineStr">
        <is>
          <t>可转债套利</t>
        </is>
      </c>
      <c r="E196" s="2" t="inlineStr">
        <is>
          <t>上海杉阳</t>
        </is>
      </c>
      <c r="F196" s="2" t="inlineStr">
        <is>
          <t>2020-06-16</t>
        </is>
      </c>
      <c r="G196" s="2" t="inlineStr">
        <is>
          <t>1.0400%</t>
        </is>
      </c>
      <c r="H196" s="2" t="inlineStr">
        <is>
          <t>5.4000%</t>
        </is>
      </c>
      <c r="I196" s="2" t="inlineStr">
        <is>
          <t>67.5700%</t>
        </is>
      </c>
      <c r="J196" s="2" t="inlineStr">
        <is>
          <t>53.8500%</t>
        </is>
      </c>
      <c r="K196" s="2" t="inlineStr">
        <is>
          <t>5.2600%</t>
        </is>
      </c>
      <c r="L196" s="2" t="n">
        <v>1.0251</v>
      </c>
      <c r="M196" s="2" t="n">
        <v>0.3411</v>
      </c>
      <c r="N196" s="2" t="inlineStr">
        <is>
          <t>沪深300</t>
        </is>
      </c>
      <c r="O196" t="inlineStr">
        <is>
          <t>2026-08-31</t>
        </is>
      </c>
      <c r="P196" t="inlineStr">
        <is>
          <t>2026-09-15</t>
        </is>
      </c>
    </row>
    <row r="197">
      <c r="A197" s="2" t="inlineStr">
        <is>
          <t>聚亿具臻</t>
        </is>
      </c>
      <c r="B197" s="2" t="inlineStr">
        <is>
          <t>SLM995</t>
        </is>
      </c>
      <c r="C197" s="2" t="inlineStr">
        <is>
          <t>套利策略</t>
        </is>
      </c>
      <c r="D197" s="2" t="inlineStr">
        <is>
          <t>期货套利</t>
        </is>
      </c>
      <c r="E197" s="2" t="inlineStr">
        <is>
          <t>珠海聚亿基金</t>
        </is>
      </c>
      <c r="F197" s="2" t="inlineStr">
        <is>
          <t>2020-08-18</t>
        </is>
      </c>
      <c r="G197" s="2" t="inlineStr">
        <is>
          <t>31.8800%</t>
        </is>
      </c>
      <c r="H197" s="2" t="inlineStr">
        <is>
          <t>25.1500%</t>
        </is>
      </c>
      <c r="I197" s="2" t="inlineStr">
        <is>
          <t>64.8600%</t>
        </is>
      </c>
      <c r="J197" s="2" t="inlineStr">
        <is>
          <t>76.9200%</t>
        </is>
      </c>
      <c r="K197" s="2" t="inlineStr">
        <is>
          <t>7.8000%</t>
        </is>
      </c>
      <c r="L197" s="2" t="n">
        <v>3.2239</v>
      </c>
      <c r="M197" s="2" t="n">
        <v>10.8666</v>
      </c>
      <c r="N197" s="2" t="inlineStr">
        <is>
          <t>沪深300</t>
        </is>
      </c>
      <c r="O197" t="inlineStr">
        <is>
          <t>2026-08-31</t>
        </is>
      </c>
      <c r="P197" t="inlineStr">
        <is>
          <t>2026-09-15</t>
        </is>
      </c>
    </row>
    <row r="198">
      <c r="A198" s="2" t="inlineStr">
        <is>
          <t>盛泉恒元量化套利31号</t>
        </is>
      </c>
      <c r="B198" s="2" t="inlineStr">
        <is>
          <t>SLM933</t>
        </is>
      </c>
      <c r="C198" s="2" t="inlineStr">
        <is>
          <t>套利策略</t>
        </is>
      </c>
      <c r="D198" s="2" t="inlineStr">
        <is>
          <t>混合套利</t>
        </is>
      </c>
      <c r="E198" s="2" t="inlineStr">
        <is>
          <t>南京盛泉恒元投资</t>
        </is>
      </c>
      <c r="F198" s="2" t="inlineStr">
        <is>
          <t>2020-08-26</t>
        </is>
      </c>
      <c r="G198" s="2" t="inlineStr">
        <is>
          <t>9.1300%</t>
        </is>
      </c>
      <c r="H198" s="2" t="inlineStr">
        <is>
          <t>6.2600%</t>
        </is>
      </c>
      <c r="I198" s="2" t="inlineStr">
        <is>
          <t>72.9700%</t>
        </is>
      </c>
      <c r="J198" s="2" t="inlineStr">
        <is>
          <t>76.9200%</t>
        </is>
      </c>
      <c r="K198" s="2" t="inlineStr">
        <is>
          <t>6.6200%</t>
        </is>
      </c>
      <c r="L198" s="2" t="n">
        <v>0.946</v>
      </c>
      <c r="M198" s="2" t="n">
        <v>1.6627</v>
      </c>
      <c r="N198" s="2" t="inlineStr">
        <is>
          <t>沪深300</t>
        </is>
      </c>
      <c r="O198" t="inlineStr">
        <is>
          <t>2026-08-31</t>
        </is>
      </c>
      <c r="P198" t="inlineStr">
        <is>
          <t>2026-09-15</t>
        </is>
      </c>
    </row>
    <row r="199">
      <c r="A199" s="2" t="inlineStr">
        <is>
          <t>俊丹湾谷二号</t>
        </is>
      </c>
      <c r="B199" s="2" t="inlineStr">
        <is>
          <t>SLQ627</t>
        </is>
      </c>
      <c r="C199" s="2" t="inlineStr">
        <is>
          <t>套利策略</t>
        </is>
      </c>
      <c r="D199" s="2" t="inlineStr">
        <is>
          <t>可转债套利</t>
        </is>
      </c>
      <c r="E199" s="2" t="inlineStr">
        <is>
          <t>上海俊丹</t>
        </is>
      </c>
      <c r="F199" s="2" t="inlineStr">
        <is>
          <t>2020-08-26</t>
        </is>
      </c>
      <c r="G199" s="2" t="inlineStr">
        <is>
          <t>4.1600%</t>
        </is>
      </c>
      <c r="H199" s="2" t="inlineStr">
        <is>
          <t>5.2700%</t>
        </is>
      </c>
      <c r="I199" s="2" t="inlineStr">
        <is>
          <t>78.3800%</t>
        </is>
      </c>
      <c r="J199" s="2" t="inlineStr">
        <is>
          <t>76.9200%</t>
        </is>
      </c>
      <c r="K199" s="2" t="inlineStr">
        <is>
          <t>1.2600%</t>
        </is>
      </c>
      <c r="L199" s="2" t="n">
        <v>4.1684</v>
      </c>
      <c r="M199" s="2" t="n">
        <v>3.2955</v>
      </c>
      <c r="N199" s="2" t="inlineStr">
        <is>
          <t>沪深300</t>
        </is>
      </c>
      <c r="O199" t="inlineStr">
        <is>
          <t>2026-08-31</t>
        </is>
      </c>
      <c r="P199" t="inlineStr">
        <is>
          <t>2026-09-15</t>
        </is>
      </c>
    </row>
    <row r="200">
      <c r="A200" s="2" t="inlineStr">
        <is>
          <t>永泉奇点17号混合投资</t>
        </is>
      </c>
      <c r="B200" s="2" t="inlineStr">
        <is>
          <t>SNG016</t>
        </is>
      </c>
      <c r="C200" s="2" t="inlineStr">
        <is>
          <t>套利策略</t>
        </is>
      </c>
      <c r="D200" s="2" t="inlineStr">
        <is>
          <t>期货套利</t>
        </is>
      </c>
      <c r="E200" s="2" t="inlineStr">
        <is>
          <t>宁波永泉</t>
        </is>
      </c>
      <c r="F200" s="2" t="inlineStr">
        <is>
          <t>2020-11-20</t>
        </is>
      </c>
      <c r="G200" s="2" t="inlineStr">
        <is>
          <t>5.2000%</t>
        </is>
      </c>
      <c r="H200" s="2" t="inlineStr">
        <is>
          <t>11.7300%</t>
        </is>
      </c>
      <c r="I200" s="2" t="inlineStr">
        <is>
          <t>81.0800%</t>
        </is>
      </c>
      <c r="J200" s="2" t="inlineStr">
        <is>
          <t>84.6200%</t>
        </is>
      </c>
      <c r="K200" s="2" t="inlineStr">
        <is>
          <t>1.0800%</t>
        </is>
      </c>
      <c r="L200" s="2" t="n">
        <v>10.9059</v>
      </c>
      <c r="M200" s="2" t="n">
        <v>14.2093</v>
      </c>
      <c r="N200" s="2" t="inlineStr">
        <is>
          <t>沪深300</t>
        </is>
      </c>
      <c r="O200" t="inlineStr">
        <is>
          <t>2026-08-31</t>
        </is>
      </c>
      <c r="P200" t="inlineStr">
        <is>
          <t>2026-09-15</t>
        </is>
      </c>
    </row>
    <row r="201">
      <c r="A201" s="2" t="inlineStr">
        <is>
          <t>多打粮磬晟</t>
        </is>
      </c>
      <c r="B201" s="2" t="inlineStr">
        <is>
          <t>SNF235</t>
        </is>
      </c>
      <c r="C201" s="2" t="inlineStr">
        <is>
          <t>套利策略</t>
        </is>
      </c>
      <c r="D201" s="2" t="inlineStr">
        <is>
          <t>股票套利</t>
        </is>
      </c>
      <c r="E201" s="2" t="inlineStr">
        <is>
          <t>上海磬晟</t>
        </is>
      </c>
      <c r="F201" s="2" t="inlineStr">
        <is>
          <t>2020-12-10</t>
        </is>
      </c>
      <c r="G201" s="2" t="inlineStr">
        <is>
          <t>0.0000%</t>
        </is>
      </c>
      <c r="H201" s="2" t="inlineStr">
        <is>
          <t>-1.0000%</t>
        </is>
      </c>
      <c r="I201" s="2" t="inlineStr">
        <is>
          <t>54.0500%</t>
        </is>
      </c>
      <c r="J201" s="2" t="inlineStr">
        <is>
          <t>61.5400%</t>
        </is>
      </c>
      <c r="K201" s="2" t="inlineStr">
        <is>
          <t>11.5100%</t>
        </is>
      </c>
      <c r="L201" s="2" t="n">
        <v>-0.08699999999999999</v>
      </c>
      <c r="M201" s="2" t="n">
        <v>0.0001</v>
      </c>
      <c r="N201" s="2" t="inlineStr">
        <is>
          <t>沪深300</t>
        </is>
      </c>
      <c r="O201" t="inlineStr">
        <is>
          <t>2026-08-31</t>
        </is>
      </c>
      <c r="P201" t="inlineStr">
        <is>
          <t>2026-09-15</t>
        </is>
      </c>
    </row>
    <row r="202">
      <c r="A202" s="2" t="inlineStr">
        <is>
          <t>元康投资-稳健添利1号</t>
        </is>
      </c>
      <c r="B202" s="2" t="inlineStr">
        <is>
          <t>SNF469</t>
        </is>
      </c>
      <c r="C202" s="2" t="inlineStr">
        <is>
          <t>套利策略</t>
        </is>
      </c>
      <c r="D202" s="2" t="inlineStr">
        <is>
          <t>-</t>
        </is>
      </c>
      <c r="E202" s="2" t="inlineStr">
        <is>
          <t>上海元康投资</t>
        </is>
      </c>
      <c r="F202" s="2" t="inlineStr">
        <is>
          <t>2020-12-30</t>
        </is>
      </c>
      <c r="G202" s="2" t="inlineStr">
        <is>
          <t>0.9600%</t>
        </is>
      </c>
      <c r="H202" s="2" t="inlineStr">
        <is>
          <t>4.1700%</t>
        </is>
      </c>
      <c r="I202" s="2" t="inlineStr">
        <is>
          <t>51.3500%</t>
        </is>
      </c>
      <c r="J202" s="2" t="inlineStr">
        <is>
          <t>38.4600%</t>
        </is>
      </c>
      <c r="K202" s="2" t="inlineStr">
        <is>
          <t>1.2200%</t>
        </is>
      </c>
      <c r="L202" s="2" t="n">
        <v>3.4249</v>
      </c>
      <c r="M202" s="2" t="n">
        <v>1.0795</v>
      </c>
      <c r="N202" s="2" t="inlineStr">
        <is>
          <t>沪深300</t>
        </is>
      </c>
      <c r="O202" t="inlineStr">
        <is>
          <t>2026-08-31</t>
        </is>
      </c>
      <c r="P202" t="inlineStr">
        <is>
          <t>2026-09-15</t>
        </is>
      </c>
    </row>
    <row r="203">
      <c r="A203" s="2" t="inlineStr">
        <is>
          <t>鹿秀驯鹿20号</t>
        </is>
      </c>
      <c r="B203" s="2" t="inlineStr">
        <is>
          <t>SNQ397</t>
        </is>
      </c>
      <c r="C203" s="2" t="inlineStr">
        <is>
          <t>套利策略</t>
        </is>
      </c>
      <c r="D203" s="2" t="inlineStr">
        <is>
          <t>-</t>
        </is>
      </c>
      <c r="E203" s="2" t="inlineStr">
        <is>
          <t>青岛鹿秀投资</t>
        </is>
      </c>
      <c r="F203" s="2" t="inlineStr">
        <is>
          <t>2021-01-27</t>
        </is>
      </c>
      <c r="G203" s="2" t="inlineStr">
        <is>
          <t>25.4900%</t>
        </is>
      </c>
      <c r="H203" s="2" t="inlineStr">
        <is>
          <t>22.9800%</t>
        </is>
      </c>
      <c r="I203" s="2" t="inlineStr">
        <is>
          <t>54.0500%</t>
        </is>
      </c>
      <c r="J203" s="2" t="inlineStr">
        <is>
          <t>61.5400%</t>
        </is>
      </c>
      <c r="K203" s="2" t="inlineStr">
        <is>
          <t>27.3500%</t>
        </is>
      </c>
      <c r="L203" s="2" t="n">
        <v>0.8404</v>
      </c>
      <c r="M203" s="2" t="n">
        <v>1.8915</v>
      </c>
      <c r="N203" s="2" t="inlineStr">
        <is>
          <t>沪深300</t>
        </is>
      </c>
      <c r="O203" t="inlineStr">
        <is>
          <t>2026-08-31</t>
        </is>
      </c>
      <c r="P203" t="inlineStr">
        <is>
          <t>2026-09-15</t>
        </is>
      </c>
    </row>
    <row r="204">
      <c r="A204" s="2" t="inlineStr">
        <is>
          <t>宣夜投资涓流二号</t>
        </is>
      </c>
      <c r="B204" s="2" t="inlineStr">
        <is>
          <t>SQL764</t>
        </is>
      </c>
      <c r="C204" s="2" t="inlineStr">
        <is>
          <t>套利策略</t>
        </is>
      </c>
      <c r="D204" s="2" t="inlineStr">
        <is>
          <t>期货套利</t>
        </is>
      </c>
      <c r="E204" s="2" t="inlineStr">
        <is>
          <t>上海宣夜投资</t>
        </is>
      </c>
      <c r="F204" s="2" t="inlineStr">
        <is>
          <t>2021-05-11</t>
        </is>
      </c>
      <c r="G204" s="2" t="inlineStr">
        <is>
          <t>2.8400%</t>
        </is>
      </c>
      <c r="H204" s="2" t="inlineStr">
        <is>
          <t>4.0500%</t>
        </is>
      </c>
      <c r="I204" s="2" t="inlineStr">
        <is>
          <t>64.8600%</t>
        </is>
      </c>
      <c r="J204" s="2" t="inlineStr">
        <is>
          <t>46.1500%</t>
        </is>
      </c>
      <c r="K204" s="2" t="inlineStr">
        <is>
          <t>2.8300%</t>
        </is>
      </c>
      <c r="L204" s="2" t="n">
        <v>1.4309</v>
      </c>
      <c r="M204" s="2" t="n">
        <v>1.0033</v>
      </c>
      <c r="N204" s="2" t="inlineStr">
        <is>
          <t>沪深300</t>
        </is>
      </c>
      <c r="O204" t="inlineStr">
        <is>
          <t>2026-08-31</t>
        </is>
      </c>
      <c r="P204" t="inlineStr">
        <is>
          <t>2026-09-15</t>
        </is>
      </c>
    </row>
    <row r="205">
      <c r="A205" s="2" t="inlineStr">
        <is>
          <t>永泉奇点18号混合投资</t>
        </is>
      </c>
      <c r="B205" s="2" t="inlineStr">
        <is>
          <t>SNK980</t>
        </is>
      </c>
      <c r="C205" s="2" t="inlineStr">
        <is>
          <t>套利策略</t>
        </is>
      </c>
      <c r="D205" s="2" t="inlineStr">
        <is>
          <t>混合套利</t>
        </is>
      </c>
      <c r="E205" s="2" t="inlineStr">
        <is>
          <t>宁波永泉</t>
        </is>
      </c>
      <c r="F205" s="2" t="inlineStr">
        <is>
          <t>2021-05-18</t>
        </is>
      </c>
      <c r="G205" s="2" t="inlineStr">
        <is>
          <t>3.9100%</t>
        </is>
      </c>
      <c r="H205" s="2" t="inlineStr">
        <is>
          <t>6.6300%</t>
        </is>
      </c>
      <c r="I205" s="2" t="inlineStr">
        <is>
          <t>75.6800%</t>
        </is>
      </c>
      <c r="J205" s="2" t="inlineStr">
        <is>
          <t>76.9200%</t>
        </is>
      </c>
      <c r="K205" s="2" t="inlineStr">
        <is>
          <t>1.7400%</t>
        </is>
      </c>
      <c r="L205" s="2" t="n">
        <v>3.815</v>
      </c>
      <c r="M205" s="2" t="n">
        <v>4.3304</v>
      </c>
      <c r="N205" s="2" t="inlineStr">
        <is>
          <t>沪深300</t>
        </is>
      </c>
      <c r="O205" t="inlineStr">
        <is>
          <t>2026-08-31</t>
        </is>
      </c>
      <c r="P205" t="inlineStr">
        <is>
          <t>2026-09-15</t>
        </is>
      </c>
    </row>
    <row r="206">
      <c r="A206" s="2" t="inlineStr">
        <is>
          <t>惠隆金选套利1号</t>
        </is>
      </c>
      <c r="B206" s="2" t="inlineStr">
        <is>
          <t>SQG026</t>
        </is>
      </c>
      <c r="C206" s="2" t="inlineStr">
        <is>
          <t>套利策略</t>
        </is>
      </c>
      <c r="D206" s="2" t="inlineStr">
        <is>
          <t>期货套利</t>
        </is>
      </c>
      <c r="E206" s="2" t="inlineStr">
        <is>
          <t>北京惠隆资管</t>
        </is>
      </c>
      <c r="F206" s="2" t="inlineStr">
        <is>
          <t>2021-09-23</t>
        </is>
      </c>
      <c r="G206" s="2" t="inlineStr">
        <is>
          <t>13.3700%</t>
        </is>
      </c>
      <c r="H206" s="2" t="inlineStr">
        <is>
          <t>16.6400%</t>
        </is>
      </c>
      <c r="I206" s="2" t="inlineStr">
        <is>
          <t>100.0000%</t>
        </is>
      </c>
      <c r="J206" s="2" t="inlineStr">
        <is>
          <t>100.0000%</t>
        </is>
      </c>
      <c r="K206" s="2" t="inlineStr">
        <is>
          <t>0.2700%</t>
        </is>
      </c>
      <c r="L206" s="2" t="n">
        <v>61.1162</v>
      </c>
      <c r="M206" s="2" t="n">
        <v>49.1192</v>
      </c>
      <c r="N206" s="2" t="inlineStr">
        <is>
          <t>沪深300</t>
        </is>
      </c>
      <c r="O206" t="inlineStr">
        <is>
          <t>2026-08-31</t>
        </is>
      </c>
      <c r="P206" t="inlineStr">
        <is>
          <t>2026-09-15</t>
        </is>
      </c>
    </row>
    <row r="207">
      <c r="A207" s="2" t="inlineStr">
        <is>
          <t>景鹏稳进1号</t>
        </is>
      </c>
      <c r="B207" s="2" t="inlineStr">
        <is>
          <t>SSX278</t>
        </is>
      </c>
      <c r="C207" s="2" t="inlineStr">
        <is>
          <t>套利策略</t>
        </is>
      </c>
      <c r="D207" s="2" t="inlineStr">
        <is>
          <t>期货套利</t>
        </is>
      </c>
      <c r="E207" s="2" t="inlineStr">
        <is>
          <t>上海景鹏</t>
        </is>
      </c>
      <c r="F207" s="2" t="inlineStr">
        <is>
          <t>2021-10-11</t>
        </is>
      </c>
      <c r="G207" s="2" t="inlineStr">
        <is>
          <t>6.7300%</t>
        </is>
      </c>
      <c r="H207" s="2" t="inlineStr">
        <is>
          <t>6.1000%</t>
        </is>
      </c>
      <c r="I207" s="2" t="inlineStr">
        <is>
          <t>89.1900%</t>
        </is>
      </c>
      <c r="J207" s="2" t="inlineStr">
        <is>
          <t>92.3100%</t>
        </is>
      </c>
      <c r="K207" s="2" t="inlineStr">
        <is>
          <t>1.6100%</t>
        </is>
      </c>
      <c r="L207" s="2" t="n">
        <v>3.78</v>
      </c>
      <c r="M207" s="2" t="n">
        <v>10.6822</v>
      </c>
      <c r="N207" s="2" t="inlineStr">
        <is>
          <t>沪深300</t>
        </is>
      </c>
      <c r="O207" t="inlineStr">
        <is>
          <t>2026-08-31</t>
        </is>
      </c>
      <c r="P207" t="inlineStr">
        <is>
          <t>2026-09-15</t>
        </is>
      </c>
    </row>
    <row r="208">
      <c r="A208" s="2" t="inlineStr">
        <is>
          <t>久游投资4号</t>
        </is>
      </c>
      <c r="B208" s="2" t="inlineStr">
        <is>
          <t>STB214</t>
        </is>
      </c>
      <c r="C208" s="2" t="inlineStr">
        <is>
          <t>套利策略</t>
        </is>
      </c>
      <c r="D208" s="2" t="inlineStr">
        <is>
          <t>-</t>
        </is>
      </c>
      <c r="E208" s="2" t="inlineStr">
        <is>
          <t>深圳久游</t>
        </is>
      </c>
      <c r="F208" s="2" t="inlineStr">
        <is>
          <t>2021-11-05</t>
        </is>
      </c>
      <c r="G208" s="2" t="inlineStr">
        <is>
          <t>7.0800%</t>
        </is>
      </c>
      <c r="H208" s="2" t="inlineStr">
        <is>
          <t>7.8300%</t>
        </is>
      </c>
      <c r="I208" s="2" t="inlineStr">
        <is>
          <t>97.3000%</t>
        </is>
      </c>
      <c r="J208" s="2" t="inlineStr">
        <is>
          <t>100.0000%</t>
        </is>
      </c>
      <c r="K208" s="2" t="inlineStr">
        <is>
          <t>1.6400%</t>
        </is>
      </c>
      <c r="L208" s="2" t="n">
        <v>4.7854</v>
      </c>
      <c r="M208" s="2" t="n">
        <v>16.3845</v>
      </c>
      <c r="N208" s="2" t="inlineStr">
        <is>
          <t>沪深300</t>
        </is>
      </c>
      <c r="O208" t="inlineStr">
        <is>
          <t>2026-08-31</t>
        </is>
      </c>
      <c r="P208" t="inlineStr">
        <is>
          <t>2026-09-15</t>
        </is>
      </c>
    </row>
    <row r="209">
      <c r="A209" s="2" t="inlineStr">
        <is>
          <t>摩旗ETF套利1号</t>
        </is>
      </c>
      <c r="B209" s="2" t="inlineStr">
        <is>
          <t>STR466</t>
        </is>
      </c>
      <c r="C209" s="2" t="inlineStr">
        <is>
          <t>套利策略</t>
        </is>
      </c>
      <c r="D209" s="2" t="inlineStr">
        <is>
          <t>基金套利</t>
        </is>
      </c>
      <c r="E209" s="2" t="inlineStr">
        <is>
          <t>上海摩旗投资</t>
        </is>
      </c>
      <c r="F209" s="2" t="inlineStr">
        <is>
          <t>2022-01-10</t>
        </is>
      </c>
      <c r="G209" s="2" t="inlineStr">
        <is>
          <t>11.3300%</t>
        </is>
      </c>
      <c r="H209" s="2" t="inlineStr">
        <is>
          <t>14.5300%</t>
        </is>
      </c>
      <c r="I209" s="2" t="inlineStr">
        <is>
          <t>94.5900%</t>
        </is>
      </c>
      <c r="J209" s="2" t="inlineStr">
        <is>
          <t>100.0000%</t>
        </is>
      </c>
      <c r="K209" s="2" t="inlineStr">
        <is>
          <t>0.5700%</t>
        </is>
      </c>
      <c r="L209" s="2" t="n">
        <v>25.4591</v>
      </c>
      <c r="M209" s="2" t="n">
        <v>19.8523</v>
      </c>
      <c r="N209" s="2" t="inlineStr">
        <is>
          <t>沪深300</t>
        </is>
      </c>
      <c r="O209" t="inlineStr">
        <is>
          <t>2026-08-31</t>
        </is>
      </c>
      <c r="P209" t="inlineStr">
        <is>
          <t>2026-09-15</t>
        </is>
      </c>
    </row>
    <row r="210">
      <c r="A210" s="2" t="inlineStr">
        <is>
          <t>兆信期权中性2号A类</t>
        </is>
      </c>
      <c r="B210" s="2" t="inlineStr">
        <is>
          <t>TB977A</t>
        </is>
      </c>
      <c r="C210" s="2" t="inlineStr">
        <is>
          <t>套利策略</t>
        </is>
      </c>
      <c r="D210" s="2" t="inlineStr">
        <is>
          <t>期权套利</t>
        </is>
      </c>
      <c r="E210" s="2" t="inlineStr">
        <is>
          <t>江苏兆信</t>
        </is>
      </c>
      <c r="F210" s="2" t="inlineStr">
        <is>
          <t>2021-11-11</t>
        </is>
      </c>
      <c r="G210" s="2" t="inlineStr">
        <is>
          <t>13.1000%</t>
        </is>
      </c>
      <c r="H210" s="2" t="inlineStr">
        <is>
          <t>7.6900%</t>
        </is>
      </c>
      <c r="I210" s="2" t="inlineStr">
        <is>
          <t>81.0800%</t>
        </is>
      </c>
      <c r="J210" s="2" t="inlineStr">
        <is>
          <t>92.3100%</t>
        </is>
      </c>
      <c r="K210" s="2" t="inlineStr">
        <is>
          <t>8.0200%</t>
        </is>
      </c>
      <c r="L210" s="2" t="n">
        <v>0.9586</v>
      </c>
      <c r="M210" s="2" t="n">
        <v>8.975899999999999</v>
      </c>
      <c r="N210" s="2" t="inlineStr">
        <is>
          <t>沪深300</t>
        </is>
      </c>
      <c r="O210" t="inlineStr">
        <is>
          <t>2026-08-31</t>
        </is>
      </c>
      <c r="P210" t="inlineStr">
        <is>
          <t>2026-09-15</t>
        </is>
      </c>
    </row>
    <row r="211">
      <c r="A211" s="2" t="inlineStr">
        <is>
          <t>庄贤亨贞期权对冲</t>
        </is>
      </c>
      <c r="B211" s="2" t="inlineStr">
        <is>
          <t>STW239</t>
        </is>
      </c>
      <c r="C211" s="2" t="inlineStr">
        <is>
          <t>套利策略</t>
        </is>
      </c>
      <c r="D211" s="2" t="inlineStr">
        <is>
          <t>期权套利</t>
        </is>
      </c>
      <c r="E211" s="2" t="inlineStr">
        <is>
          <t>杭州庄贤投资</t>
        </is>
      </c>
      <c r="F211" s="2" t="inlineStr">
        <is>
          <t>2022-01-28</t>
        </is>
      </c>
      <c r="G211" s="2" t="inlineStr">
        <is>
          <t>4.0500%</t>
        </is>
      </c>
      <c r="H211" s="2" t="inlineStr">
        <is>
          <t>4.6500%</t>
        </is>
      </c>
      <c r="I211" s="2" t="inlineStr">
        <is>
          <t>75.6800%</t>
        </is>
      </c>
      <c r="J211" s="2" t="inlineStr">
        <is>
          <t>69.2300%</t>
        </is>
      </c>
      <c r="K211" s="2" t="inlineStr">
        <is>
          <t>1.3000%</t>
        </is>
      </c>
      <c r="L211" s="2" t="n">
        <v>3.5867</v>
      </c>
      <c r="M211" s="2" t="n">
        <v>9.4542</v>
      </c>
      <c r="N211" s="2" t="inlineStr">
        <is>
          <t>沪深300</t>
        </is>
      </c>
      <c r="O211" t="inlineStr">
        <is>
          <t>2026-08-31</t>
        </is>
      </c>
      <c r="P211" t="inlineStr">
        <is>
          <t>2026-09-15</t>
        </is>
      </c>
    </row>
    <row r="212">
      <c r="A212" s="2" t="inlineStr">
        <is>
          <t>悬铃尊享CTA8号</t>
        </is>
      </c>
      <c r="B212" s="2" t="inlineStr">
        <is>
          <t>STW103</t>
        </is>
      </c>
      <c r="C212" s="2" t="inlineStr">
        <is>
          <t>套利策略</t>
        </is>
      </c>
      <c r="D212" s="2" t="inlineStr">
        <is>
          <t>-</t>
        </is>
      </c>
      <c r="E212" s="2" t="inlineStr">
        <is>
          <t>上海悬铃</t>
        </is>
      </c>
      <c r="F212" s="2" t="inlineStr">
        <is>
          <t>2022-03-11</t>
        </is>
      </c>
      <c r="G212" s="2" t="inlineStr">
        <is>
          <t>-7.1000%</t>
        </is>
      </c>
      <c r="H212" s="2" t="inlineStr">
        <is>
          <t>4.1300%</t>
        </is>
      </c>
      <c r="I212" s="2" t="inlineStr">
        <is>
          <t>64.8600%</t>
        </is>
      </c>
      <c r="J212" s="2" t="inlineStr">
        <is>
          <t>38.4600%</t>
        </is>
      </c>
      <c r="K212" s="2" t="inlineStr">
        <is>
          <t>11.6700%</t>
        </is>
      </c>
      <c r="L212" s="2" t="n">
        <v>0.3538</v>
      </c>
      <c r="M212" s="2" t="n">
        <v>-0.6728</v>
      </c>
      <c r="N212" s="2" t="inlineStr">
        <is>
          <t>沪深300</t>
        </is>
      </c>
      <c r="O212" t="inlineStr">
        <is>
          <t>2026-08-31</t>
        </is>
      </c>
      <c r="P212" t="inlineStr">
        <is>
          <t>2026-09-15</t>
        </is>
      </c>
    </row>
    <row r="213">
      <c r="A213" s="2" t="inlineStr">
        <is>
          <t>起源天择稳健1号</t>
        </is>
      </c>
      <c r="B213" s="2" t="inlineStr">
        <is>
          <t>SVJ267</t>
        </is>
      </c>
      <c r="C213" s="2" t="inlineStr">
        <is>
          <t>套利策略</t>
        </is>
      </c>
      <c r="D213" s="2" t="inlineStr">
        <is>
          <t>-</t>
        </is>
      </c>
      <c r="E213" s="2" t="inlineStr">
        <is>
          <t>海南起源</t>
        </is>
      </c>
      <c r="F213" s="2" t="inlineStr">
        <is>
          <t>2022-03-23</t>
        </is>
      </c>
      <c r="G213" s="2" t="inlineStr">
        <is>
          <t>12.3100%</t>
        </is>
      </c>
      <c r="H213" s="2" t="inlineStr">
        <is>
          <t>12.1000%</t>
        </is>
      </c>
      <c r="I213" s="2" t="inlineStr">
        <is>
          <t>72.9700%</t>
        </is>
      </c>
      <c r="J213" s="2" t="inlineStr">
        <is>
          <t>76.9200%</t>
        </is>
      </c>
      <c r="K213" s="2" t="inlineStr">
        <is>
          <t>5.2900%</t>
        </is>
      </c>
      <c r="L213" s="2" t="n">
        <v>2.2876</v>
      </c>
      <c r="M213" s="2" t="n">
        <v>2.3286</v>
      </c>
      <c r="N213" s="2" t="inlineStr">
        <is>
          <t>沪深300</t>
        </is>
      </c>
      <c r="O213" t="inlineStr">
        <is>
          <t>2026-08-31</t>
        </is>
      </c>
      <c r="P213" t="inlineStr">
        <is>
          <t>2026-09-15</t>
        </is>
      </c>
    </row>
    <row r="214">
      <c r="A214" s="2" t="inlineStr">
        <is>
          <t>东玛多策略稳健1号</t>
        </is>
      </c>
      <c r="B214" s="2" t="inlineStr">
        <is>
          <t>SVG441</t>
        </is>
      </c>
      <c r="C214" s="2" t="inlineStr">
        <is>
          <t>套利策略</t>
        </is>
      </c>
      <c r="D214" s="2" t="inlineStr">
        <is>
          <t>-</t>
        </is>
      </c>
      <c r="E214" s="2" t="inlineStr">
        <is>
          <t>宁波东玛</t>
        </is>
      </c>
      <c r="F214" s="2" t="inlineStr">
        <is>
          <t>2022-03-28</t>
        </is>
      </c>
      <c r="G214" s="2" t="inlineStr">
        <is>
          <t>-14.5200%</t>
        </is>
      </c>
      <c r="H214" s="2" t="inlineStr">
        <is>
          <t>1.9000%</t>
        </is>
      </c>
      <c r="I214" s="2" t="inlineStr">
        <is>
          <t>45.9500%</t>
        </is>
      </c>
      <c r="J214" s="2" t="inlineStr">
        <is>
          <t>30.7700%</t>
        </is>
      </c>
      <c r="K214" s="2" t="inlineStr">
        <is>
          <t>17.4100%</t>
        </is>
      </c>
      <c r="L214" s="2" t="n">
        <v>0.1091</v>
      </c>
      <c r="M214" s="2" t="n">
        <v>-0.8339</v>
      </c>
      <c r="N214" s="2" t="inlineStr">
        <is>
          <t>沪深300</t>
        </is>
      </c>
      <c r="O214" t="inlineStr">
        <is>
          <t>2026-08-31</t>
        </is>
      </c>
      <c r="P214" t="inlineStr">
        <is>
          <t>2026-09-15</t>
        </is>
      </c>
    </row>
    <row r="215">
      <c r="A215" s="2" t="inlineStr">
        <is>
          <t>以利安得利混合1号</t>
        </is>
      </c>
      <c r="B215" s="2" t="inlineStr">
        <is>
          <t>SVJ912</t>
        </is>
      </c>
      <c r="C215" s="2" t="inlineStr">
        <is>
          <t>套利策略</t>
        </is>
      </c>
      <c r="D215" s="2" t="inlineStr">
        <is>
          <t>期货套利</t>
        </is>
      </c>
      <c r="E215" s="2" t="inlineStr">
        <is>
          <t>河南以利</t>
        </is>
      </c>
      <c r="F215" s="2" t="inlineStr">
        <is>
          <t>2022-04-13</t>
        </is>
      </c>
      <c r="G215" s="2" t="inlineStr">
        <is>
          <t>3.9300%</t>
        </is>
      </c>
      <c r="H215" s="2" t="inlineStr">
        <is>
          <t>8.6700%</t>
        </is>
      </c>
      <c r="I215" s="2" t="inlineStr">
        <is>
          <t>91.8900%</t>
        </is>
      </c>
      <c r="J215" s="2" t="inlineStr">
        <is>
          <t>84.6200%</t>
        </is>
      </c>
      <c r="K215" s="2" t="inlineStr">
        <is>
          <t>0.7100%</t>
        </is>
      </c>
      <c r="L215" s="2" t="n">
        <v>12.127</v>
      </c>
      <c r="M215" s="2" t="n">
        <v>33.6477</v>
      </c>
      <c r="N215" s="2" t="inlineStr">
        <is>
          <t>沪深300</t>
        </is>
      </c>
      <c r="O215" t="inlineStr">
        <is>
          <t>2026-08-31</t>
        </is>
      </c>
      <c r="P215" t="inlineStr">
        <is>
          <t>2026-09-15</t>
        </is>
      </c>
    </row>
    <row r="216">
      <c r="A216" s="2" t="inlineStr">
        <is>
          <t>外贸信托-明汯股票统计套利尊享BB期</t>
        </is>
      </c>
      <c r="B216" s="2" t="inlineStr">
        <is>
          <t>ZXD33Z202007010007152</t>
        </is>
      </c>
      <c r="C216" s="2" t="inlineStr">
        <is>
          <t>套利策略</t>
        </is>
      </c>
      <c r="D216" s="2" t="inlineStr">
        <is>
          <t>-</t>
        </is>
      </c>
      <c r="E216" s="2" t="inlineStr">
        <is>
          <t>外贸信托</t>
        </is>
      </c>
      <c r="F216" s="2" t="inlineStr">
        <is>
          <t>2020-07-17</t>
        </is>
      </c>
      <c r="G216" s="2" t="inlineStr">
        <is>
          <t>+2.78%</t>
        </is>
      </c>
      <c r="H216" s="2" t="inlineStr">
        <is>
          <t>+4.84%</t>
        </is>
      </c>
      <c r="I216" s="2" t="inlineStr">
        <is>
          <t>64.86%</t>
        </is>
      </c>
      <c r="J216" s="2" t="inlineStr">
        <is>
          <t>69.23%</t>
        </is>
      </c>
      <c r="K216" s="2" t="inlineStr">
        <is>
          <t>13.01%</t>
        </is>
      </c>
      <c r="L216" s="2" t="inlineStr">
        <is>
          <t>0.3724</t>
        </is>
      </c>
      <c r="M216" s="2" t="inlineStr">
        <is>
          <t>0.2137</t>
        </is>
      </c>
      <c r="N216" s="2" t="inlineStr">
        <is>
          <t>沪深300</t>
        </is>
      </c>
    </row>
    <row r="217">
      <c r="A217" s="2" t="inlineStr">
        <is>
          <t>外贸信托-明汯股票统计套利尊享AQ期</t>
        </is>
      </c>
      <c r="B217" s="2" t="inlineStr">
        <is>
          <t>ZXD33Z202007010005163</t>
        </is>
      </c>
      <c r="C217" s="2" t="inlineStr">
        <is>
          <t>套利策略</t>
        </is>
      </c>
      <c r="D217" s="2" t="inlineStr">
        <is>
          <t>-</t>
        </is>
      </c>
      <c r="E217" s="2" t="inlineStr">
        <is>
          <t>外贸信托</t>
        </is>
      </c>
      <c r="F217" s="2" t="inlineStr">
        <is>
          <t>2020-07-16</t>
        </is>
      </c>
      <c r="G217" s="2" t="inlineStr">
        <is>
          <t>+2.77%</t>
        </is>
      </c>
      <c r="H217" s="2" t="inlineStr">
        <is>
          <t>+4.81%</t>
        </is>
      </c>
      <c r="I217" s="2" t="inlineStr">
        <is>
          <t>64.86%</t>
        </is>
      </c>
      <c r="J217" s="2" t="inlineStr">
        <is>
          <t>69.23%</t>
        </is>
      </c>
      <c r="K217" s="2" t="inlineStr">
        <is>
          <t>12.99%</t>
        </is>
      </c>
      <c r="L217" s="2" t="inlineStr">
        <is>
          <t>0.3705</t>
        </is>
      </c>
      <c r="M217" s="2" t="inlineStr">
        <is>
          <t>0.2137</t>
        </is>
      </c>
      <c r="N217" s="2" t="inlineStr">
        <is>
          <t>沪深300</t>
        </is>
      </c>
    </row>
    <row r="218">
      <c r="A218" s="2" t="inlineStr">
        <is>
          <t>外贸信托-明汯股票统计套利尊享AX期</t>
        </is>
      </c>
      <c r="B218" s="2" t="inlineStr">
        <is>
          <t>ZXD33Z202007010006432</t>
        </is>
      </c>
      <c r="C218" s="2" t="inlineStr">
        <is>
          <t>套利策略</t>
        </is>
      </c>
      <c r="D218" s="2" t="inlineStr">
        <is>
          <t>-</t>
        </is>
      </c>
      <c r="E218" s="2" t="inlineStr">
        <is>
          <t>外贸信托</t>
        </is>
      </c>
      <c r="F218" s="2" t="inlineStr">
        <is>
          <t>2020-07-13</t>
        </is>
      </c>
      <c r="G218" s="2" t="inlineStr">
        <is>
          <t>+2.80%</t>
        </is>
      </c>
      <c r="H218" s="2" t="inlineStr">
        <is>
          <t>+4.84%</t>
        </is>
      </c>
      <c r="I218" s="2" t="inlineStr">
        <is>
          <t>64.86%</t>
        </is>
      </c>
      <c r="J218" s="2" t="inlineStr">
        <is>
          <t>69.23%</t>
        </is>
      </c>
      <c r="K218" s="2" t="inlineStr">
        <is>
          <t>13.01%</t>
        </is>
      </c>
      <c r="L218" s="2" t="inlineStr">
        <is>
          <t>0.3721</t>
        </is>
      </c>
      <c r="M218" s="2" t="inlineStr">
        <is>
          <t>0.2156</t>
        </is>
      </c>
      <c r="N218" s="2" t="inlineStr">
        <is>
          <t>沪深300</t>
        </is>
      </c>
    </row>
    <row r="219">
      <c r="A219" s="2" t="inlineStr">
        <is>
          <t>外贸信托-明汯股票统计套利尊享AP期</t>
        </is>
      </c>
      <c r="B219" s="2" t="inlineStr">
        <is>
          <t>ZXD33Z202007010005145</t>
        </is>
      </c>
      <c r="C219" s="2" t="inlineStr">
        <is>
          <t>套利策略</t>
        </is>
      </c>
      <c r="D219" s="2" t="inlineStr">
        <is>
          <t>-</t>
        </is>
      </c>
      <c r="E219" s="2" t="inlineStr">
        <is>
          <t>外贸信托</t>
        </is>
      </c>
      <c r="F219" s="2" t="inlineStr">
        <is>
          <t>2020-07-15</t>
        </is>
      </c>
      <c r="G219" s="2" t="inlineStr">
        <is>
          <t>+2.81%</t>
        </is>
      </c>
      <c r="H219" s="2" t="inlineStr">
        <is>
          <t>+4.84%</t>
        </is>
      </c>
      <c r="I219" s="2" t="inlineStr">
        <is>
          <t>64.86%</t>
        </is>
      </c>
      <c r="J219" s="2" t="inlineStr">
        <is>
          <t>69.23%</t>
        </is>
      </c>
      <c r="K219" s="2" t="inlineStr">
        <is>
          <t>13.01%</t>
        </is>
      </c>
      <c r="L219" s="2" t="inlineStr">
        <is>
          <t>0.3721</t>
        </is>
      </c>
      <c r="M219" s="2" t="inlineStr">
        <is>
          <t>0.2158</t>
        </is>
      </c>
      <c r="N219" s="2" t="inlineStr">
        <is>
          <t>沪深300</t>
        </is>
      </c>
    </row>
    <row r="220">
      <c r="A220" s="2" t="inlineStr">
        <is>
          <t>外贸信托-明汯股票统计套利尊享AZ期</t>
        </is>
      </c>
      <c r="B220" s="2" t="inlineStr">
        <is>
          <t>ZXD33Z202007010007134</t>
        </is>
      </c>
      <c r="C220" s="2" t="inlineStr">
        <is>
          <t>套利策略</t>
        </is>
      </c>
      <c r="D220" s="2" t="inlineStr">
        <is>
          <t>-</t>
        </is>
      </c>
      <c r="E220" s="2" t="inlineStr">
        <is>
          <t>外贸信托</t>
        </is>
      </c>
      <c r="F220" s="2" t="inlineStr">
        <is>
          <t>2020-07-14</t>
        </is>
      </c>
      <c r="G220" s="2" t="inlineStr">
        <is>
          <t>+2.85%</t>
        </is>
      </c>
      <c r="H220" s="2" t="inlineStr">
        <is>
          <t>+4.87%</t>
        </is>
      </c>
      <c r="I220" s="2" t="inlineStr">
        <is>
          <t>64.86%</t>
        </is>
      </c>
      <c r="J220" s="2" t="inlineStr">
        <is>
          <t>69.23%</t>
        </is>
      </c>
      <c r="K220" s="2" t="inlineStr">
        <is>
          <t>12.87%</t>
        </is>
      </c>
      <c r="L220" s="2" t="inlineStr">
        <is>
          <t>0.3785</t>
        </is>
      </c>
      <c r="M220" s="2" t="inlineStr">
        <is>
          <t>0.2218</t>
        </is>
      </c>
      <c r="N220" s="2" t="inlineStr">
        <is>
          <t>沪深300</t>
        </is>
      </c>
    </row>
    <row r="221">
      <c r="A221" s="2" t="inlineStr">
        <is>
          <t>外贸信托-明汯股票统计套利尊享AY期</t>
        </is>
      </c>
      <c r="B221" s="2" t="inlineStr">
        <is>
          <t>ZXD33Z202007010006450</t>
        </is>
      </c>
      <c r="C221" s="2" t="inlineStr">
        <is>
          <t>套利策略</t>
        </is>
      </c>
      <c r="D221" s="2" t="inlineStr">
        <is>
          <t>-</t>
        </is>
      </c>
      <c r="E221" s="2" t="inlineStr">
        <is>
          <t>外贸信托</t>
        </is>
      </c>
      <c r="F221" s="2" t="inlineStr">
        <is>
          <t>2020-07-13</t>
        </is>
      </c>
      <c r="G221" s="2" t="inlineStr">
        <is>
          <t>+2.74%</t>
        </is>
      </c>
      <c r="H221" s="2" t="inlineStr">
        <is>
          <t>+4.82%</t>
        </is>
      </c>
      <c r="I221" s="2" t="inlineStr">
        <is>
          <t>64.86%</t>
        </is>
      </c>
      <c r="J221" s="2" t="inlineStr">
        <is>
          <t>69.23%</t>
        </is>
      </c>
      <c r="K221" s="2" t="inlineStr">
        <is>
          <t>13.01%</t>
        </is>
      </c>
      <c r="L221" s="2" t="inlineStr">
        <is>
          <t>0.3705</t>
        </is>
      </c>
      <c r="M221" s="2" t="inlineStr">
        <is>
          <t>0.2103</t>
        </is>
      </c>
      <c r="N221" s="2" t="inlineStr">
        <is>
          <t>沪深300</t>
        </is>
      </c>
    </row>
    <row r="222">
      <c r="A222" s="2" t="inlineStr">
        <is>
          <t>外贸信托-明汯股票统计套利尊享AO期</t>
        </is>
      </c>
      <c r="B222" s="2" t="inlineStr">
        <is>
          <t>ZXD33Z202007010004920</t>
        </is>
      </c>
      <c r="C222" s="2" t="inlineStr">
        <is>
          <t>套利策略</t>
        </is>
      </c>
      <c r="D222" s="2" t="inlineStr">
        <is>
          <t>-</t>
        </is>
      </c>
      <c r="E222" s="2" t="inlineStr">
        <is>
          <t>外贸信托</t>
        </is>
      </c>
      <c r="F222" s="2" t="inlineStr">
        <is>
          <t>2020-07-09</t>
        </is>
      </c>
      <c r="G222" s="2" t="inlineStr">
        <is>
          <t>+2.80%</t>
        </is>
      </c>
      <c r="H222" s="2" t="inlineStr">
        <is>
          <t>+4.85%</t>
        </is>
      </c>
      <c r="I222" s="2" t="inlineStr">
        <is>
          <t>64.86%</t>
        </is>
      </c>
      <c r="J222" s="2" t="inlineStr">
        <is>
          <t>69.23%</t>
        </is>
      </c>
      <c r="K222" s="2" t="inlineStr">
        <is>
          <t>13.01%</t>
        </is>
      </c>
      <c r="L222" s="2" t="inlineStr">
        <is>
          <t>0.3729</t>
        </is>
      </c>
      <c r="M222" s="2" t="inlineStr">
        <is>
          <t>0.2156</t>
        </is>
      </c>
      <c r="N222" s="2" t="inlineStr">
        <is>
          <t>沪深300</t>
        </is>
      </c>
    </row>
    <row r="223">
      <c r="A223" s="2" t="inlineStr">
        <is>
          <t>外贸信托-明汯股票统计套利尊享AK期</t>
        </is>
      </c>
      <c r="B223" s="2" t="inlineStr">
        <is>
          <t>ZXD33Z202007010004713</t>
        </is>
      </c>
      <c r="C223" s="2" t="inlineStr">
        <is>
          <t>套利策略</t>
        </is>
      </c>
      <c r="D223" s="2" t="inlineStr">
        <is>
          <t>-</t>
        </is>
      </c>
      <c r="E223" s="2" t="inlineStr">
        <is>
          <t>外贸信托</t>
        </is>
      </c>
      <c r="F223" s="2" t="inlineStr">
        <is>
          <t>2020-07-07</t>
        </is>
      </c>
      <c r="G223" s="2" t="inlineStr">
        <is>
          <t>+2.81%</t>
        </is>
      </c>
      <c r="H223" s="2" t="inlineStr">
        <is>
          <t>+4.84%</t>
        </is>
      </c>
      <c r="I223" s="2" t="inlineStr">
        <is>
          <t>64.86%</t>
        </is>
      </c>
      <c r="J223" s="2" t="inlineStr">
        <is>
          <t>69.23%</t>
        </is>
      </c>
      <c r="K223" s="2" t="inlineStr">
        <is>
          <t>13.01%</t>
        </is>
      </c>
      <c r="L223" s="2" t="inlineStr">
        <is>
          <t>0.3720</t>
        </is>
      </c>
      <c r="M223" s="2" t="inlineStr">
        <is>
          <t>0.2156</t>
        </is>
      </c>
      <c r="N223" s="2" t="inlineStr">
        <is>
          <t>沪深300</t>
        </is>
      </c>
    </row>
    <row r="224">
      <c r="A224" s="2" t="inlineStr">
        <is>
          <t>外贸信托-明汯股票统计套利尊享AU期</t>
        </is>
      </c>
      <c r="B224" s="2" t="inlineStr">
        <is>
          <t>ZXD33Z202007010006389</t>
        </is>
      </c>
      <c r="C224" s="2" t="inlineStr">
        <is>
          <t>套利策略</t>
        </is>
      </c>
      <c r="D224" s="2" t="inlineStr">
        <is>
          <t>-</t>
        </is>
      </c>
      <c r="E224" s="2" t="inlineStr">
        <is>
          <t>外贸信托</t>
        </is>
      </c>
      <c r="F224" s="2" t="inlineStr">
        <is>
          <t>2020-07-09</t>
        </is>
      </c>
      <c r="G224" s="2" t="inlineStr">
        <is>
          <t>+2.79%</t>
        </is>
      </c>
      <c r="H224" s="2" t="inlineStr">
        <is>
          <t>+4.83%</t>
        </is>
      </c>
      <c r="I224" s="2" t="inlineStr">
        <is>
          <t>64.86%</t>
        </is>
      </c>
      <c r="J224" s="2" t="inlineStr">
        <is>
          <t>69.23%</t>
        </is>
      </c>
      <c r="K224" s="2" t="inlineStr">
        <is>
          <t>13.02%</t>
        </is>
      </c>
      <c r="L224" s="2" t="inlineStr">
        <is>
          <t>0.3712</t>
        </is>
      </c>
      <c r="M224" s="2" t="inlineStr">
        <is>
          <t>0.2141</t>
        </is>
      </c>
      <c r="N224" s="2" t="inlineStr">
        <is>
          <t>沪深300</t>
        </is>
      </c>
    </row>
    <row r="225">
      <c r="A225" s="2" t="inlineStr">
        <is>
          <t>外贸信托-明汯股票统计套利尊享AN期</t>
        </is>
      </c>
      <c r="B225" s="2" t="inlineStr">
        <is>
          <t>ZXD33Z202007010004911</t>
        </is>
      </c>
      <c r="C225" s="2" t="inlineStr">
        <is>
          <t>套利策略</t>
        </is>
      </c>
      <c r="D225" s="2" t="inlineStr">
        <is>
          <t>-</t>
        </is>
      </c>
      <c r="E225" s="2" t="inlineStr">
        <is>
          <t>外贸信托</t>
        </is>
      </c>
      <c r="F225" s="2" t="inlineStr">
        <is>
          <t>2020-07-08</t>
        </is>
      </c>
      <c r="G225" s="2" t="inlineStr">
        <is>
          <t>+2.79%</t>
        </is>
      </c>
      <c r="H225" s="2" t="inlineStr">
        <is>
          <t>+4.84%</t>
        </is>
      </c>
      <c r="I225" s="2" t="inlineStr">
        <is>
          <t>64.86%</t>
        </is>
      </c>
      <c r="J225" s="2" t="inlineStr">
        <is>
          <t>69.23%</t>
        </is>
      </c>
      <c r="K225" s="2" t="inlineStr">
        <is>
          <t>13.02%</t>
        </is>
      </c>
      <c r="L225" s="2" t="inlineStr">
        <is>
          <t>0.3721</t>
        </is>
      </c>
      <c r="M225" s="2" t="inlineStr">
        <is>
          <t>0.2147</t>
        </is>
      </c>
      <c r="N225" s="2" t="inlineStr">
        <is>
          <t>沪深300</t>
        </is>
      </c>
    </row>
    <row r="226">
      <c r="A226" s="2" t="inlineStr">
        <is>
          <t>外贸信托-明汯股票统计套利尊享AM期</t>
        </is>
      </c>
      <c r="B226" s="2" t="inlineStr">
        <is>
          <t>ZXD33Z202007010004902</t>
        </is>
      </c>
      <c r="C226" s="2" t="inlineStr">
        <is>
          <t>套利策略</t>
        </is>
      </c>
      <c r="D226" s="2" t="inlineStr">
        <is>
          <t>-</t>
        </is>
      </c>
      <c r="E226" s="2" t="inlineStr">
        <is>
          <t>外贸信托</t>
        </is>
      </c>
      <c r="F226" s="2" t="inlineStr">
        <is>
          <t>2020-07-07</t>
        </is>
      </c>
      <c r="G226" s="2" t="inlineStr">
        <is>
          <t>+2.74%</t>
        </is>
      </c>
      <c r="H226" s="2" t="inlineStr">
        <is>
          <t>+4.79%</t>
        </is>
      </c>
      <c r="I226" s="2" t="inlineStr">
        <is>
          <t>64.86%</t>
        </is>
      </c>
      <c r="J226" s="2" t="inlineStr">
        <is>
          <t>69.23%</t>
        </is>
      </c>
      <c r="K226" s="2" t="inlineStr">
        <is>
          <t>13.01%</t>
        </is>
      </c>
      <c r="L226" s="2" t="inlineStr">
        <is>
          <t>0.3677</t>
        </is>
      </c>
      <c r="M226" s="2" t="inlineStr">
        <is>
          <t>0.2107</t>
        </is>
      </c>
      <c r="N226" s="2" t="inlineStr">
        <is>
          <t>沪深300</t>
        </is>
      </c>
    </row>
    <row r="227">
      <c r="A227" s="2" t="inlineStr">
        <is>
          <t>外贸信托-明汯股票统计套利尊享AJ期</t>
        </is>
      </c>
      <c r="B227" s="2" t="inlineStr">
        <is>
          <t>ZXD33Z202002010016265</t>
        </is>
      </c>
      <c r="C227" s="2" t="inlineStr">
        <is>
          <t>套利策略</t>
        </is>
      </c>
      <c r="D227" s="2" t="inlineStr">
        <is>
          <t>-</t>
        </is>
      </c>
      <c r="E227" s="2" t="inlineStr">
        <is>
          <t>外贸信托</t>
        </is>
      </c>
      <c r="F227" s="2" t="inlineStr">
        <is>
          <t>2020-07-07</t>
        </is>
      </c>
      <c r="G227" s="2" t="inlineStr">
        <is>
          <t>+2.81%</t>
        </is>
      </c>
      <c r="H227" s="2" t="inlineStr">
        <is>
          <t>+4.86%</t>
        </is>
      </c>
      <c r="I227" s="2" t="inlineStr">
        <is>
          <t>64.86%</t>
        </is>
      </c>
      <c r="J227" s="2" t="inlineStr">
        <is>
          <t>69.23%</t>
        </is>
      </c>
      <c r="K227" s="2" t="inlineStr">
        <is>
          <t>13.01%</t>
        </is>
      </c>
      <c r="L227" s="2" t="inlineStr">
        <is>
          <t>0.3733</t>
        </is>
      </c>
      <c r="M227" s="2" t="inlineStr">
        <is>
          <t>0.2162</t>
        </is>
      </c>
      <c r="N227" s="2" t="inlineStr">
        <is>
          <t>沪深300</t>
        </is>
      </c>
    </row>
    <row r="228">
      <c r="A228" s="2" t="inlineStr">
        <is>
          <t>外贸信托-明汯股票统计套利尊享AW期</t>
        </is>
      </c>
      <c r="B228" s="2" t="inlineStr">
        <is>
          <t>ZXD33Z202007010006414</t>
        </is>
      </c>
      <c r="C228" s="2" t="inlineStr">
        <is>
          <t>套利策略</t>
        </is>
      </c>
      <c r="D228" s="2" t="inlineStr">
        <is>
          <t>-</t>
        </is>
      </c>
      <c r="E228" s="2" t="inlineStr">
        <is>
          <t>外贸信托</t>
        </is>
      </c>
      <c r="F228" s="2" t="inlineStr">
        <is>
          <t>2020-07-10</t>
        </is>
      </c>
      <c r="G228" s="2" t="inlineStr">
        <is>
          <t>+2.76%</t>
        </is>
      </c>
      <c r="H228" s="2" t="inlineStr">
        <is>
          <t>+4.66%</t>
        </is>
      </c>
      <c r="I228" s="2" t="inlineStr">
        <is>
          <t>64.86%</t>
        </is>
      </c>
      <c r="J228" s="2" t="inlineStr">
        <is>
          <t>69.23%</t>
        </is>
      </c>
      <c r="K228" s="2" t="inlineStr">
        <is>
          <t>13.01%</t>
        </is>
      </c>
      <c r="L228" s="2" t="inlineStr">
        <is>
          <t>0.3580</t>
        </is>
      </c>
      <c r="M228" s="2" t="inlineStr">
        <is>
          <t>0.2123</t>
        </is>
      </c>
      <c r="N228" s="2" t="inlineStr">
        <is>
          <t>沪深300</t>
        </is>
      </c>
    </row>
    <row r="229">
      <c r="A229" s="2" t="inlineStr">
        <is>
          <t>外贸信托-明汯股票统计套利尊享AV期</t>
        </is>
      </c>
      <c r="B229" s="2" t="inlineStr">
        <is>
          <t>ZXD33Z202007010006398</t>
        </is>
      </c>
      <c r="C229" s="2" t="inlineStr">
        <is>
          <t>套利策略</t>
        </is>
      </c>
      <c r="D229" s="2" t="inlineStr">
        <is>
          <t>-</t>
        </is>
      </c>
      <c r="E229" s="2" t="inlineStr">
        <is>
          <t>外贸信托</t>
        </is>
      </c>
      <c r="F229" s="2" t="inlineStr">
        <is>
          <t>2020-07-10</t>
        </is>
      </c>
      <c r="G229" s="2" t="inlineStr">
        <is>
          <t>+2.77%</t>
        </is>
      </c>
      <c r="H229" s="2" t="inlineStr">
        <is>
          <t>+4.83%</t>
        </is>
      </c>
      <c r="I229" s="2" t="inlineStr">
        <is>
          <t>64.86%</t>
        </is>
      </c>
      <c r="J229" s="2" t="inlineStr">
        <is>
          <t>69.23%</t>
        </is>
      </c>
      <c r="K229" s="2" t="inlineStr">
        <is>
          <t>12.99%</t>
        </is>
      </c>
      <c r="L229" s="2" t="inlineStr">
        <is>
          <t>0.3717</t>
        </is>
      </c>
      <c r="M229" s="2" t="inlineStr">
        <is>
          <t>0.2131</t>
        </is>
      </c>
      <c r="N229" s="2" t="inlineStr">
        <is>
          <t>沪深300</t>
        </is>
      </c>
    </row>
    <row r="230">
      <c r="A230" s="2" t="inlineStr">
        <is>
          <t>外贸信托-明汯股票统计套利尊享AL期</t>
        </is>
      </c>
      <c r="B230" s="2" t="inlineStr">
        <is>
          <t>ZXD33Z202007010004895</t>
        </is>
      </c>
      <c r="C230" s="2" t="inlineStr">
        <is>
          <t>套利策略</t>
        </is>
      </c>
      <c r="D230" s="2" t="inlineStr">
        <is>
          <t>-</t>
        </is>
      </c>
      <c r="E230" s="2" t="inlineStr">
        <is>
          <t>外贸信托</t>
        </is>
      </c>
      <c r="F230" s="2" t="inlineStr">
        <is>
          <t>2020-07-08</t>
        </is>
      </c>
      <c r="G230" s="2" t="inlineStr">
        <is>
          <t>+2.81%</t>
        </is>
      </c>
      <c r="H230" s="2" t="inlineStr">
        <is>
          <t>+4.85%</t>
        </is>
      </c>
      <c r="I230" s="2" t="inlineStr">
        <is>
          <t>64.86%</t>
        </is>
      </c>
      <c r="J230" s="2" t="inlineStr">
        <is>
          <t>69.23%</t>
        </is>
      </c>
      <c r="K230" s="2" t="inlineStr">
        <is>
          <t>13.01%</t>
        </is>
      </c>
      <c r="L230" s="2" t="inlineStr">
        <is>
          <t>0.3726</t>
        </is>
      </c>
      <c r="M230" s="2" t="inlineStr">
        <is>
          <t>0.2160</t>
        </is>
      </c>
      <c r="N230" s="2" t="inlineStr">
        <is>
          <t>沪深300</t>
        </is>
      </c>
    </row>
    <row r="231">
      <c r="A231" s="2" t="inlineStr">
        <is>
          <t>外贸信托-明汯股票统计套利尊享AI期</t>
        </is>
      </c>
      <c r="B231" s="2" t="inlineStr">
        <is>
          <t>ZXD33Z202002010016256</t>
        </is>
      </c>
      <c r="C231" s="2" t="inlineStr">
        <is>
          <t>套利策略</t>
        </is>
      </c>
      <c r="D231" s="2" t="inlineStr">
        <is>
          <t>-</t>
        </is>
      </c>
      <c r="E231" s="2" t="inlineStr">
        <is>
          <t>外贸信托</t>
        </is>
      </c>
      <c r="F231" s="2" t="inlineStr">
        <is>
          <t>2020-07-07</t>
        </is>
      </c>
      <c r="G231" s="2" t="inlineStr">
        <is>
          <t>+2.80%</t>
        </is>
      </c>
      <c r="H231" s="2" t="inlineStr">
        <is>
          <t>+4.85%</t>
        </is>
      </c>
      <c r="I231" s="2" t="inlineStr">
        <is>
          <t>64.86%</t>
        </is>
      </c>
      <c r="J231" s="2" t="inlineStr">
        <is>
          <t>69.23%</t>
        </is>
      </c>
      <c r="K231" s="2" t="inlineStr">
        <is>
          <t>13.00%</t>
        </is>
      </c>
      <c r="L231" s="2" t="inlineStr">
        <is>
          <t>0.3732</t>
        </is>
      </c>
      <c r="M231" s="2" t="inlineStr">
        <is>
          <t>0.2158</t>
        </is>
      </c>
      <c r="N231" s="2" t="inlineStr">
        <is>
          <t>沪深300</t>
        </is>
      </c>
    </row>
    <row r="232">
      <c r="A232" s="2" t="inlineStr">
        <is>
          <t>外贸信托-明汯股票统计套利尊享AA期</t>
        </is>
      </c>
      <c r="B232" s="2" t="inlineStr">
        <is>
          <t>ZXD33Z202002010016157</t>
        </is>
      </c>
      <c r="C232" s="2" t="inlineStr">
        <is>
          <t>套利策略</t>
        </is>
      </c>
      <c r="D232" s="2" t="inlineStr">
        <is>
          <t>-</t>
        </is>
      </c>
      <c r="E232" s="2" t="inlineStr">
        <is>
          <t>外贸信托</t>
        </is>
      </c>
      <c r="F232" s="2" t="inlineStr">
        <is>
          <t>2020-06-30</t>
        </is>
      </c>
      <c r="G232" s="2" t="inlineStr">
        <is>
          <t>+2.83%</t>
        </is>
      </c>
      <c r="H232" s="2" t="inlineStr">
        <is>
          <t>+4.85%</t>
        </is>
      </c>
      <c r="I232" s="2" t="inlineStr">
        <is>
          <t>64.86%</t>
        </is>
      </c>
      <c r="J232" s="2" t="inlineStr">
        <is>
          <t>69.23%</t>
        </is>
      </c>
      <c r="K232" s="2" t="inlineStr">
        <is>
          <t>12.98%</t>
        </is>
      </c>
      <c r="L232" s="2" t="inlineStr">
        <is>
          <t>0.3740</t>
        </is>
      </c>
      <c r="M232" s="2" t="inlineStr">
        <is>
          <t>0.2180</t>
        </is>
      </c>
      <c r="N232" s="2" t="inlineStr">
        <is>
          <t>沪深300</t>
        </is>
      </c>
    </row>
    <row r="233">
      <c r="A233" s="2" t="inlineStr">
        <is>
          <t>外贸信托-九坤统计套利2号E期</t>
        </is>
      </c>
      <c r="B233" s="2" t="inlineStr">
        <is>
          <t>ZXD33Z202001010014999</t>
        </is>
      </c>
      <c r="C233" s="2" t="inlineStr">
        <is>
          <t>套利策略</t>
        </is>
      </c>
      <c r="D233" s="2" t="inlineStr">
        <is>
          <t>-</t>
        </is>
      </c>
      <c r="E233" s="2" t="inlineStr">
        <is>
          <t>外贸信托</t>
        </is>
      </c>
      <c r="F233" s="2" t="inlineStr">
        <is>
          <t>2020-03-31</t>
        </is>
      </c>
      <c r="G233" s="2" t="inlineStr">
        <is>
          <t>+6.99%</t>
        </is>
      </c>
      <c r="H233" s="2" t="inlineStr">
        <is>
          <t>+6.19%</t>
        </is>
      </c>
      <c r="I233" s="2" t="inlineStr">
        <is>
          <t>70.27%</t>
        </is>
      </c>
      <c r="J233" s="2" t="inlineStr">
        <is>
          <t>61.54%</t>
        </is>
      </c>
      <c r="K233" s="2" t="inlineStr">
        <is>
          <t>13.49%</t>
        </is>
      </c>
      <c r="L233" s="2" t="inlineStr">
        <is>
          <t>0.4588</t>
        </is>
      </c>
      <c r="M233" s="2" t="inlineStr">
        <is>
          <t>2.2977</t>
        </is>
      </c>
      <c r="N233" s="2" t="inlineStr">
        <is>
          <t>沪深300</t>
        </is>
      </c>
    </row>
    <row r="234">
      <c r="A234" s="2" t="inlineStr">
        <is>
          <t>外贸信托-明汯股票统计套利尊享AF期</t>
        </is>
      </c>
      <c r="B234" s="2" t="inlineStr">
        <is>
          <t>ZXD33Z202002010016229</t>
        </is>
      </c>
      <c r="C234" s="2" t="inlineStr">
        <is>
          <t>套利策略</t>
        </is>
      </c>
      <c r="D234" s="2" t="inlineStr">
        <is>
          <t>-</t>
        </is>
      </c>
      <c r="E234" s="2" t="inlineStr">
        <is>
          <t>外贸信托</t>
        </is>
      </c>
      <c r="F234" s="2" t="inlineStr">
        <is>
          <t>2020-03-30</t>
        </is>
      </c>
      <c r="G234" s="2" t="inlineStr">
        <is>
          <t>+2.75%</t>
        </is>
      </c>
      <c r="H234" s="2" t="inlineStr">
        <is>
          <t>+4.80%</t>
        </is>
      </c>
      <c r="I234" s="2" t="inlineStr">
        <is>
          <t>64.86%</t>
        </is>
      </c>
      <c r="J234" s="2" t="inlineStr">
        <is>
          <t>69.23%</t>
        </is>
      </c>
      <c r="K234" s="2" t="inlineStr">
        <is>
          <t>12.96%</t>
        </is>
      </c>
      <c r="L234" s="2" t="inlineStr">
        <is>
          <t>0.3705</t>
        </is>
      </c>
      <c r="M234" s="2" t="inlineStr">
        <is>
          <t>0.2123</t>
        </is>
      </c>
      <c r="N234" s="2" t="inlineStr">
        <is>
          <t>沪深300</t>
        </is>
      </c>
    </row>
    <row r="235">
      <c r="A235" s="2" t="inlineStr">
        <is>
          <t>外贸信托-九坤统计套利2号F期</t>
        </is>
      </c>
      <c r="B235" s="2" t="inlineStr">
        <is>
          <t>ZXD33Z202001010015013</t>
        </is>
      </c>
      <c r="C235" s="2" t="inlineStr">
        <is>
          <t>套利策略</t>
        </is>
      </c>
      <c r="D235" s="2" t="inlineStr">
        <is>
          <t>-</t>
        </is>
      </c>
      <c r="E235" s="2" t="inlineStr">
        <is>
          <t>外贸信托</t>
        </is>
      </c>
      <c r="F235" s="2" t="inlineStr">
        <is>
          <t>2020-03-31</t>
        </is>
      </c>
      <c r="G235" s="2" t="inlineStr">
        <is>
          <t>+6.98%</t>
        </is>
      </c>
      <c r="H235" s="2" t="inlineStr">
        <is>
          <t>+6.18%</t>
        </is>
      </c>
      <c r="I235" s="2" t="inlineStr">
        <is>
          <t>70.27%</t>
        </is>
      </c>
      <c r="J235" s="2" t="inlineStr">
        <is>
          <t>61.54%</t>
        </is>
      </c>
      <c r="K235" s="2" t="inlineStr">
        <is>
          <t>13.49%</t>
        </is>
      </c>
      <c r="L235" s="2" t="inlineStr">
        <is>
          <t>0.4581</t>
        </is>
      </c>
      <c r="M235" s="2" t="inlineStr">
        <is>
          <t>2.2923</t>
        </is>
      </c>
      <c r="N235" s="2" t="inlineStr">
        <is>
          <t>沪深300</t>
        </is>
      </c>
    </row>
    <row r="236">
      <c r="A236" s="2" t="inlineStr">
        <is>
          <t>外贸信托-明汯股票统计套利尊享V期</t>
        </is>
      </c>
      <c r="B236" s="2" t="inlineStr">
        <is>
          <t>ZXD33Z202001010000541</t>
        </is>
      </c>
      <c r="C236" s="2" t="inlineStr">
        <is>
          <t>套利策略</t>
        </is>
      </c>
      <c r="D236" s="2" t="inlineStr">
        <is>
          <t>-</t>
        </is>
      </c>
      <c r="E236" s="2" t="inlineStr">
        <is>
          <t>外贸信托</t>
        </is>
      </c>
      <c r="F236" s="2" t="inlineStr">
        <is>
          <t>2020-02-20</t>
        </is>
      </c>
      <c r="G236" s="2" t="inlineStr">
        <is>
          <t>+2.79%</t>
        </is>
      </c>
      <c r="H236" s="2" t="inlineStr">
        <is>
          <t>+4.84%</t>
        </is>
      </c>
      <c r="I236" s="2" t="inlineStr">
        <is>
          <t>64.86%</t>
        </is>
      </c>
      <c r="J236" s="2" t="inlineStr">
        <is>
          <t>69.23%</t>
        </is>
      </c>
      <c r="K236" s="2" t="inlineStr">
        <is>
          <t>13.02%</t>
        </is>
      </c>
      <c r="L236" s="2" t="inlineStr">
        <is>
          <t>0.3719</t>
        </is>
      </c>
      <c r="M236" s="2" t="inlineStr">
        <is>
          <t>0.2140</t>
        </is>
      </c>
      <c r="N236" s="2" t="inlineStr">
        <is>
          <t>沪深300</t>
        </is>
      </c>
    </row>
    <row r="237">
      <c r="A237" s="2" t="inlineStr">
        <is>
          <t>外贸信托-明汯股票统计套利尊享T期</t>
        </is>
      </c>
      <c r="B237" s="2" t="inlineStr">
        <is>
          <t>ZXD33Z201911010018167</t>
        </is>
      </c>
      <c r="C237" s="2" t="inlineStr">
        <is>
          <t>套利策略</t>
        </is>
      </c>
      <c r="D237" s="2" t="inlineStr">
        <is>
          <t>-</t>
        </is>
      </c>
      <c r="E237" s="2" t="inlineStr">
        <is>
          <t>外贸信托</t>
        </is>
      </c>
      <c r="F237" s="2" t="inlineStr">
        <is>
          <t>2020-02-06</t>
        </is>
      </c>
      <c r="G237" s="2" t="inlineStr">
        <is>
          <t>+2.80%</t>
        </is>
      </c>
      <c r="H237" s="2" t="inlineStr">
        <is>
          <t>+4.85%</t>
        </is>
      </c>
      <c r="I237" s="2" t="inlineStr">
        <is>
          <t>64.86%</t>
        </is>
      </c>
      <c r="J237" s="2" t="inlineStr">
        <is>
          <t>69.23%</t>
        </is>
      </c>
      <c r="K237" s="2" t="inlineStr">
        <is>
          <t>13.00%</t>
        </is>
      </c>
      <c r="L237" s="2" t="inlineStr">
        <is>
          <t>0.3730</t>
        </is>
      </c>
      <c r="M237" s="2" t="inlineStr">
        <is>
          <t>0.2153</t>
        </is>
      </c>
      <c r="N237" s="2" t="inlineStr">
        <is>
          <t>沪深300</t>
        </is>
      </c>
    </row>
    <row r="238">
      <c r="A238" s="2" t="inlineStr">
        <is>
          <t>外贸信托-明汯股票统计套利尊享S期</t>
        </is>
      </c>
      <c r="B238" s="2" t="inlineStr">
        <is>
          <t>ZXD33Z201911010018158</t>
        </is>
      </c>
      <c r="C238" s="2" t="inlineStr">
        <is>
          <t>套利策略</t>
        </is>
      </c>
      <c r="D238" s="2" t="inlineStr">
        <is>
          <t>-</t>
        </is>
      </c>
      <c r="E238" s="2" t="inlineStr">
        <is>
          <t>外贸信托</t>
        </is>
      </c>
      <c r="F238" s="2" t="inlineStr">
        <is>
          <t>2020-01-21</t>
        </is>
      </c>
      <c r="G238" s="2" t="inlineStr">
        <is>
          <t>+2.82%</t>
        </is>
      </c>
      <c r="H238" s="2" t="inlineStr">
        <is>
          <t>+4.86%</t>
        </is>
      </c>
      <c r="I238" s="2" t="inlineStr">
        <is>
          <t>64.86%</t>
        </is>
      </c>
      <c r="J238" s="2" t="inlineStr">
        <is>
          <t>69.23%</t>
        </is>
      </c>
      <c r="K238" s="2" t="inlineStr">
        <is>
          <t>12.99%</t>
        </is>
      </c>
      <c r="L238" s="2" t="inlineStr">
        <is>
          <t>0.3743</t>
        </is>
      </c>
      <c r="M238" s="2" t="inlineStr">
        <is>
          <t>0.2173</t>
        </is>
      </c>
      <c r="N238" s="2" t="inlineStr">
        <is>
          <t>沪深300</t>
        </is>
      </c>
    </row>
    <row r="239">
      <c r="A239" s="2" t="inlineStr">
        <is>
          <t>外贸信托-明汯股票统计套利尊享R期</t>
        </is>
      </c>
      <c r="B239" s="2" t="inlineStr">
        <is>
          <t>ZXD33Z201911010018149</t>
        </is>
      </c>
      <c r="C239" s="2" t="inlineStr">
        <is>
          <t>套利策略</t>
        </is>
      </c>
      <c r="D239" s="2" t="inlineStr">
        <is>
          <t>-</t>
        </is>
      </c>
      <c r="E239" s="2" t="inlineStr">
        <is>
          <t>外贸信托</t>
        </is>
      </c>
      <c r="F239" s="2" t="inlineStr">
        <is>
          <t>2020-01-16</t>
        </is>
      </c>
      <c r="G239" s="2" t="inlineStr">
        <is>
          <t>+2.82%</t>
        </is>
      </c>
      <c r="H239" s="2" t="inlineStr">
        <is>
          <t>+4.85%</t>
        </is>
      </c>
      <c r="I239" s="2" t="inlineStr">
        <is>
          <t>64.86%</t>
        </is>
      </c>
      <c r="J239" s="2" t="inlineStr">
        <is>
          <t>69.23%</t>
        </is>
      </c>
      <c r="K239" s="2" t="inlineStr">
        <is>
          <t>12.98%</t>
        </is>
      </c>
      <c r="L239" s="2" t="inlineStr">
        <is>
          <t>0.3734</t>
        </is>
      </c>
      <c r="M239" s="2" t="inlineStr">
        <is>
          <t>0.2173</t>
        </is>
      </c>
      <c r="N239" s="2" t="inlineStr">
        <is>
          <t>沪深300</t>
        </is>
      </c>
    </row>
    <row r="240">
      <c r="A240" s="2" t="inlineStr">
        <is>
          <t>外贸信托-明汯股票统计套利尊享Q期</t>
        </is>
      </c>
      <c r="B240" s="2" t="inlineStr">
        <is>
          <t>ZXD33Z20191101001813X</t>
        </is>
      </c>
      <c r="C240" s="2" t="inlineStr">
        <is>
          <t>套利策略</t>
        </is>
      </c>
      <c r="D240" s="2" t="inlineStr">
        <is>
          <t>-</t>
        </is>
      </c>
      <c r="E240" s="2" t="inlineStr">
        <is>
          <t>外贸信托</t>
        </is>
      </c>
      <c r="F240" s="2" t="inlineStr">
        <is>
          <t>2020-01-09</t>
        </is>
      </c>
      <c r="G240" s="2" t="inlineStr">
        <is>
          <t>+2.79%</t>
        </is>
      </c>
      <c r="H240" s="2" t="inlineStr">
        <is>
          <t>+4.74%</t>
        </is>
      </c>
      <c r="I240" s="2" t="inlineStr">
        <is>
          <t>64.86%</t>
        </is>
      </c>
      <c r="J240" s="2" t="inlineStr">
        <is>
          <t>69.23%</t>
        </is>
      </c>
      <c r="K240" s="2" t="inlineStr">
        <is>
          <t>12.99%</t>
        </is>
      </c>
      <c r="L240" s="2" t="inlineStr">
        <is>
          <t>0.3649</t>
        </is>
      </c>
      <c r="M240" s="2" t="inlineStr">
        <is>
          <t>0.2146</t>
        </is>
      </c>
      <c r="N240" s="2" t="inlineStr">
        <is>
          <t>沪深300</t>
        </is>
      </c>
    </row>
    <row r="241">
      <c r="A241" s="2" t="inlineStr">
        <is>
          <t>外贸信托-明汯股票统计套利尊享K期</t>
        </is>
      </c>
      <c r="B241" s="2" t="inlineStr">
        <is>
          <t>ZXD33Z201911010018077</t>
        </is>
      </c>
      <c r="C241" s="2" t="inlineStr">
        <is>
          <t>套利策略</t>
        </is>
      </c>
      <c r="D241" s="2" t="inlineStr">
        <is>
          <t>-</t>
        </is>
      </c>
      <c r="E241" s="2" t="inlineStr">
        <is>
          <t>外贸信托</t>
        </is>
      </c>
      <c r="F241" s="2" t="inlineStr">
        <is>
          <t>2019-12-20</t>
        </is>
      </c>
      <c r="G241" s="2" t="inlineStr">
        <is>
          <t>+2.77%</t>
        </is>
      </c>
      <c r="H241" s="2" t="inlineStr">
        <is>
          <t>+4.81%</t>
        </is>
      </c>
      <c r="I241" s="2" t="inlineStr">
        <is>
          <t>64.86%</t>
        </is>
      </c>
      <c r="J241" s="2" t="inlineStr">
        <is>
          <t>69.23%</t>
        </is>
      </c>
      <c r="K241" s="2" t="inlineStr">
        <is>
          <t>13.02%</t>
        </is>
      </c>
      <c r="L241" s="2" t="inlineStr">
        <is>
          <t>0.3698</t>
        </is>
      </c>
      <c r="M241" s="2" t="inlineStr">
        <is>
          <t>0.2125</t>
        </is>
      </c>
      <c r="N241" s="2" t="inlineStr">
        <is>
          <t>沪深300</t>
        </is>
      </c>
    </row>
    <row r="242">
      <c r="A242" s="2" t="inlineStr">
        <is>
          <t>外贸信托-明汯股票统计套利尊享O期</t>
        </is>
      </c>
      <c r="B242" s="2" t="inlineStr">
        <is>
          <t>ZXD33Z201911010018111</t>
        </is>
      </c>
      <c r="C242" s="2" t="inlineStr">
        <is>
          <t>套利策略</t>
        </is>
      </c>
      <c r="D242" s="2" t="inlineStr">
        <is>
          <t>-</t>
        </is>
      </c>
      <c r="E242" s="2" t="inlineStr">
        <is>
          <t>外贸信托</t>
        </is>
      </c>
      <c r="F242" s="2" t="inlineStr">
        <is>
          <t>2019-12-26</t>
        </is>
      </c>
      <c r="G242" s="2" t="inlineStr">
        <is>
          <t>+2.79%</t>
        </is>
      </c>
      <c r="H242" s="2" t="inlineStr">
        <is>
          <t>+4.80%</t>
        </is>
      </c>
      <c r="I242" s="2" t="inlineStr">
        <is>
          <t>64.86%</t>
        </is>
      </c>
      <c r="J242" s="2" t="inlineStr">
        <is>
          <t>69.23%</t>
        </is>
      </c>
      <c r="K242" s="2" t="inlineStr">
        <is>
          <t>12.98%</t>
        </is>
      </c>
      <c r="L242" s="2" t="inlineStr">
        <is>
          <t>0.3697</t>
        </is>
      </c>
      <c r="M242" s="2" t="inlineStr">
        <is>
          <t>0.2147</t>
        </is>
      </c>
      <c r="N242" s="2" t="inlineStr">
        <is>
          <t>沪深300</t>
        </is>
      </c>
    </row>
    <row r="243">
      <c r="A243" s="2" t="inlineStr">
        <is>
          <t>放牛人5号</t>
        </is>
      </c>
      <c r="B243" s="2" t="inlineStr">
        <is>
          <t>SVH487</t>
        </is>
      </c>
      <c r="C243" s="2" t="inlineStr">
        <is>
          <t>套利策略</t>
        </is>
      </c>
      <c r="D243" s="2" t="inlineStr">
        <is>
          <t>期货套利</t>
        </is>
      </c>
      <c r="E243" s="2" t="inlineStr">
        <is>
          <t>上海放牛人</t>
        </is>
      </c>
      <c r="F243" s="2" t="inlineStr">
        <is>
          <t>2022-06-17</t>
        </is>
      </c>
      <c r="G243" s="2" t="inlineStr">
        <is>
          <t>9.4600%</t>
        </is>
      </c>
      <c r="H243" s="2" t="inlineStr">
        <is>
          <t>8.1000%</t>
        </is>
      </c>
      <c r="I243" s="2" t="inlineStr">
        <is>
          <t>94.5900%</t>
        </is>
      </c>
      <c r="J243" s="2" t="inlineStr">
        <is>
          <t>100.0000%</t>
        </is>
      </c>
      <c r="K243" s="2" t="inlineStr">
        <is>
          <t>0.3300%</t>
        </is>
      </c>
      <c r="L243" s="2" t="n">
        <v>24.232</v>
      </c>
      <c r="M243" s="2" t="n">
        <v>89.71129999999999</v>
      </c>
      <c r="N243" s="2" t="inlineStr">
        <is>
          <t>沪深300</t>
        </is>
      </c>
      <c r="O243" t="inlineStr">
        <is>
          <t>2026-08-31</t>
        </is>
      </c>
      <c r="P243" t="inlineStr">
        <is>
          <t>2026-09-15</t>
        </is>
      </c>
    </row>
    <row r="244">
      <c r="A244" s="2" t="inlineStr">
        <is>
          <t>鹿秀呦呦1号</t>
        </is>
      </c>
      <c r="B244" s="2" t="inlineStr">
        <is>
          <t>SVY067</t>
        </is>
      </c>
      <c r="C244" s="2" t="inlineStr">
        <is>
          <t>套利策略</t>
        </is>
      </c>
      <c r="D244" s="2" t="inlineStr">
        <is>
          <t>-</t>
        </is>
      </c>
      <c r="E244" s="2" t="inlineStr">
        <is>
          <t>青岛鹿秀投资</t>
        </is>
      </c>
      <c r="F244" s="2" t="inlineStr">
        <is>
          <t>2022-07-01</t>
        </is>
      </c>
      <c r="G244" s="2" t="inlineStr">
        <is>
          <t>-1.5200%</t>
        </is>
      </c>
      <c r="H244" s="2" t="inlineStr">
        <is>
          <t>25.6600%</t>
        </is>
      </c>
      <c r="I244" s="2" t="inlineStr">
        <is>
          <t>59.4600%</t>
        </is>
      </c>
      <c r="J244" s="2" t="inlineStr">
        <is>
          <t>69.2300%</t>
        </is>
      </c>
      <c r="K244" s="2" t="inlineStr">
        <is>
          <t>34.1400%</t>
        </is>
      </c>
      <c r="L244" s="2" t="n">
        <v>0.7517</v>
      </c>
      <c r="M244" s="2" t="n">
        <v>-0.06759999999999999</v>
      </c>
      <c r="N244" s="2" t="inlineStr">
        <is>
          <t>沪深300</t>
        </is>
      </c>
      <c r="O244" t="inlineStr">
        <is>
          <t>2026-08-31</t>
        </is>
      </c>
      <c r="P244" t="inlineStr">
        <is>
          <t>2026-09-15</t>
        </is>
      </c>
    </row>
    <row r="245">
      <c r="A245" s="2" t="inlineStr">
        <is>
          <t>慕途基本面量化1号</t>
        </is>
      </c>
      <c r="B245" s="2" t="inlineStr">
        <is>
          <t>SVW787</t>
        </is>
      </c>
      <c r="C245" s="2" t="inlineStr">
        <is>
          <t>套利策略</t>
        </is>
      </c>
      <c r="D245" s="2" t="inlineStr">
        <is>
          <t>期货套利</t>
        </is>
      </c>
      <c r="E245" s="2" t="inlineStr">
        <is>
          <t>慕途基金</t>
        </is>
      </c>
      <c r="F245" s="2" t="inlineStr">
        <is>
          <t>2022-07-08</t>
        </is>
      </c>
      <c r="G245" s="2" t="inlineStr">
        <is>
          <t>10.6600%</t>
        </is>
      </c>
      <c r="H245" s="2" t="inlineStr">
        <is>
          <t>9.3100%</t>
        </is>
      </c>
      <c r="I245" s="2" t="inlineStr">
        <is>
          <t>72.9700%</t>
        </is>
      </c>
      <c r="J245" s="2" t="inlineStr">
        <is>
          <t>69.2300%</t>
        </is>
      </c>
      <c r="K245" s="2" t="inlineStr">
        <is>
          <t>4.0200%</t>
        </is>
      </c>
      <c r="L245" s="2" t="n">
        <v>2.3152</v>
      </c>
      <c r="M245" s="2" t="n">
        <v>2.6508</v>
      </c>
      <c r="N245" s="2" t="inlineStr">
        <is>
          <t>沪深300</t>
        </is>
      </c>
      <c r="O245" t="inlineStr">
        <is>
          <t>2026-08-31</t>
        </is>
      </c>
      <c r="P245" t="inlineStr">
        <is>
          <t>2026-09-15</t>
        </is>
      </c>
    </row>
    <row r="246">
      <c r="A246" s="2" t="inlineStr">
        <is>
          <t>金和金诚5号</t>
        </is>
      </c>
      <c r="B246" s="2" t="inlineStr">
        <is>
          <t>SVZ035</t>
        </is>
      </c>
      <c r="C246" s="2" t="inlineStr">
        <is>
          <t>套利策略</t>
        </is>
      </c>
      <c r="D246" s="2" t="inlineStr">
        <is>
          <t>基金套利</t>
        </is>
      </c>
      <c r="E246" s="2" t="inlineStr">
        <is>
          <t>上海金和晟</t>
        </is>
      </c>
      <c r="F246" s="2" t="inlineStr">
        <is>
          <t>2022-07-07</t>
        </is>
      </c>
      <c r="G246" s="2" t="inlineStr">
        <is>
          <t>8.4300%</t>
        </is>
      </c>
      <c r="H246" s="2" t="inlineStr">
        <is>
          <t>12.3200%</t>
        </is>
      </c>
      <c r="I246" s="2" t="inlineStr">
        <is>
          <t>70.5900%</t>
        </is>
      </c>
      <c r="J246" s="2" t="inlineStr">
        <is>
          <t>69.2300%</t>
        </is>
      </c>
      <c r="K246" s="2" t="inlineStr">
        <is>
          <t>1.8700%</t>
        </is>
      </c>
      <c r="L246" s="2" t="n">
        <v>6.5953</v>
      </c>
      <c r="M246" s="2" t="n">
        <v>4.5121</v>
      </c>
      <c r="N246" s="2" t="inlineStr">
        <is>
          <t>沪深300</t>
        </is>
      </c>
      <c r="O246" t="inlineStr">
        <is>
          <t>2026-08-31</t>
        </is>
      </c>
      <c r="P246" t="inlineStr">
        <is>
          <t>2026-09-15</t>
        </is>
      </c>
    </row>
    <row r="247">
      <c r="A247" s="2" t="inlineStr">
        <is>
          <t>殊馥馥源套利6号</t>
        </is>
      </c>
      <c r="B247" s="2" t="inlineStr">
        <is>
          <t>SXA180</t>
        </is>
      </c>
      <c r="C247" s="2" t="inlineStr">
        <is>
          <t>套利策略</t>
        </is>
      </c>
      <c r="D247" s="2" t="inlineStr">
        <is>
          <t>基金套利</t>
        </is>
      </c>
      <c r="E247" s="2" t="inlineStr">
        <is>
          <t>上海殊馥投资</t>
        </is>
      </c>
      <c r="F247" s="2" t="inlineStr">
        <is>
          <t>2022-08-03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inlineStr">
        <is>
          <t>沪深300</t>
        </is>
      </c>
      <c r="O247" t="inlineStr">
        <is>
          <t>2026-08-31</t>
        </is>
      </c>
      <c r="P247" t="inlineStr">
        <is>
          <t>2026-09-15</t>
        </is>
      </c>
    </row>
    <row r="248">
      <c r="A248" s="2" t="inlineStr">
        <is>
          <t>守正卓越一号</t>
        </is>
      </c>
      <c r="B248" s="2" t="inlineStr">
        <is>
          <t>SVY984</t>
        </is>
      </c>
      <c r="C248" s="2" t="inlineStr">
        <is>
          <t>套利策略</t>
        </is>
      </c>
      <c r="D248" s="2" t="inlineStr">
        <is>
          <t>-</t>
        </is>
      </c>
      <c r="E248" s="2" t="inlineStr">
        <is>
          <t>山东守正</t>
        </is>
      </c>
      <c r="F248" s="2" t="inlineStr">
        <is>
          <t>2022-07-27</t>
        </is>
      </c>
      <c r="G248" s="2" t="inlineStr">
        <is>
          <t>4.9800%</t>
        </is>
      </c>
      <c r="H248" s="2" t="inlineStr">
        <is>
          <t>10.5700%</t>
        </is>
      </c>
      <c r="I248" s="2" t="inlineStr">
        <is>
          <t>78.3800%</t>
        </is>
      </c>
      <c r="J248" s="2" t="inlineStr">
        <is>
          <t>100.0000%</t>
        </is>
      </c>
      <c r="K248" s="2" t="inlineStr">
        <is>
          <t>11.8500%</t>
        </is>
      </c>
      <c r="L248" s="2" t="n">
        <v>0.892</v>
      </c>
      <c r="M248" s="2" t="n">
        <v>24.1653</v>
      </c>
      <c r="N248" s="2" t="inlineStr">
        <is>
          <t>沪深300</t>
        </is>
      </c>
      <c r="O248" t="inlineStr">
        <is>
          <t>2026-08-31</t>
        </is>
      </c>
      <c r="P248" t="inlineStr">
        <is>
          <t>2026-09-15</t>
        </is>
      </c>
    </row>
    <row r="249">
      <c r="A249" s="2" t="inlineStr">
        <is>
          <t>东方富银宏观量化1号</t>
        </is>
      </c>
      <c r="B249" s="2" t="inlineStr">
        <is>
          <t>SXA890</t>
        </is>
      </c>
      <c r="C249" s="2" t="inlineStr">
        <is>
          <t>套利策略</t>
        </is>
      </c>
      <c r="D249" s="2" t="inlineStr">
        <is>
          <t>-</t>
        </is>
      </c>
      <c r="E249" s="2" t="inlineStr">
        <is>
          <t>深圳东方富银投资</t>
        </is>
      </c>
      <c r="F249" s="2" t="inlineStr">
        <is>
          <t>2022-08-03</t>
        </is>
      </c>
      <c r="G249" s="2" t="inlineStr">
        <is>
          <t>6.6300%</t>
        </is>
      </c>
      <c r="H249" s="2" t="inlineStr">
        <is>
          <t>8.3900%</t>
        </is>
      </c>
      <c r="I249" s="2" t="inlineStr">
        <is>
          <t>78.3800%</t>
        </is>
      </c>
      <c r="J249" s="2" t="inlineStr">
        <is>
          <t>92.3100%</t>
        </is>
      </c>
      <c r="K249" s="2" t="inlineStr">
        <is>
          <t>3.4700%</t>
        </is>
      </c>
      <c r="L249" s="2" t="n">
        <v>2.4182</v>
      </c>
      <c r="M249" s="2" t="n">
        <v>9.440300000000001</v>
      </c>
      <c r="N249" s="2" t="inlineStr">
        <is>
          <t>沪深300</t>
        </is>
      </c>
      <c r="O249" t="inlineStr">
        <is>
          <t>2026-08-31</t>
        </is>
      </c>
      <c r="P249" t="inlineStr">
        <is>
          <t>2026-09-15</t>
        </is>
      </c>
    </row>
    <row r="250">
      <c r="A250" s="2" t="inlineStr">
        <is>
          <t>致同添利套利多策略三期A类</t>
        </is>
      </c>
      <c r="B250" s="2" t="inlineStr">
        <is>
          <t>TY632A</t>
        </is>
      </c>
      <c r="C250" s="2" t="inlineStr">
        <is>
          <t>套利策略</t>
        </is>
      </c>
      <c r="D250" s="2" t="inlineStr">
        <is>
          <t>期货套利</t>
        </is>
      </c>
      <c r="E250" s="2" t="inlineStr">
        <is>
          <t>上海致同投资</t>
        </is>
      </c>
      <c r="F250" s="2" t="inlineStr">
        <is>
          <t>2022-07-28</t>
        </is>
      </c>
      <c r="G250" s="2" t="inlineStr">
        <is>
          <t>3.0400%</t>
        </is>
      </c>
      <c r="H250" s="2" t="inlineStr">
        <is>
          <t>3.5500%</t>
        </is>
      </c>
      <c r="I250" s="2" t="inlineStr">
        <is>
          <t>78.3800%</t>
        </is>
      </c>
      <c r="J250" s="2" t="inlineStr">
        <is>
          <t>76.9200%</t>
        </is>
      </c>
      <c r="K250" s="2" t="inlineStr">
        <is>
          <t>0.8600%</t>
        </is>
      </c>
      <c r="L250" s="2" t="n">
        <v>4.1471</v>
      </c>
      <c r="M250" s="2" t="n">
        <v>3.5482</v>
      </c>
      <c r="N250" s="2" t="inlineStr">
        <is>
          <t>沪深300</t>
        </is>
      </c>
      <c r="O250" t="inlineStr">
        <is>
          <t>2026-08-31</t>
        </is>
      </c>
      <c r="P250" t="inlineStr">
        <is>
          <t>2026-09-15</t>
        </is>
      </c>
    </row>
    <row r="251">
      <c r="A251" s="2" t="inlineStr">
        <is>
          <t>炽浪衍复9号</t>
        </is>
      </c>
      <c r="B251" s="2" t="inlineStr">
        <is>
          <t>SXH337</t>
        </is>
      </c>
      <c r="C251" s="2" t="inlineStr">
        <is>
          <t>套利策略</t>
        </is>
      </c>
      <c r="D251" s="2" t="inlineStr">
        <is>
          <t>-</t>
        </is>
      </c>
      <c r="E251" s="2" t="inlineStr">
        <is>
          <t>海南炽浪</t>
        </is>
      </c>
      <c r="F251" s="2" t="inlineStr">
        <is>
          <t>2022-09-15</t>
        </is>
      </c>
      <c r="G251" s="2" t="inlineStr">
        <is>
          <t>88.6800%</t>
        </is>
      </c>
      <c r="H251" s="2" t="inlineStr">
        <is>
          <t>44.4100%</t>
        </is>
      </c>
      <c r="I251" s="2" t="inlineStr">
        <is>
          <t>56.7600%</t>
        </is>
      </c>
      <c r="J251" s="2" t="inlineStr">
        <is>
          <t>61.5400%</t>
        </is>
      </c>
      <c r="K251" s="2" t="inlineStr">
        <is>
          <t>32.0500%</t>
        </is>
      </c>
      <c r="L251" s="2" t="n">
        <v>1.3856</v>
      </c>
      <c r="M251" s="2" t="n">
        <v>4.5843</v>
      </c>
      <c r="N251" s="2" t="inlineStr">
        <is>
          <t>沪深300</t>
        </is>
      </c>
      <c r="O251" t="inlineStr">
        <is>
          <t>2026-08-31</t>
        </is>
      </c>
      <c r="P251" t="inlineStr">
        <is>
          <t>2026-09-15</t>
        </is>
      </c>
    </row>
    <row r="252">
      <c r="A252" s="2" t="inlineStr">
        <is>
          <t>岳鑫遥1号</t>
        </is>
      </c>
      <c r="B252" s="2" t="inlineStr">
        <is>
          <t>SXJ331</t>
        </is>
      </c>
      <c r="C252" s="2" t="inlineStr">
        <is>
          <t>套利策略</t>
        </is>
      </c>
      <c r="D252" s="2" t="inlineStr">
        <is>
          <t>-</t>
        </is>
      </c>
      <c r="E252" s="2" t="inlineStr">
        <is>
          <t>北京岳鑫遥</t>
        </is>
      </c>
      <c r="F252" s="2" t="inlineStr">
        <is>
          <t>2022-09-26</t>
        </is>
      </c>
      <c r="G252" s="2" t="inlineStr">
        <is>
          <t>40.3700%</t>
        </is>
      </c>
      <c r="H252" s="2" t="inlineStr">
        <is>
          <t>26.7900%</t>
        </is>
      </c>
      <c r="I252" s="2" t="inlineStr">
        <is>
          <t>75.6800%</t>
        </is>
      </c>
      <c r="J252" s="2" t="inlineStr">
        <is>
          <t>69.2300%</t>
        </is>
      </c>
      <c r="K252" s="2" t="inlineStr">
        <is>
          <t>27.5400%</t>
        </is>
      </c>
      <c r="L252" s="2" t="n">
        <v>0.9726</v>
      </c>
      <c r="M252" s="2" t="n">
        <v>1.4656</v>
      </c>
      <c r="N252" s="2" t="inlineStr">
        <is>
          <t>沪深300</t>
        </is>
      </c>
      <c r="O252" t="inlineStr">
        <is>
          <t>2026-08-31</t>
        </is>
      </c>
      <c r="P252" t="inlineStr">
        <is>
          <t>2026-09-15</t>
        </is>
      </c>
    </row>
    <row r="253">
      <c r="A253" s="2" t="inlineStr">
        <is>
          <t>兆信股指期货期权套利1号</t>
        </is>
      </c>
      <c r="B253" s="2" t="inlineStr">
        <is>
          <t>SXN023</t>
        </is>
      </c>
      <c r="C253" s="2" t="inlineStr">
        <is>
          <t>套利策略</t>
        </is>
      </c>
      <c r="D253" s="2" t="inlineStr">
        <is>
          <t>期货套利</t>
        </is>
      </c>
      <c r="E253" s="2" t="inlineStr">
        <is>
          <t>江苏兆信</t>
        </is>
      </c>
      <c r="F253" s="2" t="inlineStr">
        <is>
          <t>2022-10-13</t>
        </is>
      </c>
      <c r="G253" s="2" t="inlineStr">
        <is>
          <t>3.9400%</t>
        </is>
      </c>
      <c r="H253" s="2" t="inlineStr">
        <is>
          <t>8.1900%</t>
        </is>
      </c>
      <c r="I253" s="2" t="inlineStr">
        <is>
          <t>72.9700%</t>
        </is>
      </c>
      <c r="J253" s="2" t="inlineStr">
        <is>
          <t>46.1500%</t>
        </is>
      </c>
      <c r="K253" s="2" t="inlineStr">
        <is>
          <t>4.2800%</t>
        </is>
      </c>
      <c r="L253" s="2" t="n">
        <v>1.911</v>
      </c>
      <c r="M253" s="2" t="n">
        <v>0.9191</v>
      </c>
      <c r="N253" s="2" t="inlineStr">
        <is>
          <t>沪深300</t>
        </is>
      </c>
      <c r="O253" t="inlineStr">
        <is>
          <t>2026-08-31</t>
        </is>
      </c>
      <c r="P253" t="inlineStr">
        <is>
          <t>2026-09-15</t>
        </is>
      </c>
    </row>
    <row r="254">
      <c r="A254" s="2" t="inlineStr">
        <is>
          <t>谊恒滴海一号</t>
        </is>
      </c>
      <c r="B254" s="2" t="inlineStr">
        <is>
          <t>SXL701</t>
        </is>
      </c>
      <c r="C254" s="2" t="inlineStr">
        <is>
          <t>套利策略</t>
        </is>
      </c>
      <c r="D254" s="2" t="inlineStr">
        <is>
          <t>基金套利</t>
        </is>
      </c>
      <c r="E254" s="2" t="inlineStr">
        <is>
          <t>上海滴海</t>
        </is>
      </c>
      <c r="F254" s="2" t="inlineStr">
        <is>
          <t>2022-10-21</t>
        </is>
      </c>
      <c r="G254" s="2" t="inlineStr">
        <is>
          <t>7.7800%</t>
        </is>
      </c>
      <c r="H254" s="2" t="inlineStr">
        <is>
          <t>6.1200%</t>
        </is>
      </c>
      <c r="I254" s="2" t="inlineStr">
        <is>
          <t>62.1600%</t>
        </is>
      </c>
      <c r="J254" s="2" t="inlineStr">
        <is>
          <t>61.5400%</t>
        </is>
      </c>
      <c r="K254" s="2" t="inlineStr">
        <is>
          <t>2.8900%</t>
        </is>
      </c>
      <c r="L254" s="2" t="n">
        <v>2.1214</v>
      </c>
      <c r="M254" s="2" t="n">
        <v>2.6954</v>
      </c>
      <c r="N254" s="2" t="inlineStr">
        <is>
          <t>沪深300</t>
        </is>
      </c>
      <c r="O254" t="inlineStr">
        <is>
          <t>2026-08-31</t>
        </is>
      </c>
      <c r="P254" t="inlineStr">
        <is>
          <t>2026-09-15</t>
        </is>
      </c>
    </row>
    <row r="255">
      <c r="A255" s="2" t="inlineStr">
        <is>
          <t>尊嘉金润1号</t>
        </is>
      </c>
      <c r="B255" s="2" t="inlineStr">
        <is>
          <t>SXM526</t>
        </is>
      </c>
      <c r="C255" s="2" t="inlineStr">
        <is>
          <t>套利策略</t>
        </is>
      </c>
      <c r="D255" s="2" t="inlineStr">
        <is>
          <t>期权套利</t>
        </is>
      </c>
      <c r="E255" s="2" t="inlineStr">
        <is>
          <t>北京尊嘉资管</t>
        </is>
      </c>
      <c r="F255" s="2" t="inlineStr">
        <is>
          <t>2022-10-26</t>
        </is>
      </c>
      <c r="G255" s="2" t="inlineStr">
        <is>
          <t>2.6800%</t>
        </is>
      </c>
      <c r="H255" s="2" t="inlineStr">
        <is>
          <t>6.2400%</t>
        </is>
      </c>
      <c r="I255" s="2" t="inlineStr">
        <is>
          <t>72.9700%</t>
        </is>
      </c>
      <c r="J255" s="2" t="inlineStr">
        <is>
          <t>61.5400%</t>
        </is>
      </c>
      <c r="K255" s="2" t="inlineStr">
        <is>
          <t>10.9000%</t>
        </is>
      </c>
      <c r="L255" s="2" t="n">
        <v>0.5724</v>
      </c>
      <c r="M255" s="2" t="n">
        <v>0.4337</v>
      </c>
      <c r="N255" s="2" t="inlineStr">
        <is>
          <t>沪深300</t>
        </is>
      </c>
      <c r="O255" t="inlineStr">
        <is>
          <t>2026-08-31</t>
        </is>
      </c>
      <c r="P255" t="inlineStr">
        <is>
          <t>2026-09-15</t>
        </is>
      </c>
    </row>
    <row r="256">
      <c r="A256" s="2" t="inlineStr">
        <is>
          <t>殊馥兴义6号</t>
        </is>
      </c>
      <c r="B256" s="2" t="inlineStr">
        <is>
          <t>SXQ267</t>
        </is>
      </c>
      <c r="C256" s="2" t="inlineStr">
        <is>
          <t>套利策略</t>
        </is>
      </c>
      <c r="D256" s="2" t="inlineStr">
        <is>
          <t>期货套利</t>
        </is>
      </c>
      <c r="E256" s="2" t="inlineStr">
        <is>
          <t>上海殊馥投资</t>
        </is>
      </c>
      <c r="F256" s="2" t="inlineStr">
        <is>
          <t>2022-11-02</t>
        </is>
      </c>
      <c r="G256" s="2" t="inlineStr">
        <is>
          <t>7.5000%</t>
        </is>
      </c>
      <c r="H256" s="2" t="inlineStr">
        <is>
          <t>6.6600%</t>
        </is>
      </c>
      <c r="I256" s="2" t="inlineStr">
        <is>
          <t>78.3800%</t>
        </is>
      </c>
      <c r="J256" s="2" t="inlineStr">
        <is>
          <t>69.2300%</t>
        </is>
      </c>
      <c r="K256" s="2" t="inlineStr">
        <is>
          <t>1.6900%</t>
        </is>
      </c>
      <c r="L256" s="2" t="n">
        <v>3.9301</v>
      </c>
      <c r="M256" s="2" t="n">
        <v>4.4255</v>
      </c>
      <c r="N256" s="2" t="inlineStr">
        <is>
          <t>沪深300</t>
        </is>
      </c>
      <c r="O256" t="inlineStr">
        <is>
          <t>2026-08-31</t>
        </is>
      </c>
      <c r="P256" t="inlineStr">
        <is>
          <t>2026-09-15</t>
        </is>
      </c>
    </row>
    <row r="257">
      <c r="A257" s="2" t="inlineStr">
        <is>
          <t>博弈树金选套利2号</t>
        </is>
      </c>
      <c r="B257" s="2" t="inlineStr">
        <is>
          <t>SXR086</t>
        </is>
      </c>
      <c r="C257" s="2" t="inlineStr">
        <is>
          <t>套利策略</t>
        </is>
      </c>
      <c r="D257" s="2" t="inlineStr">
        <is>
          <t>期货套利</t>
        </is>
      </c>
      <c r="E257" s="2" t="inlineStr">
        <is>
          <t>广东丰煜</t>
        </is>
      </c>
      <c r="F257" s="2" t="inlineStr">
        <is>
          <t>2022-11-02</t>
        </is>
      </c>
      <c r="G257" s="2" t="inlineStr">
        <is>
          <t>22.3300%</t>
        </is>
      </c>
      <c r="H257" s="2" t="inlineStr">
        <is>
          <t>12.7200%</t>
        </is>
      </c>
      <c r="I257" s="2" t="inlineStr">
        <is>
          <t>72.9700%</t>
        </is>
      </c>
      <c r="J257" s="2" t="inlineStr">
        <is>
          <t>76.9200%</t>
        </is>
      </c>
      <c r="K257" s="2" t="inlineStr">
        <is>
          <t>4.1000%</t>
        </is>
      </c>
      <c r="L257" s="2" t="n">
        <v>3.1035</v>
      </c>
      <c r="M257" s="2" t="n">
        <v>5.4472</v>
      </c>
      <c r="N257" s="2" t="inlineStr">
        <is>
          <t>沪深300</t>
        </is>
      </c>
      <c r="O257" t="inlineStr">
        <is>
          <t>2026-08-31</t>
        </is>
      </c>
      <c r="P257" t="inlineStr">
        <is>
          <t>2026-09-15</t>
        </is>
      </c>
    </row>
    <row r="258">
      <c r="A258" s="2" t="inlineStr">
        <is>
          <t>致同云峰AA类</t>
        </is>
      </c>
      <c r="B258" s="2" t="inlineStr">
        <is>
          <t>NB380A</t>
        </is>
      </c>
      <c r="C258" s="2" t="inlineStr">
        <is>
          <t>套利策略</t>
        </is>
      </c>
      <c r="D258" s="2" t="inlineStr">
        <is>
          <t>期货套利</t>
        </is>
      </c>
      <c r="E258" s="2" t="inlineStr">
        <is>
          <t>上海致同投资</t>
        </is>
      </c>
      <c r="F258" s="2" t="inlineStr">
        <is>
          <t>2020-11-10</t>
        </is>
      </c>
      <c r="G258" s="2" t="inlineStr">
        <is>
          <t>4.1600%</t>
        </is>
      </c>
      <c r="H258" s="2" t="inlineStr">
        <is>
          <t>4.1900%</t>
        </is>
      </c>
      <c r="I258" s="2" t="inlineStr">
        <is>
          <t>81.0800%</t>
        </is>
      </c>
      <c r="J258" s="2" t="inlineStr">
        <is>
          <t>76.9200%</t>
        </is>
      </c>
      <c r="K258" s="2" t="inlineStr">
        <is>
          <t>1.3700%</t>
        </is>
      </c>
      <c r="L258" s="2" t="n">
        <v>3.0506</v>
      </c>
      <c r="M258" s="2" t="n">
        <v>3.0308</v>
      </c>
      <c r="N258" s="2" t="inlineStr">
        <is>
          <t>沪深300</t>
        </is>
      </c>
      <c r="O258" t="inlineStr">
        <is>
          <t>2026-08-31</t>
        </is>
      </c>
      <c r="P258" t="inlineStr">
        <is>
          <t>2026-09-15</t>
        </is>
      </c>
    </row>
    <row r="259">
      <c r="A259" s="2" t="inlineStr">
        <is>
          <t>擎丰1号3期</t>
        </is>
      </c>
      <c r="B259" s="2" t="inlineStr">
        <is>
          <t>SXK911</t>
        </is>
      </c>
      <c r="C259" s="2" t="inlineStr">
        <is>
          <t>套利策略</t>
        </is>
      </c>
      <c r="D259" s="2" t="inlineStr">
        <is>
          <t>-</t>
        </is>
      </c>
      <c r="E259" s="2" t="inlineStr">
        <is>
          <t>上海擎丰</t>
        </is>
      </c>
      <c r="F259" s="2" t="inlineStr">
        <is>
          <t>2022-10-31</t>
        </is>
      </c>
      <c r="G259" s="2" t="inlineStr">
        <is>
          <t>4.5300%</t>
        </is>
      </c>
      <c r="H259" s="2" t="inlineStr">
        <is>
          <t>4.6500%</t>
        </is>
      </c>
      <c r="I259" s="2" t="inlineStr">
        <is>
          <t>89.1900%</t>
        </is>
      </c>
      <c r="J259" s="2" t="inlineStr">
        <is>
          <t>92.3100%</t>
        </is>
      </c>
      <c r="K259" s="2" t="inlineStr">
        <is>
          <t>0.2600%</t>
        </is>
      </c>
      <c r="L259" s="2" t="n">
        <v>18.2437</v>
      </c>
      <c r="M259" s="2" t="n">
        <v>23.0221</v>
      </c>
      <c r="N259" s="2" t="inlineStr">
        <is>
          <t>沪深300</t>
        </is>
      </c>
      <c r="O259" t="inlineStr">
        <is>
          <t>2026-08-31</t>
        </is>
      </c>
      <c r="P259" t="inlineStr">
        <is>
          <t>2026-09-15</t>
        </is>
      </c>
    </row>
    <row r="260">
      <c r="A260" s="2" t="inlineStr">
        <is>
          <t>泰创稳健二号</t>
        </is>
      </c>
      <c r="B260" s="2" t="inlineStr">
        <is>
          <t>SXP356</t>
        </is>
      </c>
      <c r="C260" s="2" t="inlineStr">
        <is>
          <t>套利策略</t>
        </is>
      </c>
      <c r="D260" s="2" t="inlineStr">
        <is>
          <t>混合套利</t>
        </is>
      </c>
      <c r="E260" s="2" t="inlineStr">
        <is>
          <t>北京泰创投资</t>
        </is>
      </c>
      <c r="F260" s="2" t="inlineStr">
        <is>
          <t>2022-11-10</t>
        </is>
      </c>
      <c r="G260" s="2" t="inlineStr">
        <is>
          <t>-8.6800%</t>
        </is>
      </c>
      <c r="H260" s="2" t="inlineStr">
        <is>
          <t>-3.5500%</t>
        </is>
      </c>
      <c r="I260" s="2" t="inlineStr">
        <is>
          <t>40.5400%</t>
        </is>
      </c>
      <c r="J260" s="2" t="inlineStr">
        <is>
          <t>38.4600%</t>
        </is>
      </c>
      <c r="K260" s="2" t="inlineStr">
        <is>
          <t>14.6800%</t>
        </is>
      </c>
      <c r="L260" s="2" t="n">
        <v>-0.2421</v>
      </c>
      <c r="M260" s="2" t="n">
        <v>-0.7877999999999999</v>
      </c>
      <c r="N260" s="2" t="inlineStr">
        <is>
          <t>沪深300</t>
        </is>
      </c>
      <c r="O260" t="inlineStr">
        <is>
          <t>2026-08-31</t>
        </is>
      </c>
      <c r="P260" t="inlineStr">
        <is>
          <t>2026-09-15</t>
        </is>
      </c>
    </row>
    <row r="261">
      <c r="A261" s="2" t="inlineStr">
        <is>
          <t>殊馥兴义7号</t>
        </is>
      </c>
      <c r="B261" s="2" t="inlineStr">
        <is>
          <t>SXT610</t>
        </is>
      </c>
      <c r="C261" s="2" t="inlineStr">
        <is>
          <t>套利策略</t>
        </is>
      </c>
      <c r="D261" s="2" t="inlineStr">
        <is>
          <t>期货套利</t>
        </is>
      </c>
      <c r="E261" s="2" t="inlineStr">
        <is>
          <t>上海殊馥投资</t>
        </is>
      </c>
      <c r="F261" s="2" t="inlineStr">
        <is>
          <t>2022-11-29</t>
        </is>
      </c>
      <c r="G261" s="2" t="inlineStr">
        <is>
          <t>7.2400%</t>
        </is>
      </c>
      <c r="H261" s="2" t="inlineStr">
        <is>
          <t>7.5800%</t>
        </is>
      </c>
      <c r="I261" s="2" t="inlineStr">
        <is>
          <t>83.7800%</t>
        </is>
      </c>
      <c r="J261" s="2" t="inlineStr">
        <is>
          <t>84.6200%</t>
        </is>
      </c>
      <c r="K261" s="2" t="inlineStr">
        <is>
          <t>0.7900%</t>
        </is>
      </c>
      <c r="L261" s="2" t="n">
        <v>9.639799999999999</v>
      </c>
      <c r="M261" s="2" t="n">
        <v>9.202199999999999</v>
      </c>
      <c r="N261" s="2" t="inlineStr">
        <is>
          <t>沪深300</t>
        </is>
      </c>
      <c r="O261" t="inlineStr">
        <is>
          <t>2026-08-31</t>
        </is>
      </c>
      <c r="P261" t="inlineStr">
        <is>
          <t>2026-09-15</t>
        </is>
      </c>
    </row>
    <row r="262">
      <c r="A262" s="2" t="inlineStr">
        <is>
          <t>锐耐复利倍增2号</t>
        </is>
      </c>
      <c r="B262" s="2" t="inlineStr">
        <is>
          <t>SXV513</t>
        </is>
      </c>
      <c r="C262" s="2" t="inlineStr">
        <is>
          <t>套利策略</t>
        </is>
      </c>
      <c r="D262" s="2" t="inlineStr">
        <is>
          <t>期货套利</t>
        </is>
      </c>
      <c r="E262" s="2" t="inlineStr">
        <is>
          <t>上海锐耐</t>
        </is>
      </c>
      <c r="F262" s="2" t="inlineStr">
        <is>
          <t>2022-11-28</t>
        </is>
      </c>
      <c r="G262" s="2" t="inlineStr">
        <is>
          <t>2.8800%</t>
        </is>
      </c>
      <c r="H262" s="2" t="inlineStr">
        <is>
          <t>8.4000%</t>
        </is>
      </c>
      <c r="I262" s="2" t="inlineStr">
        <is>
          <t>67.5700%</t>
        </is>
      </c>
      <c r="J262" s="2" t="inlineStr">
        <is>
          <t>53.8500%</t>
        </is>
      </c>
      <c r="K262" s="2" t="inlineStr">
        <is>
          <t>4.9200%</t>
        </is>
      </c>
      <c r="L262" s="2" t="n">
        <v>1.7067</v>
      </c>
      <c r="M262" s="2" t="n">
        <v>0.5852000000000001</v>
      </c>
      <c r="N262" s="2" t="inlineStr">
        <is>
          <t>沪深300</t>
        </is>
      </c>
      <c r="O262" t="inlineStr">
        <is>
          <t>2026-08-31</t>
        </is>
      </c>
      <c r="P262" t="inlineStr">
        <is>
          <t>2026-09-15</t>
        </is>
      </c>
    </row>
    <row r="263">
      <c r="A263" s="2" t="inlineStr">
        <is>
          <t>乘舟紫荆1号</t>
        </is>
      </c>
      <c r="B263" s="2" t="inlineStr">
        <is>
          <t>SXW399</t>
        </is>
      </c>
      <c r="C263" s="2" t="inlineStr">
        <is>
          <t>套利策略</t>
        </is>
      </c>
      <c r="D263" s="2" t="inlineStr">
        <is>
          <t>-</t>
        </is>
      </c>
      <c r="E263" s="2" t="inlineStr">
        <is>
          <t>上海乘舟投资</t>
        </is>
      </c>
      <c r="F263" s="2" t="inlineStr">
        <is>
          <t>2022-12-01</t>
        </is>
      </c>
      <c r="G263" s="2" t="inlineStr">
        <is>
          <t>-1.9300%</t>
        </is>
      </c>
      <c r="H263" s="2" t="inlineStr">
        <is>
          <t>6.0300%</t>
        </is>
      </c>
      <c r="I263" s="2" t="inlineStr">
        <is>
          <t>83.7800%</t>
        </is>
      </c>
      <c r="J263" s="2" t="inlineStr">
        <is>
          <t>76.9200%</t>
        </is>
      </c>
      <c r="K263" s="2" t="inlineStr">
        <is>
          <t>10.0000%</t>
        </is>
      </c>
      <c r="L263" s="2" t="n">
        <v>0.6032</v>
      </c>
      <c r="M263" s="2" t="n">
        <v>-0.193</v>
      </c>
      <c r="N263" s="2" t="inlineStr">
        <is>
          <t>沪深300</t>
        </is>
      </c>
      <c r="O263" t="inlineStr">
        <is>
          <t>2026-08-31</t>
        </is>
      </c>
      <c r="P263" t="inlineStr">
        <is>
          <t>2026-09-15</t>
        </is>
      </c>
    </row>
    <row r="264">
      <c r="A264" s="2" t="inlineStr">
        <is>
          <t>岳鑫遥3号</t>
        </is>
      </c>
      <c r="B264" s="2" t="inlineStr">
        <is>
          <t>SXW818</t>
        </is>
      </c>
      <c r="C264" s="2" t="inlineStr">
        <is>
          <t>套利策略</t>
        </is>
      </c>
      <c r="D264" s="2" t="inlineStr">
        <is>
          <t>-</t>
        </is>
      </c>
      <c r="E264" s="2" t="inlineStr">
        <is>
          <t>北京岳鑫遥</t>
        </is>
      </c>
      <c r="F264" s="2" t="inlineStr">
        <is>
          <t>2022-12-12</t>
        </is>
      </c>
      <c r="G264" s="2" t="inlineStr">
        <is>
          <t>-15.3600%</t>
        </is>
      </c>
      <c r="H264" s="2" t="inlineStr">
        <is>
          <t>10.6800%</t>
        </is>
      </c>
      <c r="I264" s="2" t="inlineStr">
        <is>
          <t>72.9700%</t>
        </is>
      </c>
      <c r="J264" s="2" t="inlineStr">
        <is>
          <t>53.8500%</t>
        </is>
      </c>
      <c r="K264" s="2" t="inlineStr">
        <is>
          <t>32.3600%</t>
        </is>
      </c>
      <c r="L264" s="2" t="n">
        <v>0.33</v>
      </c>
      <c r="M264" s="2" t="n">
        <v>-0.4747</v>
      </c>
      <c r="N264" s="2" t="inlineStr">
        <is>
          <t>沪深300</t>
        </is>
      </c>
      <c r="O264" t="inlineStr">
        <is>
          <t>2026-08-31</t>
        </is>
      </c>
      <c r="P264" t="inlineStr">
        <is>
          <t>2026-09-15</t>
        </is>
      </c>
    </row>
    <row r="265">
      <c r="A265" s="2" t="inlineStr">
        <is>
          <t>渤海信托-多策略精选1号</t>
        </is>
      </c>
      <c r="B265" s="2" t="inlineStr">
        <is>
          <t>ZXD34B202210010014795</t>
        </is>
      </c>
      <c r="C265" s="2" t="inlineStr">
        <is>
          <t>套利策略</t>
        </is>
      </c>
      <c r="D265" s="2" t="inlineStr">
        <is>
          <t>-</t>
        </is>
      </c>
      <c r="E265" s="2" t="inlineStr">
        <is>
          <t>渤海信托</t>
        </is>
      </c>
      <c r="F265" s="2" t="inlineStr">
        <is>
          <t>2022-10-13</t>
        </is>
      </c>
      <c r="G265" s="2" t="inlineStr">
        <is>
          <t>-1.10%</t>
        </is>
      </c>
      <c r="H265" s="2" t="inlineStr">
        <is>
          <t>+2.39%</t>
        </is>
      </c>
      <c r="I265" s="2" t="inlineStr">
        <is>
          <t>61.11%</t>
        </is>
      </c>
      <c r="J265" s="2" t="inlineStr">
        <is>
          <t>53.85%</t>
        </is>
      </c>
      <c r="K265" s="2" t="inlineStr">
        <is>
          <t>5.52%</t>
        </is>
      </c>
      <c r="L265" s="2" t="inlineStr">
        <is>
          <t>0.4335</t>
        </is>
      </c>
      <c r="M265" s="2" t="inlineStr">
        <is>
          <t>-0.2246</t>
        </is>
      </c>
      <c r="N265" s="2" t="inlineStr">
        <is>
          <t>沪深300</t>
        </is>
      </c>
    </row>
    <row r="266">
      <c r="A266" s="2" t="inlineStr">
        <is>
          <t>雁丰卓衍1号</t>
        </is>
      </c>
      <c r="B266" s="2" t="inlineStr">
        <is>
          <t>SXX404</t>
        </is>
      </c>
      <c r="C266" s="2" t="inlineStr">
        <is>
          <t>套利策略</t>
        </is>
      </c>
      <c r="D266" s="2" t="inlineStr">
        <is>
          <t>期货套利</t>
        </is>
      </c>
      <c r="E266" s="2" t="inlineStr">
        <is>
          <t>上海雁丰投资</t>
        </is>
      </c>
      <c r="F266" s="2" t="inlineStr">
        <is>
          <t>2023-01-04</t>
        </is>
      </c>
      <c r="G266" s="2" t="inlineStr">
        <is>
          <t>19.2500%</t>
        </is>
      </c>
      <c r="H266" s="2" t="inlineStr">
        <is>
          <t>9.9600%</t>
        </is>
      </c>
      <c r="I266" s="2" t="inlineStr">
        <is>
          <t>70.2700%</t>
        </is>
      </c>
      <c r="J266" s="2" t="inlineStr">
        <is>
          <t>76.9200%</t>
        </is>
      </c>
      <c r="K266" s="2" t="inlineStr">
        <is>
          <t>5.5900%</t>
        </is>
      </c>
      <c r="L266" s="2" t="n">
        <v>1.781</v>
      </c>
      <c r="M266" s="2" t="n">
        <v>8.8033</v>
      </c>
      <c r="N266" s="2" t="inlineStr">
        <is>
          <t>沪深300</t>
        </is>
      </c>
      <c r="O266" t="inlineStr">
        <is>
          <t>2026-08-31</t>
        </is>
      </c>
      <c r="P266" t="inlineStr">
        <is>
          <t>2026-09-15</t>
        </is>
      </c>
    </row>
    <row r="267">
      <c r="A267" s="2" t="inlineStr">
        <is>
          <t>殊馥兴义8号</t>
        </is>
      </c>
      <c r="B267" s="2" t="inlineStr">
        <is>
          <t>SZA394</t>
        </is>
      </c>
      <c r="C267" s="2" t="inlineStr">
        <is>
          <t>套利策略</t>
        </is>
      </c>
      <c r="D267" s="2" t="inlineStr">
        <is>
          <t>-</t>
        </is>
      </c>
      <c r="E267" s="2" t="inlineStr">
        <is>
          <t>上海殊馥投资</t>
        </is>
      </c>
      <c r="F267" s="2" t="inlineStr">
        <is>
          <t>2022-12-22</t>
        </is>
      </c>
      <c r="G267" s="2" t="inlineStr">
        <is>
          <t>29.1700%</t>
        </is>
      </c>
      <c r="H267" s="2" t="inlineStr">
        <is>
          <t>24.6800%</t>
        </is>
      </c>
      <c r="I267" s="2" t="inlineStr">
        <is>
          <t>67.5700%</t>
        </is>
      </c>
      <c r="J267" s="2" t="inlineStr">
        <is>
          <t>69.2300%</t>
        </is>
      </c>
      <c r="K267" s="2" t="inlineStr">
        <is>
          <t>20.5900%</t>
        </is>
      </c>
      <c r="L267" s="2" t="n">
        <v>1.1983</v>
      </c>
      <c r="M267" s="2" t="n">
        <v>3.9412</v>
      </c>
      <c r="N267" s="2" t="inlineStr">
        <is>
          <t>沪深300</t>
        </is>
      </c>
      <c r="O267" t="inlineStr">
        <is>
          <t>2026-08-31</t>
        </is>
      </c>
      <c r="P267" t="inlineStr">
        <is>
          <t>2026-09-15</t>
        </is>
      </c>
    </row>
    <row r="268">
      <c r="A268" s="2" t="inlineStr">
        <is>
          <t>烁菓量化复合套利2号</t>
        </is>
      </c>
      <c r="B268" s="2" t="inlineStr">
        <is>
          <t>SZB527</t>
        </is>
      </c>
      <c r="C268" s="2" t="inlineStr">
        <is>
          <t>套利策略</t>
        </is>
      </c>
      <c r="D268" s="2" t="inlineStr">
        <is>
          <t>-</t>
        </is>
      </c>
      <c r="E268" s="2" t="inlineStr">
        <is>
          <t>福州烁菓</t>
        </is>
      </c>
      <c r="F268" s="2" t="inlineStr">
        <is>
          <t>2023-01-05</t>
        </is>
      </c>
      <c r="G268" s="2" t="inlineStr">
        <is>
          <t>8.8100%</t>
        </is>
      </c>
      <c r="H268" s="2" t="inlineStr">
        <is>
          <t>6.9000%</t>
        </is>
      </c>
      <c r="I268" s="2" t="inlineStr">
        <is>
          <t>91.8900%</t>
        </is>
      </c>
      <c r="J268" s="2" t="inlineStr">
        <is>
          <t>100.0000%</t>
        </is>
      </c>
      <c r="K268" s="2" t="inlineStr">
        <is>
          <t>0.4700%</t>
        </is>
      </c>
      <c r="L268" s="2" t="n">
        <v>14.5387</v>
      </c>
      <c r="M268" s="2" t="n">
        <v>54.9387</v>
      </c>
      <c r="N268" s="2" t="inlineStr">
        <is>
          <t>沪深300</t>
        </is>
      </c>
      <c r="O268" t="inlineStr">
        <is>
          <t>2026-08-31</t>
        </is>
      </c>
      <c r="P268" t="inlineStr">
        <is>
          <t>2026-09-15</t>
        </is>
      </c>
    </row>
    <row r="269">
      <c r="A269" s="2" t="inlineStr">
        <is>
          <t>泰创稳健三号</t>
        </is>
      </c>
      <c r="B269" s="2" t="inlineStr">
        <is>
          <t>SZD744</t>
        </is>
      </c>
      <c r="C269" s="2" t="inlineStr">
        <is>
          <t>套利策略</t>
        </is>
      </c>
      <c r="D269" s="2" t="inlineStr">
        <is>
          <t>混合套利</t>
        </is>
      </c>
      <c r="E269" s="2" t="inlineStr">
        <is>
          <t>北京泰创投资</t>
        </is>
      </c>
      <c r="F269" s="2" t="inlineStr">
        <is>
          <t>2023-01-10</t>
        </is>
      </c>
      <c r="G269" s="2" t="inlineStr">
        <is>
          <t>4.0400%</t>
        </is>
      </c>
      <c r="H269" s="2" t="inlineStr">
        <is>
          <t>4.7500%</t>
        </is>
      </c>
      <c r="I269" s="2" t="inlineStr">
        <is>
          <t>75.6800%</t>
        </is>
      </c>
      <c r="J269" s="2" t="inlineStr">
        <is>
          <t>69.2300%</t>
        </is>
      </c>
      <c r="K269" s="2" t="inlineStr">
        <is>
          <t>2.8300%</t>
        </is>
      </c>
      <c r="L269" s="2" t="n">
        <v>1.6814</v>
      </c>
      <c r="M269" s="2" t="n">
        <v>2.0475</v>
      </c>
      <c r="N269" s="2" t="inlineStr">
        <is>
          <t>沪深300</t>
        </is>
      </c>
      <c r="O269" t="inlineStr">
        <is>
          <t>2026-08-31</t>
        </is>
      </c>
      <c r="P269" t="inlineStr">
        <is>
          <t>2026-09-15</t>
        </is>
      </c>
    </row>
    <row r="270">
      <c r="A270" s="2" t="inlineStr">
        <is>
          <t>瑞倍稳聚1号</t>
        </is>
      </c>
      <c r="B270" s="2" t="inlineStr">
        <is>
          <t>SZF089</t>
        </is>
      </c>
      <c r="C270" s="2" t="inlineStr">
        <is>
          <t>套利策略</t>
        </is>
      </c>
      <c r="D270" s="2" t="inlineStr">
        <is>
          <t>基金套利</t>
        </is>
      </c>
      <c r="E270" s="2" t="inlineStr">
        <is>
          <t>宁波瑞倍</t>
        </is>
      </c>
      <c r="F270" s="2" t="inlineStr">
        <is>
          <t>2023-01-16</t>
        </is>
      </c>
      <c r="G270" s="2" t="inlineStr">
        <is>
          <t>2.4000%</t>
        </is>
      </c>
      <c r="H270" s="2" t="n"/>
      <c r="I270" s="2" t="n"/>
      <c r="J270" s="2" t="inlineStr">
        <is>
          <t>84.6200%</t>
        </is>
      </c>
      <c r="K270" s="2" t="n"/>
      <c r="L270" s="2" t="n"/>
      <c r="M270" s="2" t="n">
        <v>4.3054</v>
      </c>
      <c r="N270" s="2" t="inlineStr">
        <is>
          <t>沪深300</t>
        </is>
      </c>
      <c r="O270" t="inlineStr">
        <is>
          <t>2026-08-31</t>
        </is>
      </c>
      <c r="P270" t="inlineStr">
        <is>
          <t>2026-09-15</t>
        </is>
      </c>
    </row>
    <row r="271">
      <c r="A271" s="2" t="inlineStr">
        <is>
          <t>赢起隆华1期</t>
        </is>
      </c>
      <c r="B271" s="2" t="inlineStr">
        <is>
          <t>SZC360</t>
        </is>
      </c>
      <c r="C271" s="2" t="inlineStr">
        <is>
          <t>套利策略</t>
        </is>
      </c>
      <c r="D271" s="2" t="inlineStr">
        <is>
          <t>期货套利</t>
        </is>
      </c>
      <c r="E271" s="2" t="inlineStr">
        <is>
          <t>上海赢起</t>
        </is>
      </c>
      <c r="F271" s="2" t="inlineStr">
        <is>
          <t>2023-01-12</t>
        </is>
      </c>
      <c r="G271" s="2" t="inlineStr">
        <is>
          <t>11.7200%</t>
        </is>
      </c>
      <c r="H271" s="2" t="inlineStr">
        <is>
          <t>9.1600%</t>
        </is>
      </c>
      <c r="I271" s="2" t="inlineStr">
        <is>
          <t>86.4900%</t>
        </is>
      </c>
      <c r="J271" s="2" t="inlineStr">
        <is>
          <t>92.3100%</t>
        </is>
      </c>
      <c r="K271" s="2" t="inlineStr">
        <is>
          <t>3.4300%</t>
        </is>
      </c>
      <c r="L271" s="2" t="n">
        <v>2.6731</v>
      </c>
      <c r="M271" s="2" t="n">
        <v>5.4079</v>
      </c>
      <c r="N271" s="2" t="inlineStr">
        <is>
          <t>沪深300</t>
        </is>
      </c>
      <c r="O271" t="inlineStr">
        <is>
          <t>2026-08-31</t>
        </is>
      </c>
      <c r="P271" t="inlineStr">
        <is>
          <t>2026-09-15</t>
        </is>
      </c>
    </row>
    <row r="272">
      <c r="A272" s="2" t="inlineStr">
        <is>
          <t>思益行稳致远1号</t>
        </is>
      </c>
      <c r="B272" s="2" t="inlineStr">
        <is>
          <t>SZC556</t>
        </is>
      </c>
      <c r="C272" s="2" t="inlineStr">
        <is>
          <t>套利策略</t>
        </is>
      </c>
      <c r="D272" s="2" t="inlineStr">
        <is>
          <t>期权套利</t>
        </is>
      </c>
      <c r="E272" s="2" t="inlineStr">
        <is>
          <t>海南思益</t>
        </is>
      </c>
      <c r="F272" s="2" t="inlineStr">
        <is>
          <t>2023-01-16</t>
        </is>
      </c>
      <c r="G272" s="2" t="inlineStr">
        <is>
          <t>6.9500%</t>
        </is>
      </c>
      <c r="H272" s="2" t="inlineStr">
        <is>
          <t>7.0600%</t>
        </is>
      </c>
      <c r="I272" s="2" t="inlineStr">
        <is>
          <t>75.6800%</t>
        </is>
      </c>
      <c r="J272" s="2" t="inlineStr">
        <is>
          <t>84.6200%</t>
        </is>
      </c>
      <c r="K272" s="2" t="inlineStr">
        <is>
          <t>3.8400%</t>
        </is>
      </c>
      <c r="L272" s="2" t="n">
        <v>1.8382</v>
      </c>
      <c r="M272" s="2" t="n">
        <v>3.1612</v>
      </c>
      <c r="N272" s="2" t="inlineStr">
        <is>
          <t>沪深300</t>
        </is>
      </c>
      <c r="O272" t="inlineStr">
        <is>
          <t>2026-08-31</t>
        </is>
      </c>
      <c r="P272" t="inlineStr">
        <is>
          <t>2026-09-15</t>
        </is>
      </c>
    </row>
    <row r="273">
      <c r="A273" s="2" t="inlineStr">
        <is>
          <t>恒立卓越1号</t>
        </is>
      </c>
      <c r="B273" s="2" t="inlineStr">
        <is>
          <t>SZF893</t>
        </is>
      </c>
      <c r="C273" s="2" t="inlineStr">
        <is>
          <t>套利策略</t>
        </is>
      </c>
      <c r="D273" s="2" t="inlineStr">
        <is>
          <t>-</t>
        </is>
      </c>
      <c r="E273" s="2" t="inlineStr">
        <is>
          <t>海南恒立</t>
        </is>
      </c>
      <c r="F273" s="2" t="inlineStr">
        <is>
          <t>2023-01-19</t>
        </is>
      </c>
      <c r="G273" s="2" t="inlineStr">
        <is>
          <t>-4.6800%</t>
        </is>
      </c>
      <c r="H273" s="2" t="inlineStr">
        <is>
          <t>15.4400%</t>
        </is>
      </c>
      <c r="I273" s="2" t="inlineStr">
        <is>
          <t>54.0500%</t>
        </is>
      </c>
      <c r="J273" s="2" t="inlineStr">
        <is>
          <t>53.8500%</t>
        </is>
      </c>
      <c r="K273" s="2" t="inlineStr">
        <is>
          <t>12.2800%</t>
        </is>
      </c>
      <c r="L273" s="2" t="n">
        <v>1.2575</v>
      </c>
      <c r="M273" s="2" t="n">
        <v>-0.3811</v>
      </c>
      <c r="N273" s="2" t="inlineStr">
        <is>
          <t>沪深300</t>
        </is>
      </c>
      <c r="O273" t="inlineStr">
        <is>
          <t>2026-08-31</t>
        </is>
      </c>
      <c r="P273" t="inlineStr">
        <is>
          <t>2026-09-15</t>
        </is>
      </c>
    </row>
    <row r="274">
      <c r="A274" s="2" t="inlineStr">
        <is>
          <t>辰元优选稳健</t>
        </is>
      </c>
      <c r="B274" s="2" t="inlineStr">
        <is>
          <t>SZH690</t>
        </is>
      </c>
      <c r="C274" s="2" t="inlineStr">
        <is>
          <t>套利策略</t>
        </is>
      </c>
      <c r="D274" s="2" t="inlineStr">
        <is>
          <t>混合套利</t>
        </is>
      </c>
      <c r="E274" s="2" t="inlineStr">
        <is>
          <t>广东辰元</t>
        </is>
      </c>
      <c r="F274" s="2" t="inlineStr">
        <is>
          <t>2023-02-09</t>
        </is>
      </c>
      <c r="G274" s="2" t="inlineStr">
        <is>
          <t>2.6400%</t>
        </is>
      </c>
      <c r="H274" s="2" t="inlineStr">
        <is>
          <t>6.3500%</t>
        </is>
      </c>
      <c r="I274" s="2" t="inlineStr">
        <is>
          <t>83.7800%</t>
        </is>
      </c>
      <c r="J274" s="2" t="inlineStr">
        <is>
          <t>61.5400%</t>
        </is>
      </c>
      <c r="K274" s="2" t="inlineStr">
        <is>
          <t>0.4200%</t>
        </is>
      </c>
      <c r="L274" s="2" t="n">
        <v>15.0594</v>
      </c>
      <c r="M274" s="2" t="n">
        <v>6.2703</v>
      </c>
      <c r="N274" s="2" t="inlineStr">
        <is>
          <t>沪深300</t>
        </is>
      </c>
      <c r="O274" t="inlineStr">
        <is>
          <t>2026-08-31</t>
        </is>
      </c>
      <c r="P274" t="inlineStr">
        <is>
          <t>2026-09-15</t>
        </is>
      </c>
    </row>
    <row r="275">
      <c r="A275" s="2" t="inlineStr">
        <is>
          <t>辰元稳健2号</t>
        </is>
      </c>
      <c r="B275" s="2" t="inlineStr">
        <is>
          <t>SZJ724</t>
        </is>
      </c>
      <c r="C275" s="2" t="inlineStr">
        <is>
          <t>套利策略</t>
        </is>
      </c>
      <c r="D275" s="2" t="inlineStr">
        <is>
          <t>混合套利</t>
        </is>
      </c>
      <c r="E275" s="2" t="inlineStr">
        <is>
          <t>广东辰元</t>
        </is>
      </c>
      <c r="F275" s="2" t="inlineStr">
        <is>
          <t>2023-02-10</t>
        </is>
      </c>
      <c r="G275" s="2" t="inlineStr">
        <is>
          <t>2.3800%</t>
        </is>
      </c>
      <c r="H275" s="2" t="inlineStr">
        <is>
          <t>6.1300%</t>
        </is>
      </c>
      <c r="I275" s="2" t="inlineStr">
        <is>
          <t>83.7800%</t>
        </is>
      </c>
      <c r="J275" s="2" t="inlineStr">
        <is>
          <t>61.5400%</t>
        </is>
      </c>
      <c r="K275" s="2" t="inlineStr">
        <is>
          <t>0.6200%</t>
        </is>
      </c>
      <c r="L275" s="2" t="n">
        <v>9.8437</v>
      </c>
      <c r="M275" s="2" t="n">
        <v>4.8178</v>
      </c>
      <c r="N275" s="2" t="inlineStr">
        <is>
          <t>沪深300</t>
        </is>
      </c>
      <c r="O275" t="inlineStr">
        <is>
          <t>2026-08-31</t>
        </is>
      </c>
      <c r="P275" t="inlineStr">
        <is>
          <t>2026-09-15</t>
        </is>
      </c>
    </row>
    <row r="276">
      <c r="A276" s="2" t="inlineStr">
        <is>
          <t>江岳联接54期</t>
        </is>
      </c>
      <c r="B276" s="2" t="inlineStr">
        <is>
          <t>SZJ846</t>
        </is>
      </c>
      <c r="C276" s="2" t="inlineStr">
        <is>
          <t>套利策略</t>
        </is>
      </c>
      <c r="D276" s="2" t="inlineStr">
        <is>
          <t>-</t>
        </is>
      </c>
      <c r="E276" s="2" t="inlineStr">
        <is>
          <t>西安江岳</t>
        </is>
      </c>
      <c r="F276" s="2" t="inlineStr">
        <is>
          <t>2023-02-21</t>
        </is>
      </c>
      <c r="G276" s="2" t="inlineStr">
        <is>
          <t>5.7700%</t>
        </is>
      </c>
      <c r="H276" s="2" t="inlineStr">
        <is>
          <t>9.8300%</t>
        </is>
      </c>
      <c r="I276" s="2" t="inlineStr">
        <is>
          <t>94.5900%</t>
        </is>
      </c>
      <c r="J276" s="2" t="inlineStr">
        <is>
          <t>92.3100%</t>
        </is>
      </c>
      <c r="K276" s="2" t="inlineStr">
        <is>
          <t>0.6600%</t>
        </is>
      </c>
      <c r="L276" s="2" t="n">
        <v>14.8805</v>
      </c>
      <c r="M276" s="2" t="n">
        <v>10.7022</v>
      </c>
      <c r="N276" s="2" t="inlineStr">
        <is>
          <t>沪深300</t>
        </is>
      </c>
      <c r="O276" t="inlineStr">
        <is>
          <t>2026-08-31</t>
        </is>
      </c>
      <c r="P276" t="inlineStr">
        <is>
          <t>2026-09-15</t>
        </is>
      </c>
    </row>
    <row r="277">
      <c r="A277" s="2" t="inlineStr">
        <is>
          <t>权舆金品1号</t>
        </is>
      </c>
      <c r="B277" s="2" t="inlineStr">
        <is>
          <t>SZJ896</t>
        </is>
      </c>
      <c r="C277" s="2" t="inlineStr">
        <is>
          <t>套利策略</t>
        </is>
      </c>
      <c r="D277" s="2" t="inlineStr">
        <is>
          <t>期货套利</t>
        </is>
      </c>
      <c r="E277" s="2" t="inlineStr">
        <is>
          <t>上海权舆</t>
        </is>
      </c>
      <c r="F277" s="2" t="inlineStr">
        <is>
          <t>2023-02-20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inlineStr">
        <is>
          <t>沪深300</t>
        </is>
      </c>
      <c r="O277" t="inlineStr">
        <is>
          <t>2026-08-31</t>
        </is>
      </c>
      <c r="P277" t="inlineStr">
        <is>
          <t>2026-09-15</t>
        </is>
      </c>
    </row>
    <row r="278">
      <c r="A278" s="2" t="inlineStr">
        <is>
          <t>言起投资价值成长1号</t>
        </is>
      </c>
      <c r="B278" s="2" t="inlineStr">
        <is>
          <t>SZL583</t>
        </is>
      </c>
      <c r="C278" s="2" t="inlineStr">
        <is>
          <t>套利策略</t>
        </is>
      </c>
      <c r="D278" s="2" t="inlineStr">
        <is>
          <t>-</t>
        </is>
      </c>
      <c r="E278" s="2" t="inlineStr">
        <is>
          <t>厦门言起投资</t>
        </is>
      </c>
      <c r="F278" s="2" t="inlineStr">
        <is>
          <t>2023-02-22</t>
        </is>
      </c>
      <c r="G278" s="2" t="inlineStr">
        <is>
          <t>-21.1600%</t>
        </is>
      </c>
      <c r="H278" s="2" t="inlineStr">
        <is>
          <t>-5.9000%</t>
        </is>
      </c>
      <c r="I278" s="2" t="inlineStr">
        <is>
          <t>35.1400%</t>
        </is>
      </c>
      <c r="J278" s="2" t="inlineStr">
        <is>
          <t>23.0800%</t>
        </is>
      </c>
      <c r="K278" s="2" t="inlineStr">
        <is>
          <t>32.3200%</t>
        </is>
      </c>
      <c r="L278" s="2" t="n">
        <v>-0.1824</v>
      </c>
      <c r="M278" s="2" t="n">
        <v>-0.6546999999999999</v>
      </c>
      <c r="N278" s="2" t="inlineStr">
        <is>
          <t>沪深300</t>
        </is>
      </c>
      <c r="O278" t="inlineStr">
        <is>
          <t>2026-08-31</t>
        </is>
      </c>
      <c r="P278" t="inlineStr">
        <is>
          <t>2026-09-15</t>
        </is>
      </c>
    </row>
    <row r="279">
      <c r="A279" s="2" t="inlineStr">
        <is>
          <t>泰创稳增1号</t>
        </is>
      </c>
      <c r="B279" s="2" t="inlineStr">
        <is>
          <t>SZV527</t>
        </is>
      </c>
      <c r="C279" s="2" t="inlineStr">
        <is>
          <t>套利策略</t>
        </is>
      </c>
      <c r="D279" s="2" t="inlineStr">
        <is>
          <t>期货套利</t>
        </is>
      </c>
      <c r="E279" s="2" t="inlineStr">
        <is>
          <t>北京泰创投资</t>
        </is>
      </c>
      <c r="F279" s="2" t="inlineStr">
        <is>
          <t>2023-04-10</t>
        </is>
      </c>
      <c r="G279" s="2" t="inlineStr">
        <is>
          <t>4.9000%</t>
        </is>
      </c>
      <c r="H279" s="2" t="inlineStr">
        <is>
          <t>5.8300%</t>
        </is>
      </c>
      <c r="I279" s="2" t="inlineStr">
        <is>
          <t>78.3800%</t>
        </is>
      </c>
      <c r="J279" s="2" t="inlineStr">
        <is>
          <t>61.5400%</t>
        </is>
      </c>
      <c r="K279" s="2" t="inlineStr">
        <is>
          <t>2.3800%</t>
        </is>
      </c>
      <c r="L279" s="2" t="n">
        <v>2.4501</v>
      </c>
      <c r="M279" s="2" t="n">
        <v>3.0502</v>
      </c>
      <c r="N279" s="2" t="inlineStr">
        <is>
          <t>沪深300</t>
        </is>
      </c>
      <c r="O279" t="inlineStr">
        <is>
          <t>2026-08-31</t>
        </is>
      </c>
      <c r="P279" t="inlineStr">
        <is>
          <t>2026-09-15</t>
        </is>
      </c>
    </row>
    <row r="280">
      <c r="A280" s="2" t="inlineStr">
        <is>
          <t>悬铃君享CTA2号</t>
        </is>
      </c>
      <c r="B280" s="2" t="inlineStr">
        <is>
          <t>SZF199</t>
        </is>
      </c>
      <c r="C280" s="2" t="inlineStr">
        <is>
          <t>套利策略</t>
        </is>
      </c>
      <c r="D280" s="2" t="inlineStr">
        <is>
          <t>-</t>
        </is>
      </c>
      <c r="E280" s="2" t="inlineStr">
        <is>
          <t>上海悬铃</t>
        </is>
      </c>
      <c r="F280" s="2" t="inlineStr">
        <is>
          <t>2023-04-18</t>
        </is>
      </c>
      <c r="G280" s="2" t="inlineStr">
        <is>
          <t>0.8000%</t>
        </is>
      </c>
      <c r="H280" s="2" t="inlineStr">
        <is>
          <t>7.9000%</t>
        </is>
      </c>
      <c r="I280" s="2" t="inlineStr">
        <is>
          <t>64.8600%</t>
        </is>
      </c>
      <c r="J280" s="2" t="inlineStr">
        <is>
          <t>61.5400%</t>
        </is>
      </c>
      <c r="K280" s="2" t="inlineStr">
        <is>
          <t>13.7600%</t>
        </is>
      </c>
      <c r="L280" s="2" t="n">
        <v>0.5738</v>
      </c>
      <c r="M280" s="2" t="n">
        <v>0.1215</v>
      </c>
      <c r="N280" s="2" t="inlineStr">
        <is>
          <t>沪深300</t>
        </is>
      </c>
      <c r="O280" t="inlineStr">
        <is>
          <t>2026-08-31</t>
        </is>
      </c>
      <c r="P280" t="inlineStr">
        <is>
          <t>2026-09-15</t>
        </is>
      </c>
    </row>
    <row r="281">
      <c r="A281" s="2" t="inlineStr">
        <is>
          <t>世宽若水尘心2号B类</t>
        </is>
      </c>
      <c r="B281" s="2" t="inlineStr">
        <is>
          <t>XX769B</t>
        </is>
      </c>
      <c r="C281" s="2" t="inlineStr">
        <is>
          <t>套利策略</t>
        </is>
      </c>
      <c r="D281" s="2" t="inlineStr">
        <is>
          <t>期货套利</t>
        </is>
      </c>
      <c r="E281" s="2" t="inlineStr">
        <is>
          <t>厦门世宽</t>
        </is>
      </c>
      <c r="F281" s="2" t="inlineStr">
        <is>
          <t>2022-12-09</t>
        </is>
      </c>
      <c r="G281" s="2" t="inlineStr">
        <is>
          <t>15.5100%</t>
        </is>
      </c>
      <c r="H281" s="2" t="n"/>
      <c r="I281" s="2" t="n"/>
      <c r="J281" s="2" t="inlineStr">
        <is>
          <t>76.9200%</t>
        </is>
      </c>
      <c r="K281" s="2" t="n"/>
      <c r="L281" s="2" t="n"/>
      <c r="M281" s="2" t="n">
        <v>10.6746</v>
      </c>
      <c r="N281" s="2" t="inlineStr">
        <is>
          <t>沪深300</t>
        </is>
      </c>
      <c r="O281" t="inlineStr">
        <is>
          <t>2026-08-31</t>
        </is>
      </c>
      <c r="P281" t="inlineStr">
        <is>
          <t>2026-09-15</t>
        </is>
      </c>
    </row>
    <row r="282">
      <c r="A282" s="2" t="inlineStr">
        <is>
          <t>溋沣鸿运来星选1号</t>
        </is>
      </c>
      <c r="B282" s="2" t="inlineStr">
        <is>
          <t>S09408</t>
        </is>
      </c>
      <c r="C282" s="2" t="inlineStr">
        <is>
          <t>套利策略</t>
        </is>
      </c>
      <c r="D282" s="2" t="inlineStr">
        <is>
          <t>-</t>
        </is>
      </c>
      <c r="E282" s="2" t="inlineStr">
        <is>
          <t>深圳前海溋沣资管</t>
        </is>
      </c>
      <c r="F282" s="2" t="inlineStr">
        <is>
          <t>2023-05-15</t>
        </is>
      </c>
      <c r="G282" s="2" t="inlineStr">
        <is>
          <t>8.8000%</t>
        </is>
      </c>
      <c r="H282" s="2" t="inlineStr">
        <is>
          <t>4.8800%</t>
        </is>
      </c>
      <c r="I282" s="2" t="inlineStr">
        <is>
          <t>83.7800%</t>
        </is>
      </c>
      <c r="J282" s="2" t="inlineStr">
        <is>
          <t>84.6200%</t>
        </is>
      </c>
      <c r="K282" s="2" t="inlineStr">
        <is>
          <t>2.6900%</t>
        </is>
      </c>
      <c r="L282" s="2" t="n">
        <v>1.8133</v>
      </c>
      <c r="M282" s="2" t="n">
        <v>3.7777</v>
      </c>
      <c r="N282" s="2" t="inlineStr">
        <is>
          <t>沪深300</t>
        </is>
      </c>
      <c r="O282" t="inlineStr">
        <is>
          <t>2026-08-31</t>
        </is>
      </c>
      <c r="P282" t="inlineStr">
        <is>
          <t>2026-09-15</t>
        </is>
      </c>
    </row>
    <row r="283">
      <c r="A283" s="2" t="inlineStr">
        <is>
          <t>鑫翰启明复合策略三期</t>
        </is>
      </c>
      <c r="B283" s="2" t="inlineStr">
        <is>
          <t>SZR346</t>
        </is>
      </c>
      <c r="C283" s="2" t="inlineStr">
        <is>
          <t>套利策略</t>
        </is>
      </c>
      <c r="D283" s="2" t="inlineStr">
        <is>
          <t>-</t>
        </is>
      </c>
      <c r="E283" s="2" t="inlineStr">
        <is>
          <t>北京鑫翰资管</t>
        </is>
      </c>
      <c r="F283" s="2" t="inlineStr">
        <is>
          <t>2023-05-22</t>
        </is>
      </c>
      <c r="G283" s="2" t="inlineStr">
        <is>
          <t>1.8100%</t>
        </is>
      </c>
      <c r="H283" s="2" t="inlineStr">
        <is>
          <t>5.1700%</t>
        </is>
      </c>
      <c r="I283" s="2" t="inlineStr">
        <is>
          <t>67.5700%</t>
        </is>
      </c>
      <c r="J283" s="2" t="inlineStr">
        <is>
          <t>61.5400%</t>
        </is>
      </c>
      <c r="K283" s="2" t="inlineStr">
        <is>
          <t>3.8300%</t>
        </is>
      </c>
      <c r="L283" s="2" t="n">
        <v>1.3508</v>
      </c>
      <c r="M283" s="2" t="n">
        <v>0.5039</v>
      </c>
      <c r="N283" s="2" t="inlineStr">
        <is>
          <t>沪深300</t>
        </is>
      </c>
      <c r="O283" t="inlineStr">
        <is>
          <t>2026-08-31</t>
        </is>
      </c>
      <c r="P283" t="inlineStr">
        <is>
          <t>2026-09-15</t>
        </is>
      </c>
    </row>
    <row r="284">
      <c r="A284" s="2" t="inlineStr">
        <is>
          <t>金和至信稳健12号</t>
        </is>
      </c>
      <c r="B284" s="2" t="inlineStr">
        <is>
          <t>SB5534</t>
        </is>
      </c>
      <c r="C284" s="2" t="inlineStr">
        <is>
          <t>套利策略</t>
        </is>
      </c>
      <c r="D284" s="2" t="inlineStr">
        <is>
          <t>基金套利</t>
        </is>
      </c>
      <c r="E284" s="2" t="inlineStr">
        <is>
          <t>上海金和晟</t>
        </is>
      </c>
      <c r="F284" s="2" t="inlineStr">
        <is>
          <t>2023-07-20</t>
        </is>
      </c>
      <c r="G284" s="2" t="inlineStr">
        <is>
          <t>3.2400%</t>
        </is>
      </c>
      <c r="H284" s="2" t="inlineStr">
        <is>
          <t>5.4400%</t>
        </is>
      </c>
      <c r="I284" s="2" t="inlineStr">
        <is>
          <t>86.4900%</t>
        </is>
      </c>
      <c r="J284" s="2" t="inlineStr">
        <is>
          <t>84.6200%</t>
        </is>
      </c>
      <c r="K284" s="2" t="inlineStr">
        <is>
          <t>9.9600%</t>
        </is>
      </c>
      <c r="L284" s="2" t="n">
        <v>0.5467</v>
      </c>
      <c r="M284" s="2" t="n">
        <v>4.6278</v>
      </c>
      <c r="N284" s="2" t="inlineStr">
        <is>
          <t>沪深300</t>
        </is>
      </c>
      <c r="O284" t="inlineStr">
        <is>
          <t>2026-08-31</t>
        </is>
      </c>
      <c r="P284" t="inlineStr">
        <is>
          <t>2026-09-15</t>
        </is>
      </c>
    </row>
    <row r="285">
      <c r="A285" s="2" t="inlineStr">
        <is>
          <t>鸿儒灵活配置2期</t>
        </is>
      </c>
      <c r="B285" s="2" t="inlineStr">
        <is>
          <t>SB5918</t>
        </is>
      </c>
      <c r="C285" s="2" t="inlineStr">
        <is>
          <t>套利策略</t>
        </is>
      </c>
      <c r="D285" s="2" t="inlineStr">
        <is>
          <t>基金套利</t>
        </is>
      </c>
      <c r="E285" s="2" t="inlineStr">
        <is>
          <t>上海鸿儒投资</t>
        </is>
      </c>
      <c r="F285" s="2" t="inlineStr">
        <is>
          <t>2023-07-20</t>
        </is>
      </c>
      <c r="G285" s="2" t="inlineStr">
        <is>
          <t>6.2100%</t>
        </is>
      </c>
      <c r="H285" s="2" t="inlineStr">
        <is>
          <t>2.6500%</t>
        </is>
      </c>
      <c r="I285" s="2" t="inlineStr">
        <is>
          <t>86.4900%</t>
        </is>
      </c>
      <c r="J285" s="2" t="inlineStr">
        <is>
          <t>76.9200%</t>
        </is>
      </c>
      <c r="K285" s="2" t="inlineStr">
        <is>
          <t>2.2500%</t>
        </is>
      </c>
      <c r="L285" s="2" t="n">
        <v>1.1792</v>
      </c>
      <c r="M285" s="2" t="n">
        <v>16.2635</v>
      </c>
      <c r="N285" s="2" t="inlineStr">
        <is>
          <t>沪深300</t>
        </is>
      </c>
      <c r="O285" t="inlineStr">
        <is>
          <t>2026-08-31</t>
        </is>
      </c>
      <c r="P285" t="inlineStr">
        <is>
          <t>2026-09-15</t>
        </is>
      </c>
    </row>
    <row r="286">
      <c r="A286" s="2" t="inlineStr">
        <is>
          <t>博普跨市场1号A类</t>
        </is>
      </c>
      <c r="B286" s="2" t="inlineStr">
        <is>
          <t>N5169A</t>
        </is>
      </c>
      <c r="C286" s="2" t="inlineStr">
        <is>
          <t>套利策略</t>
        </is>
      </c>
      <c r="D286" s="2" t="inlineStr">
        <is>
          <t>-</t>
        </is>
      </c>
      <c r="E286" s="2" t="inlineStr">
        <is>
          <t>深圳博普科技</t>
        </is>
      </c>
      <c r="F286" s="2" t="inlineStr">
        <is>
          <t>2016-11-21</t>
        </is>
      </c>
      <c r="G286" s="2" t="inlineStr">
        <is>
          <t>6.0000%</t>
        </is>
      </c>
      <c r="H286" s="2" t="inlineStr">
        <is>
          <t>5.5700%</t>
        </is>
      </c>
      <c r="I286" s="2" t="inlineStr">
        <is>
          <t>86.4900%</t>
        </is>
      </c>
      <c r="J286" s="2" t="inlineStr">
        <is>
          <t>92.3100%</t>
        </is>
      </c>
      <c r="K286" s="2" t="inlineStr">
        <is>
          <t>3.5500%</t>
        </is>
      </c>
      <c r="L286" s="2" t="n">
        <v>1.5699</v>
      </c>
      <c r="M286" s="2" t="n">
        <v>9.7127</v>
      </c>
      <c r="N286" s="2" t="inlineStr">
        <is>
          <t>沪深300</t>
        </is>
      </c>
      <c r="O286" t="inlineStr">
        <is>
          <t>2026-08-31</t>
        </is>
      </c>
      <c r="P286" t="inlineStr">
        <is>
          <t>2026-09-15</t>
        </is>
      </c>
    </row>
    <row r="287">
      <c r="A287" s="2" t="inlineStr">
        <is>
          <t>博益安盈精英1号A类</t>
        </is>
      </c>
      <c r="B287" s="2" t="inlineStr">
        <is>
          <t>L9566A</t>
        </is>
      </c>
      <c r="C287" s="2" t="inlineStr">
        <is>
          <t>套利策略</t>
        </is>
      </c>
      <c r="D287" s="2" t="inlineStr">
        <is>
          <t>混合套利</t>
        </is>
      </c>
      <c r="E287" s="2" t="inlineStr">
        <is>
          <t>深圳博益安盈</t>
        </is>
      </c>
      <c r="F287" s="2" t="inlineStr">
        <is>
          <t>2016-08-29</t>
        </is>
      </c>
      <c r="G287" s="2" t="inlineStr">
        <is>
          <t>17.4200%</t>
        </is>
      </c>
      <c r="H287" s="2" t="n"/>
      <c r="I287" s="2" t="n"/>
      <c r="J287" s="2" t="inlineStr">
        <is>
          <t>69.2300%</t>
        </is>
      </c>
      <c r="K287" s="2" t="n"/>
      <c r="L287" s="2" t="n"/>
      <c r="M287" s="2" t="n">
        <v>5.9029</v>
      </c>
      <c r="N287" s="2" t="inlineStr">
        <is>
          <t>沪深300</t>
        </is>
      </c>
      <c r="O287" t="inlineStr">
        <is>
          <t>2026-08-31</t>
        </is>
      </c>
      <c r="P287" t="inlineStr">
        <is>
          <t>2026-09-15</t>
        </is>
      </c>
    </row>
    <row r="288">
      <c r="A288" s="2" t="inlineStr">
        <is>
          <t>东宏启航稳健1号</t>
        </is>
      </c>
      <c r="B288" s="2" t="inlineStr">
        <is>
          <t>SAAE31</t>
        </is>
      </c>
      <c r="C288" s="2" t="inlineStr">
        <is>
          <t>套利策略</t>
        </is>
      </c>
      <c r="D288" s="2" t="inlineStr">
        <is>
          <t>期权套利</t>
        </is>
      </c>
      <c r="E288" s="2" t="inlineStr">
        <is>
          <t>北京东宏世家资管</t>
        </is>
      </c>
      <c r="F288" s="2" t="inlineStr">
        <is>
          <t>2023-08-21</t>
        </is>
      </c>
      <c r="G288" s="2" t="inlineStr">
        <is>
          <t>17.4000%</t>
        </is>
      </c>
      <c r="H288" s="2" t="inlineStr">
        <is>
          <t>8.5400%</t>
        </is>
      </c>
      <c r="I288" s="2" t="inlineStr">
        <is>
          <t>75.6800%</t>
        </is>
      </c>
      <c r="J288" s="2" t="inlineStr">
        <is>
          <t>84.6200%</t>
        </is>
      </c>
      <c r="K288" s="2" t="inlineStr">
        <is>
          <t>6.7000%</t>
        </is>
      </c>
      <c r="L288" s="2" t="n">
        <v>1.2735</v>
      </c>
      <c r="M288" s="2" t="n">
        <v>15.1329</v>
      </c>
      <c r="N288" s="2" t="inlineStr">
        <is>
          <t>沪深300</t>
        </is>
      </c>
      <c r="O288" t="inlineStr">
        <is>
          <t>2026-08-31</t>
        </is>
      </c>
      <c r="P288" t="inlineStr">
        <is>
          <t>2026-09-15</t>
        </is>
      </c>
    </row>
    <row r="289">
      <c r="A289" s="2" t="inlineStr">
        <is>
          <t>慕途基本面量化2号</t>
        </is>
      </c>
      <c r="B289" s="2" t="inlineStr">
        <is>
          <t>SB9576</t>
        </is>
      </c>
      <c r="C289" s="2" t="inlineStr">
        <is>
          <t>套利策略</t>
        </is>
      </c>
      <c r="D289" s="2" t="inlineStr">
        <is>
          <t>期货套利</t>
        </is>
      </c>
      <c r="E289" s="2" t="inlineStr">
        <is>
          <t>慕途基金</t>
        </is>
      </c>
      <c r="F289" s="2" t="inlineStr">
        <is>
          <t>2023-08-28</t>
        </is>
      </c>
      <c r="G289" s="2" t="inlineStr">
        <is>
          <t>11.2600%</t>
        </is>
      </c>
      <c r="H289" s="2" t="inlineStr">
        <is>
          <t>9.5300%</t>
        </is>
      </c>
      <c r="I289" s="2" t="inlineStr">
        <is>
          <t>78.3800%</t>
        </is>
      </c>
      <c r="J289" s="2" t="inlineStr">
        <is>
          <t>69.2300%</t>
        </is>
      </c>
      <c r="K289" s="2" t="inlineStr">
        <is>
          <t>3.7500%</t>
        </is>
      </c>
      <c r="L289" s="2" t="n">
        <v>2.5435</v>
      </c>
      <c r="M289" s="2" t="n">
        <v>3.0056</v>
      </c>
      <c r="N289" s="2" t="inlineStr">
        <is>
          <t>沪深300</t>
        </is>
      </c>
      <c r="O289" t="inlineStr">
        <is>
          <t>2026-08-31</t>
        </is>
      </c>
      <c r="P289" t="inlineStr">
        <is>
          <t>2026-09-15</t>
        </is>
      </c>
    </row>
    <row r="290">
      <c r="A290" s="2" t="inlineStr">
        <is>
          <t>金和至信稳健13号</t>
        </is>
      </c>
      <c r="B290" s="2" t="inlineStr">
        <is>
          <t>SAAP55</t>
        </is>
      </c>
      <c r="C290" s="2" t="inlineStr">
        <is>
          <t>套利策略</t>
        </is>
      </c>
      <c r="D290" s="2" t="inlineStr">
        <is>
          <t>基金套利</t>
        </is>
      </c>
      <c r="E290" s="2" t="inlineStr">
        <is>
          <t>上海金和晟</t>
        </is>
      </c>
      <c r="F290" s="2" t="inlineStr">
        <is>
          <t>2023-09-12</t>
        </is>
      </c>
      <c r="G290" s="2" t="inlineStr">
        <is>
          <t>8.5000%</t>
        </is>
      </c>
      <c r="H290" s="2" t="n"/>
      <c r="I290" s="2" t="n"/>
      <c r="J290" s="2" t="inlineStr">
        <is>
          <t>69.2300%</t>
        </is>
      </c>
      <c r="K290" s="2" t="n"/>
      <c r="L290" s="2" t="n"/>
      <c r="M290" s="2" t="n">
        <v>2.8869</v>
      </c>
      <c r="N290" s="2" t="inlineStr">
        <is>
          <t>沪深300</t>
        </is>
      </c>
      <c r="O290" t="inlineStr">
        <is>
          <t>2026-08-31</t>
        </is>
      </c>
      <c r="P290" t="inlineStr">
        <is>
          <t>2026-09-15</t>
        </is>
      </c>
    </row>
    <row r="291">
      <c r="A291" s="2" t="inlineStr">
        <is>
          <t>量宇进取1号</t>
        </is>
      </c>
      <c r="B291" s="2" t="inlineStr">
        <is>
          <t>SAEA78</t>
        </is>
      </c>
      <c r="C291" s="2" t="inlineStr">
        <is>
          <t>套利策略</t>
        </is>
      </c>
      <c r="D291" s="2" t="inlineStr">
        <is>
          <t>期货套利</t>
        </is>
      </c>
      <c r="E291" s="2" t="inlineStr">
        <is>
          <t>上海量宇</t>
        </is>
      </c>
      <c r="F291" s="2" t="inlineStr">
        <is>
          <t>2023-12-13</t>
        </is>
      </c>
      <c r="G291" s="2" t="inlineStr">
        <is>
          <t>-1.8300%</t>
        </is>
      </c>
      <c r="H291" s="2" t="n"/>
      <c r="I291" s="2" t="n"/>
      <c r="J291" s="2" t="inlineStr">
        <is>
          <t>69.2300%</t>
        </is>
      </c>
      <c r="K291" s="2" t="n"/>
      <c r="L291" s="2" t="n"/>
      <c r="M291" s="2" t="n">
        <v>-0.06469999999999999</v>
      </c>
      <c r="N291" s="2" t="inlineStr">
        <is>
          <t>沪深300</t>
        </is>
      </c>
      <c r="O291" t="inlineStr">
        <is>
          <t>2026-08-31</t>
        </is>
      </c>
      <c r="P291" t="inlineStr">
        <is>
          <t>2026-09-15</t>
        </is>
      </c>
    </row>
    <row r="292">
      <c r="A292" s="2" t="inlineStr">
        <is>
          <t>野牛稳进2号</t>
        </is>
      </c>
      <c r="B292" s="2" t="inlineStr">
        <is>
          <t>SAFW30</t>
        </is>
      </c>
      <c r="C292" s="2" t="inlineStr">
        <is>
          <t>套利策略</t>
        </is>
      </c>
      <c r="D292" s="2" t="inlineStr">
        <is>
          <t>基金套利</t>
        </is>
      </c>
      <c r="E292" s="2" t="inlineStr">
        <is>
          <t>福建野牛资管</t>
        </is>
      </c>
      <c r="F292" s="2" t="inlineStr">
        <is>
          <t>2024-01-23</t>
        </is>
      </c>
      <c r="G292" s="2" t="inlineStr">
        <is>
          <t>4.5300%</t>
        </is>
      </c>
      <c r="H292" s="2" t="n"/>
      <c r="I292" s="2" t="n"/>
      <c r="J292" s="2" t="inlineStr">
        <is>
          <t>61.5400%</t>
        </is>
      </c>
      <c r="K292" s="2" t="n"/>
      <c r="L292" s="2" t="n"/>
      <c r="M292" s="2" t="n">
        <v>1.6767</v>
      </c>
      <c r="N292" s="2" t="inlineStr">
        <is>
          <t>沪深300</t>
        </is>
      </c>
      <c r="O292" t="inlineStr">
        <is>
          <t>2026-08-31</t>
        </is>
      </c>
      <c r="P292" t="inlineStr">
        <is>
          <t>2026-09-15</t>
        </is>
      </c>
    </row>
    <row r="293">
      <c r="A293" s="2" t="inlineStr">
        <is>
          <t>毅远稳健套利3号</t>
        </is>
      </c>
      <c r="B293" s="2" t="inlineStr">
        <is>
          <t>SAGG20</t>
        </is>
      </c>
      <c r="C293" s="2" t="inlineStr">
        <is>
          <t>套利策略</t>
        </is>
      </c>
      <c r="D293" s="2" t="inlineStr">
        <is>
          <t>-</t>
        </is>
      </c>
      <c r="E293" s="2" t="inlineStr">
        <is>
          <t>上海毅远</t>
        </is>
      </c>
      <c r="F293" s="2" t="inlineStr">
        <is>
          <t>2024-01-23</t>
        </is>
      </c>
      <c r="G293" s="2" t="inlineStr">
        <is>
          <t>-9.8300%</t>
        </is>
      </c>
      <c r="H293" s="2" t="n"/>
      <c r="I293" s="2" t="n"/>
      <c r="J293" s="2" t="inlineStr">
        <is>
          <t>38.4600%</t>
        </is>
      </c>
      <c r="K293" s="2" t="n"/>
      <c r="L293" s="2" t="n"/>
      <c r="M293" s="2" t="n">
        <v>-0.3789</v>
      </c>
      <c r="N293" s="2" t="inlineStr">
        <is>
          <t>沪深300</t>
        </is>
      </c>
      <c r="O293" t="inlineStr">
        <is>
          <t>2026-08-31</t>
        </is>
      </c>
      <c r="P293" t="inlineStr">
        <is>
          <t>2026-09-15</t>
        </is>
      </c>
    </row>
    <row r="294">
      <c r="A294" s="2" t="inlineStr">
        <is>
          <t>翎涵容克套利二号</t>
        </is>
      </c>
      <c r="B294" s="2" t="inlineStr">
        <is>
          <t>SAFY84</t>
        </is>
      </c>
      <c r="C294" s="2" t="inlineStr">
        <is>
          <t>套利策略</t>
        </is>
      </c>
      <c r="D294" s="2" t="inlineStr">
        <is>
          <t>期权套利</t>
        </is>
      </c>
      <c r="E294" s="2" t="inlineStr">
        <is>
          <t>上海翎涵</t>
        </is>
      </c>
      <c r="F294" s="2" t="inlineStr">
        <is>
          <t>2024-01-24</t>
        </is>
      </c>
      <c r="G294" s="2" t="inlineStr">
        <is>
          <t>5.7800%</t>
        </is>
      </c>
      <c r="H294" s="2" t="n"/>
      <c r="I294" s="2" t="n"/>
      <c r="J294" s="2" t="inlineStr">
        <is>
          <t>69.2300%</t>
        </is>
      </c>
      <c r="K294" s="2" t="n"/>
      <c r="L294" s="2" t="n"/>
      <c r="M294" s="2" t="n">
        <v>5.2163</v>
      </c>
      <c r="N294" s="2" t="inlineStr">
        <is>
          <t>沪深300</t>
        </is>
      </c>
      <c r="O294" t="inlineStr">
        <is>
          <t>2026-08-31</t>
        </is>
      </c>
      <c r="P294" t="inlineStr">
        <is>
          <t>2026-09-15</t>
        </is>
      </c>
    </row>
    <row r="295">
      <c r="A295" s="2" t="inlineStr">
        <is>
          <t>兆信股指期货期权套利1号A类</t>
        </is>
      </c>
      <c r="B295" s="2" t="inlineStr">
        <is>
          <t>XN023A</t>
        </is>
      </c>
      <c r="C295" s="2" t="inlineStr">
        <is>
          <t>套利策略</t>
        </is>
      </c>
      <c r="D295" s="2" t="inlineStr">
        <is>
          <t>期货套利</t>
        </is>
      </c>
      <c r="E295" s="2" t="inlineStr">
        <is>
          <t>江苏兆信</t>
        </is>
      </c>
      <c r="F295" s="2" t="inlineStr">
        <is>
          <t>2022-10-13</t>
        </is>
      </c>
      <c r="G295" s="2" t="inlineStr">
        <is>
          <t>4.0200%</t>
        </is>
      </c>
      <c r="H295" s="2" t="inlineStr">
        <is>
          <t>8.2600%</t>
        </is>
      </c>
      <c r="I295" s="2" t="inlineStr">
        <is>
          <t>70.2700%</t>
        </is>
      </c>
      <c r="J295" s="2" t="inlineStr">
        <is>
          <t>38.4600%</t>
        </is>
      </c>
      <c r="K295" s="2" t="inlineStr">
        <is>
          <t>4.0500%</t>
        </is>
      </c>
      <c r="L295" s="2" t="n">
        <v>2.0407</v>
      </c>
      <c r="M295" s="2" t="n">
        <v>1.0819</v>
      </c>
      <c r="N295" s="2" t="inlineStr">
        <is>
          <t>沪深300</t>
        </is>
      </c>
      <c r="O295" t="inlineStr">
        <is>
          <t>2026-08-31</t>
        </is>
      </c>
      <c r="P295" t="inlineStr">
        <is>
          <t>2026-09-15</t>
        </is>
      </c>
    </row>
    <row r="296">
      <c r="A296" s="2" t="inlineStr">
        <is>
          <t>巨量边界周周开2号</t>
        </is>
      </c>
      <c r="B296" s="2" t="inlineStr">
        <is>
          <t>SAHY15</t>
        </is>
      </c>
      <c r="C296" s="2" t="inlineStr">
        <is>
          <t>套利策略</t>
        </is>
      </c>
      <c r="D296" s="2" t="inlineStr">
        <is>
          <t>股票套利</t>
        </is>
      </c>
      <c r="E296" s="2" t="inlineStr">
        <is>
          <t>北京巨量边界</t>
        </is>
      </c>
      <c r="F296" s="2" t="inlineStr">
        <is>
          <t>2024-04-02</t>
        </is>
      </c>
      <c r="G296" s="2" t="inlineStr">
        <is>
          <t>16.3700%</t>
        </is>
      </c>
      <c r="H296" s="2" t="n"/>
      <c r="I296" s="2" t="n"/>
      <c r="J296" s="2" t="inlineStr">
        <is>
          <t>53.8500%</t>
        </is>
      </c>
      <c r="K296" s="2" t="n"/>
      <c r="L296" s="2" t="n"/>
      <c r="M296" s="2" t="n">
        <v>0.4597</v>
      </c>
      <c r="N296" s="2" t="inlineStr">
        <is>
          <t>沪深300</t>
        </is>
      </c>
      <c r="O296" t="inlineStr">
        <is>
          <t>2026-08-31</t>
        </is>
      </c>
      <c r="P296" t="inlineStr">
        <is>
          <t>2026-09-15</t>
        </is>
      </c>
    </row>
    <row r="297">
      <c r="A297" s="2" t="inlineStr">
        <is>
          <t>展弘-朝熠稳健1号</t>
        </is>
      </c>
      <c r="B297" s="2" t="inlineStr">
        <is>
          <t>SABF69</t>
        </is>
      </c>
      <c r="C297" s="2" t="inlineStr">
        <is>
          <t>套利策略</t>
        </is>
      </c>
      <c r="D297" s="2" t="inlineStr">
        <is>
          <t>期货套利</t>
        </is>
      </c>
      <c r="E297" s="2" t="inlineStr">
        <is>
          <t>上海展弘投资</t>
        </is>
      </c>
      <c r="F297" s="2" t="inlineStr">
        <is>
          <t>2024-06-03</t>
        </is>
      </c>
      <c r="G297" s="2" t="inlineStr">
        <is>
          <t>2.4500%</t>
        </is>
      </c>
      <c r="H297" s="2" t="n"/>
      <c r="I297" s="2" t="n"/>
      <c r="J297" s="2" t="inlineStr">
        <is>
          <t>38.4600%</t>
        </is>
      </c>
      <c r="K297" s="2" t="n"/>
      <c r="L297" s="2" t="n"/>
      <c r="M297" s="2" t="n">
        <v>2.1247</v>
      </c>
      <c r="N297" s="2" t="inlineStr">
        <is>
          <t>沪深300</t>
        </is>
      </c>
      <c r="O297" t="inlineStr">
        <is>
          <t>2026-08-31</t>
        </is>
      </c>
      <c r="P297" t="inlineStr">
        <is>
          <t>2026-09-15</t>
        </is>
      </c>
    </row>
    <row r="298">
      <c r="A298" s="2" t="inlineStr">
        <is>
          <t>英旷专享2号</t>
        </is>
      </c>
      <c r="B298" s="2" t="inlineStr">
        <is>
          <t>SAKV28</t>
        </is>
      </c>
      <c r="C298" s="2" t="inlineStr">
        <is>
          <t>套利策略</t>
        </is>
      </c>
      <c r="D298" s="2" t="inlineStr">
        <is>
          <t>可转债套利</t>
        </is>
      </c>
      <c r="E298" s="2" t="inlineStr">
        <is>
          <t>上海英旷资管</t>
        </is>
      </c>
      <c r="F298" s="2" t="inlineStr">
        <is>
          <t>2024-05-29</t>
        </is>
      </c>
      <c r="G298" s="2" t="inlineStr">
        <is>
          <t>7.8800%</t>
        </is>
      </c>
      <c r="H298" s="2" t="n"/>
      <c r="I298" s="2" t="n"/>
      <c r="J298" s="2" t="inlineStr">
        <is>
          <t>84.6200%</t>
        </is>
      </c>
      <c r="K298" s="2" t="n"/>
      <c r="L298" s="2" t="n"/>
      <c r="M298" s="2" t="n">
        <v>16.2584</v>
      </c>
      <c r="N298" s="2" t="inlineStr">
        <is>
          <t>沪深300</t>
        </is>
      </c>
      <c r="O298" t="inlineStr">
        <is>
          <t>2026-08-31</t>
        </is>
      </c>
      <c r="P298" t="inlineStr">
        <is>
          <t>2026-09-15</t>
        </is>
      </c>
    </row>
    <row r="299">
      <c r="A299" s="2" t="inlineStr">
        <is>
          <t>英旷专享2号A类</t>
        </is>
      </c>
      <c r="B299" s="2" t="inlineStr">
        <is>
          <t>AKV28A</t>
        </is>
      </c>
      <c r="C299" s="2" t="inlineStr">
        <is>
          <t>套利策略</t>
        </is>
      </c>
      <c r="D299" s="2" t="inlineStr">
        <is>
          <t>可转债套利</t>
        </is>
      </c>
      <c r="E299" s="2" t="inlineStr">
        <is>
          <t>上海英旷资管</t>
        </is>
      </c>
      <c r="F299" s="2" t="inlineStr">
        <is>
          <t>2024-05-29</t>
        </is>
      </c>
      <c r="G299" s="2" t="inlineStr">
        <is>
          <t>7.8800%</t>
        </is>
      </c>
      <c r="H299" s="2" t="n"/>
      <c r="I299" s="2" t="n"/>
      <c r="J299" s="2" t="inlineStr">
        <is>
          <t>84.6200%</t>
        </is>
      </c>
      <c r="K299" s="2" t="n"/>
      <c r="L299" s="2" t="n"/>
      <c r="M299" s="2" t="n">
        <v>16.5639</v>
      </c>
      <c r="N299" s="2" t="inlineStr">
        <is>
          <t>沪深300</t>
        </is>
      </c>
      <c r="O299" t="inlineStr">
        <is>
          <t>2026-08-31</t>
        </is>
      </c>
      <c r="P299" t="inlineStr">
        <is>
          <t>2026-09-15</t>
        </is>
      </c>
    </row>
    <row r="300">
      <c r="A300" s="2" t="inlineStr">
        <is>
          <t>毅远稳健套利8号</t>
        </is>
      </c>
      <c r="B300" s="2" t="inlineStr">
        <is>
          <t>SAKX22</t>
        </is>
      </c>
      <c r="C300" s="2" t="inlineStr">
        <is>
          <t>套利策略</t>
        </is>
      </c>
      <c r="D300" s="2" t="inlineStr">
        <is>
          <t>-</t>
        </is>
      </c>
      <c r="E300" s="2" t="inlineStr">
        <is>
          <t>上海毅远</t>
        </is>
      </c>
      <c r="F300" s="2" t="inlineStr">
        <is>
          <t>2024-07-03</t>
        </is>
      </c>
      <c r="G300" s="2" t="inlineStr">
        <is>
          <t>-3.6500%</t>
        </is>
      </c>
      <c r="H300" s="2" t="n"/>
      <c r="I300" s="2" t="n"/>
      <c r="J300" s="2" t="inlineStr">
        <is>
          <t>46.1500%</t>
        </is>
      </c>
      <c r="K300" s="2" t="n"/>
      <c r="L300" s="2" t="n"/>
      <c r="M300" s="2" t="n">
        <v>-0.1659</v>
      </c>
      <c r="N300" s="2" t="inlineStr">
        <is>
          <t>沪深300</t>
        </is>
      </c>
      <c r="O300" t="inlineStr">
        <is>
          <t>2026-08-31</t>
        </is>
      </c>
      <c r="P300" t="inlineStr">
        <is>
          <t>2026-09-15</t>
        </is>
      </c>
    </row>
    <row r="301">
      <c r="A301" s="2" t="inlineStr">
        <is>
          <t>鑫翰启明贵金属套利1号</t>
        </is>
      </c>
      <c r="B301" s="2" t="inlineStr">
        <is>
          <t>SAME58</t>
        </is>
      </c>
      <c r="C301" s="2" t="inlineStr">
        <is>
          <t>套利策略</t>
        </is>
      </c>
      <c r="D301" s="2" t="inlineStr">
        <is>
          <t>-</t>
        </is>
      </c>
      <c r="E301" s="2" t="inlineStr">
        <is>
          <t>北京鑫翰资管</t>
        </is>
      </c>
      <c r="F301" s="2" t="inlineStr">
        <is>
          <t>2024-07-12</t>
        </is>
      </c>
      <c r="G301" s="2" t="inlineStr">
        <is>
          <t>3.2300%</t>
        </is>
      </c>
      <c r="H301" s="2" t="n"/>
      <c r="I301" s="2" t="n"/>
      <c r="J301" s="2" t="inlineStr">
        <is>
          <t>53.8500%</t>
        </is>
      </c>
      <c r="K301" s="2" t="n"/>
      <c r="L301" s="2" t="n"/>
      <c r="M301" s="2" t="n">
        <v>0.7838000000000001</v>
      </c>
      <c r="N301" s="2" t="inlineStr">
        <is>
          <t>沪深300</t>
        </is>
      </c>
      <c r="O301" t="inlineStr">
        <is>
          <t>2026-08-31</t>
        </is>
      </c>
      <c r="P301" t="inlineStr">
        <is>
          <t>2026-09-15</t>
        </is>
      </c>
    </row>
    <row r="302">
      <c r="A302" s="2" t="inlineStr">
        <is>
          <t>朔方常青树1号</t>
        </is>
      </c>
      <c r="B302" s="2" t="inlineStr">
        <is>
          <t>SALV92</t>
        </is>
      </c>
      <c r="C302" s="2" t="inlineStr">
        <is>
          <t>套利策略</t>
        </is>
      </c>
      <c r="D302" s="2" t="inlineStr">
        <is>
          <t>-</t>
        </is>
      </c>
      <c r="E302" s="2" t="inlineStr">
        <is>
          <t>青岛朔方投资</t>
        </is>
      </c>
      <c r="F302" s="2" t="inlineStr">
        <is>
          <t>2024-06-26</t>
        </is>
      </c>
      <c r="G302" s="2" t="inlineStr">
        <is>
          <t>5.8600%</t>
        </is>
      </c>
      <c r="H302" s="2" t="n"/>
      <c r="I302" s="2" t="n"/>
      <c r="J302" s="2" t="inlineStr">
        <is>
          <t>100.0000%</t>
        </is>
      </c>
      <c r="K302" s="2" t="n"/>
      <c r="L302" s="2" t="n"/>
      <c r="M302" s="2" t="n">
        <v>17.3021</v>
      </c>
      <c r="N302" s="2" t="inlineStr">
        <is>
          <t>沪深300</t>
        </is>
      </c>
      <c r="O302" t="inlineStr">
        <is>
          <t>2026-08-31</t>
        </is>
      </c>
      <c r="P302" t="inlineStr">
        <is>
          <t>2026-09-15</t>
        </is>
      </c>
    </row>
    <row r="303">
      <c r="A303" s="2" t="inlineStr">
        <is>
          <t>九招真格量化套利一号B类</t>
        </is>
      </c>
      <c r="B303" s="2" t="inlineStr">
        <is>
          <t>QD546B</t>
        </is>
      </c>
      <c r="C303" s="2" t="inlineStr">
        <is>
          <t>套利策略</t>
        </is>
      </c>
      <c r="D303" s="2" t="inlineStr">
        <is>
          <t>期货套利</t>
        </is>
      </c>
      <c r="E303" s="2" t="inlineStr">
        <is>
          <t>武汉九招</t>
        </is>
      </c>
      <c r="F303" s="2" t="inlineStr">
        <is>
          <t>2021-03-16</t>
        </is>
      </c>
      <c r="G303" s="2" t="inlineStr">
        <is>
          <t>14.4600%</t>
        </is>
      </c>
      <c r="H303" s="2" t="n"/>
      <c r="I303" s="2" t="n"/>
      <c r="J303" s="2" t="inlineStr">
        <is>
          <t>100.0000%</t>
        </is>
      </c>
      <c r="K303" s="2" t="n"/>
      <c r="L303" s="2" t="n"/>
      <c r="M303" s="2" t="n">
        <v>40.2118</v>
      </c>
      <c r="N303" s="2" t="inlineStr">
        <is>
          <t>中证全债</t>
        </is>
      </c>
      <c r="O303" t="inlineStr">
        <is>
          <t>2026-08-31</t>
        </is>
      </c>
      <c r="P303" t="inlineStr">
        <is>
          <t>2026-09-15</t>
        </is>
      </c>
    </row>
    <row r="304">
      <c r="A304" s="2" t="inlineStr">
        <is>
          <t>溋沣鸿运来星选1号B类</t>
        </is>
      </c>
      <c r="B304" s="2" t="inlineStr">
        <is>
          <t>09408B</t>
        </is>
      </c>
      <c r="C304" s="2" t="inlineStr">
        <is>
          <t>套利策略</t>
        </is>
      </c>
      <c r="D304" s="2" t="inlineStr">
        <is>
          <t>-</t>
        </is>
      </c>
      <c r="E304" s="2" t="inlineStr">
        <is>
          <t>深圳前海溋沣资管</t>
        </is>
      </c>
      <c r="F304" s="2" t="inlineStr">
        <is>
          <t>2023-05-15</t>
        </is>
      </c>
      <c r="G304" s="2" t="inlineStr">
        <is>
          <t>7.8500%</t>
        </is>
      </c>
      <c r="H304" s="2" t="inlineStr">
        <is>
          <t>4.4100%</t>
        </is>
      </c>
      <c r="I304" s="2" t="inlineStr">
        <is>
          <t>81.0800%</t>
        </is>
      </c>
      <c r="J304" s="2" t="inlineStr">
        <is>
          <t>76.9200%</t>
        </is>
      </c>
      <c r="K304" s="2" t="inlineStr">
        <is>
          <t>2.5800%</t>
        </is>
      </c>
      <c r="L304" s="2" t="n">
        <v>1.707</v>
      </c>
      <c r="M304" s="2" t="n">
        <v>3.3271</v>
      </c>
      <c r="N304" s="2" t="inlineStr">
        <is>
          <t>沪深300</t>
        </is>
      </c>
      <c r="O304" t="inlineStr">
        <is>
          <t>2026-08-31</t>
        </is>
      </c>
      <c r="P304" t="inlineStr">
        <is>
          <t>2026-09-15</t>
        </is>
      </c>
    </row>
    <row r="305">
      <c r="A305" s="2" t="inlineStr">
        <is>
          <t>殊馥馥源套利1号B类</t>
        </is>
      </c>
      <c r="B305" s="2" t="inlineStr">
        <is>
          <t>GM512B</t>
        </is>
      </c>
      <c r="C305" s="2" t="inlineStr">
        <is>
          <t>套利策略</t>
        </is>
      </c>
      <c r="D305" s="2" t="inlineStr">
        <is>
          <t>基金套利</t>
        </is>
      </c>
      <c r="E305" s="2" t="inlineStr">
        <is>
          <t>上海殊馥投资</t>
        </is>
      </c>
      <c r="F305" s="2" t="inlineStr">
        <is>
          <t>2019-04-30</t>
        </is>
      </c>
      <c r="G305" s="2" t="inlineStr">
        <is>
          <t>8.8000%</t>
        </is>
      </c>
      <c r="H305" s="2" t="n"/>
      <c r="I305" s="2" t="n"/>
      <c r="J305" s="2" t="inlineStr">
        <is>
          <t>92.3100%</t>
        </is>
      </c>
      <c r="K305" s="2" t="n"/>
      <c r="L305" s="2" t="n"/>
      <c r="M305" s="2" t="n">
        <v>9.924300000000001</v>
      </c>
      <c r="N305" s="2" t="inlineStr">
        <is>
          <t>沪深300</t>
        </is>
      </c>
      <c r="O305" t="inlineStr">
        <is>
          <t>2026-08-31</t>
        </is>
      </c>
      <c r="P305" t="inlineStr">
        <is>
          <t>2026-09-15</t>
        </is>
      </c>
    </row>
    <row r="306">
      <c r="A306" s="2" t="inlineStr">
        <is>
          <t>韵之盛沅</t>
        </is>
      </c>
      <c r="B306" s="2" t="inlineStr">
        <is>
          <t>SAER53</t>
        </is>
      </c>
      <c r="C306" s="2" t="inlineStr">
        <is>
          <t>套利策略</t>
        </is>
      </c>
      <c r="D306" s="2" t="inlineStr">
        <is>
          <t>混合套利</t>
        </is>
      </c>
      <c r="E306" s="2" t="inlineStr">
        <is>
          <t>北京韵之</t>
        </is>
      </c>
      <c r="F306" s="2" t="inlineStr">
        <is>
          <t>2024-12-17</t>
        </is>
      </c>
      <c r="G306" s="2" t="inlineStr">
        <is>
          <t>-5.1000%</t>
        </is>
      </c>
      <c r="H306" s="2" t="n"/>
      <c r="I306" s="2" t="n"/>
      <c r="J306" s="2" t="inlineStr">
        <is>
          <t>53.8500%</t>
        </is>
      </c>
      <c r="K306" s="2" t="n"/>
      <c r="L306" s="2" t="n"/>
      <c r="M306" s="2" t="n">
        <v>-0.3049</v>
      </c>
      <c r="N306" s="2" t="inlineStr">
        <is>
          <t>沪深300</t>
        </is>
      </c>
      <c r="O306" t="inlineStr">
        <is>
          <t>2026-08-31</t>
        </is>
      </c>
      <c r="P306" t="inlineStr">
        <is>
          <t>2026-09-15</t>
        </is>
      </c>
    </row>
    <row r="307">
      <c r="A307" s="2" t="inlineStr">
        <is>
          <t>智领泽临套利三号</t>
        </is>
      </c>
      <c r="B307" s="2" t="inlineStr">
        <is>
          <t>SATL73</t>
        </is>
      </c>
      <c r="C307" s="2" t="inlineStr">
        <is>
          <t>套利策略</t>
        </is>
      </c>
      <c r="D307" s="2" t="inlineStr">
        <is>
          <t>-</t>
        </is>
      </c>
      <c r="E307" s="2" t="inlineStr">
        <is>
          <t>福州智领三联</t>
        </is>
      </c>
      <c r="F307" s="2" t="inlineStr">
        <is>
          <t>2025-01-20</t>
        </is>
      </c>
      <c r="G307" s="2" t="inlineStr">
        <is>
          <t>10.1200%</t>
        </is>
      </c>
      <c r="H307" s="2" t="n"/>
      <c r="I307" s="2" t="n"/>
      <c r="J307" s="2" t="inlineStr">
        <is>
          <t>92.3100%</t>
        </is>
      </c>
      <c r="K307" s="2" t="n"/>
      <c r="L307" s="2" t="n"/>
      <c r="M307" s="2" t="n">
        <v>32.78</v>
      </c>
      <c r="N307" s="2" t="inlineStr">
        <is>
          <t>沪深300</t>
        </is>
      </c>
      <c r="O307" t="inlineStr">
        <is>
          <t>2026-08-31</t>
        </is>
      </c>
      <c r="P307" t="inlineStr">
        <is>
          <t>2026-09-15</t>
        </is>
      </c>
    </row>
    <row r="308">
      <c r="A308" s="2" t="inlineStr">
        <is>
          <t>岳鑫遥3号A类</t>
        </is>
      </c>
      <c r="B308" s="2" t="inlineStr">
        <is>
          <t>XW818A</t>
        </is>
      </c>
      <c r="C308" s="2" t="inlineStr">
        <is>
          <t>套利策略</t>
        </is>
      </c>
      <c r="D308" s="2" t="inlineStr">
        <is>
          <t>-</t>
        </is>
      </c>
      <c r="E308" s="2" t="inlineStr">
        <is>
          <t>北京岳鑫遥</t>
        </is>
      </c>
      <c r="F308" s="2" t="inlineStr">
        <is>
          <t>2022-12-12</t>
        </is>
      </c>
      <c r="G308" s="2" t="inlineStr">
        <is>
          <t>-15.3600%</t>
        </is>
      </c>
      <c r="H308" s="2" t="inlineStr">
        <is>
          <t>10.6800%</t>
        </is>
      </c>
      <c r="I308" s="2" t="inlineStr">
        <is>
          <t>72.9700%</t>
        </is>
      </c>
      <c r="J308" s="2" t="inlineStr">
        <is>
          <t>53.8500%</t>
        </is>
      </c>
      <c r="K308" s="2" t="inlineStr">
        <is>
          <t>32.3600%</t>
        </is>
      </c>
      <c r="L308" s="2" t="n">
        <v>0.33</v>
      </c>
      <c r="M308" s="2" t="n">
        <v>-0.4747</v>
      </c>
      <c r="N308" s="2" t="inlineStr">
        <is>
          <t>沪深300</t>
        </is>
      </c>
      <c r="O308" t="inlineStr">
        <is>
          <t>2026-08-31</t>
        </is>
      </c>
      <c r="P308" t="inlineStr">
        <is>
          <t>2026-09-15</t>
        </is>
      </c>
    </row>
    <row r="309">
      <c r="A309" s="2" t="inlineStr">
        <is>
          <t>惠隆金选套利1号B类</t>
        </is>
      </c>
      <c r="B309" s="2" t="inlineStr">
        <is>
          <t>QG026B</t>
        </is>
      </c>
      <c r="C309" s="2" t="inlineStr">
        <is>
          <t>套利策略</t>
        </is>
      </c>
      <c r="D309" s="2" t="inlineStr">
        <is>
          <t>期货套利</t>
        </is>
      </c>
      <c r="E309" s="2" t="inlineStr">
        <is>
          <t>北京惠隆资管</t>
        </is>
      </c>
      <c r="F309" s="2" t="inlineStr">
        <is>
          <t>2021-09-23</t>
        </is>
      </c>
      <c r="G309" s="2" t="inlineStr">
        <is>
          <t>13.3700%</t>
        </is>
      </c>
      <c r="H309" s="2" t="inlineStr">
        <is>
          <t>16.6400%</t>
        </is>
      </c>
      <c r="I309" s="2" t="inlineStr">
        <is>
          <t>100.0000%</t>
        </is>
      </c>
      <c r="J309" s="2" t="inlineStr">
        <is>
          <t>100.0000%</t>
        </is>
      </c>
      <c r="K309" s="2" t="inlineStr">
        <is>
          <t>0.2700%</t>
        </is>
      </c>
      <c r="L309" s="2" t="n">
        <v>61.1162</v>
      </c>
      <c r="M309" s="2" t="n">
        <v>49.1192</v>
      </c>
      <c r="N309" s="2" t="inlineStr">
        <is>
          <t>沪深300</t>
        </is>
      </c>
      <c r="O309" t="inlineStr">
        <is>
          <t>2026-08-31</t>
        </is>
      </c>
      <c r="P309" t="inlineStr">
        <is>
          <t>2026-09-15</t>
        </is>
      </c>
    </row>
    <row r="310">
      <c r="A310" s="2" t="inlineStr">
        <is>
          <t>庄贤亨贞期权对冲A类</t>
        </is>
      </c>
      <c r="B310" s="2" t="inlineStr">
        <is>
          <t>TW239A</t>
        </is>
      </c>
      <c r="C310" s="2" t="inlineStr">
        <is>
          <t>套利策略</t>
        </is>
      </c>
      <c r="D310" s="2" t="inlineStr">
        <is>
          <t>期权套利</t>
        </is>
      </c>
      <c r="E310" s="2" t="inlineStr">
        <is>
          <t>杭州庄贤投资</t>
        </is>
      </c>
      <c r="F310" s="2" t="inlineStr">
        <is>
          <t>2022-01-28</t>
        </is>
      </c>
      <c r="G310" s="2" t="inlineStr">
        <is>
          <t>4.0500%</t>
        </is>
      </c>
      <c r="H310" s="2" t="inlineStr">
        <is>
          <t>4.6500%</t>
        </is>
      </c>
      <c r="I310" s="2" t="inlineStr">
        <is>
          <t>75.6800%</t>
        </is>
      </c>
      <c r="J310" s="2" t="inlineStr">
        <is>
          <t>69.2300%</t>
        </is>
      </c>
      <c r="K310" s="2" t="inlineStr">
        <is>
          <t>1.3000%</t>
        </is>
      </c>
      <c r="L310" s="2" t="n">
        <v>3.5867</v>
      </c>
      <c r="M310" s="2" t="n">
        <v>9.4542</v>
      </c>
      <c r="N310" s="2" t="inlineStr">
        <is>
          <t>沪深300</t>
        </is>
      </c>
      <c r="O310" t="inlineStr">
        <is>
          <t>2026-08-31</t>
        </is>
      </c>
      <c r="P310" t="inlineStr">
        <is>
          <t>2026-09-15</t>
        </is>
      </c>
    </row>
    <row r="311">
      <c r="A311" s="2" t="inlineStr">
        <is>
          <t>鑫翰启明贵金属套利1号B类</t>
        </is>
      </c>
      <c r="B311" s="2" t="inlineStr">
        <is>
          <t>AME58B</t>
        </is>
      </c>
      <c r="C311" s="2" t="inlineStr">
        <is>
          <t>套利策略</t>
        </is>
      </c>
      <c r="D311" s="2" t="inlineStr">
        <is>
          <t>-</t>
        </is>
      </c>
      <c r="E311" s="2" t="inlineStr">
        <is>
          <t>北京鑫翰资管</t>
        </is>
      </c>
      <c r="F311" s="2" t="inlineStr">
        <is>
          <t>2024-07-12</t>
        </is>
      </c>
      <c r="G311" s="2" t="inlineStr">
        <is>
          <t>3.2900%</t>
        </is>
      </c>
      <c r="H311" s="2" t="n"/>
      <c r="I311" s="2" t="n"/>
      <c r="J311" s="2" t="inlineStr">
        <is>
          <t>53.8500%</t>
        </is>
      </c>
      <c r="K311" s="2" t="n"/>
      <c r="L311" s="2" t="n"/>
      <c r="M311" s="2" t="n">
        <v>0.7985</v>
      </c>
      <c r="N311" s="2" t="inlineStr">
        <is>
          <t>沪深300</t>
        </is>
      </c>
      <c r="O311" t="inlineStr">
        <is>
          <t>2026-08-31</t>
        </is>
      </c>
      <c r="P311" t="inlineStr">
        <is>
          <t>2026-09-15</t>
        </is>
      </c>
    </row>
    <row r="312">
      <c r="A312" s="2" t="inlineStr">
        <is>
          <t>灵涛卧龙A类</t>
        </is>
      </c>
      <c r="B312" s="2" t="inlineStr">
        <is>
          <t>EU753A</t>
        </is>
      </c>
      <c r="C312" s="2" t="inlineStr">
        <is>
          <t>套利策略</t>
        </is>
      </c>
      <c r="D312" s="2" t="inlineStr">
        <is>
          <t>-</t>
        </is>
      </c>
      <c r="E312" s="2" t="inlineStr">
        <is>
          <t>灵涛基金</t>
        </is>
      </c>
      <c r="F312" s="2" t="inlineStr">
        <is>
          <t>2018-12-13</t>
        </is>
      </c>
      <c r="G312" s="2" t="inlineStr">
        <is>
          <t>3.8400%</t>
        </is>
      </c>
      <c r="H312" s="2" t="n"/>
      <c r="I312" s="2" t="n"/>
      <c r="J312" s="2" t="inlineStr">
        <is>
          <t>69.2300%</t>
        </is>
      </c>
      <c r="K312" s="2" t="n"/>
      <c r="L312" s="2" t="n"/>
      <c r="M312" s="2" t="n">
        <v>0.6784</v>
      </c>
      <c r="N312" s="2" t="inlineStr">
        <is>
          <t>沪深300</t>
        </is>
      </c>
      <c r="O312" t="inlineStr">
        <is>
          <t>2026-08-31</t>
        </is>
      </c>
      <c r="P312" t="inlineStr">
        <is>
          <t>2026-09-15</t>
        </is>
      </c>
    </row>
    <row r="313">
      <c r="A313" s="2" t="inlineStr">
        <is>
          <t>泰创稳增1号A类</t>
        </is>
      </c>
      <c r="B313" s="2" t="inlineStr">
        <is>
          <t>ZV527A</t>
        </is>
      </c>
      <c r="C313" s="2" t="inlineStr">
        <is>
          <t>套利策略</t>
        </is>
      </c>
      <c r="D313" s="2" t="inlineStr">
        <is>
          <t>期货套利</t>
        </is>
      </c>
      <c r="E313" s="2" t="inlineStr">
        <is>
          <t>北京泰创投资</t>
        </is>
      </c>
      <c r="F313" s="2" t="inlineStr">
        <is>
          <t>2023-04-10</t>
        </is>
      </c>
      <c r="G313" s="2" t="inlineStr">
        <is>
          <t>4.8000%</t>
        </is>
      </c>
      <c r="H313" s="2" t="n"/>
      <c r="I313" s="2" t="n"/>
      <c r="J313" s="2" t="inlineStr">
        <is>
          <t>61.5400%</t>
        </is>
      </c>
      <c r="K313" s="2" t="n"/>
      <c r="L313" s="2" t="n"/>
      <c r="M313" s="2" t="n">
        <v>2.9872</v>
      </c>
      <c r="N313" s="2" t="inlineStr">
        <is>
          <t>沪深300</t>
        </is>
      </c>
      <c r="O313" t="inlineStr">
        <is>
          <t>2026-08-31</t>
        </is>
      </c>
      <c r="P313" t="inlineStr">
        <is>
          <t>2026-09-15</t>
        </is>
      </c>
    </row>
    <row r="314">
      <c r="A314" s="2" t="inlineStr">
        <is>
          <t>星汇天权1号</t>
        </is>
      </c>
      <c r="B314" s="2" t="inlineStr">
        <is>
          <t>SAVF65</t>
        </is>
      </c>
      <c r="C314" s="2" t="inlineStr">
        <is>
          <t>套利策略</t>
        </is>
      </c>
      <c r="D314" s="2" t="inlineStr">
        <is>
          <t>期权套利</t>
        </is>
      </c>
      <c r="E314" s="2" t="inlineStr">
        <is>
          <t>上海思达星汇</t>
        </is>
      </c>
      <c r="F314" s="2" t="inlineStr">
        <is>
          <t>2025-03-10</t>
        </is>
      </c>
      <c r="G314" s="2" t="inlineStr">
        <is>
          <t>10.7700%</t>
        </is>
      </c>
      <c r="H314" s="2" t="n"/>
      <c r="I314" s="2" t="n"/>
      <c r="J314" s="2" t="inlineStr">
        <is>
          <t>61.5400%</t>
        </is>
      </c>
      <c r="K314" s="2" t="n"/>
      <c r="L314" s="2" t="n"/>
      <c r="M314" s="2" t="n">
        <v>2.6054</v>
      </c>
      <c r="N314" s="2" t="inlineStr">
        <is>
          <t>沪深300</t>
        </is>
      </c>
      <c r="O314" t="inlineStr">
        <is>
          <t>2026-08-31</t>
        </is>
      </c>
      <c r="P314" t="inlineStr">
        <is>
          <t>2026-09-15</t>
        </is>
      </c>
    </row>
    <row r="315">
      <c r="A315" s="2" t="inlineStr">
        <is>
          <t>盛冠达泽众9号</t>
        </is>
      </c>
      <c r="B315" s="2" t="inlineStr">
        <is>
          <t>SAWX37</t>
        </is>
      </c>
      <c r="C315" s="2" t="inlineStr">
        <is>
          <t>套利策略</t>
        </is>
      </c>
      <c r="D315" s="2" t="inlineStr">
        <is>
          <t>期货套利</t>
        </is>
      </c>
      <c r="E315" s="2" t="inlineStr">
        <is>
          <t>海南盛冠达</t>
        </is>
      </c>
      <c r="F315" s="2" t="inlineStr">
        <is>
          <t>2025-04-11</t>
        </is>
      </c>
      <c r="G315" s="2" t="inlineStr">
        <is>
          <t>6.5400%</t>
        </is>
      </c>
      <c r="H315" s="2" t="n"/>
      <c r="I315" s="2" t="n"/>
      <c r="J315" s="2" t="inlineStr">
        <is>
          <t>76.9200%</t>
        </is>
      </c>
      <c r="K315" s="2" t="n"/>
      <c r="L315" s="2" t="n"/>
      <c r="M315" s="2" t="n">
        <v>3.7728</v>
      </c>
      <c r="N315" s="2" t="inlineStr">
        <is>
          <t>沪深300</t>
        </is>
      </c>
      <c r="O315" t="inlineStr">
        <is>
          <t>2026-08-31</t>
        </is>
      </c>
      <c r="P315" t="inlineStr">
        <is>
          <t>2026-09-15</t>
        </is>
      </c>
    </row>
    <row r="316">
      <c r="A316" s="2" t="inlineStr">
        <is>
          <t>金藏元金权一号</t>
        </is>
      </c>
      <c r="B316" s="2" t="inlineStr">
        <is>
          <t>SAWM56</t>
        </is>
      </c>
      <c r="C316" s="2" t="inlineStr">
        <is>
          <t>套利策略</t>
        </is>
      </c>
      <c r="D316" s="2" t="inlineStr">
        <is>
          <t>-</t>
        </is>
      </c>
      <c r="E316" s="2" t="inlineStr">
        <is>
          <t>浙江金藏元投资</t>
        </is>
      </c>
      <c r="F316" s="2" t="inlineStr">
        <is>
          <t>2025-04-21</t>
        </is>
      </c>
      <c r="G316" s="2" t="inlineStr">
        <is>
          <t>7.3700%</t>
        </is>
      </c>
      <c r="H316" s="2" t="n"/>
      <c r="I316" s="2" t="n"/>
      <c r="J316" s="2" t="inlineStr">
        <is>
          <t>69.2300%</t>
        </is>
      </c>
      <c r="K316" s="2" t="n"/>
      <c r="L316" s="2" t="n"/>
      <c r="M316" s="2" t="n">
        <v>1.6339</v>
      </c>
      <c r="N316" s="2" t="inlineStr">
        <is>
          <t>沪深300</t>
        </is>
      </c>
      <c r="O316" t="inlineStr">
        <is>
          <t>2026-08-31</t>
        </is>
      </c>
      <c r="P316" t="inlineStr">
        <is>
          <t>2026-09-15</t>
        </is>
      </c>
    </row>
    <row r="317">
      <c r="A317" s="2" t="inlineStr">
        <is>
          <t>巨量边界ETF对冲1号B类</t>
        </is>
      </c>
      <c r="B317" s="2" t="inlineStr">
        <is>
          <t>AGT43B</t>
        </is>
      </c>
      <c r="C317" s="2" t="inlineStr">
        <is>
          <t>套利策略</t>
        </is>
      </c>
      <c r="D317" s="2" t="inlineStr">
        <is>
          <t>-</t>
        </is>
      </c>
      <c r="E317" s="2" t="inlineStr">
        <is>
          <t>北京巨量边界</t>
        </is>
      </c>
      <c r="F317" s="2" t="inlineStr">
        <is>
          <t>2024-03-28</t>
        </is>
      </c>
      <c r="G317" s="2" t="inlineStr">
        <is>
          <t>8.6800%</t>
        </is>
      </c>
      <c r="H317" s="2" t="n"/>
      <c r="I317" s="2" t="n"/>
      <c r="J317" s="2" t="inlineStr">
        <is>
          <t>76.9200%</t>
        </is>
      </c>
      <c r="K317" s="2" t="n"/>
      <c r="L317" s="2" t="n"/>
      <c r="M317" s="2" t="n">
        <v>18.5662</v>
      </c>
      <c r="N317" s="2" t="inlineStr">
        <is>
          <t>沪深300</t>
        </is>
      </c>
      <c r="O317" t="inlineStr">
        <is>
          <t>2026-08-31</t>
        </is>
      </c>
      <c r="P317" t="inlineStr">
        <is>
          <t>2026-09-15</t>
        </is>
      </c>
    </row>
    <row r="318">
      <c r="A318" s="2" t="inlineStr">
        <is>
          <t>博时资本荣享增利1号</t>
        </is>
      </c>
      <c r="B318" s="2" t="inlineStr">
        <is>
          <t>SAXY28</t>
        </is>
      </c>
      <c r="C318" s="2" t="inlineStr">
        <is>
          <t>套利策略</t>
        </is>
      </c>
      <c r="D318" s="2" t="inlineStr">
        <is>
          <t>期权套利</t>
        </is>
      </c>
      <c r="E318" s="2" t="inlineStr">
        <is>
          <t>博时资本</t>
        </is>
      </c>
      <c r="F318" s="2" t="inlineStr">
        <is>
          <t>2025-05-08</t>
        </is>
      </c>
      <c r="G318" s="2" t="inlineStr">
        <is>
          <t>7.1700%</t>
        </is>
      </c>
      <c r="H318" s="2" t="n"/>
      <c r="I318" s="2" t="n"/>
      <c r="J318" s="2" t="inlineStr">
        <is>
          <t>61.5400%</t>
        </is>
      </c>
      <c r="K318" s="2" t="n"/>
      <c r="L318" s="2" t="n"/>
      <c r="M318" s="2" t="n">
        <v>0.6104000000000001</v>
      </c>
      <c r="N318" s="2" t="inlineStr">
        <is>
          <t>沪深300</t>
        </is>
      </c>
      <c r="O318" t="inlineStr">
        <is>
          <t>2026-08-31</t>
        </is>
      </c>
      <c r="P318" t="inlineStr">
        <is>
          <t>2026-09-15</t>
        </is>
      </c>
    </row>
    <row r="319">
      <c r="A319" s="2" t="inlineStr">
        <is>
          <t>展弘优选套利运作1号A类</t>
        </is>
      </c>
      <c r="B319" s="2" t="inlineStr">
        <is>
          <t>B2690A</t>
        </is>
      </c>
      <c r="C319" s="2" t="inlineStr">
        <is>
          <t>套利策略</t>
        </is>
      </c>
      <c r="D319" s="2" t="inlineStr">
        <is>
          <t>-</t>
        </is>
      </c>
      <c r="E319" s="2" t="inlineStr">
        <is>
          <t>上海展弘投资</t>
        </is>
      </c>
      <c r="F319" s="2" t="inlineStr">
        <is>
          <t>2023-07-12</t>
        </is>
      </c>
      <c r="G319" s="2" t="inlineStr">
        <is>
          <t>2.9800%</t>
        </is>
      </c>
      <c r="H319" s="2" t="inlineStr">
        <is>
          <t>5.2500%</t>
        </is>
      </c>
      <c r="I319" s="2" t="inlineStr">
        <is>
          <t>67.5700%</t>
        </is>
      </c>
      <c r="J319" s="2" t="inlineStr">
        <is>
          <t>46.1500%</t>
        </is>
      </c>
      <c r="K319" s="2" t="inlineStr">
        <is>
          <t>5.4300%</t>
        </is>
      </c>
      <c r="L319" s="2" t="n">
        <v>0.9676</v>
      </c>
      <c r="M319" s="2" t="n">
        <v>1.9376</v>
      </c>
      <c r="N319" s="2" t="inlineStr">
        <is>
          <t>沪深300</t>
        </is>
      </c>
      <c r="O319" t="inlineStr">
        <is>
          <t>2026-08-31</t>
        </is>
      </c>
      <c r="P319" t="inlineStr">
        <is>
          <t>2026-09-15</t>
        </is>
      </c>
    </row>
    <row r="320">
      <c r="A320" s="2" t="inlineStr">
        <is>
          <t>智领泽临套利六号</t>
        </is>
      </c>
      <c r="B320" s="2" t="inlineStr">
        <is>
          <t>SAYU23</t>
        </is>
      </c>
      <c r="C320" s="2" t="inlineStr">
        <is>
          <t>套利策略</t>
        </is>
      </c>
      <c r="D320" s="2" t="inlineStr">
        <is>
          <t>-</t>
        </is>
      </c>
      <c r="E320" s="2" t="inlineStr">
        <is>
          <t>福州智领三联</t>
        </is>
      </c>
      <c r="F320" s="2" t="inlineStr">
        <is>
          <t>2025-05-23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inlineStr">
        <is>
          <t>沪深300</t>
        </is>
      </c>
      <c r="O320" t="inlineStr">
        <is>
          <t>2026-08-31</t>
        </is>
      </c>
      <c r="P320" t="inlineStr">
        <is>
          <t>2026-09-15</t>
        </is>
      </c>
    </row>
    <row r="321">
      <c r="A321" s="2" t="inlineStr">
        <is>
          <t>中益仁梅香千寒</t>
        </is>
      </c>
      <c r="B321" s="2" t="inlineStr">
        <is>
          <t>SBAF26</t>
        </is>
      </c>
      <c r="C321" s="2" t="inlineStr">
        <is>
          <t>套利策略</t>
        </is>
      </c>
      <c r="D321" s="2" t="inlineStr">
        <is>
          <t>期货套利</t>
        </is>
      </c>
      <c r="E321" s="2" t="inlineStr">
        <is>
          <t>日照中益仁</t>
        </is>
      </c>
      <c r="F321" s="2" t="inlineStr">
        <is>
          <t>2025-06-18</t>
        </is>
      </c>
      <c r="G321" s="2" t="inlineStr">
        <is>
          <t>32.7600%</t>
        </is>
      </c>
      <c r="H321" s="2" t="n"/>
      <c r="I321" s="2" t="n"/>
      <c r="J321" s="2" t="inlineStr">
        <is>
          <t>84.6200%</t>
        </is>
      </c>
      <c r="K321" s="2" t="n"/>
      <c r="L321" s="2" t="n"/>
      <c r="M321" s="2" t="n">
        <v>4.9011</v>
      </c>
      <c r="N321" s="2" t="inlineStr">
        <is>
          <t>沪深300</t>
        </is>
      </c>
      <c r="O321" t="inlineStr">
        <is>
          <t>2026-08-31</t>
        </is>
      </c>
      <c r="P321" t="inlineStr">
        <is>
          <t>2026-09-15</t>
        </is>
      </c>
    </row>
    <row r="322">
      <c r="A322" s="2" t="inlineStr">
        <is>
          <t>鑫泰禾安赢3号</t>
        </is>
      </c>
      <c r="B322" s="2" t="inlineStr">
        <is>
          <t>SAZC08</t>
        </is>
      </c>
      <c r="C322" s="2" t="inlineStr">
        <is>
          <t>套利策略</t>
        </is>
      </c>
      <c r="D322" s="2" t="inlineStr">
        <is>
          <t>基金套利</t>
        </is>
      </c>
      <c r="E322" s="2" t="inlineStr">
        <is>
          <t>深圳鑫泰禾</t>
        </is>
      </c>
      <c r="F322" s="2" t="inlineStr">
        <is>
          <t>2025-06-24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inlineStr">
        <is>
          <t>沪深300</t>
        </is>
      </c>
      <c r="O322" t="inlineStr">
        <is>
          <t>2026-08-31</t>
        </is>
      </c>
      <c r="P322" t="inlineStr">
        <is>
          <t>2026-09-15</t>
        </is>
      </c>
    </row>
    <row r="323">
      <c r="A323" s="2" t="inlineStr">
        <is>
          <t>炽浪马拉松17号</t>
        </is>
      </c>
      <c r="B323" s="2" t="inlineStr">
        <is>
          <t>SBAA24</t>
        </is>
      </c>
      <c r="C323" s="2" t="inlineStr">
        <is>
          <t>套利策略</t>
        </is>
      </c>
      <c r="D323" s="2" t="inlineStr">
        <is>
          <t>-</t>
        </is>
      </c>
      <c r="E323" s="2" t="inlineStr">
        <is>
          <t>海南炽浪</t>
        </is>
      </c>
      <c r="F323" s="2" t="inlineStr">
        <is>
          <t>2025-06-23</t>
        </is>
      </c>
      <c r="G323" s="2" t="inlineStr">
        <is>
          <t>102.1600%</t>
        </is>
      </c>
      <c r="H323" s="2" t="n"/>
      <c r="I323" s="2" t="n"/>
      <c r="J323" s="2" t="inlineStr">
        <is>
          <t>69.2300%</t>
        </is>
      </c>
      <c r="K323" s="2" t="n"/>
      <c r="L323" s="2" t="n"/>
      <c r="M323" s="2" t="n">
        <v>5.5738</v>
      </c>
      <c r="N323" s="2" t="inlineStr">
        <is>
          <t>沪深300</t>
        </is>
      </c>
      <c r="O323" t="inlineStr">
        <is>
          <t>2026-08-31</t>
        </is>
      </c>
      <c r="P323" t="inlineStr">
        <is>
          <t>2026-09-15</t>
        </is>
      </c>
    </row>
    <row r="324">
      <c r="A324" s="2" t="inlineStr">
        <is>
          <t>六妙星滚雪粒1号A类</t>
        </is>
      </c>
      <c r="B324" s="2" t="inlineStr">
        <is>
          <t>ASB96A</t>
        </is>
      </c>
      <c r="C324" s="2" t="inlineStr">
        <is>
          <t>套利策略</t>
        </is>
      </c>
      <c r="D324" s="2" t="inlineStr">
        <is>
          <t>期权套利</t>
        </is>
      </c>
      <c r="E324" s="2" t="inlineStr">
        <is>
          <t>北京六妙星</t>
        </is>
      </c>
      <c r="F324" s="2" t="inlineStr">
        <is>
          <t>2024-12-16</t>
        </is>
      </c>
      <c r="G324" s="2" t="inlineStr">
        <is>
          <t>9.1900%</t>
        </is>
      </c>
      <c r="H324" s="2" t="n"/>
      <c r="I324" s="2" t="n"/>
      <c r="J324" s="2" t="inlineStr">
        <is>
          <t>61.5400%</t>
        </is>
      </c>
      <c r="K324" s="2" t="n"/>
      <c r="L324" s="2" t="n"/>
      <c r="M324" s="2" t="n">
        <v>1.1088</v>
      </c>
      <c r="N324" s="2" t="inlineStr">
        <is>
          <t>沪深300</t>
        </is>
      </c>
      <c r="O324" t="inlineStr">
        <is>
          <t>2026-08-31</t>
        </is>
      </c>
      <c r="P324" t="inlineStr">
        <is>
          <t>2026-09-15</t>
        </is>
      </c>
    </row>
    <row r="325">
      <c r="A325" s="2" t="inlineStr">
        <is>
          <t>瑞桐悠光一号</t>
        </is>
      </c>
      <c r="B325" s="2" t="inlineStr">
        <is>
          <t>SBBL04</t>
        </is>
      </c>
      <c r="C325" s="2" t="inlineStr">
        <is>
          <t>套利策略</t>
        </is>
      </c>
      <c r="D325" s="2" t="inlineStr">
        <is>
          <t>-</t>
        </is>
      </c>
      <c r="E325" s="2" t="inlineStr">
        <is>
          <t>杭州瑞桐</t>
        </is>
      </c>
      <c r="F325" s="2" t="inlineStr">
        <is>
          <t>2025-07-14</t>
        </is>
      </c>
      <c r="G325" s="2" t="inlineStr">
        <is>
          <t>10.9900%</t>
        </is>
      </c>
      <c r="H325" s="2" t="n"/>
      <c r="I325" s="2" t="n"/>
      <c r="J325" s="2" t="inlineStr">
        <is>
          <t>53.8500%</t>
        </is>
      </c>
      <c r="K325" s="2" t="n"/>
      <c r="L325" s="2" t="n"/>
      <c r="M325" s="2" t="n">
        <v>0.3556</v>
      </c>
      <c r="N325" s="2" t="inlineStr">
        <is>
          <t>沪深300</t>
        </is>
      </c>
      <c r="O325" t="inlineStr">
        <is>
          <t>2026-08-31</t>
        </is>
      </c>
      <c r="P325" t="inlineStr">
        <is>
          <t>2026-09-15</t>
        </is>
      </c>
    </row>
    <row r="326">
      <c r="A326" s="2" t="inlineStr">
        <is>
          <t>骏远高价值成长6号</t>
        </is>
      </c>
      <c r="B326" s="2" t="inlineStr">
        <is>
          <t>SBBE42</t>
        </is>
      </c>
      <c r="C326" s="2" t="inlineStr">
        <is>
          <t>套利策略</t>
        </is>
      </c>
      <c r="D326" s="2" t="inlineStr">
        <is>
          <t>股票套利</t>
        </is>
      </c>
      <c r="E326" s="2" t="inlineStr">
        <is>
          <t>北京骏远资管</t>
        </is>
      </c>
      <c r="F326" s="2" t="inlineStr">
        <is>
          <t>2025-07-25</t>
        </is>
      </c>
      <c r="G326" s="2" t="inlineStr">
        <is>
          <t>20.1200%</t>
        </is>
      </c>
      <c r="H326" s="2" t="n"/>
      <c r="I326" s="2" t="n"/>
      <c r="J326" s="2" t="inlineStr">
        <is>
          <t>61.5400%</t>
        </is>
      </c>
      <c r="K326" s="2" t="n"/>
      <c r="L326" s="2" t="n"/>
      <c r="M326" s="2" t="n">
        <v>0.8297</v>
      </c>
      <c r="N326" s="2" t="inlineStr">
        <is>
          <t>沪深300</t>
        </is>
      </c>
      <c r="O326" t="inlineStr">
        <is>
          <t>2026-08-31</t>
        </is>
      </c>
      <c r="P326" t="inlineStr">
        <is>
          <t>2026-09-15</t>
        </is>
      </c>
    </row>
    <row r="327">
      <c r="A327" s="2" t="inlineStr">
        <is>
          <t>盛冠达泽众9号A类</t>
        </is>
      </c>
      <c r="B327" s="2" t="inlineStr">
        <is>
          <t>AWX37A</t>
        </is>
      </c>
      <c r="C327" s="2" t="inlineStr">
        <is>
          <t>套利策略</t>
        </is>
      </c>
      <c r="D327" s="2" t="inlineStr">
        <is>
          <t>期货套利</t>
        </is>
      </c>
      <c r="E327" s="2" t="inlineStr">
        <is>
          <t>海南盛冠达</t>
        </is>
      </c>
      <c r="F327" s="2" t="inlineStr">
        <is>
          <t>2025-04-11</t>
        </is>
      </c>
      <c r="G327" s="2" t="inlineStr">
        <is>
          <t>6.5600%</t>
        </is>
      </c>
      <c r="H327" s="2" t="n"/>
      <c r="I327" s="2" t="n"/>
      <c r="J327" s="2" t="inlineStr">
        <is>
          <t>76.9200%</t>
        </is>
      </c>
      <c r="K327" s="2" t="n"/>
      <c r="L327" s="2" t="n"/>
      <c r="M327" s="2" t="n">
        <v>3.7842</v>
      </c>
      <c r="N327" s="2" t="inlineStr">
        <is>
          <t>沪深300</t>
        </is>
      </c>
      <c r="O327" t="inlineStr">
        <is>
          <t>2026-08-31</t>
        </is>
      </c>
      <c r="P327" t="inlineStr">
        <is>
          <t>2026-09-15</t>
        </is>
      </c>
    </row>
    <row r="328">
      <c r="A328" s="2" t="inlineStr">
        <is>
          <t>鸿熵天然1号A类</t>
        </is>
      </c>
      <c r="B328" s="2" t="inlineStr">
        <is>
          <t>XU720A</t>
        </is>
      </c>
      <c r="C328" s="2" t="inlineStr">
        <is>
          <t>套利策略</t>
        </is>
      </c>
      <c r="D328" s="2" t="inlineStr">
        <is>
          <t>期货套利</t>
        </is>
      </c>
      <c r="E328" s="2" t="inlineStr">
        <is>
          <t>北京鸿熵</t>
        </is>
      </c>
      <c r="F328" s="2" t="inlineStr">
        <is>
          <t>2022-11-18</t>
        </is>
      </c>
      <c r="G328" s="2" t="inlineStr">
        <is>
          <t>3.8900%</t>
        </is>
      </c>
      <c r="H328" s="2" t="inlineStr">
        <is>
          <t>4.9400%</t>
        </is>
      </c>
      <c r="I328" s="2" t="inlineStr">
        <is>
          <t>54.0500%</t>
        </is>
      </c>
      <c r="J328" s="2" t="inlineStr">
        <is>
          <t>53.8500%</t>
        </is>
      </c>
      <c r="K328" s="2" t="inlineStr">
        <is>
          <t>15.5100%</t>
        </is>
      </c>
      <c r="L328" s="2" t="n">
        <v>0.3187</v>
      </c>
      <c r="M328" s="2" t="n">
        <v>0.251</v>
      </c>
      <c r="N328" s="2" t="inlineStr">
        <is>
          <t>沪深300</t>
        </is>
      </c>
      <c r="O328" t="inlineStr">
        <is>
          <t>2026-08-31</t>
        </is>
      </c>
      <c r="P328" t="inlineStr">
        <is>
          <t>2026-09-15</t>
        </is>
      </c>
    </row>
    <row r="329">
      <c r="A329" s="2" t="inlineStr">
        <is>
          <t>锐耐复利倍增2号A类</t>
        </is>
      </c>
      <c r="B329" s="2" t="inlineStr">
        <is>
          <t>XV513A</t>
        </is>
      </c>
      <c r="C329" s="2" t="inlineStr">
        <is>
          <t>套利策略</t>
        </is>
      </c>
      <c r="D329" s="2" t="inlineStr">
        <is>
          <t>期货套利</t>
        </is>
      </c>
      <c r="E329" s="2" t="inlineStr">
        <is>
          <t>上海锐耐</t>
        </is>
      </c>
      <c r="F329" s="2" t="inlineStr">
        <is>
          <t>2022-11-28</t>
        </is>
      </c>
      <c r="G329" s="2" t="inlineStr">
        <is>
          <t>1.7500%</t>
        </is>
      </c>
      <c r="H329" s="2" t="n"/>
      <c r="I329" s="2" t="n"/>
      <c r="J329" s="2" t="inlineStr">
        <is>
          <t>46.1500%</t>
        </is>
      </c>
      <c r="K329" s="2" t="n"/>
      <c r="L329" s="2" t="n"/>
      <c r="M329" s="2" t="n">
        <v>0.3386</v>
      </c>
      <c r="N329" s="2" t="inlineStr">
        <is>
          <t>沪深300</t>
        </is>
      </c>
      <c r="O329" t="inlineStr">
        <is>
          <t>2026-08-31</t>
        </is>
      </c>
      <c r="P329" t="inlineStr">
        <is>
          <t>2026-09-15</t>
        </is>
      </c>
    </row>
    <row r="330">
      <c r="A330" s="2" t="inlineStr">
        <is>
          <t>瑞倍稳聚1号D类</t>
        </is>
      </c>
      <c r="B330" s="2" t="inlineStr">
        <is>
          <t>ZF089D</t>
        </is>
      </c>
      <c r="C330" s="2" t="inlineStr">
        <is>
          <t>套利策略</t>
        </is>
      </c>
      <c r="D330" s="2" t="inlineStr">
        <is>
          <t>基金套利</t>
        </is>
      </c>
      <c r="E330" s="2" t="inlineStr">
        <is>
          <t>宁波瑞倍</t>
        </is>
      </c>
      <c r="F330" s="2" t="inlineStr">
        <is>
          <t>2023-01-16</t>
        </is>
      </c>
      <c r="G330" s="2" t="inlineStr">
        <is>
          <t>2.2900%</t>
        </is>
      </c>
      <c r="H330" s="2" t="n"/>
      <c r="I330" s="2" t="n"/>
      <c r="J330" s="2" t="inlineStr">
        <is>
          <t>84.6200%</t>
        </is>
      </c>
      <c r="K330" s="2" t="n"/>
      <c r="L330" s="2" t="n"/>
      <c r="M330" s="2" t="n">
        <v>4.0944</v>
      </c>
      <c r="N330" s="2" t="inlineStr">
        <is>
          <t>沪深300</t>
        </is>
      </c>
      <c r="O330" t="inlineStr">
        <is>
          <t>2026-08-31</t>
        </is>
      </c>
      <c r="P330" t="inlineStr">
        <is>
          <t>2026-09-15</t>
        </is>
      </c>
    </row>
    <row r="331">
      <c r="A331" s="2" t="inlineStr">
        <is>
          <t>朔方常青树1号A类</t>
        </is>
      </c>
      <c r="B331" s="2" t="inlineStr">
        <is>
          <t>ALV92A</t>
        </is>
      </c>
      <c r="C331" s="2" t="inlineStr">
        <is>
          <t>套利策略</t>
        </is>
      </c>
      <c r="D331" s="2" t="inlineStr">
        <is>
          <t>-</t>
        </is>
      </c>
      <c r="E331" s="2" t="inlineStr">
        <is>
          <t>青岛朔方投资</t>
        </is>
      </c>
      <c r="F331" s="2" t="inlineStr">
        <is>
          <t>2024-06-26</t>
        </is>
      </c>
      <c r="G331" s="2" t="inlineStr">
        <is>
          <t>5.4900%</t>
        </is>
      </c>
      <c r="H331" s="2" t="n"/>
      <c r="I331" s="2" t="n"/>
      <c r="J331" s="2" t="inlineStr">
        <is>
          <t>84.6200%</t>
        </is>
      </c>
      <c r="K331" s="2" t="n"/>
      <c r="L331" s="2" t="n"/>
      <c r="M331" s="2" t="n">
        <v>15.7404</v>
      </c>
      <c r="N331" s="2" t="inlineStr">
        <is>
          <t>沪深300</t>
        </is>
      </c>
      <c r="O331" t="inlineStr">
        <is>
          <t>2026-08-31</t>
        </is>
      </c>
      <c r="P331" t="inlineStr">
        <is>
          <t>2026-09-15</t>
        </is>
      </c>
    </row>
    <row r="332">
      <c r="A332" s="2" t="inlineStr">
        <is>
          <t>星汇天权1号C类</t>
        </is>
      </c>
      <c r="B332" s="2" t="inlineStr">
        <is>
          <t>AVF65C</t>
        </is>
      </c>
      <c r="C332" s="2" t="inlineStr">
        <is>
          <t>套利策略</t>
        </is>
      </c>
      <c r="D332" s="2" t="inlineStr">
        <is>
          <t>期权套利</t>
        </is>
      </c>
      <c r="E332" s="2" t="inlineStr">
        <is>
          <t>上海思达星汇</t>
        </is>
      </c>
      <c r="F332" s="2" t="inlineStr">
        <is>
          <t>2025-03-10</t>
        </is>
      </c>
      <c r="G332" s="2" t="inlineStr">
        <is>
          <t>10.2700%</t>
        </is>
      </c>
      <c r="H332" s="2" t="n"/>
      <c r="I332" s="2" t="n"/>
      <c r="J332" s="2" t="inlineStr">
        <is>
          <t>61.5400%</t>
        </is>
      </c>
      <c r="K332" s="2" t="n"/>
      <c r="L332" s="2" t="n"/>
      <c r="M332" s="2" t="n">
        <v>2.3526</v>
      </c>
      <c r="N332" s="2" t="inlineStr">
        <is>
          <t>沪深300</t>
        </is>
      </c>
      <c r="O332" t="inlineStr">
        <is>
          <t>2026-08-31</t>
        </is>
      </c>
      <c r="P332" t="inlineStr">
        <is>
          <t>2026-09-15</t>
        </is>
      </c>
    </row>
    <row r="333">
      <c r="A333" s="2" t="inlineStr">
        <is>
          <t>乘舟紫荆1号B类</t>
        </is>
      </c>
      <c r="B333" s="2" t="inlineStr">
        <is>
          <t>XW399B</t>
        </is>
      </c>
      <c r="C333" s="2" t="inlineStr">
        <is>
          <t>套利策略</t>
        </is>
      </c>
      <c r="D333" s="2" t="inlineStr">
        <is>
          <t>-</t>
        </is>
      </c>
      <c r="E333" s="2" t="inlineStr">
        <is>
          <t>上海乘舟投资</t>
        </is>
      </c>
      <c r="F333" s="2" t="inlineStr">
        <is>
          <t>2022-12-01</t>
        </is>
      </c>
      <c r="G333" s="2" t="inlineStr">
        <is>
          <t>-1.2700%</t>
        </is>
      </c>
      <c r="H333" s="2" t="inlineStr">
        <is>
          <t>6.2800%</t>
        </is>
      </c>
      <c r="I333" s="2" t="inlineStr">
        <is>
          <t>86.4900%</t>
        </is>
      </c>
      <c r="J333" s="2" t="inlineStr">
        <is>
          <t>76.9200%</t>
        </is>
      </c>
      <c r="K333" s="2" t="inlineStr">
        <is>
          <t>9.9100%</t>
        </is>
      </c>
      <c r="L333" s="2" t="n">
        <v>0.633</v>
      </c>
      <c r="M333" s="2" t="n">
        <v>-0.1282</v>
      </c>
      <c r="N333" s="2" t="inlineStr">
        <is>
          <t>沪深300</t>
        </is>
      </c>
      <c r="O333" t="inlineStr">
        <is>
          <t>2026-08-31</t>
        </is>
      </c>
      <c r="P333" t="inlineStr">
        <is>
          <t>2026-09-15</t>
        </is>
      </c>
    </row>
    <row r="334">
      <c r="A334" s="2" t="inlineStr">
        <is>
          <t>金藏元金权一号B类</t>
        </is>
      </c>
      <c r="B334" s="2" t="inlineStr">
        <is>
          <t>AWM56B</t>
        </is>
      </c>
      <c r="C334" s="2" t="inlineStr">
        <is>
          <t>套利策略</t>
        </is>
      </c>
      <c r="D334" s="2" t="inlineStr">
        <is>
          <t>-</t>
        </is>
      </c>
      <c r="E334" s="2" t="inlineStr">
        <is>
          <t>浙江金藏元投资</t>
        </is>
      </c>
      <c r="F334" s="2" t="inlineStr">
        <is>
          <t>2025-04-21</t>
        </is>
      </c>
      <c r="G334" s="2" t="inlineStr">
        <is>
          <t>7.3800%</t>
        </is>
      </c>
      <c r="H334" s="2" t="n"/>
      <c r="I334" s="2" t="n"/>
      <c r="J334" s="2" t="inlineStr">
        <is>
          <t>69.2300%</t>
        </is>
      </c>
      <c r="K334" s="2" t="n"/>
      <c r="L334" s="2" t="n"/>
      <c r="M334" s="2" t="n">
        <v>1.6359</v>
      </c>
      <c r="N334" s="2" t="inlineStr">
        <is>
          <t>沪深300</t>
        </is>
      </c>
      <c r="O334" t="inlineStr">
        <is>
          <t>2026-08-31</t>
        </is>
      </c>
      <c r="P334" t="inlineStr">
        <is>
          <t>2026-09-15</t>
        </is>
      </c>
    </row>
    <row r="335">
      <c r="A335" s="2" t="inlineStr">
        <is>
          <t>博普稳增3号A类</t>
        </is>
      </c>
      <c r="B335" s="2" t="inlineStr">
        <is>
          <t>W7191A</t>
        </is>
      </c>
      <c r="C335" s="2" t="inlineStr">
        <is>
          <t>套利策略</t>
        </is>
      </c>
      <c r="D335" s="2" t="inlineStr">
        <is>
          <t>期货套利</t>
        </is>
      </c>
      <c r="E335" s="2" t="inlineStr">
        <is>
          <t>深圳博普科技</t>
        </is>
      </c>
      <c r="F335" s="2" t="inlineStr">
        <is>
          <t>2017-08-03</t>
        </is>
      </c>
      <c r="G335" s="2" t="inlineStr">
        <is>
          <t>6.3400%</t>
        </is>
      </c>
      <c r="H335" s="2" t="inlineStr">
        <is>
          <t>4.6900%</t>
        </is>
      </c>
      <c r="I335" s="2" t="inlineStr">
        <is>
          <t>83.7800%</t>
        </is>
      </c>
      <c r="J335" s="2" t="inlineStr">
        <is>
          <t>92.3100%</t>
        </is>
      </c>
      <c r="K335" s="2" t="inlineStr">
        <is>
          <t>2.1100%</t>
        </is>
      </c>
      <c r="L335" s="2" t="n">
        <v>2.2231</v>
      </c>
      <c r="M335" s="2" t="n">
        <v>10.2614</v>
      </c>
      <c r="N335" s="2" t="inlineStr">
        <is>
          <t>沪深300</t>
        </is>
      </c>
      <c r="O335" t="inlineStr">
        <is>
          <t>2026-08-31</t>
        </is>
      </c>
      <c r="P335" t="inlineStr">
        <is>
          <t>2026-09-15</t>
        </is>
      </c>
    </row>
    <row r="336">
      <c r="A336" s="2" t="inlineStr">
        <is>
          <t>聚亿具臻B类</t>
        </is>
      </c>
      <c r="B336" s="2" t="inlineStr">
        <is>
          <t>LM995B</t>
        </is>
      </c>
      <c r="C336" s="2" t="inlineStr">
        <is>
          <t>套利策略</t>
        </is>
      </c>
      <c r="D336" s="2" t="inlineStr">
        <is>
          <t>期货套利</t>
        </is>
      </c>
      <c r="E336" s="2" t="inlineStr">
        <is>
          <t>珠海聚亿基金</t>
        </is>
      </c>
      <c r="F336" s="2" t="inlineStr">
        <is>
          <t>2020-08-18</t>
        </is>
      </c>
      <c r="G336" s="2" t="inlineStr">
        <is>
          <t>32.1900%</t>
        </is>
      </c>
      <c r="H336" s="2" t="n"/>
      <c r="I336" s="2" t="n"/>
      <c r="J336" s="2" t="inlineStr">
        <is>
          <t>76.9200%</t>
        </is>
      </c>
      <c r="K336" s="2" t="n"/>
      <c r="L336" s="2" t="n"/>
      <c r="M336" s="2" t="n">
        <v>12.5545</v>
      </c>
      <c r="N336" s="2" t="inlineStr">
        <is>
          <t>沪深300</t>
        </is>
      </c>
      <c r="O336" t="inlineStr">
        <is>
          <t>2026-08-31</t>
        </is>
      </c>
      <c r="P336" t="inlineStr">
        <is>
          <t>2026-09-15</t>
        </is>
      </c>
    </row>
    <row r="337">
      <c r="A337" s="2" t="inlineStr">
        <is>
          <t>守正卓越一号A类</t>
        </is>
      </c>
      <c r="B337" s="2" t="inlineStr">
        <is>
          <t>VY984A</t>
        </is>
      </c>
      <c r="C337" s="2" t="inlineStr">
        <is>
          <t>套利策略</t>
        </is>
      </c>
      <c r="D337" s="2" t="inlineStr">
        <is>
          <t>-</t>
        </is>
      </c>
      <c r="E337" s="2" t="inlineStr">
        <is>
          <t>山东守正</t>
        </is>
      </c>
      <c r="F337" s="2" t="inlineStr">
        <is>
          <t>2022-07-27</t>
        </is>
      </c>
      <c r="G337" s="2" t="inlineStr">
        <is>
          <t>3.8600%</t>
        </is>
      </c>
      <c r="H337" s="2" t="inlineStr">
        <is>
          <t>10.1100%</t>
        </is>
      </c>
      <c r="I337" s="2" t="inlineStr">
        <is>
          <t>75.6800%</t>
        </is>
      </c>
      <c r="J337" s="2" t="inlineStr">
        <is>
          <t>100.0000%</t>
        </is>
      </c>
      <c r="K337" s="2" t="inlineStr">
        <is>
          <t>11.8300%</t>
        </is>
      </c>
      <c r="L337" s="2" t="n">
        <v>0.8549</v>
      </c>
      <c r="M337" s="2" t="n">
        <v>57.0443</v>
      </c>
      <c r="N337" s="2" t="inlineStr">
        <is>
          <t>沪深300</t>
        </is>
      </c>
      <c r="O337" t="inlineStr">
        <is>
          <t>2026-08-31</t>
        </is>
      </c>
      <c r="P337" t="inlineStr">
        <is>
          <t>2026-09-15</t>
        </is>
      </c>
    </row>
    <row r="338">
      <c r="A338" s="2" t="inlineStr">
        <is>
          <t>雁丰卓衍1号A类</t>
        </is>
      </c>
      <c r="B338" s="2" t="inlineStr">
        <is>
          <t>XX404A</t>
        </is>
      </c>
      <c r="C338" s="2" t="inlineStr">
        <is>
          <t>套利策略</t>
        </is>
      </c>
      <c r="D338" s="2" t="inlineStr">
        <is>
          <t>期货套利</t>
        </is>
      </c>
      <c r="E338" s="2" t="inlineStr">
        <is>
          <t>上海雁丰投资</t>
        </is>
      </c>
      <c r="F338" s="2" t="inlineStr">
        <is>
          <t>2023-01-04</t>
        </is>
      </c>
      <c r="G338" s="2" t="inlineStr">
        <is>
          <t>18.1100%</t>
        </is>
      </c>
      <c r="H338" s="2" t="n"/>
      <c r="I338" s="2" t="n"/>
      <c r="J338" s="2" t="inlineStr">
        <is>
          <t>76.9200%</t>
        </is>
      </c>
      <c r="K338" s="2" t="n"/>
      <c r="L338" s="2" t="n"/>
      <c r="M338" s="2" t="n">
        <v>7.5114</v>
      </c>
      <c r="N338" s="2" t="inlineStr">
        <is>
          <t>沪深300</t>
        </is>
      </c>
      <c r="O338" t="inlineStr">
        <is>
          <t>2026-08-31</t>
        </is>
      </c>
      <c r="P338" t="inlineStr">
        <is>
          <t>2026-09-15</t>
        </is>
      </c>
    </row>
    <row r="339">
      <c r="A339" s="2" t="inlineStr">
        <is>
          <t>探针稳健一号A类</t>
        </is>
      </c>
      <c r="B339" s="2" t="inlineStr">
        <is>
          <t>JA891A</t>
        </is>
      </c>
      <c r="C339" s="2" t="inlineStr">
        <is>
          <t>套利策略</t>
        </is>
      </c>
      <c r="D339" s="2" t="inlineStr">
        <is>
          <t>-</t>
        </is>
      </c>
      <c r="E339" s="2" t="inlineStr">
        <is>
          <t>上海探针投资</t>
        </is>
      </c>
      <c r="F339" s="2" t="inlineStr">
        <is>
          <t>2019-09-03</t>
        </is>
      </c>
      <c r="G339" s="2" t="inlineStr">
        <is>
          <t>13.2300%</t>
        </is>
      </c>
      <c r="H339" s="2" t="n"/>
      <c r="I339" s="2" t="n"/>
      <c r="J339" s="2" t="inlineStr">
        <is>
          <t>61.5400%</t>
        </is>
      </c>
      <c r="K339" s="2" t="n"/>
      <c r="L339" s="2" t="n"/>
      <c r="M339" s="2" t="n">
        <v>0.5433</v>
      </c>
      <c r="N339" s="2" t="inlineStr">
        <is>
          <t>沪深300</t>
        </is>
      </c>
      <c r="O339" t="inlineStr">
        <is>
          <t>2026-08-31</t>
        </is>
      </c>
      <c r="P339" t="inlineStr">
        <is>
          <t>2026-09-15</t>
        </is>
      </c>
    </row>
    <row r="340">
      <c r="A340" s="2" t="inlineStr">
        <is>
          <t>骏远高价值成长6号A类</t>
        </is>
      </c>
      <c r="B340" s="2" t="inlineStr">
        <is>
          <t>BBE42A</t>
        </is>
      </c>
      <c r="C340" s="2" t="inlineStr">
        <is>
          <t>套利策略</t>
        </is>
      </c>
      <c r="D340" s="2" t="inlineStr">
        <is>
          <t>股票套利</t>
        </is>
      </c>
      <c r="E340" s="2" t="inlineStr">
        <is>
          <t>北京骏远资管</t>
        </is>
      </c>
      <c r="F340" s="2" t="inlineStr">
        <is>
          <t>2025-07-25</t>
        </is>
      </c>
      <c r="G340" s="2" t="inlineStr">
        <is>
          <t>20.1200%</t>
        </is>
      </c>
      <c r="H340" s="2" t="n"/>
      <c r="I340" s="2" t="n"/>
      <c r="J340" s="2" t="inlineStr">
        <is>
          <t>61.5400%</t>
        </is>
      </c>
      <c r="K340" s="2" t="n"/>
      <c r="L340" s="2" t="n"/>
      <c r="M340" s="2" t="n">
        <v>0.8297</v>
      </c>
      <c r="N340" s="2" t="inlineStr">
        <is>
          <t>沪深300</t>
        </is>
      </c>
      <c r="O340" t="inlineStr">
        <is>
          <t>2026-08-31</t>
        </is>
      </c>
      <c r="P340" t="inlineStr">
        <is>
          <t>2026-09-15</t>
        </is>
      </c>
    </row>
    <row r="341">
      <c r="A341" s="2" t="inlineStr">
        <is>
          <t>中益仁梅香千寒A类</t>
        </is>
      </c>
      <c r="B341" s="2" t="inlineStr">
        <is>
          <t>BAF26A</t>
        </is>
      </c>
      <c r="C341" s="2" t="inlineStr">
        <is>
          <t>套利策略</t>
        </is>
      </c>
      <c r="D341" s="2" t="inlineStr">
        <is>
          <t>期货套利</t>
        </is>
      </c>
      <c r="E341" s="2" t="inlineStr">
        <is>
          <t>日照中益仁</t>
        </is>
      </c>
      <c r="F341" s="2" t="inlineStr">
        <is>
          <t>2025-06-18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inlineStr">
        <is>
          <t>沪深300</t>
        </is>
      </c>
      <c r="O341" t="inlineStr">
        <is>
          <t>2026-08-31</t>
        </is>
      </c>
      <c r="P341" t="inlineStr">
        <is>
          <t>2026-09-15</t>
        </is>
      </c>
    </row>
    <row r="342">
      <c r="A342" s="2" t="inlineStr">
        <is>
          <t>和熙新月1号A类</t>
        </is>
      </c>
      <c r="B342" s="2" t="inlineStr">
        <is>
          <t>JG287A</t>
        </is>
      </c>
      <c r="C342" s="2" t="inlineStr">
        <is>
          <t>套利策略</t>
        </is>
      </c>
      <c r="D342" s="2" t="inlineStr">
        <is>
          <t>期货套利</t>
        </is>
      </c>
      <c r="E342" s="2" t="inlineStr">
        <is>
          <t>浙江和熙资管</t>
        </is>
      </c>
      <c r="F342" s="2" t="inlineStr">
        <is>
          <t>2019-11-14</t>
        </is>
      </c>
      <c r="G342" s="2" t="inlineStr">
        <is>
          <t>-0.2700%</t>
        </is>
      </c>
      <c r="H342" s="2" t="inlineStr">
        <is>
          <t>2.0800%</t>
        </is>
      </c>
      <c r="I342" s="2" t="inlineStr">
        <is>
          <t>51.3500%</t>
        </is>
      </c>
      <c r="J342" s="2" t="inlineStr">
        <is>
          <t>46.1500%</t>
        </is>
      </c>
      <c r="K342" s="2" t="inlineStr">
        <is>
          <t>8.4500%</t>
        </is>
      </c>
      <c r="L342" s="2" t="n">
        <v>0.2457</v>
      </c>
      <c r="M342" s="2" t="n">
        <v>-0.0318</v>
      </c>
      <c r="N342" s="2" t="inlineStr">
        <is>
          <t>沪深300</t>
        </is>
      </c>
      <c r="O342" t="inlineStr">
        <is>
          <t>2026-08-31</t>
        </is>
      </c>
      <c r="P342" t="inlineStr">
        <is>
          <t>2026-09-15</t>
        </is>
      </c>
    </row>
    <row r="343">
      <c r="A343" s="2" t="inlineStr">
        <is>
          <t>量宇进取1号C类</t>
        </is>
      </c>
      <c r="B343" s="2" t="inlineStr">
        <is>
          <t>AEA78C</t>
        </is>
      </c>
      <c r="C343" s="2" t="inlineStr">
        <is>
          <t>套利策略</t>
        </is>
      </c>
      <c r="D343" s="2" t="inlineStr">
        <is>
          <t>期货套利</t>
        </is>
      </c>
      <c r="E343" s="2" t="inlineStr">
        <is>
          <t>上海量宇</t>
        </is>
      </c>
      <c r="F343" s="2" t="inlineStr">
        <is>
          <t>2023-12-13</t>
        </is>
      </c>
      <c r="G343" s="2" t="inlineStr">
        <is>
          <t>-4.7300%</t>
        </is>
      </c>
      <c r="H343" s="2" t="n"/>
      <c r="I343" s="2" t="n"/>
      <c r="J343" s="2" t="inlineStr">
        <is>
          <t>63.6400%</t>
        </is>
      </c>
      <c r="K343" s="2" t="n"/>
      <c r="L343" s="2" t="n"/>
      <c r="M343" s="2" t="n">
        <v>-0.1669</v>
      </c>
      <c r="N343" s="2" t="inlineStr">
        <is>
          <t>沪深300</t>
        </is>
      </c>
      <c r="O343" t="inlineStr">
        <is>
          <t>2026-08-31</t>
        </is>
      </c>
      <c r="P343" t="inlineStr">
        <is>
          <t>2026-09-15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73" min="1" max="1"/>
    <col width="13" customWidth="1" style="73" min="2" max="2"/>
    <col width="12" customWidth="1" style="73" min="3" max="3"/>
    <col width="12" customWidth="1" style="73" min="4" max="4"/>
    <col width="12" customWidth="1" style="73" min="5" max="5"/>
    <col width="12" customWidth="1" style="73" min="6" max="6"/>
    <col width="12" customWidth="1" style="73" min="7" max="7"/>
  </cols>
  <sheetData>
    <row r="1">
      <c r="A1" s="94" t="inlineStr">
        <is>
          <t>文件</t>
        </is>
      </c>
      <c r="B1" s="94" t="inlineStr">
        <is>
          <t>产品名称</t>
        </is>
      </c>
      <c r="C1" s="94" t="inlineStr">
        <is>
          <t>日期</t>
        </is>
      </c>
      <c r="D1" s="94" t="inlineStr">
        <is>
          <t>单位净值</t>
        </is>
      </c>
      <c r="E1" s="94" t="inlineStr">
        <is>
          <t>累计净值</t>
        </is>
      </c>
      <c r="F1" s="94" t="inlineStr">
        <is>
          <t>复权净值</t>
        </is>
      </c>
      <c r="G1" s="94" t="inlineStr">
        <is>
          <t>涨跌幅</t>
        </is>
      </c>
    </row>
    <row r="2">
      <c r="A2" t="inlineStr">
        <is>
          <t>世宽若水尘心2号B类净值20260911.xlsx</t>
        </is>
      </c>
      <c r="B2" t="inlineStr">
        <is>
          <t>世宽若水尘心2号B类</t>
        </is>
      </c>
    </row>
    <row r="3">
      <c r="A3" t="inlineStr">
        <is>
          <t>世宽若水尘心3号净值20260911.xlsx</t>
        </is>
      </c>
      <c r="B3" t="inlineStr">
        <is>
          <t>世宽若水尘心3号</t>
        </is>
      </c>
    </row>
    <row r="4">
      <c r="A4" t="inlineStr">
        <is>
          <t>祁腾蜂赢1号净值20260911.xlsx</t>
        </is>
      </c>
      <c r="B4" t="inlineStr">
        <is>
          <t>祁腾蜂赢1号</t>
        </is>
      </c>
    </row>
    <row r="5">
      <c r="A5" t="inlineStr">
        <is>
          <t>系数CTA套利五号净值20260911.xlsx</t>
        </is>
      </c>
      <c r="B5" t="inlineStr">
        <is>
          <t>系数CTA套利五号</t>
        </is>
      </c>
    </row>
    <row r="6">
      <c r="A6" t="inlineStr">
        <is>
          <t>聚亿具臻B类净值20260911.xlsx</t>
        </is>
      </c>
      <c r="B6" t="inlineStr">
        <is>
          <t>聚亿具臻B类</t>
        </is>
      </c>
    </row>
    <row r="7">
      <c r="A7" t="inlineStr">
        <is>
          <t>量客投资金选套利1号净值20260911.xlsx</t>
        </is>
      </c>
      <c r="B7" t="inlineStr">
        <is>
          <t>量客投资金选套利1号</t>
        </is>
      </c>
    </row>
    <row r="8">
      <c r="A8" t="inlineStr">
        <is>
          <t>钧誉厚德量化对冲11号净值20260911.xlsx</t>
        </is>
      </c>
      <c r="B8" t="inlineStr">
        <is>
          <t>钧誉厚德量化对冲11号</t>
        </is>
      </c>
    </row>
    <row r="9">
      <c r="A9" t="inlineStr">
        <is>
          <t>阶石稳健1号净值20260911.xlsx</t>
        </is>
      </c>
      <c r="B9" t="inlineStr">
        <is>
          <t>阶石稳健1号</t>
        </is>
      </c>
    </row>
    <row r="10">
      <c r="A10" t="inlineStr">
        <is>
          <t>阶石稳健9号净值20260911.xlsx</t>
        </is>
      </c>
      <c r="B10" t="inlineStr">
        <is>
          <t>阶石稳健9号</t>
        </is>
      </c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3" min="1" max="1"/>
    <col width="13" customWidth="1" style="73" min="2" max="2"/>
    <col width="12" customWidth="1" style="73" min="3" max="3"/>
    <col width="12" customWidth="1" style="73" min="4" max="4"/>
    <col width="12" customWidth="1" style="73" min="5" max="5"/>
    <col width="12" customWidth="1" style="73" min="6" max="6"/>
    <col width="18" customWidth="1" style="73" min="7" max="7"/>
  </cols>
  <sheetData>
    <row r="1">
      <c r="A1" s="94" t="inlineStr">
        <is>
          <t>备案号</t>
        </is>
      </c>
      <c r="B1" s="94" t="inlineStr">
        <is>
          <t>产品名称</t>
        </is>
      </c>
      <c r="C1" s="94" t="inlineStr">
        <is>
          <t>指标</t>
        </is>
      </c>
      <c r="D1" s="94" t="inlineStr">
        <is>
          <t>数值</t>
        </is>
      </c>
      <c r="E1" s="94" t="inlineStr">
        <is>
          <t>计算日期</t>
        </is>
      </c>
      <c r="F1" s="94" t="inlineStr">
        <is>
          <t>来源</t>
        </is>
      </c>
      <c r="G1" s="94" t="inlineStr">
        <is>
          <t>说明</t>
        </is>
      </c>
    </row>
    <row r="2">
      <c r="A2" t="inlineStr">
        <is>
          <t>XX769B</t>
        </is>
      </c>
      <c r="B2" t="inlineStr">
        <is>
          <t>世宽若水尘心2号B类</t>
        </is>
      </c>
      <c r="G2" t="inlineStr">
        <is>
          <t>可计算</t>
        </is>
      </c>
    </row>
    <row r="3">
      <c r="A3" t="inlineStr">
        <is>
          <t>XX769B</t>
        </is>
      </c>
      <c r="B3" t="inlineStr">
        <is>
          <t>世宽若水尘心2号B类</t>
        </is>
      </c>
      <c r="G3" t="inlineStr">
        <is>
          <t>未覆盖完整窗口或边界净值缺失</t>
        </is>
      </c>
    </row>
    <row r="4">
      <c r="A4" t="inlineStr">
        <is>
          <t>XX769B</t>
        </is>
      </c>
      <c r="B4" t="inlineStr">
        <is>
          <t>世宽若水尘心2号B类</t>
        </is>
      </c>
      <c r="G4" t="inlineStr">
        <is>
          <t>未覆盖成立以来或不足一年，不年化</t>
        </is>
      </c>
    </row>
    <row r="5">
      <c r="A5" t="inlineStr">
        <is>
          <t>SXT730</t>
        </is>
      </c>
      <c r="B5" t="inlineStr">
        <is>
          <t>世宽若水尘心3号</t>
        </is>
      </c>
      <c r="G5" t="inlineStr">
        <is>
          <t>可计算</t>
        </is>
      </c>
    </row>
    <row r="6">
      <c r="A6" t="inlineStr">
        <is>
          <t>SXT730</t>
        </is>
      </c>
      <c r="B6" t="inlineStr">
        <is>
          <t>世宽若水尘心3号</t>
        </is>
      </c>
      <c r="G6" t="inlineStr">
        <is>
          <t>可计算</t>
        </is>
      </c>
    </row>
    <row r="7">
      <c r="A7" t="inlineStr">
        <is>
          <t>SXT730</t>
        </is>
      </c>
      <c r="B7" t="inlineStr">
        <is>
          <t>世宽若水尘心3号</t>
        </is>
      </c>
      <c r="G7" t="inlineStr">
        <is>
          <t>可计算</t>
        </is>
      </c>
    </row>
    <row r="8">
      <c r="A8" t="inlineStr">
        <is>
          <t>SEV580</t>
        </is>
      </c>
      <c r="B8" t="inlineStr">
        <is>
          <t>祁腾蜂赢1号</t>
        </is>
      </c>
      <c r="G8" t="inlineStr">
        <is>
          <t>可计算</t>
        </is>
      </c>
    </row>
    <row r="9">
      <c r="A9" t="inlineStr">
        <is>
          <t>SEV580</t>
        </is>
      </c>
      <c r="B9" t="inlineStr">
        <is>
          <t>祁腾蜂赢1号</t>
        </is>
      </c>
      <c r="G9" t="inlineStr">
        <is>
          <t>可计算</t>
        </is>
      </c>
    </row>
    <row r="10">
      <c r="A10" t="inlineStr">
        <is>
          <t>SEV580</t>
        </is>
      </c>
      <c r="B10" t="inlineStr">
        <is>
          <t>祁腾蜂赢1号</t>
        </is>
      </c>
      <c r="G10" t="inlineStr">
        <is>
          <t>可计算</t>
        </is>
      </c>
    </row>
    <row r="11">
      <c r="A11" t="inlineStr">
        <is>
          <t>SXT086</t>
        </is>
      </c>
      <c r="B11" t="inlineStr">
        <is>
          <t>系数CTA套利五号</t>
        </is>
      </c>
      <c r="G11" t="inlineStr">
        <is>
          <t>可计算</t>
        </is>
      </c>
    </row>
    <row r="12">
      <c r="A12" t="inlineStr">
        <is>
          <t>SXT086</t>
        </is>
      </c>
      <c r="B12" t="inlineStr">
        <is>
          <t>系数CTA套利五号</t>
        </is>
      </c>
      <c r="G12" t="inlineStr">
        <is>
          <t>可计算</t>
        </is>
      </c>
    </row>
    <row r="13">
      <c r="A13" t="inlineStr">
        <is>
          <t>SXT086</t>
        </is>
      </c>
      <c r="B13" t="inlineStr">
        <is>
          <t>系数CTA套利五号</t>
        </is>
      </c>
      <c r="G13" t="inlineStr">
        <is>
          <t>未覆盖成立以来或不足一年，不年化</t>
        </is>
      </c>
    </row>
    <row r="14">
      <c r="A14" t="inlineStr">
        <is>
          <t>LM995B</t>
        </is>
      </c>
      <c r="B14" t="inlineStr">
        <is>
          <t>聚亿具臻B类</t>
        </is>
      </c>
      <c r="G14" t="inlineStr">
        <is>
          <t>可计算</t>
        </is>
      </c>
    </row>
    <row r="15">
      <c r="A15" t="inlineStr">
        <is>
          <t>LM995B</t>
        </is>
      </c>
      <c r="B15" t="inlineStr">
        <is>
          <t>聚亿具臻B类</t>
        </is>
      </c>
      <c r="G15" t="inlineStr">
        <is>
          <t>未覆盖完整窗口或边界净值缺失</t>
        </is>
      </c>
    </row>
    <row r="16">
      <c r="A16" t="inlineStr">
        <is>
          <t>LM995B</t>
        </is>
      </c>
      <c r="B16" t="inlineStr">
        <is>
          <t>聚亿具臻B类</t>
        </is>
      </c>
      <c r="G16" t="inlineStr">
        <is>
          <t>未覆盖成立以来或不足一年，不年化</t>
        </is>
      </c>
    </row>
    <row r="17">
      <c r="A17" t="inlineStr">
        <is>
          <t>SNH457</t>
        </is>
      </c>
      <c r="B17" t="inlineStr">
        <is>
          <t>量客投资金选套利1号</t>
        </is>
      </c>
      <c r="G17" t="inlineStr">
        <is>
          <t>可计算</t>
        </is>
      </c>
    </row>
    <row r="18">
      <c r="A18" t="inlineStr">
        <is>
          <t>SNH457</t>
        </is>
      </c>
      <c r="B18" t="inlineStr">
        <is>
          <t>量客投资金选套利1号</t>
        </is>
      </c>
      <c r="G18" t="inlineStr">
        <is>
          <t>可计算</t>
        </is>
      </c>
    </row>
    <row r="19">
      <c r="A19" t="inlineStr">
        <is>
          <t>SNH457</t>
        </is>
      </c>
      <c r="B19" t="inlineStr">
        <is>
          <t>量客投资金选套利1号</t>
        </is>
      </c>
      <c r="G19" t="inlineStr">
        <is>
          <t>可计算</t>
        </is>
      </c>
    </row>
    <row r="20">
      <c r="A20" t="inlineStr">
        <is>
          <t>SQN453</t>
        </is>
      </c>
      <c r="B20" t="inlineStr">
        <is>
          <t>钧誉厚德量化对冲11号</t>
        </is>
      </c>
      <c r="G20" t="inlineStr">
        <is>
          <t>可计算</t>
        </is>
      </c>
    </row>
    <row r="21">
      <c r="A21" t="inlineStr">
        <is>
          <t>SQN453</t>
        </is>
      </c>
      <c r="B21" t="inlineStr">
        <is>
          <t>钧誉厚德量化对冲11号</t>
        </is>
      </c>
      <c r="G21" t="inlineStr">
        <is>
          <t>可计算</t>
        </is>
      </c>
    </row>
    <row r="22">
      <c r="A22" t="inlineStr">
        <is>
          <t>SQN453</t>
        </is>
      </c>
      <c r="B22" t="inlineStr">
        <is>
          <t>钧誉厚德量化对冲11号</t>
        </is>
      </c>
      <c r="G22" t="inlineStr">
        <is>
          <t>可计算</t>
        </is>
      </c>
    </row>
    <row r="23">
      <c r="A23" t="inlineStr">
        <is>
          <t>SATE65</t>
        </is>
      </c>
      <c r="B23" t="inlineStr">
        <is>
          <t>阶石稳健1号</t>
        </is>
      </c>
      <c r="G23" t="inlineStr">
        <is>
          <t>可计算</t>
        </is>
      </c>
    </row>
    <row r="24">
      <c r="A24" t="inlineStr">
        <is>
          <t>SATE65</t>
        </is>
      </c>
      <c r="B24" t="inlineStr">
        <is>
          <t>阶石稳健1号</t>
        </is>
      </c>
      <c r="G24" t="inlineStr">
        <is>
          <t>未覆盖完整窗口或边界净值缺失</t>
        </is>
      </c>
    </row>
    <row r="25">
      <c r="A25" t="inlineStr">
        <is>
          <t>SATE65</t>
        </is>
      </c>
      <c r="B25" t="inlineStr">
        <is>
          <t>阶石稳健1号</t>
        </is>
      </c>
      <c r="G25" t="inlineStr">
        <is>
          <t>可计算</t>
        </is>
      </c>
    </row>
    <row r="26">
      <c r="A26" t="inlineStr">
        <is>
          <t>SAZW60</t>
        </is>
      </c>
      <c r="B26" t="inlineStr">
        <is>
          <t>阶石稳健9号</t>
        </is>
      </c>
      <c r="G26" t="inlineStr">
        <is>
          <t>可计算</t>
        </is>
      </c>
    </row>
    <row r="27">
      <c r="A27" t="inlineStr">
        <is>
          <t>SAZW60</t>
        </is>
      </c>
      <c r="B27" t="inlineStr">
        <is>
          <t>阶石稳健9号</t>
        </is>
      </c>
      <c r="G27" t="inlineStr">
        <is>
          <t>未覆盖完整窗口或边界净值缺失</t>
        </is>
      </c>
    </row>
    <row r="28">
      <c r="A28" t="inlineStr">
        <is>
          <t>SAZW60</t>
        </is>
      </c>
      <c r="B28" t="inlineStr">
        <is>
          <t>阶石稳健9号</t>
        </is>
      </c>
      <c r="G28" t="inlineStr">
        <is>
          <t>未覆盖成立以来或不足一年，不年化</t>
        </is>
      </c>
    </row>
  </sheetData>
  <autoFilter ref="A1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3" min="1" max="1"/>
    <col width="13" customWidth="1" style="73" min="2" max="2"/>
    <col width="12" customWidth="1" style="73" min="3" max="3"/>
    <col width="22" customWidth="1" style="73" min="4" max="4"/>
    <col width="12" customWidth="1" style="73" min="5" max="5"/>
    <col width="12" customWidth="1" style="73" min="6" max="6"/>
    <col width="25" customWidth="1" style="73" min="7" max="7"/>
  </cols>
  <sheetData>
    <row r="1">
      <c r="A1" s="94" t="inlineStr">
        <is>
          <t>备案号</t>
        </is>
      </c>
      <c r="B1" s="94" t="inlineStr">
        <is>
          <t>产品名称</t>
        </is>
      </c>
      <c r="C1" s="94" t="inlineStr">
        <is>
          <t>字段</t>
        </is>
      </c>
      <c r="D1" s="94" t="inlineStr">
        <is>
          <t>更新值</t>
        </is>
      </c>
      <c r="E1" s="94" t="inlineStr">
        <is>
          <t>日期</t>
        </is>
      </c>
      <c r="F1" s="94" t="inlineStr">
        <is>
          <t>来源</t>
        </is>
      </c>
      <c r="G1" s="94" t="inlineStr">
        <is>
          <t>原因</t>
        </is>
      </c>
    </row>
    <row r="2">
      <c r="A2" t="inlineStr">
        <is>
          <t>SNH457</t>
        </is>
      </c>
      <c r="B2" t="inlineStr">
        <is>
          <t>量客投资金选套利1号</t>
        </is>
      </c>
      <c r="D2" t="n">
        <v>0.1282881747781812</v>
      </c>
      <c r="G2" t="inlineStr">
        <is>
          <t>来源表缺失，以压缩包净值补算；截止日未完全对齐</t>
        </is>
      </c>
    </row>
    <row r="3">
      <c r="A3" t="inlineStr">
        <is>
          <t>SEV580</t>
        </is>
      </c>
      <c r="B3" t="inlineStr">
        <is>
          <t>祁腾蜂赢1号</t>
        </is>
      </c>
      <c r="D3" t="n">
        <v>0.1381603422619047</v>
      </c>
      <c r="G3" t="inlineStr">
        <is>
          <t>来源表缺失，以压缩包净值补算；截止日未完全对齐</t>
        </is>
      </c>
    </row>
    <row r="4">
      <c r="A4" t="inlineStr">
        <is>
          <t>SEV580</t>
        </is>
      </c>
      <c r="B4" t="inlineStr">
        <is>
          <t>祁腾蜂赢1号</t>
        </is>
      </c>
      <c r="D4" t="n">
        <v>0.1195426395220311</v>
      </c>
      <c r="G4" t="inlineStr">
        <is>
          <t>来源表缺失，以压缩包净值补算；截止日未完全对齐</t>
        </is>
      </c>
    </row>
    <row r="5">
      <c r="A5" t="inlineStr">
        <is>
          <t>SEV580</t>
        </is>
      </c>
      <c r="B5" t="inlineStr">
        <is>
          <t>祁腾蜂赢1号</t>
        </is>
      </c>
      <c r="D5" t="n">
        <v>0.7692307692307693</v>
      </c>
      <c r="G5" t="inlineStr">
        <is>
          <t>来源表缺失，以压缩包净值补算；截止日未完全对齐</t>
        </is>
      </c>
    </row>
    <row r="6">
      <c r="A6" t="inlineStr">
        <is>
          <t>SEV580</t>
        </is>
      </c>
      <c r="B6" t="inlineStr">
        <is>
          <t>祁腾蜂赢1号</t>
        </is>
      </c>
      <c r="D6" t="n">
        <v>0.7837837837837838</v>
      </c>
      <c r="G6" t="inlineStr">
        <is>
          <t>来源表缺失，以压缩包净值补算；截止日未完全对齐</t>
        </is>
      </c>
    </row>
    <row r="7">
      <c r="A7" t="inlineStr">
        <is>
          <t>SEV580</t>
        </is>
      </c>
      <c r="B7" t="inlineStr">
        <is>
          <t>祁腾蜂赢1号</t>
        </is>
      </c>
      <c r="D7" t="n">
        <v>0.00533091362785687</v>
      </c>
      <c r="G7" t="inlineStr">
        <is>
          <t>来源表缺失，以压缩包净值补算；截止日未完全对齐</t>
        </is>
      </c>
    </row>
    <row r="8">
      <c r="A8" t="inlineStr">
        <is>
          <t>SEV580</t>
        </is>
      </c>
      <c r="B8" t="inlineStr">
        <is>
          <t>祁腾蜂赢1号</t>
        </is>
      </c>
      <c r="D8" t="n">
        <v>28.40951309019366</v>
      </c>
      <c r="G8" t="inlineStr">
        <is>
          <t>来源表缺失，以压缩包净值补算；截止日未完全对齐</t>
        </is>
      </c>
    </row>
    <row r="9">
      <c r="A9" t="inlineStr">
        <is>
          <t>SEV580</t>
        </is>
      </c>
      <c r="B9" t="inlineStr">
        <is>
          <t>祁腾蜂赢1号</t>
        </is>
      </c>
      <c r="D9" t="n">
        <v>22.42441875204224</v>
      </c>
      <c r="G9" t="inlineStr">
        <is>
          <t>来源表缺失，以压缩包净值补算；截止日未完全对齐</t>
        </is>
      </c>
    </row>
    <row r="10">
      <c r="A10" t="inlineStr">
        <is>
          <t>SEV580</t>
        </is>
      </c>
      <c r="B10" t="inlineStr">
        <is>
          <t>祁腾蜂赢1号</t>
        </is>
      </c>
      <c r="D10" t="n">
        <v>0.1244496470559275</v>
      </c>
      <c r="G10" t="inlineStr">
        <is>
          <t>来源表缺失，以压缩包净值补算；截止日未完全对齐</t>
        </is>
      </c>
    </row>
    <row r="11">
      <c r="A11" t="inlineStr">
        <is>
          <t>SQN453</t>
        </is>
      </c>
      <c r="B11" t="inlineStr">
        <is>
          <t>钧誉厚德量化对冲11号</t>
        </is>
      </c>
      <c r="D11" t="n">
        <v>0.1090311523016432</v>
      </c>
      <c r="G11" t="inlineStr">
        <is>
          <t>来源表缺失，以压缩包净值补算；截止日未完全对齐</t>
        </is>
      </c>
    </row>
    <row r="12">
      <c r="A12" t="inlineStr">
        <is>
          <t>SQN453</t>
        </is>
      </c>
      <c r="B12" t="inlineStr">
        <is>
          <t>钧誉厚德量化对冲11号</t>
        </is>
      </c>
      <c r="D12" t="n">
        <v>0.08030601138775961</v>
      </c>
      <c r="G12" t="inlineStr">
        <is>
          <t>来源表缺失，以压缩包净值补算；截止日未完全对齐</t>
        </is>
      </c>
    </row>
    <row r="13">
      <c r="A13" t="inlineStr">
        <is>
          <t>SQN453</t>
        </is>
      </c>
      <c r="B13" t="inlineStr">
        <is>
          <t>钧誉厚德量化对冲11号</t>
        </is>
      </c>
      <c r="D13" t="n">
        <v>0.00826733361122689</v>
      </c>
      <c r="G13" t="inlineStr">
        <is>
          <t>来源表缺失，以压缩包净值补算；截止日未完全对齐</t>
        </is>
      </c>
    </row>
    <row r="14">
      <c r="A14" t="inlineStr">
        <is>
          <t>SQN453</t>
        </is>
      </c>
      <c r="B14" t="inlineStr">
        <is>
          <t>钧誉厚德量化对冲11号</t>
        </is>
      </c>
      <c r="D14" t="n">
        <v>13.18818828764583</v>
      </c>
      <c r="G14" t="inlineStr">
        <is>
          <t>来源表缺失，以压缩包净值补算；截止日未完全对齐</t>
        </is>
      </c>
    </row>
    <row r="15">
      <c r="A15" t="inlineStr">
        <is>
          <t>SQN453</t>
        </is>
      </c>
      <c r="B15" t="inlineStr">
        <is>
          <t>钧誉厚德量化对冲11号</t>
        </is>
      </c>
      <c r="D15" t="n">
        <v>9.713653175759775</v>
      </c>
      <c r="G15" t="inlineStr">
        <is>
          <t>来源表缺失，以压缩包净值补算；截止日未完全对齐</t>
        </is>
      </c>
    </row>
    <row r="16">
      <c r="A16" t="inlineStr">
        <is>
          <t>SQN453</t>
        </is>
      </c>
      <c r="B16" t="inlineStr">
        <is>
          <t>钧誉厚德量化对冲11号</t>
        </is>
      </c>
      <c r="D16" t="n">
        <v>0.08985495565769552</v>
      </c>
      <c r="G16" t="inlineStr">
        <is>
          <t>来源表缺失，以压缩包净值补算；截止日未完全对齐</t>
        </is>
      </c>
    </row>
    <row r="17">
      <c r="A17" t="inlineStr">
        <is>
          <t>SXT086</t>
        </is>
      </c>
      <c r="B17" t="inlineStr">
        <is>
          <t>系数CTA套利五号</t>
        </is>
      </c>
      <c r="D17" t="n">
        <v>0.006522015825151994</v>
      </c>
      <c r="G17" t="inlineStr">
        <is>
          <t>来源表缺失，以压缩包净值补算；截止日未完全对齐</t>
        </is>
      </c>
    </row>
    <row r="18">
      <c r="A18" t="inlineStr">
        <is>
          <t>SXT086</t>
        </is>
      </c>
      <c r="B18" t="inlineStr">
        <is>
          <t>系数CTA套利五号</t>
        </is>
      </c>
      <c r="D18" t="n">
        <v>0.09263842468154948</v>
      </c>
      <c r="G18" t="inlineStr">
        <is>
          <t>来源表缺失，以压缩包净值补算；截止日未完全对齐</t>
        </is>
      </c>
    </row>
    <row r="19">
      <c r="A19" t="inlineStr">
        <is>
          <t>SXT086</t>
        </is>
      </c>
      <c r="B19" t="inlineStr">
        <is>
          <t>系数CTA套利五号</t>
        </is>
      </c>
      <c r="D19" t="n">
        <v>0.4615384615384616</v>
      </c>
      <c r="G19" t="inlineStr">
        <is>
          <t>来源表缺失，以压缩包净值补算；截止日未完全对齐</t>
        </is>
      </c>
    </row>
    <row r="20">
      <c r="A20" t="inlineStr">
        <is>
          <t>SXT086</t>
        </is>
      </c>
      <c r="B20" t="inlineStr">
        <is>
          <t>系数CTA套利五号</t>
        </is>
      </c>
      <c r="D20" t="n">
        <v>0.6486486486486487</v>
      </c>
      <c r="G20" t="inlineStr">
        <is>
          <t>来源表缺失，以压缩包净值补算；截止日未完全对齐</t>
        </is>
      </c>
    </row>
    <row r="21">
      <c r="A21" t="inlineStr">
        <is>
          <t>SXT086</t>
        </is>
      </c>
      <c r="B21" t="inlineStr">
        <is>
          <t>系数CTA套利五号</t>
        </is>
      </c>
      <c r="D21" t="n">
        <v>0.0431149238278361</v>
      </c>
      <c r="G21" t="inlineStr">
        <is>
          <t>来源表缺失，以压缩包净值补算；截止日未完全对齐</t>
        </is>
      </c>
    </row>
    <row r="22">
      <c r="A22" t="inlineStr">
        <is>
          <t>SXT086</t>
        </is>
      </c>
      <c r="B22" t="inlineStr">
        <is>
          <t>系数CTA套利五号</t>
        </is>
      </c>
      <c r="D22" t="n">
        <v>0.1512704939754808</v>
      </c>
      <c r="G22" t="inlineStr">
        <is>
          <t>来源表缺失，以压缩包净值补算；截止日未完全对齐</t>
        </is>
      </c>
    </row>
    <row r="23">
      <c r="A23" t="inlineStr">
        <is>
          <t>SXT086</t>
        </is>
      </c>
      <c r="B23" t="inlineStr">
        <is>
          <t>系数CTA套利五号</t>
        </is>
      </c>
      <c r="D23" t="n">
        <v>2.148639414312028</v>
      </c>
      <c r="G23" t="inlineStr">
        <is>
          <t>来源表缺失，以压缩包净值补算；截止日未完全对齐</t>
        </is>
      </c>
    </row>
    <row r="24">
      <c r="A24" t="inlineStr">
        <is>
          <t>SXT730</t>
        </is>
      </c>
      <c r="B24" t="inlineStr">
        <is>
          <t>世宽若水尘心3号</t>
        </is>
      </c>
      <c r="D24" t="n">
        <v>0.2048847162372274</v>
      </c>
      <c r="G24" t="inlineStr">
        <is>
          <t>来源表缺失，以压缩包净值补算；截止日未完全对齐</t>
        </is>
      </c>
    </row>
    <row r="25">
      <c r="A25" t="inlineStr">
        <is>
          <t>SXT730</t>
        </is>
      </c>
      <c r="B25" t="inlineStr">
        <is>
          <t>世宽若水尘心3号</t>
        </is>
      </c>
      <c r="D25" t="n">
        <v>0.1532236838677676</v>
      </c>
      <c r="G25" t="inlineStr">
        <is>
          <t>来源表缺失，以压缩包净值补算；截止日未完全对齐</t>
        </is>
      </c>
    </row>
    <row r="26">
      <c r="A26" t="inlineStr">
        <is>
          <t>SXT730</t>
        </is>
      </c>
      <c r="B26" t="inlineStr">
        <is>
          <t>世宽若水尘心3号</t>
        </is>
      </c>
      <c r="D26" t="n">
        <v>0.01080762428767945</v>
      </c>
      <c r="G26" t="inlineStr">
        <is>
          <t>来源表缺失，以压缩包净值补算；截止日未完全对齐</t>
        </is>
      </c>
    </row>
    <row r="27">
      <c r="A27" t="inlineStr">
        <is>
          <t>SXT730</t>
        </is>
      </c>
      <c r="B27" t="inlineStr">
        <is>
          <t>世宽若水尘心3号</t>
        </is>
      </c>
      <c r="D27" t="n">
        <v>22.11060400114958</v>
      </c>
      <c r="G27" t="inlineStr">
        <is>
          <t>来源表缺失，以压缩包净值补算；截止日未完全对齐</t>
        </is>
      </c>
    </row>
    <row r="28">
      <c r="A28" t="inlineStr">
        <is>
          <t>SXT730</t>
        </is>
      </c>
      <c r="B28" t="inlineStr">
        <is>
          <t>世宽若水尘心3号</t>
        </is>
      </c>
      <c r="D28" t="n">
        <v>14.17736958551017</v>
      </c>
      <c r="G28" t="inlineStr">
        <is>
          <t>来源表缺失，以压缩包净值补算；截止日未完全对齐</t>
        </is>
      </c>
    </row>
    <row r="29">
      <c r="A29" t="inlineStr">
        <is>
          <t>SXT730</t>
        </is>
      </c>
      <c r="B29" t="inlineStr">
        <is>
          <t>世宽若水尘心3号</t>
        </is>
      </c>
      <c r="D29" t="n">
        <v>0.1196976396126528</v>
      </c>
      <c r="G29" t="inlineStr">
        <is>
          <t>来源表缺失，以压缩包净值补算；截止日未完全对齐</t>
        </is>
      </c>
    </row>
    <row r="30">
      <c r="A30" t="inlineStr">
        <is>
          <t>SATE65</t>
        </is>
      </c>
      <c r="B30" t="inlineStr">
        <is>
          <t>阶石稳健1号</t>
        </is>
      </c>
      <c r="D30" t="n">
        <v>0.2299776356179095</v>
      </c>
      <c r="G30" t="inlineStr">
        <is>
          <t>来源表缺失，以压缩包净值补算；截止日未完全对齐</t>
        </is>
      </c>
    </row>
  </sheetData>
  <autoFilter ref="A1:G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3" min="1" max="1"/>
    <col width="16" customWidth="1" style="73" min="2" max="2"/>
    <col width="12" customWidth="1" style="73" min="3" max="3"/>
    <col width="42" customWidth="1" style="73" min="4" max="4"/>
    <col width="12" customWidth="1" style="73" min="5" max="5"/>
    <col width="12" customWidth="1" style="73" min="6" max="6"/>
    <col width="12" customWidth="1" style="73" min="7" max="7"/>
    <col width="12" customWidth="1" style="73" min="8" max="8"/>
    <col width="42" customWidth="1" style="73" min="9" max="9"/>
    <col width="42" customWidth="1" style="73" min="10" max="10"/>
    <col width="12" customWidth="1" style="73" min="11" max="11"/>
  </cols>
  <sheetData>
    <row r="1">
      <c r="A1" s="94" t="inlineStr">
        <is>
          <t>备案号</t>
        </is>
      </c>
      <c r="B1" s="94" t="inlineStr">
        <is>
          <t>产品名称</t>
        </is>
      </c>
      <c r="C1" s="94" t="inlineStr">
        <is>
          <t>管理人</t>
        </is>
      </c>
      <c r="D1" s="94" t="inlineStr">
        <is>
          <t>管理人全称</t>
        </is>
      </c>
      <c r="E1" s="94" t="inlineStr">
        <is>
          <t>登记编号</t>
        </is>
      </c>
      <c r="F1" s="94" t="inlineStr">
        <is>
          <t>管理规模区间</t>
        </is>
      </c>
      <c r="G1" s="94" t="inlineStr">
        <is>
          <t>规模分组</t>
        </is>
      </c>
      <c r="H1" s="94" t="inlineStr">
        <is>
          <t>协会风险标记</t>
        </is>
      </c>
      <c r="I1" s="94" t="inlineStr">
        <is>
          <t>管理人公示URL</t>
        </is>
      </c>
      <c r="J1" s="94" t="inlineStr">
        <is>
          <t>基金公示URL</t>
        </is>
      </c>
      <c r="K1" s="94" t="inlineStr">
        <is>
          <t>核验日期</t>
        </is>
      </c>
    </row>
    <row r="2">
      <c r="A2" t="inlineStr">
        <is>
          <t>SR2759</t>
        </is>
      </c>
      <c r="B2" t="inlineStr">
        <is>
          <t>新视野智能量化2号</t>
        </is>
      </c>
      <c r="C2" t="inlineStr">
        <is>
          <t>杭州探融投资</t>
        </is>
      </c>
      <c r="D2" t="inlineStr">
        <is>
          <t>杭州探融投资管理有限公司</t>
        </is>
      </c>
      <c r="E2" t="inlineStr">
        <is>
          <t>P1032083</t>
        </is>
      </c>
      <c r="F2" t="inlineStr">
        <is>
          <t>0-5亿元</t>
        </is>
      </c>
      <c r="G2" t="inlineStr">
        <is>
          <t>小规模</t>
        </is>
      </c>
      <c r="H2" t="inlineStr">
        <is>
          <t>本次公示未见相关记录</t>
        </is>
      </c>
      <c r="I2" t="inlineStr">
        <is>
          <t>https://gs.amac.org.cn/amac-infodisc/res/pof/manager/101000049159.html</t>
        </is>
      </c>
      <c r="J2" t="inlineStr">
        <is>
          <t>https://gs.amac.org.cn/amac-infodisc/res/pof/fund/351000611236.html</t>
        </is>
      </c>
      <c r="K2" t="inlineStr">
        <is>
          <t>2026-09-15</t>
        </is>
      </c>
    </row>
    <row r="3">
      <c r="A3" t="inlineStr">
        <is>
          <t>SL8089</t>
        </is>
      </c>
      <c r="B3" t="inlineStr">
        <is>
          <t>探融新视野智能量化1号</t>
        </is>
      </c>
      <c r="C3" t="inlineStr">
        <is>
          <t>杭州探融投资</t>
        </is>
      </c>
      <c r="D3" t="inlineStr">
        <is>
          <t>杭州探融投资管理有限公司</t>
        </is>
      </c>
      <c r="E3" t="inlineStr">
        <is>
          <t>P1032083</t>
        </is>
      </c>
      <c r="F3" t="inlineStr">
        <is>
          <t>0-5亿元</t>
        </is>
      </c>
      <c r="G3" t="inlineStr">
        <is>
          <t>小规模</t>
        </is>
      </c>
      <c r="H3" t="inlineStr">
        <is>
          <t>本次公示未见相关记录</t>
        </is>
      </c>
      <c r="I3" t="inlineStr">
        <is>
          <t>https://gs.amac.org.cn/amac-infodisc/res/pof/manager/101000049159.html</t>
        </is>
      </c>
      <c r="J3" t="inlineStr">
        <is>
          <t>https://gs.amac.org.cn/amac-infodisc/res/pof/fund/351000500099.html</t>
        </is>
      </c>
      <c r="K3" t="inlineStr">
        <is>
          <t>2026-09-15</t>
        </is>
      </c>
    </row>
    <row r="4">
      <c r="A4" t="inlineStr">
        <is>
          <t>SM4445</t>
        </is>
      </c>
      <c r="B4" t="inlineStr">
        <is>
          <t>辉毅4号</t>
        </is>
      </c>
      <c r="C4" t="inlineStr">
        <is>
          <t>上海申毅投资</t>
        </is>
      </c>
      <c r="D4" t="inlineStr">
        <is>
          <t>上海申毅投资股份有限公司</t>
        </is>
      </c>
      <c r="E4" t="inlineStr">
        <is>
          <t>P1000404</t>
        </is>
      </c>
      <c r="F4" t="inlineStr">
        <is>
          <t>100亿元以上</t>
        </is>
      </c>
      <c r="G4" t="inlineStr">
        <is>
          <t>大规模</t>
        </is>
      </c>
      <c r="H4" t="inlineStr">
        <is>
          <t>本次公示未见相关记录</t>
        </is>
      </c>
      <c r="I4" t="inlineStr">
        <is>
          <t>https://gs.amac.org.cn/amac-infodisc/res/pof/manager/101000000870.html</t>
        </is>
      </c>
      <c r="J4" t="inlineStr">
        <is>
          <t>https://gs.amac.org.cn/amac-infodisc/res/pof/fund/351000509057.html</t>
        </is>
      </c>
      <c r="K4" t="inlineStr">
        <is>
          <t>2026-09-15</t>
        </is>
      </c>
    </row>
    <row r="5">
      <c r="A5" t="inlineStr">
        <is>
          <t>SJ2870</t>
        </is>
      </c>
      <c r="B5" t="inlineStr">
        <is>
          <t>平凡悟鑫</t>
        </is>
      </c>
      <c r="C5" t="inlineStr">
        <is>
          <t>北京平凡</t>
        </is>
      </c>
      <c r="D5" t="inlineStr">
        <is>
          <t>北京平凡私募基金管理有限公司</t>
        </is>
      </c>
      <c r="E5" t="inlineStr">
        <is>
          <t>P1021670</t>
        </is>
      </c>
      <c r="F5" t="inlineStr">
        <is>
          <t>50-100亿元</t>
        </is>
      </c>
      <c r="G5" t="inlineStr">
        <is>
          <t>大规模</t>
        </is>
      </c>
      <c r="H5" t="inlineStr">
        <is>
          <t>本次公示未见相关记录</t>
        </is>
      </c>
      <c r="I5" t="inlineStr">
        <is>
          <t>https://gs.amac.org.cn/amac-infodisc/res/pof/manager/101000030286.html</t>
        </is>
      </c>
      <c r="J5" t="inlineStr">
        <is>
          <t>https://gs.amac.org.cn/amac-infodisc/res/pof/fund/351000410825.html</t>
        </is>
      </c>
      <c r="K5" t="inlineStr">
        <is>
          <t>2026-09-15</t>
        </is>
      </c>
    </row>
    <row r="6">
      <c r="A6" t="inlineStr">
        <is>
          <t>SS8645</t>
        </is>
      </c>
      <c r="B6" t="inlineStr">
        <is>
          <t>致同稳盈对冲</t>
        </is>
      </c>
      <c r="C6" t="inlineStr">
        <is>
          <t>上海致同投资</t>
        </is>
      </c>
      <c r="D6" t="inlineStr">
        <is>
          <t>上海致同投资管理有限公司</t>
        </is>
      </c>
      <c r="E6" t="inlineStr">
        <is>
          <t>P1003519</t>
        </is>
      </c>
      <c r="F6" t="inlineStr">
        <is>
          <t>20-50亿元</t>
        </is>
      </c>
      <c r="G6" t="inlineStr">
        <is>
          <t>大规模</t>
        </is>
      </c>
      <c r="H6" t="inlineStr">
        <is>
          <t>监管警示函</t>
        </is>
      </c>
      <c r="I6" t="inlineStr">
        <is>
          <t>https://gs.amac.org.cn/amac-infodisc/res/pof/manager/101000004339.html</t>
        </is>
      </c>
      <c r="J6" t="inlineStr">
        <is>
          <t>https://gs.amac.org.cn/amac-infodisc/res/pof/fund/1705051025108658.html</t>
        </is>
      </c>
      <c r="K6" t="inlineStr">
        <is>
          <t>2026-09-15</t>
        </is>
      </c>
    </row>
    <row r="7">
      <c r="A7" t="inlineStr">
        <is>
          <t>ST3922</t>
        </is>
      </c>
      <c r="B7" t="inlineStr">
        <is>
          <t>哈福尊享一号</t>
        </is>
      </c>
      <c r="C7" t="inlineStr">
        <is>
          <t>哈福基金</t>
        </is>
      </c>
      <c r="D7" t="inlineStr">
        <is>
          <t>广东哈福私募证券投资基金管理有限公司</t>
        </is>
      </c>
      <c r="E7" t="inlineStr">
        <is>
          <t>P1005908</t>
        </is>
      </c>
      <c r="F7" t="inlineStr">
        <is>
          <t>0-5亿元</t>
        </is>
      </c>
      <c r="G7" t="inlineStr">
        <is>
          <t>小规模</t>
        </is>
      </c>
      <c r="H7" t="inlineStr">
        <is>
          <t>本次公示未见相关记录</t>
        </is>
      </c>
      <c r="I7" t="inlineStr">
        <is>
          <t>https://gs.amac.org.cn/amac-infodisc/res/pof/manager/101000010078.html</t>
        </is>
      </c>
      <c r="J7" t="inlineStr">
        <is>
          <t>https://gs.amac.org.cn/amac-infodisc/res/pof/fund/1705180919103330.html</t>
        </is>
      </c>
      <c r="K7" t="inlineStr">
        <is>
          <t>2026-09-15</t>
        </is>
      </c>
    </row>
    <row r="8">
      <c r="A8" t="inlineStr">
        <is>
          <t>SS9088</t>
        </is>
      </c>
      <c r="B8" t="inlineStr">
        <is>
          <t>远澜翠柏1号</t>
        </is>
      </c>
      <c r="C8" t="inlineStr">
        <is>
          <t>上海远澜</t>
        </is>
      </c>
      <c r="D8" t="inlineStr">
        <is>
          <t>上海远澜私募基金管理有限公司</t>
        </is>
      </c>
      <c r="E8" t="inlineStr">
        <is>
          <t>P1018484</t>
        </is>
      </c>
      <c r="F8" t="inlineStr">
        <is>
          <t>100亿元以上</t>
        </is>
      </c>
      <c r="G8" t="inlineStr">
        <is>
          <t>大规模</t>
        </is>
      </c>
      <c r="H8" t="inlineStr">
        <is>
          <t>本次公示未见相关记录</t>
        </is>
      </c>
      <c r="I8" t="inlineStr">
        <is>
          <t>https://gs.amac.org.cn/amac-infodisc/res/pof/manager/101000022626.html</t>
        </is>
      </c>
      <c r="J8" t="inlineStr">
        <is>
          <t>https://gs.amac.org.cn/amac-infodisc/res/pof/fund/1706161700107643.html</t>
        </is>
      </c>
      <c r="K8" t="inlineStr">
        <is>
          <t>2026-09-15</t>
        </is>
      </c>
    </row>
    <row r="9">
      <c r="A9" t="inlineStr">
        <is>
          <t>SCS637</t>
        </is>
      </c>
      <c r="B9" t="inlineStr">
        <is>
          <t>擎丰1号</t>
        </is>
      </c>
      <c r="C9" t="inlineStr">
        <is>
          <t>上海擎丰</t>
        </is>
      </c>
      <c r="D9" t="inlineStr">
        <is>
          <t>上海擎丰私募基金管理有限公司</t>
        </is>
      </c>
      <c r="E9" t="inlineStr">
        <is>
          <t>P1066774</t>
        </is>
      </c>
      <c r="F9" t="inlineStr">
        <is>
          <t>0-5亿元</t>
        </is>
      </c>
      <c r="G9" t="inlineStr">
        <is>
          <t>小规模</t>
        </is>
      </c>
      <c r="H9" t="inlineStr">
        <is>
          <t>协会提示／报送异常</t>
        </is>
      </c>
      <c r="I9" t="inlineStr">
        <is>
          <t>https://gs.amac.org.cn/amac-infodisc/res/pof/manager/1707071820104466.html</t>
        </is>
      </c>
      <c r="J9" t="inlineStr">
        <is>
          <t>https://gs.amac.org.cn/amac-infodisc/res/pof/fund/1806141444102951.html</t>
        </is>
      </c>
      <c r="K9" t="inlineStr">
        <is>
          <t>2026-09-15</t>
        </is>
      </c>
    </row>
    <row r="10">
      <c r="A10" t="inlineStr">
        <is>
          <t>SEM001</t>
        </is>
      </c>
      <c r="B10" t="inlineStr">
        <is>
          <t>新时代智能量化3号</t>
        </is>
      </c>
      <c r="C10" t="inlineStr">
        <is>
          <t>杭州探融投资</t>
        </is>
      </c>
      <c r="D10" t="inlineStr">
        <is>
          <t>杭州探融投资管理有限公司</t>
        </is>
      </c>
      <c r="E10" t="inlineStr">
        <is>
          <t>P1032083</t>
        </is>
      </c>
      <c r="F10" t="inlineStr">
        <is>
          <t>0-5亿元</t>
        </is>
      </c>
      <c r="G10" t="inlineStr">
        <is>
          <t>小规模</t>
        </is>
      </c>
      <c r="H10" t="inlineStr">
        <is>
          <t>本次公示未见相关记录</t>
        </is>
      </c>
      <c r="I10" t="inlineStr">
        <is>
          <t>https://gs.amac.org.cn/amac-infodisc/res/pof/manager/101000049159.html</t>
        </is>
      </c>
      <c r="J10" t="inlineStr">
        <is>
          <t>https://gs.amac.org.cn/amac-infodisc/res/pof/fund/1811011729102590.html</t>
        </is>
      </c>
      <c r="K10" t="inlineStr">
        <is>
          <t>2026-09-15</t>
        </is>
      </c>
    </row>
    <row r="11">
      <c r="A11" t="inlineStr">
        <is>
          <t>SGH303</t>
        </is>
      </c>
      <c r="B11" t="inlineStr">
        <is>
          <t>悬铃C号2期</t>
        </is>
      </c>
      <c r="C11" t="inlineStr">
        <is>
          <t>上海悬铃</t>
        </is>
      </c>
      <c r="D11" t="inlineStr">
        <is>
          <t>上海悬铃私募基金管理有限公司</t>
        </is>
      </c>
      <c r="E11" t="inlineStr">
        <is>
          <t>P1064634</t>
        </is>
      </c>
      <c r="F11" t="inlineStr">
        <is>
          <t>20-50亿元</t>
        </is>
      </c>
      <c r="G11" t="inlineStr">
        <is>
          <t>大规模</t>
        </is>
      </c>
      <c r="H11" t="inlineStr">
        <is>
          <t>本次公示未见相关记录</t>
        </is>
      </c>
      <c r="I11" t="inlineStr">
        <is>
          <t>https://gs.amac.org.cn/amac-infodisc/res/pof/manager/1701161209103763.html</t>
        </is>
      </c>
      <c r="J11" t="inlineStr">
        <is>
          <t>https://gs.amac.org.cn/amac-infodisc/res/pof/fund/1904291722104146.html</t>
        </is>
      </c>
      <c r="K11" t="inlineStr">
        <is>
          <t>2026-09-15</t>
        </is>
      </c>
    </row>
    <row r="12">
      <c r="A12" t="inlineStr">
        <is>
          <t>SJA112</t>
        </is>
      </c>
      <c r="B12" t="inlineStr">
        <is>
          <t>爱凡哲九号</t>
        </is>
      </c>
      <c r="C12" t="inlineStr">
        <is>
          <t>爱凡哲投资</t>
        </is>
      </c>
      <c r="D12" t="inlineStr">
        <is>
          <t>爱凡哲投资管理有限公司</t>
        </is>
      </c>
      <c r="E12" t="inlineStr">
        <is>
          <t>P1066184</t>
        </is>
      </c>
      <c r="F12" t="inlineStr">
        <is>
          <t>20-50亿元</t>
        </is>
      </c>
      <c r="G12" t="inlineStr">
        <is>
          <t>大规模</t>
        </is>
      </c>
      <c r="H12" t="inlineStr">
        <is>
          <t>本次公示未见相关记录</t>
        </is>
      </c>
      <c r="I12" t="inlineStr">
        <is>
          <t>https://gs.amac.org.cn/amac-infodisc/res/pof/manager/1709181131101311.html</t>
        </is>
      </c>
      <c r="J12" t="inlineStr">
        <is>
          <t>https://gs.amac.org.cn/amac-infodisc/res/pof/fund/1909051919107161.html</t>
        </is>
      </c>
      <c r="K12" t="inlineStr">
        <is>
          <t>2026-09-15</t>
        </is>
      </c>
    </row>
    <row r="13">
      <c r="A13" t="inlineStr">
        <is>
          <t>SGQ731</t>
        </is>
      </c>
      <c r="B13" t="inlineStr">
        <is>
          <t>恒如套利三号</t>
        </is>
      </c>
      <c r="C13" t="inlineStr">
        <is>
          <t>上海恒如投资</t>
        </is>
      </c>
      <c r="D13" t="inlineStr">
        <is>
          <t>上海恒如投资管理有限公司</t>
        </is>
      </c>
      <c r="E13" t="inlineStr">
        <is>
          <t>P1000715</t>
        </is>
      </c>
      <c r="F13" t="inlineStr">
        <is>
          <t>5-10亿元</t>
        </is>
      </c>
      <c r="G13" t="inlineStr">
        <is>
          <t>大规模</t>
        </is>
      </c>
      <c r="H13" t="inlineStr">
        <is>
          <t>协会提示／报送异常</t>
        </is>
      </c>
      <c r="I13" t="inlineStr">
        <is>
          <t>https://gs.amac.org.cn/amac-infodisc/res/pof/manager/101000001221.html</t>
        </is>
      </c>
      <c r="J13" t="inlineStr">
        <is>
          <t>https://gs.amac.org.cn/amac-infodisc/res/pof/fund/1910121042102347.html</t>
        </is>
      </c>
      <c r="K13" t="inlineStr">
        <is>
          <t>2026-09-15</t>
        </is>
      </c>
    </row>
    <row r="14">
      <c r="A14" t="inlineStr">
        <is>
          <t>SGF269</t>
        </is>
      </c>
      <c r="B14" t="inlineStr">
        <is>
          <t>鹿秀驯鹿二号</t>
        </is>
      </c>
      <c r="C14" t="inlineStr">
        <is>
          <t>青岛鹿秀投资</t>
        </is>
      </c>
      <c r="D14" t="inlineStr">
        <is>
          <t>青岛鹿秀投资管理有限公司</t>
        </is>
      </c>
      <c r="E14" t="inlineStr">
        <is>
          <t>P1064617</t>
        </is>
      </c>
      <c r="F14" t="inlineStr">
        <is>
          <t>50-100亿元</t>
        </is>
      </c>
      <c r="G14" t="inlineStr">
        <is>
          <t>大规模</t>
        </is>
      </c>
      <c r="H14" t="inlineStr">
        <is>
          <t>协会提示／报送异常</t>
        </is>
      </c>
      <c r="I14" t="inlineStr">
        <is>
          <t>https://gs.amac.org.cn/amac-infodisc/res/pof/manager/1612231708101923.html</t>
        </is>
      </c>
      <c r="J14" t="inlineStr">
        <is>
          <t>https://gs.amac.org.cn/amac-infodisc/res/pof/fund/1910231722102267.html</t>
        </is>
      </c>
      <c r="K14" t="inlineStr">
        <is>
          <t>2026-09-15</t>
        </is>
      </c>
    </row>
    <row r="15">
      <c r="A15" t="inlineStr">
        <is>
          <t>SJF426</t>
        </is>
      </c>
      <c r="B15" t="inlineStr">
        <is>
          <t>本利达利磐一号</t>
        </is>
      </c>
      <c r="C15" t="inlineStr">
        <is>
          <t>深圳本利达资管</t>
        </is>
      </c>
      <c r="D15" t="inlineStr">
        <is>
          <t>深圳市本利达资产管理有限公司</t>
        </is>
      </c>
      <c r="E15" t="inlineStr">
        <is>
          <t>P1020629</t>
        </is>
      </c>
      <c r="F15" t="inlineStr">
        <is>
          <t>0-5亿元</t>
        </is>
      </c>
      <c r="G15" t="inlineStr">
        <is>
          <t>小规模</t>
        </is>
      </c>
      <c r="H15" t="inlineStr">
        <is>
          <t>本次公示未见相关记录</t>
        </is>
      </c>
      <c r="I15" t="inlineStr">
        <is>
          <t>https://gs.amac.org.cn/amac-infodisc/res/pof/manager/101000028552.html</t>
        </is>
      </c>
      <c r="J15" t="inlineStr">
        <is>
          <t>https://gs.amac.org.cn/amac-infodisc/res/pof/fund/1911061732126237.html</t>
        </is>
      </c>
      <c r="K15" t="inlineStr">
        <is>
          <t>2026-09-15</t>
        </is>
      </c>
    </row>
    <row r="16">
      <c r="A16" t="inlineStr">
        <is>
          <t>SJG287</t>
        </is>
      </c>
      <c r="B16" t="inlineStr">
        <is>
          <t>和熙新月1号</t>
        </is>
      </c>
      <c r="C16" t="inlineStr">
        <is>
          <t>浙江和熙资管</t>
        </is>
      </c>
      <c r="D16" t="inlineStr">
        <is>
          <t>浙江和熙资产管理有限公司</t>
        </is>
      </c>
      <c r="E16" t="inlineStr">
        <is>
          <t>P1033444</t>
        </is>
      </c>
      <c r="F16" t="inlineStr">
        <is>
          <t>5-10亿元</t>
        </is>
      </c>
      <c r="G16" t="inlineStr">
        <is>
          <t>大规模</t>
        </is>
      </c>
      <c r="H16" t="inlineStr">
        <is>
          <t>协会提示／报送异常</t>
        </is>
      </c>
      <c r="I16" t="inlineStr">
        <is>
          <t>https://gs.amac.org.cn/amac-infodisc/res/pof/manager/101000072213.html</t>
        </is>
      </c>
      <c r="J16" t="inlineStr">
        <is>
          <t>https://gs.amac.org.cn/amac-infodisc/res/pof/fund/1911201726147441.html</t>
        </is>
      </c>
      <c r="K16" t="inlineStr">
        <is>
          <t>2026-09-15</t>
        </is>
      </c>
    </row>
    <row r="17">
      <c r="A17" t="inlineStr">
        <is>
          <t>SJJ138</t>
        </is>
      </c>
      <c r="B17" t="inlineStr">
        <is>
          <t>鹿秀统计套利1号</t>
        </is>
      </c>
      <c r="C17" t="inlineStr">
        <is>
          <t>青岛鹿秀投资</t>
        </is>
      </c>
      <c r="D17" t="inlineStr">
        <is>
          <t>青岛鹿秀投资管理有限公司</t>
        </is>
      </c>
      <c r="E17" t="inlineStr">
        <is>
          <t>P1064617</t>
        </is>
      </c>
      <c r="F17" t="inlineStr">
        <is>
          <t>50-100亿元</t>
        </is>
      </c>
      <c r="G17" t="inlineStr">
        <is>
          <t>大规模</t>
        </is>
      </c>
      <c r="H17" t="inlineStr">
        <is>
          <t>协会提示／报送异常</t>
        </is>
      </c>
      <c r="I17" t="inlineStr">
        <is>
          <t>https://gs.amac.org.cn/amac-infodisc/res/pof/manager/1612231708101923.html</t>
        </is>
      </c>
      <c r="J17" t="inlineStr">
        <is>
          <t>https://gs.amac.org.cn/amac-infodisc/res/pof/fund/1912061240100295.html</t>
        </is>
      </c>
      <c r="K17" t="inlineStr">
        <is>
          <t>2026-09-15</t>
        </is>
      </c>
    </row>
    <row r="18">
      <c r="A18" t="inlineStr">
        <is>
          <t>SJQ683</t>
        </is>
      </c>
      <c r="B18" t="inlineStr">
        <is>
          <t>唐龙量化对冲99号</t>
        </is>
      </c>
      <c r="C18" t="inlineStr">
        <is>
          <t>福建平潭唐龙资管</t>
        </is>
      </c>
      <c r="D18" t="inlineStr">
        <is>
          <t>福建平潭唐龙资产管理有限公司</t>
        </is>
      </c>
      <c r="E18" t="inlineStr">
        <is>
          <t>P1068562</t>
        </is>
      </c>
      <c r="F18" t="inlineStr">
        <is>
          <t>5-10亿元</t>
        </is>
      </c>
      <c r="G18" t="inlineStr">
        <is>
          <t>大规模</t>
        </is>
      </c>
      <c r="H18" t="inlineStr">
        <is>
          <t>本次公示未见相关记录</t>
        </is>
      </c>
      <c r="I18" t="inlineStr">
        <is>
          <t>https://gs.amac.org.cn/amac-infodisc/res/pof/manager/1708091719102142.html</t>
        </is>
      </c>
      <c r="J18" t="inlineStr">
        <is>
          <t>https://gs.amac.org.cn/amac-infodisc/res/pof/fund/2002251051107073.html</t>
        </is>
      </c>
      <c r="K18" t="inlineStr">
        <is>
          <t>2026-09-15</t>
        </is>
      </c>
    </row>
    <row r="19">
      <c r="A19" t="inlineStr">
        <is>
          <t>SJS811</t>
        </is>
      </c>
      <c r="B19" t="inlineStr">
        <is>
          <t>凡德量化八号</t>
        </is>
      </c>
      <c r="C19" t="inlineStr">
        <is>
          <t>广东凡德投资</t>
        </is>
      </c>
      <c r="D19" t="inlineStr">
        <is>
          <t>广东凡德投资有限公司</t>
        </is>
      </c>
      <c r="E19" t="inlineStr">
        <is>
          <t>P1003150</t>
        </is>
      </c>
      <c r="F19" t="inlineStr">
        <is>
          <t>5-10亿元</t>
        </is>
      </c>
      <c r="G19" t="inlineStr">
        <is>
          <t>大规模</t>
        </is>
      </c>
      <c r="H19" t="inlineStr">
        <is>
          <t>本次公示未见相关记录</t>
        </is>
      </c>
      <c r="I19" t="inlineStr">
        <is>
          <t>https://gs.amac.org.cn/amac-infodisc/res/pof/manager/101000000695.html</t>
        </is>
      </c>
      <c r="J19" t="inlineStr">
        <is>
          <t>https://gs.amac.org.cn/amac-infodisc/res/pof/fund/2003030835104240.html</t>
        </is>
      </c>
      <c r="K19" t="inlineStr">
        <is>
          <t>2026-09-15</t>
        </is>
      </c>
    </row>
    <row r="20">
      <c r="A20" t="inlineStr">
        <is>
          <t>SJS027</t>
        </is>
      </c>
      <c r="B20" t="inlineStr">
        <is>
          <t>百奕传家一号</t>
        </is>
      </c>
      <c r="C20" t="inlineStr">
        <is>
          <t>上海百奕投资</t>
        </is>
      </c>
      <c r="D20" t="inlineStr">
        <is>
          <t>上海百奕投资管理中心（有限合伙）</t>
        </is>
      </c>
      <c r="E20" t="inlineStr">
        <is>
          <t>P1014097</t>
        </is>
      </c>
      <c r="F20" t="inlineStr">
        <is>
          <t>0-5亿元</t>
        </is>
      </c>
      <c r="G20" t="inlineStr">
        <is>
          <t>小规模</t>
        </is>
      </c>
      <c r="H20" t="inlineStr">
        <is>
          <t>本次公示未见相关记录</t>
        </is>
      </c>
      <c r="I20" t="inlineStr">
        <is>
          <t>https://gs.amac.org.cn/amac-infodisc/res/pof/manager/101000019935.html</t>
        </is>
      </c>
      <c r="J20" t="inlineStr">
        <is>
          <t>https://gs.amac.org.cn/amac-infodisc/res/pof/fund/2003301654103531.html</t>
        </is>
      </c>
      <c r="K20" t="inlineStr">
        <is>
          <t>2026-09-15</t>
        </is>
      </c>
    </row>
    <row r="21">
      <c r="A21" t="inlineStr">
        <is>
          <t>SJM626</t>
        </is>
      </c>
      <c r="B21" t="inlineStr">
        <is>
          <t>蒙森斯道特恒星三号</t>
        </is>
      </c>
      <c r="C21" t="inlineStr">
        <is>
          <t>上海蒙森投资</t>
        </is>
      </c>
      <c r="D21" t="inlineStr">
        <is>
          <t>蒙森（上海）投资管理有限公司</t>
        </is>
      </c>
      <c r="E21" t="inlineStr">
        <is>
          <t>P1034667</t>
        </is>
      </c>
      <c r="F21" t="inlineStr">
        <is>
          <t>0-5亿元</t>
        </is>
      </c>
      <c r="G21" t="inlineStr">
        <is>
          <t>小规模</t>
        </is>
      </c>
      <c r="H21" t="inlineStr">
        <is>
          <t>监管警示函</t>
        </is>
      </c>
      <c r="I21" t="inlineStr">
        <is>
          <t>https://gs.amac.org.cn/amac-infodisc/res/pof/manager/101000010726.html</t>
        </is>
      </c>
      <c r="J21" t="inlineStr">
        <is>
          <t>https://gs.amac.org.cn/amac-infodisc/res/pof/fund/2004141727126733.html</t>
        </is>
      </c>
      <c r="K21" t="inlineStr">
        <is>
          <t>2026-09-15</t>
        </is>
      </c>
    </row>
    <row r="22">
      <c r="A22" t="inlineStr">
        <is>
          <t>SLC023</t>
        </is>
      </c>
      <c r="B22" t="inlineStr">
        <is>
          <t>银瓴运通对冲套利致远3号</t>
        </is>
      </c>
      <c r="C22" t="inlineStr">
        <is>
          <t>广西银瓴资产</t>
        </is>
      </c>
      <c r="D22" t="inlineStr">
        <is>
          <t>广西银瓴资产管理有限公司</t>
        </is>
      </c>
      <c r="E22" t="inlineStr">
        <is>
          <t>P1026879</t>
        </is>
      </c>
      <c r="F22" t="inlineStr">
        <is>
          <t>0-5亿元</t>
        </is>
      </c>
      <c r="G22" t="inlineStr">
        <is>
          <t>小规模</t>
        </is>
      </c>
      <c r="H22" t="inlineStr">
        <is>
          <t>本次公示未见相关记录</t>
        </is>
      </c>
      <c r="I22" t="inlineStr">
        <is>
          <t>https://gs.amac.org.cn/amac-infodisc/res/pof/manager/101000035485.html</t>
        </is>
      </c>
      <c r="J22" t="inlineStr">
        <is>
          <t>https://gs.amac.org.cn/amac-infodisc/res/pof/fund/2006181800104261.html</t>
        </is>
      </c>
      <c r="K22" t="inlineStr">
        <is>
          <t>2026-09-15</t>
        </is>
      </c>
    </row>
    <row r="23">
      <c r="A23" t="inlineStr">
        <is>
          <t>SLC022</t>
        </is>
      </c>
      <c r="B23" t="inlineStr">
        <is>
          <t>银瓴运通对冲套利进取2号</t>
        </is>
      </c>
      <c r="C23" t="inlineStr">
        <is>
          <t>广西银瓴资产</t>
        </is>
      </c>
      <c r="D23" t="inlineStr">
        <is>
          <t>广西银瓴资产管理有限公司</t>
        </is>
      </c>
      <c r="E23" t="inlineStr">
        <is>
          <t>P1026879</t>
        </is>
      </c>
      <c r="F23" t="inlineStr">
        <is>
          <t>0-5亿元</t>
        </is>
      </c>
      <c r="G23" t="inlineStr">
        <is>
          <t>小规模</t>
        </is>
      </c>
      <c r="H23" t="inlineStr">
        <is>
          <t>本次公示未见相关记录</t>
        </is>
      </c>
      <c r="I23" t="inlineStr">
        <is>
          <t>https://gs.amac.org.cn/amac-infodisc/res/pof/manager/101000035485.html</t>
        </is>
      </c>
      <c r="J23" t="inlineStr">
        <is>
          <t>https://gs.amac.org.cn/amac-infodisc/res/pof/fund/2006192211107635.html</t>
        </is>
      </c>
      <c r="K23" t="inlineStr">
        <is>
          <t>2026-09-15</t>
        </is>
      </c>
    </row>
    <row r="24">
      <c r="A24" t="inlineStr">
        <is>
          <t>SLT573</t>
        </is>
      </c>
      <c r="B24" t="inlineStr">
        <is>
          <t>铭杉量化稳健5号</t>
        </is>
      </c>
      <c r="C24" t="inlineStr">
        <is>
          <t>上海铭杉投资</t>
        </is>
      </c>
      <c r="D24" t="inlineStr">
        <is>
          <t>上海铭杉投资管理有限公司</t>
        </is>
      </c>
      <c r="E24" t="inlineStr">
        <is>
          <t>P1065825</t>
        </is>
      </c>
      <c r="F24" t="inlineStr">
        <is>
          <t>0-5亿元</t>
        </is>
      </c>
      <c r="G24" t="inlineStr">
        <is>
          <t>小规模</t>
        </is>
      </c>
      <c r="H24" t="inlineStr">
        <is>
          <t>本次公示未见相关记录</t>
        </is>
      </c>
      <c r="I24" t="inlineStr">
        <is>
          <t>https://gs.amac.org.cn/amac-infodisc/res/pof/manager/1708301158107602.html</t>
        </is>
      </c>
      <c r="J24" t="inlineStr">
        <is>
          <t>https://gs.amac.org.cn/amac-infodisc/res/pof/fund/2009171717131963.html</t>
        </is>
      </c>
      <c r="K24" t="inlineStr">
        <is>
          <t>2026-09-15</t>
        </is>
      </c>
    </row>
    <row r="25">
      <c r="A25" t="inlineStr">
        <is>
          <t>SNA956</t>
        </is>
      </c>
      <c r="B25" t="inlineStr">
        <is>
          <t>数为道策套利一号</t>
        </is>
      </c>
      <c r="C25" t="inlineStr">
        <is>
          <t>福州数为</t>
        </is>
      </c>
      <c r="D25" t="inlineStr">
        <is>
          <t>福州数为私募基金管理有限公司</t>
        </is>
      </c>
      <c r="E25" t="inlineStr">
        <is>
          <t>P1064166</t>
        </is>
      </c>
      <c r="F25" t="inlineStr">
        <is>
          <t>0-5亿元</t>
        </is>
      </c>
      <c r="G25" t="inlineStr">
        <is>
          <t>小规模</t>
        </is>
      </c>
      <c r="H25" t="inlineStr">
        <is>
          <t>本次公示未见相关记录</t>
        </is>
      </c>
      <c r="I25" t="inlineStr">
        <is>
          <t>https://gs.amac.org.cn/amac-infodisc/res/pof/manager/1705081548107725.html</t>
        </is>
      </c>
      <c r="J25" t="inlineStr">
        <is>
          <t>https://gs.amac.org.cn/amac-infodisc/res/pof/fund/2010271707103406.html</t>
        </is>
      </c>
      <c r="K25" t="inlineStr">
        <is>
          <t>2026-09-15</t>
        </is>
      </c>
    </row>
    <row r="26">
      <c r="A26" t="inlineStr">
        <is>
          <t>SNE543</t>
        </is>
      </c>
      <c r="B26" t="inlineStr">
        <is>
          <t>犇牛稳进3号</t>
        </is>
      </c>
      <c r="C26" t="inlineStr">
        <is>
          <t>上海犇牛</t>
        </is>
      </c>
      <c r="D26" t="inlineStr">
        <is>
          <t>上海犇牛私募基金管理有限公司</t>
        </is>
      </c>
      <c r="E26" t="inlineStr">
        <is>
          <t>P1007197</t>
        </is>
      </c>
      <c r="F26" t="inlineStr">
        <is>
          <t>10-20亿元</t>
        </is>
      </c>
      <c r="G26" t="inlineStr">
        <is>
          <t>大规模</t>
        </is>
      </c>
      <c r="H26" t="inlineStr">
        <is>
          <t>协会提示／报送异常</t>
        </is>
      </c>
      <c r="I26" t="inlineStr">
        <is>
          <t>https://gs.amac.org.cn/amac-infodisc/res/pof/manager/101000013203.html</t>
        </is>
      </c>
      <c r="J26" t="inlineStr">
        <is>
          <t>https://gs.amac.org.cn/amac-infodisc/res/pof/fund/2011121710129780.html</t>
        </is>
      </c>
      <c r="K26" t="inlineStr">
        <is>
          <t>2026-09-15</t>
        </is>
      </c>
    </row>
    <row r="27">
      <c r="A27" t="inlineStr">
        <is>
          <t>SNB380</t>
        </is>
      </c>
      <c r="B27" t="inlineStr">
        <is>
          <t>致同云峰A</t>
        </is>
      </c>
      <c r="C27" t="inlineStr">
        <is>
          <t>上海致同投资</t>
        </is>
      </c>
      <c r="D27" t="inlineStr">
        <is>
          <t>上海致同投资管理有限公司</t>
        </is>
      </c>
      <c r="E27" t="inlineStr">
        <is>
          <t>P1003519</t>
        </is>
      </c>
      <c r="F27" t="inlineStr">
        <is>
          <t>20-50亿元</t>
        </is>
      </c>
      <c r="G27" t="inlineStr">
        <is>
          <t>大规模</t>
        </is>
      </c>
      <c r="H27" t="inlineStr">
        <is>
          <t>监管警示函</t>
        </is>
      </c>
      <c r="I27" t="inlineStr">
        <is>
          <t>https://gs.amac.org.cn/amac-infodisc/res/pof/manager/101000004339.html</t>
        </is>
      </c>
      <c r="J27" t="inlineStr">
        <is>
          <t>https://gs.amac.org.cn/amac-infodisc/res/pof/fund/2011161541105858.html</t>
        </is>
      </c>
      <c r="K27" t="inlineStr">
        <is>
          <t>2026-09-15</t>
        </is>
      </c>
    </row>
    <row r="28">
      <c r="A28" t="inlineStr">
        <is>
          <t>SLY435</t>
        </is>
      </c>
      <c r="B28" t="inlineStr">
        <is>
          <t>橡杉量化套利十号</t>
        </is>
      </c>
      <c r="C28" t="inlineStr">
        <is>
          <t>上海橡杉资管</t>
        </is>
      </c>
      <c r="D28" t="inlineStr">
        <is>
          <t>上海橡杉资产管理有限公司</t>
        </is>
      </c>
      <c r="E28" t="inlineStr">
        <is>
          <t>P1060103</t>
        </is>
      </c>
      <c r="F28" t="inlineStr">
        <is>
          <t>5-10亿元</t>
        </is>
      </c>
      <c r="G28" t="inlineStr">
        <is>
          <t>大规模</t>
        </is>
      </c>
      <c r="H28" t="inlineStr">
        <is>
          <t>本次公示未见相关记录</t>
        </is>
      </c>
      <c r="I28" t="inlineStr">
        <is>
          <t>https://gs.amac.org.cn/amac-infodisc/res/pof/manager/1609080127100430.html</t>
        </is>
      </c>
      <c r="J28" t="inlineStr">
        <is>
          <t>https://gs.amac.org.cn/amac-infodisc/res/pof/fund/2012021816130867.html</t>
        </is>
      </c>
      <c r="K28" t="inlineStr">
        <is>
          <t>2026-09-15</t>
        </is>
      </c>
    </row>
    <row r="29">
      <c r="A29" t="inlineStr">
        <is>
          <t>SNE165</t>
        </is>
      </c>
      <c r="B29" t="inlineStr">
        <is>
          <t>裕锦量化专享1号</t>
        </is>
      </c>
      <c r="C29" t="inlineStr">
        <is>
          <t>深圳裕锦</t>
        </is>
      </c>
      <c r="D29" t="inlineStr">
        <is>
          <t>深圳裕锦私募证券基金管理有限公司</t>
        </is>
      </c>
      <c r="E29" t="inlineStr">
        <is>
          <t>P1071231</t>
        </is>
      </c>
      <c r="F29" t="inlineStr">
        <is>
          <t>10-20亿元</t>
        </is>
      </c>
      <c r="G29" t="inlineStr">
        <is>
          <t>大规模</t>
        </is>
      </c>
      <c r="H29" t="inlineStr">
        <is>
          <t>协会提示／报送异常</t>
        </is>
      </c>
      <c r="I29" t="inlineStr">
        <is>
          <t>https://gs.amac.org.cn/amac-infodisc/res/pof/manager/2003241828108999.html</t>
        </is>
      </c>
      <c r="J29" t="inlineStr">
        <is>
          <t>https://gs.amac.org.cn/amac-infodisc/res/pof/fund/2012041657102605.html</t>
        </is>
      </c>
      <c r="K29" t="inlineStr">
        <is>
          <t>2026-09-15</t>
        </is>
      </c>
    </row>
    <row r="30">
      <c r="A30" t="inlineStr">
        <is>
          <t>SQC001</t>
        </is>
      </c>
      <c r="B30" t="inlineStr">
        <is>
          <t>杭州探融-锦鲤智能量化3号</t>
        </is>
      </c>
      <c r="C30" t="inlineStr">
        <is>
          <t>杭州探融投资</t>
        </is>
      </c>
      <c r="D30" t="inlineStr">
        <is>
          <t>杭州探融投资管理有限公司</t>
        </is>
      </c>
      <c r="E30" t="inlineStr">
        <is>
          <t>P1032083</t>
        </is>
      </c>
      <c r="F30" t="inlineStr">
        <is>
          <t>0-5亿元</t>
        </is>
      </c>
      <c r="G30" t="inlineStr">
        <is>
          <t>小规模</t>
        </is>
      </c>
      <c r="H30" t="inlineStr">
        <is>
          <t>本次公示未见相关记录</t>
        </is>
      </c>
      <c r="I30" t="inlineStr">
        <is>
          <t>https://gs.amac.org.cn/amac-infodisc/res/pof/manager/101000049159.html</t>
        </is>
      </c>
      <c r="J30" t="inlineStr">
        <is>
          <t>https://gs.amac.org.cn/amac-infodisc/res/pof/fund/2104231724118753.html</t>
        </is>
      </c>
      <c r="K30" t="inlineStr">
        <is>
          <t>2026-09-15</t>
        </is>
      </c>
    </row>
    <row r="31">
      <c r="A31" t="inlineStr">
        <is>
          <t>SQD327</t>
        </is>
      </c>
      <c r="B31" t="inlineStr">
        <is>
          <t>平凡笃行君享</t>
        </is>
      </c>
      <c r="C31" t="inlineStr">
        <is>
          <t>北京平凡</t>
        </is>
      </c>
      <c r="D31" t="inlineStr">
        <is>
          <t>北京平凡私募基金管理有限公司</t>
        </is>
      </c>
      <c r="E31" t="inlineStr">
        <is>
          <t>P1021670</t>
        </is>
      </c>
      <c r="F31" t="inlineStr">
        <is>
          <t>50-100亿元</t>
        </is>
      </c>
      <c r="G31" t="inlineStr">
        <is>
          <t>大规模</t>
        </is>
      </c>
      <c r="H31" t="inlineStr">
        <is>
          <t>本次公示未见相关记录</t>
        </is>
      </c>
      <c r="I31" t="inlineStr">
        <is>
          <t>https://gs.amac.org.cn/amac-infodisc/res/pof/manager/101000030286.html</t>
        </is>
      </c>
      <c r="J31" t="inlineStr">
        <is>
          <t>https://gs.amac.org.cn/amac-infodisc/res/pof/fund/2105121734101958.html</t>
        </is>
      </c>
      <c r="K31" t="inlineStr">
        <is>
          <t>2026-09-15</t>
        </is>
      </c>
    </row>
    <row r="32">
      <c r="A32" t="inlineStr">
        <is>
          <t>SNW762</t>
        </is>
      </c>
      <c r="B32" t="inlineStr">
        <is>
          <t>银瓴运通稳健1号五期</t>
        </is>
      </c>
      <c r="C32" t="inlineStr">
        <is>
          <t>广西银瓴资产</t>
        </is>
      </c>
      <c r="D32" t="inlineStr">
        <is>
          <t>广西银瓴资产管理有限公司</t>
        </is>
      </c>
      <c r="E32" t="inlineStr">
        <is>
          <t>P1026879</t>
        </is>
      </c>
      <c r="F32" t="inlineStr">
        <is>
          <t>0-5亿元</t>
        </is>
      </c>
      <c r="G32" t="inlineStr">
        <is>
          <t>小规模</t>
        </is>
      </c>
      <c r="H32" t="inlineStr">
        <is>
          <t>本次公示未见相关记录</t>
        </is>
      </c>
      <c r="I32" t="inlineStr">
        <is>
          <t>https://gs.amac.org.cn/amac-infodisc/res/pof/manager/101000035485.html</t>
        </is>
      </c>
      <c r="J32" t="inlineStr">
        <is>
          <t>https://gs.amac.org.cn/amac-infodisc/res/pof/fund/2105191744101833.html</t>
        </is>
      </c>
      <c r="K32" t="inlineStr">
        <is>
          <t>2026-09-15</t>
        </is>
      </c>
    </row>
    <row r="33">
      <c r="A33" t="inlineStr">
        <is>
          <t>SQS292</t>
        </is>
      </c>
      <c r="B33" t="inlineStr">
        <is>
          <t>荣熙商品1号</t>
        </is>
      </c>
      <c r="C33" t="inlineStr">
        <is>
          <t>上海荣熙</t>
        </is>
      </c>
      <c r="D33" t="inlineStr">
        <is>
          <t>上海荣熙私募基金管理有限公司</t>
        </is>
      </c>
      <c r="E33" t="inlineStr">
        <is>
          <t>P1017741</t>
        </is>
      </c>
      <c r="F33" t="inlineStr">
        <is>
          <t>5-10亿元</t>
        </is>
      </c>
      <c r="G33" t="inlineStr">
        <is>
          <t>大规模</t>
        </is>
      </c>
      <c r="H33" t="inlineStr">
        <is>
          <t>本次公示未见相关记录</t>
        </is>
      </c>
      <c r="I33" t="inlineStr">
        <is>
          <t>https://gs.amac.org.cn/amac-infodisc/res/pof/manager/101000027208.html</t>
        </is>
      </c>
      <c r="J33" t="inlineStr">
        <is>
          <t>https://gs.amac.org.cn/amac-infodisc/res/pof/fund/2106221011108981.html</t>
        </is>
      </c>
      <c r="K33" t="inlineStr">
        <is>
          <t>2026-09-15</t>
        </is>
      </c>
    </row>
    <row r="34">
      <c r="A34" t="inlineStr">
        <is>
          <t>SQV390</t>
        </is>
      </c>
      <c r="B34" t="inlineStr">
        <is>
          <t>银瓴多德价值投资1号</t>
        </is>
      </c>
      <c r="C34" t="inlineStr">
        <is>
          <t>广西银瓴资产</t>
        </is>
      </c>
      <c r="D34" t="inlineStr">
        <is>
          <t>广西银瓴资产管理有限公司</t>
        </is>
      </c>
      <c r="E34" t="inlineStr">
        <is>
          <t>P1026879</t>
        </is>
      </c>
      <c r="F34" t="inlineStr">
        <is>
          <t>0-5亿元</t>
        </is>
      </c>
      <c r="G34" t="inlineStr">
        <is>
          <t>小规模</t>
        </is>
      </c>
      <c r="H34" t="inlineStr">
        <is>
          <t>本次公示未见相关记录</t>
        </is>
      </c>
      <c r="I34" t="inlineStr">
        <is>
          <t>https://gs.amac.org.cn/amac-infodisc/res/pof/manager/101000035485.html</t>
        </is>
      </c>
      <c r="J34" t="inlineStr">
        <is>
          <t>https://gs.amac.org.cn/amac-infodisc/res/pof/fund/2107081734103311.html</t>
        </is>
      </c>
      <c r="K34" t="inlineStr">
        <is>
          <t>2026-09-15</t>
        </is>
      </c>
    </row>
    <row r="35">
      <c r="A35" t="inlineStr">
        <is>
          <t>SQU465</t>
        </is>
      </c>
      <c r="B35" t="inlineStr">
        <is>
          <t>银瓴运通对冲套利宝城6号</t>
        </is>
      </c>
      <c r="C35" t="inlineStr">
        <is>
          <t>广西银瓴资产</t>
        </is>
      </c>
      <c r="D35" t="inlineStr">
        <is>
          <t>广西银瓴资产管理有限公司</t>
        </is>
      </c>
      <c r="E35" t="inlineStr">
        <is>
          <t>P1026879</t>
        </is>
      </c>
      <c r="F35" t="inlineStr">
        <is>
          <t>0-5亿元</t>
        </is>
      </c>
      <c r="G35" t="inlineStr">
        <is>
          <t>小规模</t>
        </is>
      </c>
      <c r="H35" t="inlineStr">
        <is>
          <t>本次公示未见相关记录</t>
        </is>
      </c>
      <c r="I35" t="inlineStr">
        <is>
          <t>https://gs.amac.org.cn/amac-infodisc/res/pof/manager/101000035485.html</t>
        </is>
      </c>
      <c r="J35" t="inlineStr">
        <is>
          <t>https://gs.amac.org.cn/amac-infodisc/res/pof/fund/2107201405108222.html</t>
        </is>
      </c>
      <c r="K35" t="inlineStr">
        <is>
          <t>2026-09-15</t>
        </is>
      </c>
    </row>
    <row r="36">
      <c r="A36" t="inlineStr">
        <is>
          <t>SQZ278</t>
        </is>
      </c>
      <c r="B36" t="inlineStr">
        <is>
          <t>银瓴运通对冲套利进取2号二期</t>
        </is>
      </c>
      <c r="C36" t="inlineStr">
        <is>
          <t>广西银瓴资产</t>
        </is>
      </c>
      <c r="D36" t="inlineStr">
        <is>
          <t>广西银瓴资产管理有限公司</t>
        </is>
      </c>
      <c r="E36" t="inlineStr">
        <is>
          <t>P1026879</t>
        </is>
      </c>
      <c r="F36" t="inlineStr">
        <is>
          <t>0-5亿元</t>
        </is>
      </c>
      <c r="G36" t="inlineStr">
        <is>
          <t>小规模</t>
        </is>
      </c>
      <c r="H36" t="inlineStr">
        <is>
          <t>本次公示未见相关记录</t>
        </is>
      </c>
      <c r="I36" t="inlineStr">
        <is>
          <t>https://gs.amac.org.cn/amac-infodisc/res/pof/manager/101000035485.html</t>
        </is>
      </c>
      <c r="J36" t="inlineStr">
        <is>
          <t>https://gs.amac.org.cn/amac-infodisc/res/pof/fund/2107201405108177.html</t>
        </is>
      </c>
      <c r="K36" t="inlineStr">
        <is>
          <t>2026-09-15</t>
        </is>
      </c>
    </row>
    <row r="37">
      <c r="A37" t="inlineStr">
        <is>
          <t>SSB040</t>
        </is>
      </c>
      <c r="B37" t="inlineStr">
        <is>
          <t>福邑共赢一号</t>
        </is>
      </c>
      <c r="C37" t="inlineStr">
        <is>
          <t>上海福邑</t>
        </is>
      </c>
      <c r="D37" t="inlineStr">
        <is>
          <t>上海福邑私募基金管理有限公司</t>
        </is>
      </c>
      <c r="E37" t="inlineStr">
        <is>
          <t>P1068212</t>
        </is>
      </c>
      <c r="F37" t="inlineStr">
        <is>
          <t>0-5亿元</t>
        </is>
      </c>
      <c r="G37" t="inlineStr">
        <is>
          <t>小规模</t>
        </is>
      </c>
      <c r="H37" t="inlineStr">
        <is>
          <t>协会提示／报送异常</t>
        </is>
      </c>
      <c r="I37" t="inlineStr">
        <is>
          <t>https://gs.amac.org.cn/amac-infodisc/res/pof/manager/1710271949105945.html</t>
        </is>
      </c>
      <c r="J37" t="inlineStr">
        <is>
          <t>https://gs.amac.org.cn/amac-infodisc/res/pof/fund/2108261802107823.html</t>
        </is>
      </c>
      <c r="K37" t="inlineStr">
        <is>
          <t>2026-09-15</t>
        </is>
      </c>
    </row>
    <row r="38">
      <c r="A38" t="inlineStr">
        <is>
          <t>SSN446</t>
        </is>
      </c>
      <c r="B38" t="inlineStr">
        <is>
          <t>银瓴汇金6号</t>
        </is>
      </c>
      <c r="C38" t="inlineStr">
        <is>
          <t>广西银瓴资产</t>
        </is>
      </c>
      <c r="D38" t="inlineStr">
        <is>
          <t>广西银瓴资产管理有限公司</t>
        </is>
      </c>
      <c r="E38" t="inlineStr">
        <is>
          <t>P1026879</t>
        </is>
      </c>
      <c r="F38" t="inlineStr">
        <is>
          <t>0-5亿元</t>
        </is>
      </c>
      <c r="G38" t="inlineStr">
        <is>
          <t>小规模</t>
        </is>
      </c>
      <c r="H38" t="inlineStr">
        <is>
          <t>本次公示未见相关记录</t>
        </is>
      </c>
      <c r="I38" t="inlineStr">
        <is>
          <t>https://gs.amac.org.cn/amac-infodisc/res/pof/manager/101000035485.html</t>
        </is>
      </c>
      <c r="J38" t="inlineStr">
        <is>
          <t>https://gs.amac.org.cn/amac-infodisc/res/pof/fund/2109061712115673.html</t>
        </is>
      </c>
      <c r="K38" t="inlineStr">
        <is>
          <t>2026-09-15</t>
        </is>
      </c>
    </row>
    <row r="39">
      <c r="A39" t="inlineStr">
        <is>
          <t>SSH674</t>
        </is>
      </c>
      <c r="B39" t="inlineStr">
        <is>
          <t>岳皋泰山核心一号</t>
        </is>
      </c>
      <c r="C39" t="inlineStr">
        <is>
          <t>上海岳皋投资</t>
        </is>
      </c>
      <c r="D39" t="inlineStr">
        <is>
          <t>上海岳皋投资管理有限公司</t>
        </is>
      </c>
      <c r="E39" t="inlineStr">
        <is>
          <t>P1069937</t>
        </is>
      </c>
      <c r="F39" t="inlineStr">
        <is>
          <t>0-5亿元</t>
        </is>
      </c>
      <c r="G39" t="inlineStr">
        <is>
          <t>小规模</t>
        </is>
      </c>
      <c r="H39" t="inlineStr">
        <is>
          <t>本次公示未见相关记录</t>
        </is>
      </c>
      <c r="I39" t="inlineStr">
        <is>
          <t>https://gs.amac.org.cn/amac-infodisc/res/pof/manager/1812180906104012.html</t>
        </is>
      </c>
      <c r="J39" t="inlineStr">
        <is>
          <t>https://gs.amac.org.cn/amac-infodisc/res/pof/fund/2109101536101557.html</t>
        </is>
      </c>
      <c r="K39" t="inlineStr">
        <is>
          <t>2026-09-15</t>
        </is>
      </c>
    </row>
    <row r="40">
      <c r="A40" t="inlineStr">
        <is>
          <t>SSU654</t>
        </is>
      </c>
      <c r="B40" t="inlineStr">
        <is>
          <t>龙帆恒盛稳固8号</t>
        </is>
      </c>
      <c r="C40" t="inlineStr">
        <is>
          <t>厦门龙帆资管</t>
        </is>
      </c>
      <c r="D40" t="inlineStr">
        <is>
          <t>厦门龙帆资产管理有限公司</t>
        </is>
      </c>
      <c r="E40" t="inlineStr">
        <is>
          <t>P1062076</t>
        </is>
      </c>
      <c r="F40" t="inlineStr">
        <is>
          <t>5-10亿元</t>
        </is>
      </c>
      <c r="G40" t="inlineStr">
        <is>
          <t>大规模</t>
        </is>
      </c>
      <c r="H40" t="inlineStr">
        <is>
          <t>本次公示未见相关记录</t>
        </is>
      </c>
      <c r="I40" t="inlineStr">
        <is>
          <t>https://gs.amac.org.cn/amac-infodisc/res/pof/manager/1611020850101525.html</t>
        </is>
      </c>
      <c r="J40" t="inlineStr">
        <is>
          <t>https://gs.amac.org.cn/amac-infodisc/res/pof/fund/2109231448100717.html</t>
        </is>
      </c>
      <c r="K40" t="inlineStr">
        <is>
          <t>2026-09-15</t>
        </is>
      </c>
    </row>
    <row r="41">
      <c r="A41" t="inlineStr">
        <is>
          <t>SSX605</t>
        </is>
      </c>
      <c r="B41" t="inlineStr">
        <is>
          <t>龙帆恒盛稳固9号</t>
        </is>
      </c>
      <c r="C41" t="inlineStr">
        <is>
          <t>厦门龙帆资管</t>
        </is>
      </c>
      <c r="D41" t="inlineStr">
        <is>
          <t>厦门龙帆资产管理有限公司</t>
        </is>
      </c>
      <c r="E41" t="inlineStr">
        <is>
          <t>P1062076</t>
        </is>
      </c>
      <c r="F41" t="inlineStr">
        <is>
          <t>5-10亿元</t>
        </is>
      </c>
      <c r="G41" t="inlineStr">
        <is>
          <t>大规模</t>
        </is>
      </c>
      <c r="H41" t="inlineStr">
        <is>
          <t>本次公示未见相关记录</t>
        </is>
      </c>
      <c r="I41" t="inlineStr">
        <is>
          <t>https://gs.amac.org.cn/amac-infodisc/res/pof/manager/1611020850101525.html</t>
        </is>
      </c>
      <c r="J41" t="inlineStr">
        <is>
          <t>https://gs.amac.org.cn/amac-infodisc/res/pof/fund/2110191748104317.html</t>
        </is>
      </c>
      <c r="K41" t="inlineStr">
        <is>
          <t>2026-09-15</t>
        </is>
      </c>
    </row>
    <row r="42">
      <c r="A42" t="inlineStr">
        <is>
          <t>STH005</t>
        </is>
      </c>
      <c r="B42" t="inlineStr">
        <is>
          <t>中安鼎盛善行可转债1号</t>
        </is>
      </c>
      <c r="C42" t="inlineStr">
        <is>
          <t>深圳中安鼎盛</t>
        </is>
      </c>
      <c r="D42" t="inlineStr">
        <is>
          <t>中安鼎盛（深圳）私募证券投资基金管理有限公司</t>
        </is>
      </c>
      <c r="E42" t="inlineStr">
        <is>
          <t>P1069330</t>
        </is>
      </c>
      <c r="F42" t="inlineStr">
        <is>
          <t>0-5亿元</t>
        </is>
      </c>
      <c r="G42" t="inlineStr">
        <is>
          <t>小规模</t>
        </is>
      </c>
      <c r="H42" t="inlineStr">
        <is>
          <t>本次公示未见相关记录</t>
        </is>
      </c>
      <c r="I42" t="inlineStr">
        <is>
          <t>https://gs.amac.org.cn/amac-infodisc/res/pof/manager/1807021606107284.html</t>
        </is>
      </c>
      <c r="J42" t="inlineStr">
        <is>
          <t>https://gs.amac.org.cn/amac-infodisc/res/pof/fund/2112061843108745.html</t>
        </is>
      </c>
      <c r="K42" t="inlineStr">
        <is>
          <t>2026-09-15</t>
        </is>
      </c>
    </row>
    <row r="43">
      <c r="A43" t="inlineStr">
        <is>
          <t>STK200</t>
        </is>
      </c>
      <c r="B43" t="inlineStr">
        <is>
          <t>九招真格量化商品套利一号</t>
        </is>
      </c>
      <c r="C43" t="inlineStr">
        <is>
          <t>武汉九招</t>
        </is>
      </c>
      <c r="D43" t="inlineStr">
        <is>
          <t>武汉九招私募基金管理有限公司</t>
        </is>
      </c>
      <c r="E43" t="inlineStr">
        <is>
          <t>P1074391</t>
        </is>
      </c>
      <c r="F43" t="inlineStr">
        <is>
          <t>5-10亿元</t>
        </is>
      </c>
      <c r="G43" t="inlineStr">
        <is>
          <t>大规模</t>
        </is>
      </c>
      <c r="H43" t="inlineStr">
        <is>
          <t>监管警示函</t>
        </is>
      </c>
      <c r="I43" t="inlineStr">
        <is>
          <t>https://gs.amac.org.cn/amac-infodisc/res/pof/manager/2301051740101642.html</t>
        </is>
      </c>
      <c r="J43" t="inlineStr">
        <is>
          <t>https://gs.amac.org.cn/amac-infodisc/res/pof/fund/2112202208108154.html</t>
        </is>
      </c>
      <c r="K43" t="inlineStr">
        <is>
          <t>2026-09-15</t>
        </is>
      </c>
    </row>
    <row r="44">
      <c r="A44" t="inlineStr">
        <is>
          <t>STV728</t>
        </is>
      </c>
      <c r="B44" t="inlineStr">
        <is>
          <t>博润小牛3号</t>
        </is>
      </c>
      <c r="C44" t="inlineStr">
        <is>
          <t>北京博润银泰投资</t>
        </is>
      </c>
      <c r="D44" t="inlineStr">
        <is>
          <t>北京博润银泰投资管理有限公司</t>
        </is>
      </c>
      <c r="E44" t="inlineStr">
        <is>
          <t>P1002960</t>
        </is>
      </c>
      <c r="F44" t="inlineStr">
        <is>
          <t>100亿元以上</t>
        </is>
      </c>
      <c r="G44" t="inlineStr">
        <is>
          <t>大规模</t>
        </is>
      </c>
      <c r="H44" t="inlineStr">
        <is>
          <t>本次公示未见相关记录</t>
        </is>
      </c>
      <c r="I44" t="inlineStr">
        <is>
          <t>https://gs.amac.org.cn/amac-infodisc/res/pof/manager/101000005082.html</t>
        </is>
      </c>
      <c r="J44" t="inlineStr">
        <is>
          <t>https://gs.amac.org.cn/amac-infodisc/res/pof/fund/2203041707107702.html</t>
        </is>
      </c>
      <c r="K44" t="inlineStr">
        <is>
          <t>2026-09-15</t>
        </is>
      </c>
    </row>
    <row r="45">
      <c r="A45" t="inlineStr">
        <is>
          <t>STK219</t>
        </is>
      </c>
      <c r="B45" t="inlineStr">
        <is>
          <t>银杏善投1号</t>
        </is>
      </c>
      <c r="C45" t="inlineStr">
        <is>
          <t>上海银杏</t>
        </is>
      </c>
      <c r="D45" t="inlineStr">
        <is>
          <t>上海银杏私募基金管理有限公司</t>
        </is>
      </c>
      <c r="E45" t="inlineStr">
        <is>
          <t>P1072547</t>
        </is>
      </c>
      <c r="F45" t="inlineStr">
        <is>
          <t>0-5亿元</t>
        </is>
      </c>
      <c r="G45" t="inlineStr">
        <is>
          <t>小规模</t>
        </is>
      </c>
      <c r="H45" t="inlineStr">
        <is>
          <t>本次公示未见相关记录</t>
        </is>
      </c>
      <c r="I45" t="inlineStr">
        <is>
          <t>https://gs.amac.org.cn/amac-infodisc/res/pof/manager/2105100905108445.html</t>
        </is>
      </c>
      <c r="J45" t="inlineStr">
        <is>
          <t>https://gs.amac.org.cn/amac-infodisc/res/pof/fund/2203111741100604.html</t>
        </is>
      </c>
      <c r="K45" t="inlineStr">
        <is>
          <t>2026-09-15</t>
        </is>
      </c>
    </row>
    <row r="46">
      <c r="A46" t="inlineStr">
        <is>
          <t>SVH343</t>
        </is>
      </c>
      <c r="B46" t="inlineStr">
        <is>
          <t>悬铃C号9期</t>
        </is>
      </c>
      <c r="C46" t="inlineStr">
        <is>
          <t>上海悬铃</t>
        </is>
      </c>
      <c r="D46" t="inlineStr">
        <is>
          <t>上海悬铃私募基金管理有限公司</t>
        </is>
      </c>
      <c r="E46" t="inlineStr">
        <is>
          <t>P1064634</t>
        </is>
      </c>
      <c r="F46" t="inlineStr">
        <is>
          <t>20-50亿元</t>
        </is>
      </c>
      <c r="G46" t="inlineStr">
        <is>
          <t>大规模</t>
        </is>
      </c>
      <c r="H46" t="inlineStr">
        <is>
          <t>本次公示未见相关记录</t>
        </is>
      </c>
      <c r="I46" t="inlineStr">
        <is>
          <t>https://gs.amac.org.cn/amac-infodisc/res/pof/manager/1701161209103763.html</t>
        </is>
      </c>
      <c r="J46" t="inlineStr">
        <is>
          <t>https://gs.amac.org.cn/amac-infodisc/res/pof/fund/2204271846104957.html</t>
        </is>
      </c>
      <c r="K46" t="inlineStr">
        <is>
          <t>2026-09-15</t>
        </is>
      </c>
    </row>
    <row r="47">
      <c r="A47" t="inlineStr">
        <is>
          <t>SVM785</t>
        </is>
      </c>
      <c r="B47" t="inlineStr">
        <is>
          <t>爱凡哲AH多空1号</t>
        </is>
      </c>
      <c r="C47" t="inlineStr">
        <is>
          <t>爱凡哲投资</t>
        </is>
      </c>
      <c r="D47" t="inlineStr">
        <is>
          <t>爱凡哲投资管理有限公司</t>
        </is>
      </c>
      <c r="E47" t="inlineStr">
        <is>
          <t>P1066184</t>
        </is>
      </c>
      <c r="F47" t="inlineStr">
        <is>
          <t>20-50亿元</t>
        </is>
      </c>
      <c r="G47" t="inlineStr">
        <is>
          <t>大规模</t>
        </is>
      </c>
      <c r="H47" t="inlineStr">
        <is>
          <t>本次公示未见相关记录</t>
        </is>
      </c>
      <c r="I47" t="inlineStr">
        <is>
          <t>https://gs.amac.org.cn/amac-infodisc/res/pof/manager/1709181131101311.html</t>
        </is>
      </c>
      <c r="J47" t="inlineStr">
        <is>
          <t>https://gs.amac.org.cn/amac-infodisc/res/pof/fund/2204271846105720.html</t>
        </is>
      </c>
      <c r="K47" t="inlineStr">
        <is>
          <t>2026-09-15</t>
        </is>
      </c>
    </row>
    <row r="48">
      <c r="A48" t="inlineStr">
        <is>
          <t>SVP121</t>
        </is>
      </c>
      <c r="B48" t="inlineStr">
        <is>
          <t>钧誉酬勤量化3号</t>
        </is>
      </c>
      <c r="C48" t="inlineStr">
        <is>
          <t>珠海钧誉资管</t>
        </is>
      </c>
      <c r="D48" t="inlineStr">
        <is>
          <t>珠海钧誉资产管理有限公司</t>
        </is>
      </c>
      <c r="E48" t="inlineStr">
        <is>
          <t>P1068716</t>
        </is>
      </c>
      <c r="F48" t="inlineStr">
        <is>
          <t>0-5亿元</t>
        </is>
      </c>
      <c r="G48" t="inlineStr">
        <is>
          <t>小规模</t>
        </is>
      </c>
      <c r="H48" t="inlineStr">
        <is>
          <t>本次公示未见相关记录</t>
        </is>
      </c>
      <c r="I48" t="inlineStr">
        <is>
          <t>https://gs.amac.org.cn/amac-infodisc/res/pof/manager/1801241613109731.html</t>
        </is>
      </c>
      <c r="J48" t="inlineStr">
        <is>
          <t>https://gs.amac.org.cn/amac-infodisc/res/pof/fund/2205121655102793.html</t>
        </is>
      </c>
      <c r="K48" t="inlineStr">
        <is>
          <t>2026-09-15</t>
        </is>
      </c>
    </row>
    <row r="49">
      <c r="A49" t="inlineStr">
        <is>
          <t>SVQ519</t>
        </is>
      </c>
      <c r="B49" t="inlineStr">
        <is>
          <t>汇富联合日盈12号</t>
        </is>
      </c>
      <c r="C49" t="inlineStr">
        <is>
          <t>深圳前海汇富联合</t>
        </is>
      </c>
      <c r="D49" t="inlineStr">
        <is>
          <t>深圳前海汇富联合私募证券基金管理有限公司</t>
        </is>
      </c>
      <c r="E49" t="inlineStr">
        <is>
          <t>P1006506</t>
        </is>
      </c>
      <c r="F49" t="inlineStr">
        <is>
          <t>20-50亿元</t>
        </is>
      </c>
      <c r="G49" t="inlineStr">
        <is>
          <t>大规模</t>
        </is>
      </c>
      <c r="H49" t="inlineStr">
        <is>
          <t>本次公示未见相关记录</t>
        </is>
      </c>
      <c r="I49" t="inlineStr">
        <is>
          <t>https://gs.amac.org.cn/amac-infodisc/res/pof/manager/101000012095.html</t>
        </is>
      </c>
      <c r="J49" t="inlineStr">
        <is>
          <t>https://gs.amac.org.cn/amac-infodisc/res/pof/fund/2205111752107815.html</t>
        </is>
      </c>
      <c r="K49" t="inlineStr">
        <is>
          <t>2026-09-15</t>
        </is>
      </c>
    </row>
    <row r="50">
      <c r="A50" t="inlineStr">
        <is>
          <t>SVK536</t>
        </is>
      </c>
      <c r="B50" t="inlineStr">
        <is>
          <t>融相慎远一号</t>
        </is>
      </c>
      <c r="C50" t="inlineStr">
        <is>
          <t>海南融相</t>
        </is>
      </c>
      <c r="D50" t="inlineStr">
        <is>
          <t>海南融相私募基金管理有限公司</t>
        </is>
      </c>
      <c r="E50" t="inlineStr">
        <is>
          <t>P1072945</t>
        </is>
      </c>
      <c r="F50" t="inlineStr">
        <is>
          <t>0-5亿元</t>
        </is>
      </c>
      <c r="G50" t="inlineStr">
        <is>
          <t>小规模</t>
        </is>
      </c>
      <c r="H50" t="inlineStr">
        <is>
          <t>协会提示／报送异常</t>
        </is>
      </c>
      <c r="I50" t="inlineStr">
        <is>
          <t>https://gs.amac.org.cn/amac-infodisc/res/pof/manager/2111241451102645.html</t>
        </is>
      </c>
      <c r="J50" t="inlineStr">
        <is>
          <t>https://gs.amac.org.cn/amac-infodisc/res/pof/fund/2205181829100640.html</t>
        </is>
      </c>
      <c r="K50" t="inlineStr">
        <is>
          <t>2026-09-15</t>
        </is>
      </c>
    </row>
    <row r="51">
      <c r="A51" t="inlineStr">
        <is>
          <t>SVT598</t>
        </is>
      </c>
      <c r="B51" t="inlineStr">
        <is>
          <t>晨翰11号</t>
        </is>
      </c>
      <c r="C51" t="inlineStr">
        <is>
          <t>晋江晨翰</t>
        </is>
      </c>
      <c r="D51" t="inlineStr">
        <is>
          <t>晋江市晨翰私募基金管理有限公司</t>
        </is>
      </c>
      <c r="E51" t="inlineStr">
        <is>
          <t>P1072342</t>
        </is>
      </c>
      <c r="F51" t="inlineStr">
        <is>
          <t>5-10亿元</t>
        </is>
      </c>
      <c r="G51" t="inlineStr">
        <is>
          <t>大规模</t>
        </is>
      </c>
      <c r="H51" t="inlineStr">
        <is>
          <t>本次公示未见相关记录</t>
        </is>
      </c>
      <c r="I51" t="inlineStr">
        <is>
          <t>https://gs.amac.org.cn/amac-infodisc/res/pof/manager/2002211754119480.html</t>
        </is>
      </c>
      <c r="J51" t="inlineStr">
        <is>
          <t>https://gs.amac.org.cn/amac-infodisc/res/pof/fund/2206171628103559.html</t>
        </is>
      </c>
      <c r="K51" t="inlineStr">
        <is>
          <t>2026-09-15</t>
        </is>
      </c>
    </row>
    <row r="52">
      <c r="A52" t="inlineStr">
        <is>
          <t>STY632</t>
        </is>
      </c>
      <c r="B52" t="inlineStr">
        <is>
          <t>致同添利套利多策略三期</t>
        </is>
      </c>
      <c r="C52" t="inlineStr">
        <is>
          <t>上海致同投资</t>
        </is>
      </c>
      <c r="D52" t="inlineStr">
        <is>
          <t>上海致同投资管理有限公司</t>
        </is>
      </c>
      <c r="E52" t="inlineStr">
        <is>
          <t>P1003519</t>
        </is>
      </c>
      <c r="F52" t="inlineStr">
        <is>
          <t>20-50亿元</t>
        </is>
      </c>
      <c r="G52" t="inlineStr">
        <is>
          <t>大规模</t>
        </is>
      </c>
      <c r="H52" t="inlineStr">
        <is>
          <t>监管警示函</t>
        </is>
      </c>
      <c r="I52" t="inlineStr">
        <is>
          <t>https://gs.amac.org.cn/amac-infodisc/res/pof/manager/101000004339.html</t>
        </is>
      </c>
      <c r="J52" t="inlineStr">
        <is>
          <t>https://gs.amac.org.cn/amac-infodisc/res/pof/fund/2208021712112777.html</t>
        </is>
      </c>
      <c r="K52" t="inlineStr">
        <is>
          <t>2026-09-15</t>
        </is>
      </c>
    </row>
    <row r="53">
      <c r="A53" t="inlineStr">
        <is>
          <t>SVY871</t>
        </is>
      </c>
      <c r="B53" t="inlineStr">
        <is>
          <t>博牛转债策略2号</t>
        </is>
      </c>
      <c r="C53" t="inlineStr">
        <is>
          <t>广州博牛</t>
        </is>
      </c>
      <c r="D53" t="inlineStr">
        <is>
          <t>广州博牛私募证券投资管理有限公司</t>
        </is>
      </c>
      <c r="E53" t="inlineStr">
        <is>
          <t>P1067450</t>
        </is>
      </c>
      <c r="F53" t="inlineStr">
        <is>
          <t>5-10亿元</t>
        </is>
      </c>
      <c r="G53" t="inlineStr">
        <is>
          <t>大规模</t>
        </is>
      </c>
      <c r="H53" t="inlineStr">
        <is>
          <t>协会提示／报送异常</t>
        </is>
      </c>
      <c r="I53" t="inlineStr">
        <is>
          <t>https://gs.amac.org.cn/amac-infodisc/res/pof/manager/1801020956105866.html</t>
        </is>
      </c>
      <c r="J53" t="inlineStr">
        <is>
          <t>https://gs.amac.org.cn/amac-infodisc/res/pof/fund/2208121907108282.html</t>
        </is>
      </c>
      <c r="K53" t="inlineStr">
        <is>
          <t>2026-09-15</t>
        </is>
      </c>
    </row>
    <row r="54">
      <c r="A54" t="inlineStr">
        <is>
          <t>SXF666</t>
        </is>
      </c>
      <c r="B54" t="inlineStr">
        <is>
          <t>银瓴运通致远3号五期</t>
        </is>
      </c>
      <c r="C54" t="inlineStr">
        <is>
          <t>广西银瓴资产</t>
        </is>
      </c>
      <c r="D54" t="inlineStr">
        <is>
          <t>广西银瓴资产管理有限公司</t>
        </is>
      </c>
      <c r="E54" t="inlineStr">
        <is>
          <t>P1026879</t>
        </is>
      </c>
      <c r="F54" t="inlineStr">
        <is>
          <t>0-5亿元</t>
        </is>
      </c>
      <c r="G54" t="inlineStr">
        <is>
          <t>小规模</t>
        </is>
      </c>
      <c r="H54" t="inlineStr">
        <is>
          <t>本次公示未见相关记录</t>
        </is>
      </c>
      <c r="I54" t="inlineStr">
        <is>
          <t>https://gs.amac.org.cn/amac-infodisc/res/pof/manager/101000035485.html</t>
        </is>
      </c>
      <c r="J54" t="inlineStr">
        <is>
          <t>https://gs.amac.org.cn/amac-infodisc/res/pof/fund/2209051807103258.html</t>
        </is>
      </c>
      <c r="K54" t="inlineStr">
        <is>
          <t>2026-09-15</t>
        </is>
      </c>
    </row>
    <row r="55">
      <c r="A55" t="inlineStr">
        <is>
          <t>SXE156</t>
        </is>
      </c>
      <c r="B55" t="inlineStr">
        <is>
          <t>汉盛浩远1号</t>
        </is>
      </c>
      <c r="C55" t="inlineStr">
        <is>
          <t>上海汉鸿</t>
        </is>
      </c>
      <c r="D55" t="inlineStr">
        <is>
          <t>上海汉鸿私募基金管理有限公司</t>
        </is>
      </c>
      <c r="E55" t="inlineStr">
        <is>
          <t>P1072580</t>
        </is>
      </c>
      <c r="F55" t="inlineStr">
        <is>
          <t>10-20亿元</t>
        </is>
      </c>
      <c r="G55" t="inlineStr">
        <is>
          <t>大规模</t>
        </is>
      </c>
      <c r="H55" t="inlineStr">
        <is>
          <t>本次公示未见相关记录</t>
        </is>
      </c>
      <c r="I55" t="inlineStr">
        <is>
          <t>https://gs.amac.org.cn/amac-infodisc/res/pof/manager/2108171651109816.html</t>
        </is>
      </c>
      <c r="J55" t="inlineStr">
        <is>
          <t>https://gs.amac.org.cn/amac-infodisc/res/pof/fund/2209131707102448.html</t>
        </is>
      </c>
      <c r="K55" t="inlineStr">
        <is>
          <t>2026-09-15</t>
        </is>
      </c>
    </row>
    <row r="56">
      <c r="A56" t="inlineStr">
        <is>
          <t>STP012</t>
        </is>
      </c>
      <c r="B56" t="inlineStr">
        <is>
          <t>泽盈毅明1号</t>
        </is>
      </c>
      <c r="C56" t="inlineStr">
        <is>
          <t>青岛泽盈资管</t>
        </is>
      </c>
      <c r="D56" t="inlineStr">
        <is>
          <t>青岛泽盈资产管理有限公司</t>
        </is>
      </c>
      <c r="E56" t="inlineStr">
        <is>
          <t>P1067206</t>
        </is>
      </c>
      <c r="F56" t="inlineStr">
        <is>
          <t>10-20亿元</t>
        </is>
      </c>
      <c r="G56" t="inlineStr">
        <is>
          <t>大规模</t>
        </is>
      </c>
      <c r="H56" t="inlineStr">
        <is>
          <t>协会提示／报送异常</t>
        </is>
      </c>
      <c r="I56" t="inlineStr">
        <is>
          <t>https://gs.amac.org.cn/amac-infodisc/res/pof/manager/1710271352104113.html</t>
        </is>
      </c>
      <c r="J56" t="inlineStr">
        <is>
          <t>https://gs.amac.org.cn/amac-infodisc/res/pof/fund/2210211605104676.html</t>
        </is>
      </c>
      <c r="K56" t="inlineStr">
        <is>
          <t>2026-09-15</t>
        </is>
      </c>
    </row>
    <row r="57">
      <c r="A57" t="inlineStr">
        <is>
          <t>SXN943</t>
        </is>
      </c>
      <c r="B57" t="inlineStr">
        <is>
          <t>银杏善利3号</t>
        </is>
      </c>
      <c r="C57" t="inlineStr">
        <is>
          <t>上海银杏</t>
        </is>
      </c>
      <c r="D57" t="inlineStr">
        <is>
          <t>上海银杏私募基金管理有限公司</t>
        </is>
      </c>
      <c r="E57" t="inlineStr">
        <is>
          <t>P1072547</t>
        </is>
      </c>
      <c r="F57" t="inlineStr">
        <is>
          <t>0-5亿元</t>
        </is>
      </c>
      <c r="G57" t="inlineStr">
        <is>
          <t>小规模</t>
        </is>
      </c>
      <c r="H57" t="inlineStr">
        <is>
          <t>本次公示未见相关记录</t>
        </is>
      </c>
      <c r="I57" t="inlineStr">
        <is>
          <t>https://gs.amac.org.cn/amac-infodisc/res/pof/manager/2105100905108445.html</t>
        </is>
      </c>
      <c r="J57" t="inlineStr">
        <is>
          <t>https://gs.amac.org.cn/amac-infodisc/res/pof/fund/2210241718105120.html</t>
        </is>
      </c>
      <c r="K57" t="inlineStr">
        <is>
          <t>2026-09-15</t>
        </is>
      </c>
    </row>
    <row r="58">
      <c r="A58" t="inlineStr">
        <is>
          <t>SXS440</t>
        </is>
      </c>
      <c r="B58" t="inlineStr">
        <is>
          <t>银杏善利6号</t>
        </is>
      </c>
      <c r="C58" t="inlineStr">
        <is>
          <t>上海银杏</t>
        </is>
      </c>
      <c r="D58" t="inlineStr">
        <is>
          <t>上海银杏私募基金管理有限公司</t>
        </is>
      </c>
      <c r="E58" t="inlineStr">
        <is>
          <t>P1072547</t>
        </is>
      </c>
      <c r="F58" t="inlineStr">
        <is>
          <t>0-5亿元</t>
        </is>
      </c>
      <c r="G58" t="inlineStr">
        <is>
          <t>小规模</t>
        </is>
      </c>
      <c r="H58" t="inlineStr">
        <is>
          <t>本次公示未见相关记录</t>
        </is>
      </c>
      <c r="I58" t="inlineStr">
        <is>
          <t>https://gs.amac.org.cn/amac-infodisc/res/pof/manager/2105100905108445.html</t>
        </is>
      </c>
      <c r="J58" t="inlineStr">
        <is>
          <t>https://gs.amac.org.cn/amac-infodisc/res/pof/fund/2211161803111351.html</t>
        </is>
      </c>
      <c r="K58" t="inlineStr">
        <is>
          <t>2026-09-15</t>
        </is>
      </c>
    </row>
    <row r="59">
      <c r="A59" t="inlineStr">
        <is>
          <t>SXL913</t>
        </is>
      </c>
      <c r="B59" t="inlineStr">
        <is>
          <t>博润易量稳健1号</t>
        </is>
      </c>
      <c r="C59" t="inlineStr">
        <is>
          <t>北京博润银泰投资</t>
        </is>
      </c>
      <c r="D59" t="inlineStr">
        <is>
          <t>北京博润银泰投资管理有限公司</t>
        </is>
      </c>
      <c r="E59" t="inlineStr">
        <is>
          <t>P1002960</t>
        </is>
      </c>
      <c r="F59" t="inlineStr">
        <is>
          <t>100亿元以上</t>
        </is>
      </c>
      <c r="G59" t="inlineStr">
        <is>
          <t>大规模</t>
        </is>
      </c>
      <c r="H59" t="inlineStr">
        <is>
          <t>本次公示未见相关记录</t>
        </is>
      </c>
      <c r="I59" t="inlineStr">
        <is>
          <t>https://gs.amac.org.cn/amac-infodisc/res/pof/manager/101000005082.html</t>
        </is>
      </c>
      <c r="J59" t="inlineStr">
        <is>
          <t>https://gs.amac.org.cn/amac-infodisc/res/pof/fund/2211291710107928.html</t>
        </is>
      </c>
      <c r="K59" t="inlineStr">
        <is>
          <t>2026-09-15</t>
        </is>
      </c>
    </row>
    <row r="60">
      <c r="A60" t="inlineStr">
        <is>
          <t>SXU186</t>
        </is>
      </c>
      <c r="B60" t="inlineStr">
        <is>
          <t>金麦穗卓诚一号</t>
        </is>
      </c>
      <c r="C60" t="inlineStr">
        <is>
          <t>山东金麦穗</t>
        </is>
      </c>
      <c r="D60" t="inlineStr">
        <is>
          <t>金麦穗（山东）私募基金管理有限公司</t>
        </is>
      </c>
      <c r="E60" t="inlineStr">
        <is>
          <t>P1023272</t>
        </is>
      </c>
      <c r="F60" t="inlineStr">
        <is>
          <t>0-5亿元</t>
        </is>
      </c>
      <c r="G60" t="inlineStr">
        <is>
          <t>小规模</t>
        </is>
      </c>
      <c r="H60" t="inlineStr">
        <is>
          <t>本次公示未见相关记录</t>
        </is>
      </c>
      <c r="I60" t="inlineStr">
        <is>
          <t>https://gs.amac.org.cn/amac-infodisc/res/pof/manager/101000032909.html</t>
        </is>
      </c>
      <c r="J60" t="inlineStr">
        <is>
          <t>https://gs.amac.org.cn/amac-infodisc/res/pof/fund/2212081848110819.html</t>
        </is>
      </c>
      <c r="K60" t="inlineStr">
        <is>
          <t>2026-09-15</t>
        </is>
      </c>
    </row>
    <row r="61">
      <c r="A61" t="inlineStr">
        <is>
          <t>SXW938</t>
        </is>
      </c>
      <c r="B61" t="inlineStr">
        <is>
          <t>慕途稳健2号</t>
        </is>
      </c>
      <c r="C61" t="inlineStr">
        <is>
          <t>慕途基金</t>
        </is>
      </c>
      <c r="D61" t="inlineStr">
        <is>
          <t>上海慕途私募基金管理有限公司</t>
        </is>
      </c>
      <c r="E61" t="inlineStr">
        <is>
          <t>P1073298</t>
        </is>
      </c>
      <c r="F61" t="inlineStr">
        <is>
          <t>10-20亿元</t>
        </is>
      </c>
      <c r="G61" t="inlineStr">
        <is>
          <t>大规模</t>
        </is>
      </c>
      <c r="H61" t="inlineStr">
        <is>
          <t>本次公示未见相关记录</t>
        </is>
      </c>
      <c r="I61" t="inlineStr">
        <is>
          <t>https://gs.amac.org.cn/amac-infodisc/res/pof/manager/2106221238106983.html</t>
        </is>
      </c>
      <c r="J61" t="inlineStr">
        <is>
          <t>https://gs.amac.org.cn/amac-infodisc/res/pof/fund/2212152201105746.html</t>
        </is>
      </c>
      <c r="K61" t="inlineStr">
        <is>
          <t>2026-09-15</t>
        </is>
      </c>
    </row>
    <row r="62">
      <c r="A62" t="inlineStr">
        <is>
          <t>SXY895</t>
        </is>
      </c>
      <c r="B62" t="inlineStr">
        <is>
          <t>方普安享二号</t>
        </is>
      </c>
      <c r="C62" t="inlineStr">
        <is>
          <t>珠海横琴方普</t>
        </is>
      </c>
      <c r="D62" t="inlineStr">
        <is>
          <t>珠海横琴方普私募基金管理有限公司</t>
        </is>
      </c>
      <c r="E62" t="inlineStr">
        <is>
          <t>P1068284</t>
        </is>
      </c>
      <c r="F62" t="inlineStr">
        <is>
          <t>10-20亿元</t>
        </is>
      </c>
      <c r="G62" t="inlineStr">
        <is>
          <t>大规模</t>
        </is>
      </c>
      <c r="H62" t="inlineStr">
        <is>
          <t>协会提示／报送异常</t>
        </is>
      </c>
      <c r="I62" t="inlineStr">
        <is>
          <t>https://gs.amac.org.cn/amac-infodisc/res/pof/manager/1804051826107605.html</t>
        </is>
      </c>
      <c r="J62" t="inlineStr">
        <is>
          <t>https://gs.amac.org.cn/amac-infodisc/res/pof/fund/2212271123105087.html</t>
        </is>
      </c>
      <c r="K62" t="inlineStr">
        <is>
          <t>2026-09-15</t>
        </is>
      </c>
    </row>
    <row r="63">
      <c r="A63" t="inlineStr">
        <is>
          <t>SZC395</t>
        </is>
      </c>
      <c r="B63" t="inlineStr">
        <is>
          <t>佳泽信享5号</t>
        </is>
      </c>
      <c r="C63" t="inlineStr">
        <is>
          <t>海南佳泽</t>
        </is>
      </c>
      <c r="D63" t="inlineStr">
        <is>
          <t>海南佳泽私募基金管理合伙企业（有限合伙）</t>
        </is>
      </c>
      <c r="E63" t="inlineStr">
        <is>
          <t>P1073283</t>
        </is>
      </c>
      <c r="F63" t="inlineStr">
        <is>
          <t>0-5亿元</t>
        </is>
      </c>
      <c r="G63" t="inlineStr">
        <is>
          <t>小规模</t>
        </is>
      </c>
      <c r="H63" t="inlineStr">
        <is>
          <t>协会提示／报送异常</t>
        </is>
      </c>
      <c r="I63" t="inlineStr">
        <is>
          <t>https://gs.amac.org.cn/amac-infodisc/res/pof/manager/2202171443109430.html</t>
        </is>
      </c>
      <c r="J63" t="inlineStr">
        <is>
          <t>https://gs.amac.org.cn/amac-infodisc/res/pof/fund/2301171711103586.html</t>
        </is>
      </c>
      <c r="K63" t="inlineStr">
        <is>
          <t>2026-09-15</t>
        </is>
      </c>
    </row>
    <row r="64">
      <c r="A64" t="inlineStr">
        <is>
          <t>SZG044</t>
        </is>
      </c>
      <c r="B64" t="inlineStr">
        <is>
          <t>衍舟弄潮2号</t>
        </is>
      </c>
      <c r="C64" t="inlineStr">
        <is>
          <t>海南衍舟</t>
        </is>
      </c>
      <c r="D64" t="inlineStr">
        <is>
          <t>衍舟（海南）私募基金管理有限公司</t>
        </is>
      </c>
      <c r="E64" t="inlineStr">
        <is>
          <t>P1073536</t>
        </is>
      </c>
      <c r="F64" t="inlineStr">
        <is>
          <t>0-5亿元</t>
        </is>
      </c>
      <c r="G64" t="inlineStr">
        <is>
          <t>小规模</t>
        </is>
      </c>
      <c r="H64" t="inlineStr">
        <is>
          <t>协会提示／报送异常</t>
        </is>
      </c>
      <c r="I64" t="inlineStr">
        <is>
          <t>https://gs.amac.org.cn/amac-infodisc/res/pof/manager/2203211010108428.html</t>
        </is>
      </c>
      <c r="J64" t="inlineStr">
        <is>
          <t>https://gs.amac.org.cn/amac-infodisc/res/pof/fund/2302071705107356.html</t>
        </is>
      </c>
      <c r="K64" t="inlineStr">
        <is>
          <t>2026-09-15</t>
        </is>
      </c>
    </row>
    <row r="65">
      <c r="A65" t="inlineStr">
        <is>
          <t>SZP369</t>
        </is>
      </c>
      <c r="B65" t="inlineStr">
        <is>
          <t>银瓴汇金1号</t>
        </is>
      </c>
      <c r="C65" t="inlineStr">
        <is>
          <t>广西银瓴资产</t>
        </is>
      </c>
      <c r="D65" t="inlineStr">
        <is>
          <t>广西银瓴资产管理有限公司</t>
        </is>
      </c>
      <c r="E65" t="inlineStr">
        <is>
          <t>P1026879</t>
        </is>
      </c>
      <c r="F65" t="inlineStr">
        <is>
          <t>0-5亿元</t>
        </is>
      </c>
      <c r="G65" t="inlineStr">
        <is>
          <t>小规模</t>
        </is>
      </c>
      <c r="H65" t="inlineStr">
        <is>
          <t>本次公示未见相关记录</t>
        </is>
      </c>
      <c r="I65" t="inlineStr">
        <is>
          <t>https://gs.amac.org.cn/amac-infodisc/res/pof/manager/101000035485.html</t>
        </is>
      </c>
      <c r="J65" t="inlineStr">
        <is>
          <t>https://gs.amac.org.cn/amac-infodisc/res/pof/fund/2303281704112220.html</t>
        </is>
      </c>
      <c r="K65" t="inlineStr">
        <is>
          <t>2026-09-15</t>
        </is>
      </c>
    </row>
    <row r="66">
      <c r="A66" t="inlineStr">
        <is>
          <t>SZN225</t>
        </is>
      </c>
      <c r="B66" t="inlineStr">
        <is>
          <t>砚博乘风量化14号</t>
        </is>
      </c>
      <c r="C66" t="inlineStr">
        <is>
          <t>深圳前海砚博乘风资管</t>
        </is>
      </c>
      <c r="D66" t="inlineStr">
        <is>
          <t>深圳前海砚博乘风资产管理有限公司</t>
        </is>
      </c>
      <c r="E66" t="inlineStr">
        <is>
          <t>P1031838</t>
        </is>
      </c>
      <c r="F66" t="inlineStr">
        <is>
          <t>10-20亿元</t>
        </is>
      </c>
      <c r="G66" t="inlineStr">
        <is>
          <t>大规模</t>
        </is>
      </c>
      <c r="H66" t="inlineStr">
        <is>
          <t>协会提示／报送异常</t>
        </is>
      </c>
      <c r="I66" t="inlineStr">
        <is>
          <t>https://gs.amac.org.cn/amac-infodisc/res/pof/manager/101000062862.html</t>
        </is>
      </c>
      <c r="J66" t="inlineStr">
        <is>
          <t>https://gs.amac.org.cn/amac-infodisc/res/pof/fund/2304031854111883.html</t>
        </is>
      </c>
      <c r="K66" t="inlineStr">
        <is>
          <t>2026-09-15</t>
        </is>
      </c>
    </row>
    <row r="67">
      <c r="A67" t="inlineStr">
        <is>
          <t>SZU727</t>
        </is>
      </c>
      <c r="B67" t="inlineStr">
        <is>
          <t>平凡凡响二号</t>
        </is>
      </c>
      <c r="C67" t="inlineStr">
        <is>
          <t>北京平凡</t>
        </is>
      </c>
      <c r="D67" t="inlineStr">
        <is>
          <t>北京平凡私募基金管理有限公司</t>
        </is>
      </c>
      <c r="E67" t="inlineStr">
        <is>
          <t>P1021670</t>
        </is>
      </c>
      <c r="F67" t="inlineStr">
        <is>
          <t>50-100亿元</t>
        </is>
      </c>
      <c r="G67" t="inlineStr">
        <is>
          <t>大规模</t>
        </is>
      </c>
      <c r="H67" t="inlineStr">
        <is>
          <t>本次公示未见相关记录</t>
        </is>
      </c>
      <c r="I67" t="inlineStr">
        <is>
          <t>https://gs.amac.org.cn/amac-infodisc/res/pof/manager/101000030286.html</t>
        </is>
      </c>
      <c r="J67" t="inlineStr">
        <is>
          <t>https://gs.amac.org.cn/amac-infodisc/res/pof/fund/2304121918100513.html</t>
        </is>
      </c>
      <c r="K67" t="inlineStr">
        <is>
          <t>2026-09-15</t>
        </is>
      </c>
    </row>
    <row r="68">
      <c r="A68" t="inlineStr">
        <is>
          <t>S04011</t>
        </is>
      </c>
      <c r="B68" t="inlineStr">
        <is>
          <t>银瓴鑫源</t>
        </is>
      </c>
      <c r="C68" t="inlineStr">
        <is>
          <t>广西银瓴资产</t>
        </is>
      </c>
      <c r="D68" t="inlineStr">
        <is>
          <t>广西银瓴资产管理有限公司</t>
        </is>
      </c>
      <c r="E68" t="inlineStr">
        <is>
          <t>P1026879</t>
        </is>
      </c>
      <c r="F68" t="inlineStr">
        <is>
          <t>0-5亿元</t>
        </is>
      </c>
      <c r="G68" t="inlineStr">
        <is>
          <t>小规模</t>
        </is>
      </c>
      <c r="H68" t="inlineStr">
        <is>
          <t>本次公示未见相关记录</t>
        </is>
      </c>
      <c r="I68" t="inlineStr">
        <is>
          <t>https://gs.amac.org.cn/amac-infodisc/res/pof/manager/101000035485.html</t>
        </is>
      </c>
      <c r="J68" t="inlineStr">
        <is>
          <t>https://gs.amac.org.cn/amac-infodisc/res/pof/fund/2305191101101514.html</t>
        </is>
      </c>
      <c r="K68" t="inlineStr">
        <is>
          <t>2026-09-15</t>
        </is>
      </c>
    </row>
    <row r="69">
      <c r="A69" t="inlineStr">
        <is>
          <t>SZP735</t>
        </is>
      </c>
      <c r="B69" t="inlineStr">
        <is>
          <t>鑫泰禾汇投1号</t>
        </is>
      </c>
      <c r="C69" t="inlineStr">
        <is>
          <t>深圳鑫泰禾</t>
        </is>
      </c>
      <c r="D69" t="inlineStr">
        <is>
          <t>深圳鑫泰禾私募证券投资基金管理有限公司</t>
        </is>
      </c>
      <c r="E69" t="inlineStr">
        <is>
          <t>P1028974</t>
        </is>
      </c>
      <c r="F69" t="inlineStr">
        <is>
          <t>0-5亿元</t>
        </is>
      </c>
      <c r="G69" t="inlineStr">
        <is>
          <t>小规模</t>
        </is>
      </c>
      <c r="H69" t="inlineStr">
        <is>
          <t>协会提示／报送异常</t>
        </is>
      </c>
      <c r="I69" t="inlineStr">
        <is>
          <t>https://gs.amac.org.cn/amac-infodisc/res/pof/manager/101000041857.html</t>
        </is>
      </c>
      <c r="J69" t="inlineStr">
        <is>
          <t>https://gs.amac.org.cn/amac-infodisc/res/pof/fund/2305191728101923.html</t>
        </is>
      </c>
      <c r="K69" t="inlineStr">
        <is>
          <t>2026-09-15</t>
        </is>
      </c>
    </row>
    <row r="70">
      <c r="A70" t="inlineStr">
        <is>
          <t>SZX748</t>
        </is>
      </c>
      <c r="B70" t="inlineStr">
        <is>
          <t>金和和善对冲5号</t>
        </is>
      </c>
      <c r="C70" t="inlineStr">
        <is>
          <t>上海金和晟</t>
        </is>
      </c>
      <c r="D70" t="inlineStr">
        <is>
          <t>上海金和晟私募基金管理有限公司</t>
        </is>
      </c>
      <c r="E70" t="inlineStr">
        <is>
          <t>P1071636</t>
        </is>
      </c>
      <c r="F70" t="inlineStr">
        <is>
          <t>20-50亿元</t>
        </is>
      </c>
      <c r="G70" t="inlineStr">
        <is>
          <t>大规模</t>
        </is>
      </c>
      <c r="H70" t="inlineStr">
        <is>
          <t>本次公示未见相关记录</t>
        </is>
      </c>
      <c r="I70" t="inlineStr">
        <is>
          <t>https://gs.amac.org.cn/amac-infodisc/res/pof/manager/2010280957108370.html</t>
        </is>
      </c>
      <c r="J70" t="inlineStr">
        <is>
          <t>https://gs.amac.org.cn/amac-infodisc/res/pof/fund/2305251549108521.html</t>
        </is>
      </c>
      <c r="K70" t="inlineStr">
        <is>
          <t>2026-09-15</t>
        </is>
      </c>
    </row>
    <row r="71">
      <c r="A71" t="inlineStr">
        <is>
          <t>S03979</t>
        </is>
      </c>
      <c r="B71" t="inlineStr">
        <is>
          <t>银瓴汇金3号</t>
        </is>
      </c>
      <c r="C71" t="inlineStr">
        <is>
          <t>广西银瓴资产</t>
        </is>
      </c>
      <c r="D71" t="inlineStr">
        <is>
          <t>广西银瓴资产管理有限公司</t>
        </is>
      </c>
      <c r="E71" t="inlineStr">
        <is>
          <t>P1026879</t>
        </is>
      </c>
      <c r="F71" t="inlineStr">
        <is>
          <t>0-5亿元</t>
        </is>
      </c>
      <c r="G71" t="inlineStr">
        <is>
          <t>小规模</t>
        </is>
      </c>
      <c r="H71" t="inlineStr">
        <is>
          <t>本次公示未见相关记录</t>
        </is>
      </c>
      <c r="I71" t="inlineStr">
        <is>
          <t>https://gs.amac.org.cn/amac-infodisc/res/pof/manager/101000035485.html</t>
        </is>
      </c>
      <c r="J71" t="inlineStr">
        <is>
          <t>https://gs.amac.org.cn/amac-infodisc/res/pof/fund/2305291055109569.html</t>
        </is>
      </c>
      <c r="K71" t="inlineStr">
        <is>
          <t>2026-09-15</t>
        </is>
      </c>
    </row>
    <row r="72">
      <c r="A72" t="inlineStr">
        <is>
          <t>SB2838</t>
        </is>
      </c>
      <c r="B72" t="inlineStr">
        <is>
          <t>奶酪鑫鑫宝二号</t>
        </is>
      </c>
      <c r="C72" t="inlineStr">
        <is>
          <t>广东奶酪</t>
        </is>
      </c>
      <c r="D72" t="inlineStr">
        <is>
          <t>广东奶酪私募基金管理股份有限公司</t>
        </is>
      </c>
      <c r="E72" t="inlineStr">
        <is>
          <t>P1031632</t>
        </is>
      </c>
      <c r="F72" t="inlineStr">
        <is>
          <t>10-20亿元</t>
        </is>
      </c>
      <c r="G72" t="inlineStr">
        <is>
          <t>大规模</t>
        </is>
      </c>
      <c r="H72" t="inlineStr">
        <is>
          <t>本次公示未见相关记录</t>
        </is>
      </c>
      <c r="I72" t="inlineStr">
        <is>
          <t>https://gs.amac.org.cn/amac-infodisc/res/pof/manager/101000045017.html</t>
        </is>
      </c>
      <c r="J72" t="inlineStr">
        <is>
          <t>https://gs.amac.org.cn/amac-infodisc/res/pof/fund/2306141909104356.html</t>
        </is>
      </c>
      <c r="K72" t="inlineStr">
        <is>
          <t>2026-09-15</t>
        </is>
      </c>
    </row>
    <row r="73">
      <c r="A73" t="inlineStr">
        <is>
          <t>SH674B</t>
        </is>
      </c>
      <c r="B73" t="inlineStr">
        <is>
          <t>岳皋泰山核心一号B类</t>
        </is>
      </c>
      <c r="C73" t="inlineStr">
        <is>
          <t>上海岳皋投资</t>
        </is>
      </c>
      <c r="D73" t="inlineStr">
        <is>
          <t>上海岳皋投资管理有限公司 上海岳皋投资管理有限公司</t>
        </is>
      </c>
      <c r="E73" t="inlineStr">
        <is>
          <t>P1069937</t>
        </is>
      </c>
      <c r="F73" t="inlineStr">
        <is>
          <t>0-5亿元</t>
        </is>
      </c>
      <c r="G73" t="inlineStr">
        <is>
          <t>小规模</t>
        </is>
      </c>
      <c r="H73" t="inlineStr">
        <is>
          <t>本次公示未见相关记录</t>
        </is>
      </c>
      <c r="I73" t="inlineStr">
        <is>
          <t>https://gs.amac.org.cn/amac-infodisc/res/pof/manager/1812180906104012.html</t>
        </is>
      </c>
      <c r="K73" t="inlineStr">
        <is>
          <t>2026-09-15</t>
        </is>
      </c>
    </row>
    <row r="74">
      <c r="A74" t="inlineStr">
        <is>
          <t>SB1775</t>
        </is>
      </c>
      <c r="B74" t="inlineStr">
        <is>
          <t>韵之嘉益</t>
        </is>
      </c>
      <c r="C74" t="inlineStr">
        <is>
          <t>北京韵之</t>
        </is>
      </c>
      <c r="D74" t="inlineStr">
        <is>
          <t>北京韵之私募基金管理有限公司</t>
        </is>
      </c>
      <c r="E74" t="inlineStr">
        <is>
          <t>P1061332</t>
        </is>
      </c>
      <c r="F74" t="inlineStr">
        <is>
          <t>5-10亿元</t>
        </is>
      </c>
      <c r="G74" t="inlineStr">
        <is>
          <t>大规模</t>
        </is>
      </c>
      <c r="H74" t="inlineStr">
        <is>
          <t>本次公示未见相关记录</t>
        </is>
      </c>
      <c r="I74" t="inlineStr">
        <is>
          <t>https://gs.amac.org.cn/amac-infodisc/res/pof/manager/1609291216100602.html</t>
        </is>
      </c>
      <c r="J74" t="inlineStr">
        <is>
          <t>https://gs.amac.org.cn/amac-infodisc/res/pof/fund/2308101835106229.html</t>
        </is>
      </c>
      <c r="K74" t="inlineStr">
        <is>
          <t>2026-09-15</t>
        </is>
      </c>
    </row>
    <row r="75">
      <c r="A75" t="inlineStr">
        <is>
          <t>SB6565</t>
        </is>
      </c>
      <c r="B75" t="inlineStr">
        <is>
          <t>杨湜套利1号</t>
        </is>
      </c>
      <c r="C75" t="inlineStr">
        <is>
          <t>上海杨湜投资</t>
        </is>
      </c>
      <c r="D75" t="inlineStr">
        <is>
          <t>上海杨湜资产管理中心(有限合伙)</t>
        </is>
      </c>
      <c r="E75" t="inlineStr">
        <is>
          <t>P1032870</t>
        </is>
      </c>
      <c r="F75" t="inlineStr">
        <is>
          <t>10-20亿元</t>
        </is>
      </c>
      <c r="G75" t="inlineStr">
        <is>
          <t>大规模</t>
        </is>
      </c>
      <c r="H75" t="inlineStr">
        <is>
          <t>本次公示未见相关记录</t>
        </is>
      </c>
      <c r="I75" t="inlineStr">
        <is>
          <t>https://gs.amac.org.cn/amac-infodisc/res/pof/manager/101000070776.html</t>
        </is>
      </c>
      <c r="J75" t="inlineStr">
        <is>
          <t>https://gs.amac.org.cn/amac-infodisc/res/pof/fund/2308231811111489.html</t>
        </is>
      </c>
      <c r="K75" t="inlineStr">
        <is>
          <t>2026-09-15</t>
        </is>
      </c>
    </row>
    <row r="76">
      <c r="A76" t="inlineStr">
        <is>
          <t>SAAS17</t>
        </is>
      </c>
      <c r="B76" t="inlineStr">
        <is>
          <t>奶酪平价套利稳健一号</t>
        </is>
      </c>
      <c r="C76" t="inlineStr">
        <is>
          <t>广东奶酪</t>
        </is>
      </c>
      <c r="D76" t="inlineStr">
        <is>
          <t>广东奶酪私募基金管理股份有限公司</t>
        </is>
      </c>
      <c r="E76" t="inlineStr">
        <is>
          <t>P1031632</t>
        </is>
      </c>
      <c r="F76" t="inlineStr">
        <is>
          <t>10-20亿元</t>
        </is>
      </c>
      <c r="G76" t="inlineStr">
        <is>
          <t>大规模</t>
        </is>
      </c>
      <c r="H76" t="inlineStr">
        <is>
          <t>本次公示未见相关记录</t>
        </is>
      </c>
      <c r="I76" t="inlineStr">
        <is>
          <t>https://gs.amac.org.cn/amac-infodisc/res/pof/manager/101000045017.html</t>
        </is>
      </c>
      <c r="J76" t="inlineStr">
        <is>
          <t>https://gs.amac.org.cn/amac-infodisc/res/pof/fund/2309041554106885.html</t>
        </is>
      </c>
      <c r="K76" t="inlineStr">
        <is>
          <t>2026-09-15</t>
        </is>
      </c>
    </row>
    <row r="77">
      <c r="A77" t="inlineStr">
        <is>
          <t>SB7490</t>
        </is>
      </c>
      <c r="B77" t="inlineStr">
        <is>
          <t>银万财派恒星套利1号</t>
        </is>
      </c>
      <c r="C77" t="inlineStr">
        <is>
          <t>浙江银万</t>
        </is>
      </c>
      <c r="D77" t="inlineStr">
        <is>
          <t>浙江银万私募基金管理有限公司</t>
        </is>
      </c>
      <c r="E77" t="inlineStr">
        <is>
          <t>P1005420</t>
        </is>
      </c>
      <c r="F77" t="inlineStr">
        <is>
          <t>20-50亿元</t>
        </is>
      </c>
      <c r="G77" t="inlineStr">
        <is>
          <t>大规模</t>
        </is>
      </c>
      <c r="H77" t="inlineStr">
        <is>
          <t>监管警示函</t>
        </is>
      </c>
      <c r="I77" t="inlineStr">
        <is>
          <t>https://gs.amac.org.cn/amac-infodisc/res/pof/manager/101000005988.html</t>
        </is>
      </c>
      <c r="J77" t="inlineStr">
        <is>
          <t>https://gs.amac.org.cn/amac-infodisc/res/pof/fund/2309061045107529.html</t>
        </is>
      </c>
      <c r="K77" t="inlineStr">
        <is>
          <t>2026-09-15</t>
        </is>
      </c>
    </row>
    <row r="78">
      <c r="A78" t="inlineStr">
        <is>
          <t>ZC395A</t>
        </is>
      </c>
      <c r="B78" t="inlineStr">
        <is>
          <t>佳泽信享5号A类</t>
        </is>
      </c>
      <c r="C78" t="inlineStr">
        <is>
          <t>海南佳泽</t>
        </is>
      </c>
      <c r="D78" t="inlineStr">
        <is>
          <t>海南佳泽私募基金管理合伙企业（有限合伙） 海南佳泽私募基金管理合伙企业（有限合伙）</t>
        </is>
      </c>
      <c r="E78" t="inlineStr">
        <is>
          <t>P1073283</t>
        </is>
      </c>
      <c r="F78" t="inlineStr">
        <is>
          <t>0-5亿元</t>
        </is>
      </c>
      <c r="G78" t="inlineStr">
        <is>
          <t>小规模</t>
        </is>
      </c>
      <c r="H78" t="inlineStr">
        <is>
          <t>协会提示／报送异常</t>
        </is>
      </c>
      <c r="I78" t="inlineStr">
        <is>
          <t>https://gs.amac.org.cn/amac-infodisc/res/pof/manager/2202171443109430.html</t>
        </is>
      </c>
      <c r="K78" t="inlineStr">
        <is>
          <t>2026-09-15</t>
        </is>
      </c>
    </row>
    <row r="79">
      <c r="A79" t="inlineStr">
        <is>
          <t>ZC395B</t>
        </is>
      </c>
      <c r="B79" t="inlineStr">
        <is>
          <t>佳泽信享5号B类</t>
        </is>
      </c>
      <c r="C79" t="inlineStr">
        <is>
          <t>海南佳泽</t>
        </is>
      </c>
      <c r="D79" t="inlineStr">
        <is>
          <t>海南佳泽私募基金管理合伙企业（有限合伙） 海南佳泽私募基金管理合伙企业（有限合伙）</t>
        </is>
      </c>
      <c r="E79" t="inlineStr">
        <is>
          <t>P1073283</t>
        </is>
      </c>
      <c r="F79" t="inlineStr">
        <is>
          <t>0-5亿元</t>
        </is>
      </c>
      <c r="G79" t="inlineStr">
        <is>
          <t>小规模</t>
        </is>
      </c>
      <c r="H79" t="inlineStr">
        <is>
          <t>协会提示／报送异常</t>
        </is>
      </c>
      <c r="I79" t="inlineStr">
        <is>
          <t>https://gs.amac.org.cn/amac-infodisc/res/pof/manager/2202171443109430.html</t>
        </is>
      </c>
      <c r="K79" t="inlineStr">
        <is>
          <t>2026-09-15</t>
        </is>
      </c>
    </row>
    <row r="80">
      <c r="A80" t="inlineStr">
        <is>
          <t>SB4982</t>
        </is>
      </c>
      <c r="B80" t="inlineStr">
        <is>
          <t>鋆晟衡泰进取1号</t>
        </is>
      </c>
      <c r="C80" t="inlineStr">
        <is>
          <t>上海鋆晟投资</t>
        </is>
      </c>
      <c r="D80" t="inlineStr">
        <is>
          <t>上海鋆晟投资管理有限公司</t>
        </is>
      </c>
      <c r="E80" t="inlineStr">
        <is>
          <t>P1028385</t>
        </is>
      </c>
      <c r="F80" t="inlineStr">
        <is>
          <t>5-10亿元</t>
        </is>
      </c>
      <c r="G80" t="inlineStr">
        <is>
          <t>大规模</t>
        </is>
      </c>
      <c r="H80" t="inlineStr">
        <is>
          <t>本次公示未见相关记录</t>
        </is>
      </c>
      <c r="I80" t="inlineStr">
        <is>
          <t>https://gs.amac.org.cn/amac-infodisc/res/pof/manager/101000039679.html</t>
        </is>
      </c>
      <c r="J80" t="inlineStr">
        <is>
          <t>https://gs.amac.org.cn/amac-infodisc/res/pof/fund/2309271703101145.html</t>
        </is>
      </c>
      <c r="K80" t="inlineStr">
        <is>
          <t>2026-09-15</t>
        </is>
      </c>
    </row>
    <row r="81">
      <c r="A81" t="inlineStr">
        <is>
          <t>SACJ77</t>
        </is>
      </c>
      <c r="B81" t="inlineStr">
        <is>
          <t>嘉和传承精研倍赢一期</t>
        </is>
      </c>
      <c r="C81" t="inlineStr">
        <is>
          <t>上海嘉和传承</t>
        </is>
      </c>
      <c r="D81" t="inlineStr">
        <is>
          <t>上海嘉和传承私募基金管理有限公司</t>
        </is>
      </c>
      <c r="E81" t="inlineStr">
        <is>
          <t>P1074030</t>
        </is>
      </c>
      <c r="F81" t="inlineStr">
        <is>
          <t>5-10亿元</t>
        </is>
      </c>
      <c r="G81" t="inlineStr">
        <is>
          <t>大规模</t>
        </is>
      </c>
      <c r="H81" t="inlineStr">
        <is>
          <t>本次公示未见相关记录</t>
        </is>
      </c>
      <c r="I81" t="inlineStr">
        <is>
          <t>https://gs.amac.org.cn/amac-infodisc/res/pof/manager/2203031405108672.html</t>
        </is>
      </c>
      <c r="J81" t="inlineStr">
        <is>
          <t>https://gs.amac.org.cn/amac-infodisc/res/pof/fund/2311201000109695.html</t>
        </is>
      </c>
      <c r="K81" t="inlineStr">
        <is>
          <t>2026-09-15</t>
        </is>
      </c>
    </row>
    <row r="82">
      <c r="A82" t="inlineStr">
        <is>
          <t>ACJ77A</t>
        </is>
      </c>
      <c r="B82" t="inlineStr">
        <is>
          <t>嘉和传承精研倍赢一期A类</t>
        </is>
      </c>
      <c r="C82" t="inlineStr">
        <is>
          <t>上海嘉和传承</t>
        </is>
      </c>
      <c r="D82" t="inlineStr">
        <is>
          <t>上海嘉和传承私募基金管理有限公司 上海嘉和传承私募基金管理有限公司</t>
        </is>
      </c>
      <c r="E82" t="inlineStr">
        <is>
          <t>P1074030</t>
        </is>
      </c>
      <c r="F82" t="inlineStr">
        <is>
          <t>5-10亿元</t>
        </is>
      </c>
      <c r="G82" t="inlineStr">
        <is>
          <t>大规模</t>
        </is>
      </c>
      <c r="H82" t="inlineStr">
        <is>
          <t>本次公示未见相关记录</t>
        </is>
      </c>
      <c r="I82" t="inlineStr">
        <is>
          <t>https://gs.amac.org.cn/amac-infodisc/res/pof/manager/2203031405108672.html</t>
        </is>
      </c>
      <c r="K82" t="inlineStr">
        <is>
          <t>2026-09-15</t>
        </is>
      </c>
    </row>
    <row r="83">
      <c r="A83" t="inlineStr">
        <is>
          <t>SAGN89</t>
        </is>
      </c>
      <c r="B83" t="inlineStr">
        <is>
          <t>广联宏丰利1号</t>
        </is>
      </c>
      <c r="C83" t="inlineStr">
        <is>
          <t>海南广联宏</t>
        </is>
      </c>
      <c r="D83" t="inlineStr">
        <is>
          <t>海南广联宏私募基金管理有限公司</t>
        </is>
      </c>
      <c r="E83" t="inlineStr">
        <is>
          <t>P1072844</t>
        </is>
      </c>
      <c r="F83" t="inlineStr">
        <is>
          <t>5-10亿元</t>
        </is>
      </c>
      <c r="G83" t="inlineStr">
        <is>
          <t>大规模</t>
        </is>
      </c>
      <c r="H83" t="inlineStr">
        <is>
          <t>协会提示／报送异常</t>
        </is>
      </c>
      <c r="I83" t="inlineStr">
        <is>
          <t>https://gs.amac.org.cn/amac-infodisc/res/pof/manager/2109061042100364.html</t>
        </is>
      </c>
      <c r="J83" t="inlineStr">
        <is>
          <t>https://gs.amac.org.cn/amac-infodisc/res/pof/fund/2402061715110753.html</t>
        </is>
      </c>
      <c r="K83" t="inlineStr">
        <is>
          <t>2026-09-15</t>
        </is>
      </c>
    </row>
    <row r="84">
      <c r="A84" t="inlineStr">
        <is>
          <t>SAFF81</t>
        </is>
      </c>
      <c r="B84" t="inlineStr">
        <is>
          <t>简文长风1号</t>
        </is>
      </c>
      <c r="C84" t="inlineStr">
        <is>
          <t>上海简文</t>
        </is>
      </c>
      <c r="D84" t="inlineStr">
        <is>
          <t>上海简文私募基金管理有限公司</t>
        </is>
      </c>
      <c r="E84" t="inlineStr">
        <is>
          <t>P1022166</t>
        </is>
      </c>
      <c r="F84" t="inlineStr">
        <is>
          <t>10-20亿元</t>
        </is>
      </c>
      <c r="G84" t="inlineStr">
        <is>
          <t>大规模</t>
        </is>
      </c>
      <c r="H84" t="inlineStr">
        <is>
          <t>本次公示未见相关记录</t>
        </is>
      </c>
      <c r="I84" t="inlineStr">
        <is>
          <t>https://gs.amac.org.cn/amac-infodisc/res/pof/manager/101000033419.html</t>
        </is>
      </c>
      <c r="J84" t="inlineStr">
        <is>
          <t>https://gs.amac.org.cn/amac-infodisc/res/pof/fund/2403251659102187.html</t>
        </is>
      </c>
      <c r="K84" t="inlineStr">
        <is>
          <t>2026-09-15</t>
        </is>
      </c>
    </row>
    <row r="85">
      <c r="A85" t="inlineStr">
        <is>
          <t>SAGT43</t>
        </is>
      </c>
      <c r="B85" t="inlineStr">
        <is>
          <t>巨量边界ETF对冲1号</t>
        </is>
      </c>
      <c r="C85" t="inlineStr">
        <is>
          <t>北京巨量边界</t>
        </is>
      </c>
      <c r="D85" t="inlineStr">
        <is>
          <t>北京巨量边界私募基金管理有限公司</t>
        </is>
      </c>
      <c r="E85" t="inlineStr">
        <is>
          <t>P1072384</t>
        </is>
      </c>
      <c r="F85" t="inlineStr">
        <is>
          <t>20-50亿元</t>
        </is>
      </c>
      <c r="G85" t="inlineStr">
        <is>
          <t>大规模</t>
        </is>
      </c>
      <c r="H85" t="inlineStr">
        <is>
          <t>协会提示／报送异常</t>
        </is>
      </c>
      <c r="I85" t="inlineStr">
        <is>
          <t>https://gs.amac.org.cn/amac-infodisc/res/pof/manager/2107271706122405.html</t>
        </is>
      </c>
      <c r="J85" t="inlineStr">
        <is>
          <t>https://gs.amac.org.cn/amac-infodisc/res/pof/fund/2404030958107001.html</t>
        </is>
      </c>
      <c r="K85" t="inlineStr">
        <is>
          <t>2026-09-15</t>
        </is>
      </c>
    </row>
    <row r="86">
      <c r="A86" t="inlineStr">
        <is>
          <t>SAHX36</t>
        </is>
      </c>
      <c r="B86" t="inlineStr">
        <is>
          <t>慕途商品套利1号</t>
        </is>
      </c>
      <c r="C86" t="inlineStr">
        <is>
          <t>慕途基金</t>
        </is>
      </c>
      <c r="D86" t="inlineStr">
        <is>
          <t>上海慕途私募基金管理有限公司</t>
        </is>
      </c>
      <c r="E86" t="inlineStr">
        <is>
          <t>P1073298</t>
        </is>
      </c>
      <c r="F86" t="inlineStr">
        <is>
          <t>10-20亿元</t>
        </is>
      </c>
      <c r="G86" t="inlineStr">
        <is>
          <t>大规模</t>
        </is>
      </c>
      <c r="H86" t="inlineStr">
        <is>
          <t>本次公示未见相关记录</t>
        </is>
      </c>
      <c r="I86" t="inlineStr">
        <is>
          <t>https://gs.amac.org.cn/amac-infodisc/res/pof/manager/2106221238106983.html</t>
        </is>
      </c>
      <c r="J86" t="inlineStr">
        <is>
          <t>https://gs.amac.org.cn/amac-infodisc/res/pof/fund/2404081616103724.html</t>
        </is>
      </c>
      <c r="K86" t="inlineStr">
        <is>
          <t>2026-09-15</t>
        </is>
      </c>
    </row>
    <row r="87">
      <c r="A87" t="inlineStr">
        <is>
          <t>SAHU42</t>
        </is>
      </c>
      <c r="B87" t="inlineStr">
        <is>
          <t>远澜冬青跨境套利1号</t>
        </is>
      </c>
      <c r="C87" t="inlineStr">
        <is>
          <t>上海远澜</t>
        </is>
      </c>
      <c r="D87" t="inlineStr">
        <is>
          <t>上海远澜私募基金管理有限公司</t>
        </is>
      </c>
      <c r="E87" t="inlineStr">
        <is>
          <t>P1018484</t>
        </is>
      </c>
      <c r="F87" t="inlineStr">
        <is>
          <t>100亿元以上</t>
        </is>
      </c>
      <c r="G87" t="inlineStr">
        <is>
          <t>大规模</t>
        </is>
      </c>
      <c r="H87" t="inlineStr">
        <is>
          <t>本次公示未见相关记录</t>
        </is>
      </c>
      <c r="I87" t="inlineStr">
        <is>
          <t>https://gs.amac.org.cn/amac-infodisc/res/pof/manager/101000022626.html</t>
        </is>
      </c>
      <c r="J87" t="inlineStr">
        <is>
          <t>https://gs.amac.org.cn/amac-infodisc/res/pof/fund/2404091900108594.html</t>
        </is>
      </c>
      <c r="K87" t="inlineStr">
        <is>
          <t>2026-09-15</t>
        </is>
      </c>
    </row>
    <row r="88">
      <c r="A88" t="inlineStr">
        <is>
          <t>SAHM04</t>
        </is>
      </c>
      <c r="B88" t="inlineStr">
        <is>
          <t>唐德幽兰量化套利一号</t>
        </is>
      </c>
      <c r="C88" t="inlineStr">
        <is>
          <t>深圳唐德</t>
        </is>
      </c>
      <c r="D88" t="inlineStr">
        <is>
          <t>深圳唐德私募证券投资基金管理有限公司</t>
        </is>
      </c>
      <c r="E88" t="inlineStr">
        <is>
          <t>P1027490</t>
        </is>
      </c>
      <c r="F88" t="inlineStr">
        <is>
          <t>0-5亿元</t>
        </is>
      </c>
      <c r="G88" t="inlineStr">
        <is>
          <t>小规模</t>
        </is>
      </c>
      <c r="H88" t="inlineStr">
        <is>
          <t>本次公示未见相关记录</t>
        </is>
      </c>
      <c r="I88" t="inlineStr">
        <is>
          <t>https://gs.amac.org.cn/amac-infodisc/res/pof/manager/101000038100.html</t>
        </is>
      </c>
      <c r="J88" t="inlineStr">
        <is>
          <t>https://gs.amac.org.cn/amac-infodisc/res/pof/fund/2404301325106956.html</t>
        </is>
      </c>
      <c r="K88" t="inlineStr">
        <is>
          <t>2026-09-15</t>
        </is>
      </c>
    </row>
    <row r="89">
      <c r="A89" t="inlineStr">
        <is>
          <t>SAEJ83</t>
        </is>
      </c>
      <c r="B89" t="inlineStr">
        <is>
          <t>广联宏长青树2号</t>
        </is>
      </c>
      <c r="C89" t="inlineStr">
        <is>
          <t>海南广联宏</t>
        </is>
      </c>
      <c r="D89" t="inlineStr">
        <is>
          <t>海南广联宏私募基金管理有限公司</t>
        </is>
      </c>
      <c r="E89" t="inlineStr">
        <is>
          <t>P1072844</t>
        </is>
      </c>
      <c r="F89" t="inlineStr">
        <is>
          <t>5-10亿元</t>
        </is>
      </c>
      <c r="G89" t="inlineStr">
        <is>
          <t>大规模</t>
        </is>
      </c>
      <c r="H89" t="inlineStr">
        <is>
          <t>协会提示／报送异常</t>
        </is>
      </c>
      <c r="I89" t="inlineStr">
        <is>
          <t>https://gs.amac.org.cn/amac-infodisc/res/pof/manager/2109061042100364.html</t>
        </is>
      </c>
      <c r="J89" t="inlineStr">
        <is>
          <t>https://gs.amac.org.cn/amac-infodisc/res/pof/fund/2405140854108785.html</t>
        </is>
      </c>
      <c r="K89" t="inlineStr">
        <is>
          <t>2026-09-15</t>
        </is>
      </c>
    </row>
    <row r="90">
      <c r="A90" t="inlineStr">
        <is>
          <t>SAKB02</t>
        </is>
      </c>
      <c r="B90" t="inlineStr">
        <is>
          <t>宽辅优享1号</t>
        </is>
      </c>
      <c r="C90" t="inlineStr">
        <is>
          <t>海南宽辅</t>
        </is>
      </c>
      <c r="D90" t="inlineStr">
        <is>
          <t>海南宽辅私募基金管理合伙企业（有限合伙）</t>
        </is>
      </c>
      <c r="E90" t="inlineStr">
        <is>
          <t>P1074464</t>
        </is>
      </c>
      <c r="F90" t="inlineStr">
        <is>
          <t>10-20亿元</t>
        </is>
      </c>
      <c r="G90" t="inlineStr">
        <is>
          <t>大规模</t>
        </is>
      </c>
      <c r="H90" t="inlineStr">
        <is>
          <t>协会提示／报送异常</t>
        </is>
      </c>
      <c r="I90" t="inlineStr">
        <is>
          <t>https://gs.amac.org.cn/amac-infodisc/res/pof/manager/2302271449102202.html</t>
        </is>
      </c>
      <c r="J90" t="inlineStr">
        <is>
          <t>https://gs.amac.org.cn/amac-infodisc/res/pof/fund/2405091231105978.html</t>
        </is>
      </c>
      <c r="K90" t="inlineStr">
        <is>
          <t>2026-09-15</t>
        </is>
      </c>
    </row>
    <row r="91">
      <c r="A91" t="inlineStr">
        <is>
          <t>AHS76B</t>
        </is>
      </c>
      <c r="B91" t="inlineStr">
        <is>
          <t>博普安兴私享一号B类</t>
        </is>
      </c>
      <c r="C91" t="inlineStr">
        <is>
          <t>深圳前海博普资管</t>
        </is>
      </c>
      <c r="D91" t="inlineStr">
        <is>
          <t>深圳前海博普资产管理有限公司 深圳前海博普资产管理有限公司</t>
        </is>
      </c>
      <c r="E91" t="inlineStr">
        <is>
          <t>P1067653</t>
        </is>
      </c>
      <c r="F91" t="inlineStr">
        <is>
          <t>50-100亿元</t>
        </is>
      </c>
      <c r="G91" t="inlineStr">
        <is>
          <t>大规模</t>
        </is>
      </c>
      <c r="H91" t="inlineStr">
        <is>
          <t>本次公示未见相关记录</t>
        </is>
      </c>
      <c r="I91" t="inlineStr">
        <is>
          <t>https://gs.amac.org.cn/amac-infodisc/res/pof/manager/1709041706102598.html</t>
        </is>
      </c>
      <c r="K91" t="inlineStr">
        <is>
          <t>2026-09-15</t>
        </is>
      </c>
    </row>
    <row r="92">
      <c r="A92" t="inlineStr">
        <is>
          <t>SALD19</t>
        </is>
      </c>
      <c r="B92" t="inlineStr">
        <is>
          <t>龙智福星</t>
        </is>
      </c>
      <c r="C92" t="inlineStr">
        <is>
          <t>广州龙智投资</t>
        </is>
      </c>
      <c r="D92" t="inlineStr">
        <is>
          <t>广州市龙智投资管理有限公司</t>
        </is>
      </c>
      <c r="E92" t="inlineStr">
        <is>
          <t>P1063752</t>
        </is>
      </c>
      <c r="F92" t="inlineStr">
        <is>
          <t>0-5亿元</t>
        </is>
      </c>
      <c r="G92" t="inlineStr">
        <is>
          <t>小规模</t>
        </is>
      </c>
      <c r="H92" t="inlineStr">
        <is>
          <t>协会提示／报送异常</t>
        </is>
      </c>
      <c r="I92" t="inlineStr">
        <is>
          <t>https://gs.amac.org.cn/amac-infodisc/res/pof/manager/1704141230109314.html</t>
        </is>
      </c>
      <c r="J92" t="inlineStr">
        <is>
          <t>https://gs.amac.org.cn/amac-infodisc/res/pof/fund/2406171923109797.html</t>
        </is>
      </c>
      <c r="K92" t="inlineStr">
        <is>
          <t>2026-09-15</t>
        </is>
      </c>
    </row>
    <row r="93">
      <c r="A93" t="inlineStr">
        <is>
          <t>AJV57A</t>
        </is>
      </c>
      <c r="B93" t="inlineStr">
        <is>
          <t>嘉和传承精研倍赢二期A类</t>
        </is>
      </c>
      <c r="C93" t="inlineStr">
        <is>
          <t>上海嘉和传承</t>
        </is>
      </c>
      <c r="D93" t="inlineStr">
        <is>
          <t>上海嘉和传承私募基金管理有限公司 上海嘉和传承私募基金管理有限公司</t>
        </is>
      </c>
      <c r="E93" t="inlineStr">
        <is>
          <t>P1074030</t>
        </is>
      </c>
      <c r="F93" t="inlineStr">
        <is>
          <t>5-10亿元</t>
        </is>
      </c>
      <c r="G93" t="inlineStr">
        <is>
          <t>大规模</t>
        </is>
      </c>
      <c r="H93" t="inlineStr">
        <is>
          <t>本次公示未见相关记录</t>
        </is>
      </c>
      <c r="I93" t="inlineStr">
        <is>
          <t>https://gs.amac.org.cn/amac-infodisc/res/pof/manager/2203031405108672.html</t>
        </is>
      </c>
      <c r="K93" t="inlineStr">
        <is>
          <t>2026-09-15</t>
        </is>
      </c>
    </row>
    <row r="94">
      <c r="A94" t="inlineStr">
        <is>
          <t>SALW01</t>
        </is>
      </c>
      <c r="B94" t="inlineStr">
        <is>
          <t>利恩华龙股票进取一号</t>
        </is>
      </c>
      <c r="C94" t="inlineStr">
        <is>
          <t>上海利恩</t>
        </is>
      </c>
      <c r="D94" t="inlineStr">
        <is>
          <t>上海利恩私募基金管理有限公司</t>
        </is>
      </c>
      <c r="E94" t="inlineStr">
        <is>
          <t>P1021571</t>
        </is>
      </c>
      <c r="F94" t="inlineStr">
        <is>
          <t>0-5亿元</t>
        </is>
      </c>
      <c r="G94" t="inlineStr">
        <is>
          <t>小规模</t>
        </is>
      </c>
      <c r="H94" t="inlineStr">
        <is>
          <t>协会提示／报送异常</t>
        </is>
      </c>
      <c r="I94" t="inlineStr">
        <is>
          <t>https://gs.amac.org.cn/amac-infodisc/res/pof/manager/101000031741.html</t>
        </is>
      </c>
      <c r="J94" t="inlineStr">
        <is>
          <t>https://gs.amac.org.cn/amac-infodisc/res/pof/fund/2408261734100092.html</t>
        </is>
      </c>
      <c r="K94" t="inlineStr">
        <is>
          <t>2026-09-15</t>
        </is>
      </c>
    </row>
    <row r="95">
      <c r="A95" t="inlineStr">
        <is>
          <t>AHS76A</t>
        </is>
      </c>
      <c r="B95" t="inlineStr">
        <is>
          <t>博普安兴私享一号A类</t>
        </is>
      </c>
      <c r="C95" t="inlineStr">
        <is>
          <t>深圳前海博普资管</t>
        </is>
      </c>
      <c r="D95" t="inlineStr">
        <is>
          <t>深圳前海博普资产管理有限公司 深圳前海博普资产管理有限公司</t>
        </is>
      </c>
      <c r="E95" t="inlineStr">
        <is>
          <t>P1067653</t>
        </is>
      </c>
      <c r="F95" t="inlineStr">
        <is>
          <t>50-100亿元</t>
        </is>
      </c>
      <c r="G95" t="inlineStr">
        <is>
          <t>大规模</t>
        </is>
      </c>
      <c r="H95" t="inlineStr">
        <is>
          <t>本次公示未见相关记录</t>
        </is>
      </c>
      <c r="I95" t="inlineStr">
        <is>
          <t>https://gs.amac.org.cn/amac-infodisc/res/pof/manager/1709041706102598.html</t>
        </is>
      </c>
      <c r="K95" t="inlineStr">
        <is>
          <t>2026-09-15</t>
        </is>
      </c>
    </row>
    <row r="96">
      <c r="A96" t="inlineStr">
        <is>
          <t>SAQB15</t>
        </is>
      </c>
      <c r="B96" t="inlineStr">
        <is>
          <t>鑫泰禾安赢1号</t>
        </is>
      </c>
      <c r="C96" t="inlineStr">
        <is>
          <t>深圳鑫泰禾</t>
        </is>
      </c>
      <c r="D96" t="inlineStr">
        <is>
          <t>深圳鑫泰禾私募证券投资基金管理有限公司</t>
        </is>
      </c>
      <c r="E96" t="inlineStr">
        <is>
          <t>P1028974</t>
        </is>
      </c>
      <c r="F96" t="inlineStr">
        <is>
          <t>0-5亿元</t>
        </is>
      </c>
      <c r="G96" t="inlineStr">
        <is>
          <t>小规模</t>
        </is>
      </c>
      <c r="H96" t="inlineStr">
        <is>
          <t>协会提示／报送异常</t>
        </is>
      </c>
      <c r="I96" t="inlineStr">
        <is>
          <t>https://gs.amac.org.cn/amac-infodisc/res/pof/manager/101000041857.html</t>
        </is>
      </c>
      <c r="J96" t="inlineStr">
        <is>
          <t>https://gs.amac.org.cn/amac-infodisc/res/pof/fund/2410291900108187.html</t>
        </is>
      </c>
      <c r="K96" t="inlineStr">
        <is>
          <t>2026-09-15</t>
        </is>
      </c>
    </row>
    <row r="97">
      <c r="A97" t="inlineStr">
        <is>
          <t>SAQQ67</t>
        </is>
      </c>
      <c r="B97" t="inlineStr">
        <is>
          <t>慕途盈川1号</t>
        </is>
      </c>
      <c r="C97" t="inlineStr">
        <is>
          <t>慕途基金</t>
        </is>
      </c>
      <c r="D97" t="inlineStr">
        <is>
          <t>上海慕途私募基金管理有限公司</t>
        </is>
      </c>
      <c r="E97" t="inlineStr">
        <is>
          <t>P1073298</t>
        </is>
      </c>
      <c r="F97" t="inlineStr">
        <is>
          <t>10-20亿元</t>
        </is>
      </c>
      <c r="G97" t="inlineStr">
        <is>
          <t>大规模</t>
        </is>
      </c>
      <c r="H97" t="inlineStr">
        <is>
          <t>本次公示未见相关记录</t>
        </is>
      </c>
      <c r="I97" t="inlineStr">
        <is>
          <t>https://gs.amac.org.cn/amac-infodisc/res/pof/manager/2106221238106983.html</t>
        </is>
      </c>
      <c r="J97" t="inlineStr">
        <is>
          <t>https://gs.amac.org.cn/amac-infodisc/res/pof/fund/2412092007109429.html</t>
        </is>
      </c>
      <c r="K97" t="inlineStr">
        <is>
          <t>2026-09-15</t>
        </is>
      </c>
    </row>
    <row r="98">
      <c r="A98" t="inlineStr">
        <is>
          <t>SARN68</t>
        </is>
      </c>
      <c r="B98" t="inlineStr">
        <is>
          <t>根鸟利恩稳健套利二号</t>
        </is>
      </c>
      <c r="C98" t="inlineStr">
        <is>
          <t>上海利恩</t>
        </is>
      </c>
      <c r="D98" t="inlineStr">
        <is>
          <t>上海利恩私募基金管理有限公司</t>
        </is>
      </c>
      <c r="E98" t="inlineStr">
        <is>
          <t>P1021571</t>
        </is>
      </c>
      <c r="F98" t="inlineStr">
        <is>
          <t>0-5亿元</t>
        </is>
      </c>
      <c r="G98" t="inlineStr">
        <is>
          <t>小规模</t>
        </is>
      </c>
      <c r="H98" t="inlineStr">
        <is>
          <t>协会提示／报送异常</t>
        </is>
      </c>
      <c r="I98" t="inlineStr">
        <is>
          <t>https://gs.amac.org.cn/amac-infodisc/res/pof/manager/101000031741.html</t>
        </is>
      </c>
      <c r="J98" t="inlineStr">
        <is>
          <t>https://gs.amac.org.cn/amac-infodisc/res/pof/fund/2412111450104834.html</t>
        </is>
      </c>
      <c r="K98" t="inlineStr">
        <is>
          <t>2026-09-15</t>
        </is>
      </c>
    </row>
    <row r="99">
      <c r="A99" t="inlineStr">
        <is>
          <t>AHM04A</t>
        </is>
      </c>
      <c r="B99" t="inlineStr">
        <is>
          <t>唐德幽兰量化套利一号A类</t>
        </is>
      </c>
      <c r="C99" t="inlineStr">
        <is>
          <t>深圳唐德</t>
        </is>
      </c>
      <c r="D99" t="inlineStr">
        <is>
          <t>深圳唐德私募证券投资基金管理有限公司 深圳唐德私募证券投资基金管理有限公司</t>
        </is>
      </c>
      <c r="E99" t="inlineStr">
        <is>
          <t>P1027490</t>
        </is>
      </c>
      <c r="F99" t="inlineStr">
        <is>
          <t>0-5亿元</t>
        </is>
      </c>
      <c r="G99" t="inlineStr">
        <is>
          <t>小规模</t>
        </is>
      </c>
      <c r="H99" t="inlineStr">
        <is>
          <t>本次公示未见相关记录</t>
        </is>
      </c>
      <c r="I99" t="inlineStr">
        <is>
          <t>https://gs.amac.org.cn/amac-infodisc/res/pof/manager/101000038100.html</t>
        </is>
      </c>
      <c r="K99" t="inlineStr">
        <is>
          <t>2026-09-15</t>
        </is>
      </c>
    </row>
    <row r="100">
      <c r="A100" t="inlineStr">
        <is>
          <t>SZW093</t>
        </is>
      </c>
      <c r="B100" t="inlineStr">
        <is>
          <t>启元高粱2号</t>
        </is>
      </c>
      <c r="C100" t="inlineStr">
        <is>
          <t>温州启元资管</t>
        </is>
      </c>
      <c r="D100" t="inlineStr">
        <is>
          <t>温州启元资产管理有限公司</t>
        </is>
      </c>
      <c r="E100" t="inlineStr">
        <is>
          <t>P1012870</t>
        </is>
      </c>
      <c r="F100" t="inlineStr">
        <is>
          <t>20-50亿元</t>
        </is>
      </c>
      <c r="G100" t="inlineStr">
        <is>
          <t>大规模</t>
        </is>
      </c>
      <c r="H100" t="inlineStr">
        <is>
          <t>监管警示函</t>
        </is>
      </c>
      <c r="I100" t="inlineStr">
        <is>
          <t>https://gs.amac.org.cn/amac-infodisc/res/pof/manager/101000016432.html</t>
        </is>
      </c>
      <c r="J100" t="inlineStr">
        <is>
          <t>https://gs.amac.org.cn/amac-infodisc/res/pof/fund/2412181712104964.html</t>
        </is>
      </c>
      <c r="K100" t="inlineStr">
        <is>
          <t>2026-09-15</t>
        </is>
      </c>
    </row>
    <row r="101">
      <c r="A101" t="inlineStr">
        <is>
          <t>SASB96</t>
        </is>
      </c>
      <c r="B101" t="inlineStr">
        <is>
          <t>六妙星滚雪粒1号</t>
        </is>
      </c>
      <c r="C101" t="inlineStr">
        <is>
          <t>北京六妙星</t>
        </is>
      </c>
      <c r="D101" t="inlineStr">
        <is>
          <t>六妙星（北京）私募基金管理有限公司</t>
        </is>
      </c>
      <c r="E101" t="inlineStr">
        <is>
          <t>P1073972</t>
        </is>
      </c>
      <c r="F101" t="inlineStr">
        <is>
          <t>20-50亿元</t>
        </is>
      </c>
      <c r="G101" t="inlineStr">
        <is>
          <t>大规模</t>
        </is>
      </c>
      <c r="H101" t="inlineStr">
        <is>
          <t>本次公示未见相关记录</t>
        </is>
      </c>
      <c r="I101" t="inlineStr">
        <is>
          <t>https://gs.amac.org.cn/amac-infodisc/res/pof/manager/2012211324102340.html</t>
        </is>
      </c>
      <c r="J101" t="inlineStr">
        <is>
          <t>https://gs.amac.org.cn/amac-infodisc/res/pof/fund/2412311133107562.html</t>
        </is>
      </c>
      <c r="K101" t="inlineStr">
        <is>
          <t>2026-09-15</t>
        </is>
      </c>
    </row>
    <row r="102">
      <c r="A102" t="inlineStr">
        <is>
          <t>SASG02</t>
        </is>
      </c>
      <c r="B102" t="inlineStr">
        <is>
          <t>纵帆禾裕二号</t>
        </is>
      </c>
      <c r="C102" t="inlineStr">
        <is>
          <t>海南纵帆</t>
        </is>
      </c>
      <c r="D102" t="inlineStr">
        <is>
          <t>海南纵帆私募基金管理有限公司</t>
        </is>
      </c>
      <c r="E102" t="inlineStr">
        <is>
          <t>P1072157</t>
        </is>
      </c>
      <c r="F102" t="inlineStr">
        <is>
          <t>0-5亿元</t>
        </is>
      </c>
      <c r="G102" t="inlineStr">
        <is>
          <t>小规模</t>
        </is>
      </c>
      <c r="H102" t="inlineStr">
        <is>
          <t>协会提示／报送异常</t>
        </is>
      </c>
      <c r="I102" t="inlineStr">
        <is>
          <t>https://gs.amac.org.cn/amac-infodisc/res/pof/manager/2010291454105615.html</t>
        </is>
      </c>
      <c r="J102" t="inlineStr">
        <is>
          <t>https://gs.amac.org.cn/amac-infodisc/res/pof/fund/2412261646108609.html</t>
        </is>
      </c>
      <c r="K102" t="inlineStr">
        <is>
          <t>2026-09-15</t>
        </is>
      </c>
    </row>
    <row r="103">
      <c r="A103" t="inlineStr">
        <is>
          <t>SARX48</t>
        </is>
      </c>
      <c r="B103" t="inlineStr">
        <is>
          <t>纵帆禾裕一号</t>
        </is>
      </c>
      <c r="C103" t="inlineStr">
        <is>
          <t>海南纵帆</t>
        </is>
      </c>
      <c r="D103" t="inlineStr">
        <is>
          <t>海南纵帆私募基金管理有限公司</t>
        </is>
      </c>
      <c r="E103" t="inlineStr">
        <is>
          <t>P1072157</t>
        </is>
      </c>
      <c r="F103" t="inlineStr">
        <is>
          <t>0-5亿元</t>
        </is>
      </c>
      <c r="G103" t="inlineStr">
        <is>
          <t>小规模</t>
        </is>
      </c>
      <c r="H103" t="inlineStr">
        <is>
          <t>协会提示／报送异常</t>
        </is>
      </c>
      <c r="I103" t="inlineStr">
        <is>
          <t>https://gs.amac.org.cn/amac-infodisc/res/pof/manager/2010291454105615.html</t>
        </is>
      </c>
      <c r="J103" t="inlineStr">
        <is>
          <t>https://gs.amac.org.cn/amac-infodisc/res/pof/fund/2501061019107429.html</t>
        </is>
      </c>
      <c r="K103" t="inlineStr">
        <is>
          <t>2026-09-15</t>
        </is>
      </c>
    </row>
    <row r="104">
      <c r="A104" t="inlineStr">
        <is>
          <t>SATV20</t>
        </is>
      </c>
      <c r="B104" t="inlineStr">
        <is>
          <t>广联宏稳健2号</t>
        </is>
      </c>
      <c r="C104" t="inlineStr">
        <is>
          <t>海南广联宏</t>
        </is>
      </c>
      <c r="D104" t="inlineStr">
        <is>
          <t>海南广联宏私募基金管理有限公司</t>
        </is>
      </c>
      <c r="E104" t="inlineStr">
        <is>
          <t>P1072844</t>
        </is>
      </c>
      <c r="F104" t="inlineStr">
        <is>
          <t>5-10亿元</t>
        </is>
      </c>
      <c r="G104" t="inlineStr">
        <is>
          <t>大规模</t>
        </is>
      </c>
      <c r="H104" t="inlineStr">
        <is>
          <t>协会提示／报送异常</t>
        </is>
      </c>
      <c r="I104" t="inlineStr">
        <is>
          <t>https://gs.amac.org.cn/amac-infodisc/res/pof/manager/2109061042100364.html</t>
        </is>
      </c>
      <c r="J104" t="inlineStr">
        <is>
          <t>https://gs.amac.org.cn/amac-infodisc/res/pof/fund/2502201715102727.html</t>
        </is>
      </c>
      <c r="K104" t="inlineStr">
        <is>
          <t>2026-09-15</t>
        </is>
      </c>
    </row>
    <row r="105">
      <c r="A105" t="inlineStr">
        <is>
          <t>SATY96</t>
        </is>
      </c>
      <c r="B105" t="inlineStr">
        <is>
          <t>濡圣橡石2号</t>
        </is>
      </c>
      <c r="C105" t="inlineStr">
        <is>
          <t>上海濡圣</t>
        </is>
      </c>
      <c r="D105" t="inlineStr">
        <is>
          <t>上海濡圣私募基金管理有限公司</t>
        </is>
      </c>
      <c r="E105" t="inlineStr">
        <is>
          <t>P1031748</t>
        </is>
      </c>
      <c r="F105" t="inlineStr">
        <is>
          <t>0-5亿元</t>
        </is>
      </c>
      <c r="G105" t="inlineStr">
        <is>
          <t>小规模</t>
        </is>
      </c>
      <c r="H105" t="inlineStr">
        <is>
          <t>本次公示未见相关记录</t>
        </is>
      </c>
      <c r="I105" t="inlineStr">
        <is>
          <t>https://gs.amac.org.cn/amac-infodisc/res/pof/manager/101000050489.html</t>
        </is>
      </c>
      <c r="J105" t="inlineStr">
        <is>
          <t>https://gs.amac.org.cn/amac-infodisc/res/pof/fund/2502241929109266.html</t>
        </is>
      </c>
      <c r="K105" t="inlineStr">
        <is>
          <t>2026-09-15</t>
        </is>
      </c>
    </row>
    <row r="106">
      <c r="A106" t="inlineStr">
        <is>
          <t>SAXN78</t>
        </is>
      </c>
      <c r="B106" t="inlineStr">
        <is>
          <t>九木套利1号</t>
        </is>
      </c>
      <c r="C106" t="inlineStr">
        <is>
          <t>深圳九木</t>
        </is>
      </c>
      <c r="D106" t="inlineStr">
        <is>
          <t>深圳九木私募证券基金管理有限公司</t>
        </is>
      </c>
      <c r="E106" t="inlineStr">
        <is>
          <t>P1074963</t>
        </is>
      </c>
      <c r="F106" t="inlineStr">
        <is>
          <t>10-20亿元</t>
        </is>
      </c>
      <c r="G106" t="inlineStr">
        <is>
          <t>大规模</t>
        </is>
      </c>
      <c r="H106" t="inlineStr">
        <is>
          <t>本次公示未见相关记录</t>
        </is>
      </c>
      <c r="I106" t="inlineStr">
        <is>
          <t>https://gs.amac.org.cn/amac-infodisc/res/pof/manager/2502261446106414.html</t>
        </is>
      </c>
      <c r="J106" t="inlineStr">
        <is>
          <t>https://gs.amac.org.cn/amac-infodisc/res/pof/fund/2504251101107555.html</t>
        </is>
      </c>
      <c r="K106" t="inlineStr">
        <is>
          <t>2026-09-15</t>
        </is>
      </c>
    </row>
    <row r="107">
      <c r="A107" t="inlineStr">
        <is>
          <t>SAYN63</t>
        </is>
      </c>
      <c r="B107" t="inlineStr">
        <is>
          <t>邦阁赤水1号</t>
        </is>
      </c>
      <c r="C107" t="inlineStr">
        <is>
          <t>上海邦阁</t>
        </is>
      </c>
      <c r="D107" t="inlineStr">
        <is>
          <t>上海邦阁私募基金管理有限公司</t>
        </is>
      </c>
      <c r="E107" t="inlineStr">
        <is>
          <t>P1017418</t>
        </is>
      </c>
      <c r="F107" t="inlineStr">
        <is>
          <t>0-5亿元</t>
        </is>
      </c>
      <c r="G107" t="inlineStr">
        <is>
          <t>小规模</t>
        </is>
      </c>
      <c r="H107" t="inlineStr">
        <is>
          <t>本次公示未见相关记录</t>
        </is>
      </c>
      <c r="I107" t="inlineStr">
        <is>
          <t>https://gs.amac.org.cn/amac-infodisc/res/pof/manager/101000026158.html</t>
        </is>
      </c>
      <c r="J107" t="inlineStr">
        <is>
          <t>https://gs.amac.org.cn/amac-infodisc/res/pof/fund/2506041444104018.html</t>
        </is>
      </c>
      <c r="K107" t="inlineStr">
        <is>
          <t>2026-09-15</t>
        </is>
      </c>
    </row>
    <row r="108">
      <c r="A108" t="inlineStr">
        <is>
          <t>AYU55A</t>
        </is>
      </c>
      <c r="B108" t="inlineStr">
        <is>
          <t>嘉和传承如期而至二期A类</t>
        </is>
      </c>
      <c r="C108" t="inlineStr">
        <is>
          <t>上海嘉和传承</t>
        </is>
      </c>
      <c r="D108" t="inlineStr">
        <is>
          <t>上海嘉和传承私募基金管理有限公司 上海嘉和传承私募基金管理有限公司</t>
        </is>
      </c>
      <c r="E108" t="inlineStr">
        <is>
          <t>P1074030</t>
        </is>
      </c>
      <c r="F108" t="inlineStr">
        <is>
          <t>5-10亿元</t>
        </is>
      </c>
      <c r="G108" t="inlineStr">
        <is>
          <t>大规模</t>
        </is>
      </c>
      <c r="H108" t="inlineStr">
        <is>
          <t>本次公示未见相关记录</t>
        </is>
      </c>
      <c r="I108" t="inlineStr">
        <is>
          <t>https://gs.amac.org.cn/amac-infodisc/res/pof/manager/2203031405108672.html</t>
        </is>
      </c>
      <c r="K108" t="inlineStr">
        <is>
          <t>2026-09-15</t>
        </is>
      </c>
    </row>
    <row r="109">
      <c r="A109" t="inlineStr">
        <is>
          <t>SAZX46</t>
        </is>
      </c>
      <c r="B109" t="inlineStr">
        <is>
          <t>龙智五福</t>
        </is>
      </c>
      <c r="C109" t="inlineStr">
        <is>
          <t>广州龙智投资</t>
        </is>
      </c>
      <c r="D109" t="inlineStr">
        <is>
          <t>广州市龙智投资管理有限公司</t>
        </is>
      </c>
      <c r="E109" t="inlineStr">
        <is>
          <t>P1063752</t>
        </is>
      </c>
      <c r="F109" t="inlineStr">
        <is>
          <t>0-5亿元</t>
        </is>
      </c>
      <c r="G109" t="inlineStr">
        <is>
          <t>小规模</t>
        </is>
      </c>
      <c r="H109" t="inlineStr">
        <is>
          <t>协会提示／报送异常</t>
        </is>
      </c>
      <c r="I109" t="inlineStr">
        <is>
          <t>https://gs.amac.org.cn/amac-infodisc/res/pof/manager/1704141230109314.html</t>
        </is>
      </c>
      <c r="J109" t="inlineStr">
        <is>
          <t>https://gs.amac.org.cn/amac-infodisc/res/pof/fund/2506271924100188.html</t>
        </is>
      </c>
      <c r="K109" t="inlineStr">
        <is>
          <t>2026-09-15</t>
        </is>
      </c>
    </row>
    <row r="110">
      <c r="A110" t="inlineStr">
        <is>
          <t>SBAQ94</t>
        </is>
      </c>
      <c r="B110" t="inlineStr">
        <is>
          <t>六妙星彩云归低波2号</t>
        </is>
      </c>
      <c r="C110" t="inlineStr">
        <is>
          <t>北京六妙星</t>
        </is>
      </c>
      <c r="D110" t="inlineStr">
        <is>
          <t>六妙星（北京）私募基金管理有限公司</t>
        </is>
      </c>
      <c r="E110" t="inlineStr">
        <is>
          <t>P1073972</t>
        </is>
      </c>
      <c r="F110" t="inlineStr">
        <is>
          <t>20-50亿元</t>
        </is>
      </c>
      <c r="G110" t="inlineStr">
        <is>
          <t>大规模</t>
        </is>
      </c>
      <c r="H110" t="inlineStr">
        <is>
          <t>本次公示未见相关记录</t>
        </is>
      </c>
      <c r="I110" t="inlineStr">
        <is>
          <t>https://gs.amac.org.cn/amac-infodisc/res/pof/manager/2012211324102340.html</t>
        </is>
      </c>
      <c r="J110" t="inlineStr">
        <is>
          <t>https://gs.amac.org.cn/amac-infodisc/res/pof/fund/2507011111106192.html</t>
        </is>
      </c>
      <c r="K110" t="inlineStr">
        <is>
          <t>2026-09-15</t>
        </is>
      </c>
    </row>
    <row r="111">
      <c r="A111" t="inlineStr">
        <is>
          <t>SBDG79</t>
        </is>
      </c>
      <c r="B111" t="inlineStr">
        <is>
          <t>纵帆禾裕三号</t>
        </is>
      </c>
      <c r="C111" t="inlineStr">
        <is>
          <t>海南纵帆</t>
        </is>
      </c>
      <c r="D111" t="inlineStr">
        <is>
          <t>海南纵帆私募基金管理有限公司</t>
        </is>
      </c>
      <c r="E111" t="inlineStr">
        <is>
          <t>P1072157</t>
        </is>
      </c>
      <c r="F111" t="inlineStr">
        <is>
          <t>0-5亿元</t>
        </is>
      </c>
      <c r="G111" t="inlineStr">
        <is>
          <t>小规模</t>
        </is>
      </c>
      <c r="H111" t="inlineStr">
        <is>
          <t>协会提示／报送异常</t>
        </is>
      </c>
      <c r="I111" t="inlineStr">
        <is>
          <t>https://gs.amac.org.cn/amac-infodisc/res/pof/manager/2010291454105615.html</t>
        </is>
      </c>
      <c r="J111" t="inlineStr">
        <is>
          <t>https://gs.amac.org.cn/amac-infodisc/res/pof/fund/2508130929107823.html</t>
        </is>
      </c>
      <c r="K111" t="inlineStr">
        <is>
          <t>2026-09-15</t>
        </is>
      </c>
    </row>
    <row r="112">
      <c r="A112" t="inlineStr">
        <is>
          <t>SGS754</t>
        </is>
      </c>
      <c r="B112" t="inlineStr">
        <is>
          <t>鋆晟狮王套利</t>
        </is>
      </c>
      <c r="C112" t="inlineStr">
        <is>
          <t>上海鋆晟投资</t>
        </is>
      </c>
      <c r="D112" t="inlineStr">
        <is>
          <t>上海鋆晟投资管理有限公司</t>
        </is>
      </c>
      <c r="E112" t="inlineStr">
        <is>
          <t>P1028385</t>
        </is>
      </c>
      <c r="F112" t="inlineStr">
        <is>
          <t>5-10亿元</t>
        </is>
      </c>
      <c r="G112" t="inlineStr">
        <is>
          <t>大规模</t>
        </is>
      </c>
      <c r="H112" t="inlineStr">
        <is>
          <t>本次公示未见相关记录</t>
        </is>
      </c>
      <c r="I112" t="inlineStr">
        <is>
          <t>https://gs.amac.org.cn/amac-infodisc/res/pof/manager/101000039679.html</t>
        </is>
      </c>
      <c r="J112" t="inlineStr">
        <is>
          <t>https://gs.amac.org.cn/amac-infodisc/res/pof/fund/1908021524105625.html</t>
        </is>
      </c>
      <c r="K112" t="inlineStr">
        <is>
          <t>2026-09-15</t>
        </is>
      </c>
    </row>
    <row r="113">
      <c r="A113" t="inlineStr">
        <is>
          <t>SNG078</t>
        </is>
      </c>
      <c r="B113" t="inlineStr">
        <is>
          <t>晟通京华宏观对冲</t>
        </is>
      </c>
      <c r="C113" t="inlineStr">
        <is>
          <t>深圳前海晟通资管</t>
        </is>
      </c>
      <c r="D113" t="inlineStr">
        <is>
          <t>深圳前海晟通资产管理有限公司</t>
        </is>
      </c>
      <c r="E113" t="inlineStr">
        <is>
          <t>P1067603</t>
        </is>
      </c>
      <c r="F113" t="inlineStr">
        <is>
          <t>0-5亿元</t>
        </is>
      </c>
      <c r="G113" t="inlineStr">
        <is>
          <t>小规模</t>
        </is>
      </c>
      <c r="H113" t="inlineStr">
        <is>
          <t>本次公示未见相关记录</t>
        </is>
      </c>
      <c r="I113" t="inlineStr">
        <is>
          <t>https://gs.amac.org.cn/amac-infodisc/res/pof/manager/1703281619108152.html</t>
        </is>
      </c>
      <c r="J113" t="inlineStr">
        <is>
          <t>https://gs.amac.org.cn/amac-infodisc/res/pof/fund/2012101712107143.html</t>
        </is>
      </c>
      <c r="K113" t="inlineStr">
        <is>
          <t>2026-09-15</t>
        </is>
      </c>
    </row>
    <row r="114">
      <c r="A114" t="inlineStr">
        <is>
          <t>SNH457</t>
        </is>
      </c>
      <c r="B114" t="inlineStr">
        <is>
          <t>量客投资金选套利1号</t>
        </is>
      </c>
      <c r="C114" t="inlineStr">
        <is>
          <t>上海量客</t>
        </is>
      </c>
      <c r="D114" t="inlineStr">
        <is>
          <t>上海量客私募基金管理有限公司</t>
        </is>
      </c>
      <c r="E114" t="inlineStr">
        <is>
          <t>P1000568</t>
        </is>
      </c>
      <c r="F114" t="inlineStr">
        <is>
          <t>50-100亿元</t>
        </is>
      </c>
      <c r="G114" t="inlineStr">
        <is>
          <t>大规模</t>
        </is>
      </c>
      <c r="H114" t="inlineStr">
        <is>
          <t>本次公示未见相关记录</t>
        </is>
      </c>
      <c r="I114" t="inlineStr">
        <is>
          <t>https://gs.amac.org.cn/amac-infodisc/res/pof/manager/101000000790.html</t>
        </is>
      </c>
      <c r="J114" t="inlineStr">
        <is>
          <t>https://gs.amac.org.cn/amac-infodisc/res/pof/fund/2101061734111873.html</t>
        </is>
      </c>
      <c r="K114" t="inlineStr">
        <is>
          <t>2026-09-15</t>
        </is>
      </c>
    </row>
    <row r="115">
      <c r="A115" t="inlineStr">
        <is>
          <t>SNS371</t>
        </is>
      </c>
      <c r="B115" t="inlineStr">
        <is>
          <t>洮利11号1期</t>
        </is>
      </c>
      <c r="C115" t="inlineStr">
        <is>
          <t>上海洮利</t>
        </is>
      </c>
      <c r="D115" t="inlineStr">
        <is>
          <t>上海洮利私募基金管理有限公司</t>
        </is>
      </c>
      <c r="E115" t="inlineStr">
        <is>
          <t>P1069945</t>
        </is>
      </c>
      <c r="F115" t="inlineStr">
        <is>
          <t>5-10亿元</t>
        </is>
      </c>
      <c r="G115" t="inlineStr">
        <is>
          <t>大规模</t>
        </is>
      </c>
      <c r="H115" t="inlineStr">
        <is>
          <t>本次公示未见相关记录</t>
        </is>
      </c>
      <c r="I115" t="inlineStr">
        <is>
          <t>https://gs.amac.org.cn/amac-infodisc/res/pof/manager/1905071402101724.html</t>
        </is>
      </c>
      <c r="J115" t="inlineStr">
        <is>
          <t>https://gs.amac.org.cn/amac-infodisc/res/pof/fund/2101201950101722.html</t>
        </is>
      </c>
      <c r="K115" t="inlineStr">
        <is>
          <t>2026-09-15</t>
        </is>
      </c>
    </row>
    <row r="116">
      <c r="A116" t="inlineStr">
        <is>
          <t>SVB806</t>
        </is>
      </c>
      <c r="B116" t="inlineStr">
        <is>
          <t>悬铃稳健1号</t>
        </is>
      </c>
      <c r="C116" t="inlineStr">
        <is>
          <t>上海悬铃</t>
        </is>
      </c>
      <c r="D116" t="inlineStr">
        <is>
          <t>上海悬铃私募基金管理有限公司</t>
        </is>
      </c>
      <c r="E116" t="inlineStr">
        <is>
          <t>P1064634</t>
        </is>
      </c>
      <c r="F116" t="inlineStr">
        <is>
          <t>20-50亿元</t>
        </is>
      </c>
      <c r="G116" t="inlineStr">
        <is>
          <t>大规模</t>
        </is>
      </c>
      <c r="H116" t="inlineStr">
        <is>
          <t>本次公示未见相关记录</t>
        </is>
      </c>
      <c r="I116" t="inlineStr">
        <is>
          <t>https://gs.amac.org.cn/amac-infodisc/res/pof/manager/1701161209103763.html</t>
        </is>
      </c>
      <c r="J116" t="inlineStr">
        <is>
          <t>https://gs.amac.org.cn/amac-infodisc/res/pof/fund/2202161802107592.html</t>
        </is>
      </c>
      <c r="K116" t="inlineStr">
        <is>
          <t>2026-09-15</t>
        </is>
      </c>
    </row>
    <row r="117">
      <c r="A117" t="inlineStr">
        <is>
          <t>SVQ802</t>
        </is>
      </c>
      <c r="B117" t="inlineStr">
        <is>
          <t>若谷凌云一号</t>
        </is>
      </c>
      <c r="C117" t="inlineStr">
        <is>
          <t>海南若谷</t>
        </is>
      </c>
      <c r="D117" t="inlineStr">
        <is>
          <t>海南若谷私募基金管理有限公司</t>
        </is>
      </c>
      <c r="E117" t="inlineStr">
        <is>
          <t>P1072233</t>
        </is>
      </c>
      <c r="F117" t="inlineStr">
        <is>
          <t>0-5亿元</t>
        </is>
      </c>
      <c r="G117" t="inlineStr">
        <is>
          <t>小规模</t>
        </is>
      </c>
      <c r="H117" t="inlineStr">
        <is>
          <t>协会提示／报送异常</t>
        </is>
      </c>
      <c r="I117" t="inlineStr">
        <is>
          <t>https://gs.amac.org.cn/amac-infodisc/res/pof/manager/2106151358101928.html</t>
        </is>
      </c>
      <c r="J117" t="inlineStr">
        <is>
          <t>https://gs.amac.org.cn/amac-infodisc/res/pof/fund/2205271705100699.html</t>
        </is>
      </c>
      <c r="K117" t="inlineStr">
        <is>
          <t>2026-09-15</t>
        </is>
      </c>
    </row>
    <row r="118">
      <c r="A118" t="inlineStr">
        <is>
          <t>SZM840</t>
        </is>
      </c>
      <c r="B118" t="inlineStr">
        <is>
          <t>时间稳健1号</t>
        </is>
      </c>
      <c r="C118" t="inlineStr">
        <is>
          <t>青岛时间</t>
        </is>
      </c>
      <c r="D118" t="inlineStr">
        <is>
          <t>青岛时间私募基金管理有限公司</t>
        </is>
      </c>
      <c r="E118" t="inlineStr">
        <is>
          <t>P1071508</t>
        </is>
      </c>
      <c r="F118" t="inlineStr">
        <is>
          <t>0-5亿元</t>
        </is>
      </c>
      <c r="G118" t="inlineStr">
        <is>
          <t>小规模</t>
        </is>
      </c>
      <c r="H118" t="inlineStr">
        <is>
          <t>本次公示未见相关记录</t>
        </is>
      </c>
      <c r="I118" t="inlineStr">
        <is>
          <t>https://gs.amac.org.cn/amac-infodisc/res/pof/manager/2007291034107765.html</t>
        </is>
      </c>
      <c r="J118" t="inlineStr">
        <is>
          <t>https://gs.amac.org.cn/amac-infodisc/res/pof/fund/2303061420106400.html</t>
        </is>
      </c>
      <c r="K118" t="inlineStr">
        <is>
          <t>2026-09-15</t>
        </is>
      </c>
    </row>
    <row r="119">
      <c r="A119" t="inlineStr">
        <is>
          <t>SZN919</t>
        </is>
      </c>
      <c r="B119" t="inlineStr">
        <is>
          <t>安合融信匠人匠心7号</t>
        </is>
      </c>
      <c r="C119" t="inlineStr">
        <is>
          <t>青岛安合融信</t>
        </is>
      </c>
      <c r="D119" t="inlineStr">
        <is>
          <t>安合融信（青岛）私募基金管理有限公司</t>
        </is>
      </c>
      <c r="E119" t="inlineStr">
        <is>
          <t>P1073423</t>
        </is>
      </c>
      <c r="F119" t="inlineStr">
        <is>
          <t>0-5亿元</t>
        </is>
      </c>
      <c r="G119" t="inlineStr">
        <is>
          <t>小规模</t>
        </is>
      </c>
      <c r="H119" t="inlineStr">
        <is>
          <t>本次公示未见相关记录</t>
        </is>
      </c>
      <c r="I119" t="inlineStr">
        <is>
          <t>https://gs.amac.org.cn/amac-infodisc/res/pof/manager/2108161405106293.html</t>
        </is>
      </c>
      <c r="J119" t="inlineStr">
        <is>
          <t>https://gs.amac.org.cn/amac-infodisc/res/pof/fund/2303221733112563.html</t>
        </is>
      </c>
      <c r="K119" t="inlineStr">
        <is>
          <t>2026-09-15</t>
        </is>
      </c>
    </row>
    <row r="120">
      <c r="A120" t="inlineStr">
        <is>
          <t>SZD351</t>
        </is>
      </c>
      <c r="B120" t="inlineStr">
        <is>
          <t>交叉智能-量化增强2号</t>
        </is>
      </c>
      <c r="C120" t="inlineStr">
        <is>
          <t>北京交叉智能</t>
        </is>
      </c>
      <c r="D120" t="inlineStr">
        <is>
          <t>交叉智能（北京）私募基金管理有限公司</t>
        </is>
      </c>
      <c r="E120" t="inlineStr">
        <is>
          <t>P1073650</t>
        </is>
      </c>
      <c r="F120" t="inlineStr">
        <is>
          <t>5-10亿元</t>
        </is>
      </c>
      <c r="G120" t="inlineStr">
        <is>
          <t>大规模</t>
        </is>
      </c>
      <c r="H120" t="inlineStr">
        <is>
          <t>本次公示未见相关记录</t>
        </is>
      </c>
      <c r="I120" t="inlineStr">
        <is>
          <t>https://gs.amac.org.cn/amac-infodisc/res/pof/manager/2108121438108586.html</t>
        </is>
      </c>
      <c r="J120" t="inlineStr">
        <is>
          <t>https://gs.amac.org.cn/amac-infodisc/res/pof/fund/2304211705109378.html</t>
        </is>
      </c>
      <c r="K120" t="inlineStr">
        <is>
          <t>2026-09-15</t>
        </is>
      </c>
    </row>
    <row r="121">
      <c r="A121" t="inlineStr">
        <is>
          <t>SAGE45</t>
        </is>
      </c>
      <c r="B121" t="inlineStr">
        <is>
          <t>在赢利贞一号</t>
        </is>
      </c>
      <c r="C121" t="inlineStr">
        <is>
          <t>浙江在赢</t>
        </is>
      </c>
      <c r="D121" t="inlineStr">
        <is>
          <t>浙江在赢私募基金管理有限公司</t>
        </is>
      </c>
      <c r="E121" t="inlineStr">
        <is>
          <t>P1009338</t>
        </is>
      </c>
      <c r="F121" t="inlineStr">
        <is>
          <t>5-10亿元</t>
        </is>
      </c>
      <c r="G121" t="inlineStr">
        <is>
          <t>大规模</t>
        </is>
      </c>
      <c r="H121" t="inlineStr">
        <is>
          <t>本次公示未见相关记录</t>
        </is>
      </c>
      <c r="I121" t="inlineStr">
        <is>
          <t>https://gs.amac.org.cn/amac-infodisc/res/pof/manager/101000009803.html</t>
        </is>
      </c>
      <c r="J121" t="inlineStr">
        <is>
          <t>https://gs.amac.org.cn/amac-infodisc/res/pof/fund/2402081747101183.html</t>
        </is>
      </c>
      <c r="K121" t="inlineStr">
        <is>
          <t>2026-09-15</t>
        </is>
      </c>
    </row>
    <row r="122">
      <c r="A122" t="inlineStr">
        <is>
          <t>SAHN66</t>
        </is>
      </c>
      <c r="B122" t="inlineStr">
        <is>
          <t>奶酪善水六号</t>
        </is>
      </c>
      <c r="C122" t="inlineStr">
        <is>
          <t>广东奶酪</t>
        </is>
      </c>
      <c r="D122" t="inlineStr">
        <is>
          <t>广东奶酪私募基金管理股份有限公司</t>
        </is>
      </c>
      <c r="E122" t="inlineStr">
        <is>
          <t>P1031632</t>
        </is>
      </c>
      <c r="F122" t="inlineStr">
        <is>
          <t>10-20亿元</t>
        </is>
      </c>
      <c r="G122" t="inlineStr">
        <is>
          <t>大规模</t>
        </is>
      </c>
      <c r="H122" t="inlineStr">
        <is>
          <t>本次公示未见相关记录</t>
        </is>
      </c>
      <c r="I122" t="inlineStr">
        <is>
          <t>https://gs.amac.org.cn/amac-infodisc/res/pof/manager/101000045017.html</t>
        </is>
      </c>
      <c r="J122" t="inlineStr">
        <is>
          <t>https://gs.amac.org.cn/amac-infodisc/res/pof/fund/2403051000101731.html</t>
        </is>
      </c>
      <c r="K122" t="inlineStr">
        <is>
          <t>2026-09-15</t>
        </is>
      </c>
    </row>
    <row r="123">
      <c r="A123" t="inlineStr">
        <is>
          <t>SAJD40</t>
        </is>
      </c>
      <c r="B123" t="inlineStr">
        <is>
          <t>华睿东方世家进取6号</t>
        </is>
      </c>
      <c r="C123" t="inlineStr">
        <is>
          <t>天津华睿千和资管</t>
        </is>
      </c>
      <c r="D123" t="inlineStr">
        <is>
          <t>华睿千和（天津）资产管理有限公司</t>
        </is>
      </c>
      <c r="E123" t="inlineStr">
        <is>
          <t>P1015980</t>
        </is>
      </c>
      <c r="F123" t="inlineStr">
        <is>
          <t>5-10亿元</t>
        </is>
      </c>
      <c r="G123" t="inlineStr">
        <is>
          <t>大规模</t>
        </is>
      </c>
      <c r="H123" t="inlineStr">
        <is>
          <t>监管警示函</t>
        </is>
      </c>
      <c r="I123" t="inlineStr">
        <is>
          <t>https://gs.amac.org.cn/amac-infodisc/res/pof/manager/101000023136.html</t>
        </is>
      </c>
      <c r="J123" t="inlineStr">
        <is>
          <t>https://gs.amac.org.cn/amac-infodisc/res/pof/fund/2403281739102203.html</t>
        </is>
      </c>
      <c r="K123" t="inlineStr">
        <is>
          <t>2026-09-15</t>
        </is>
      </c>
    </row>
    <row r="124">
      <c r="A124" t="inlineStr">
        <is>
          <t>SAWA30</t>
        </is>
      </c>
      <c r="B124" t="inlineStr">
        <is>
          <t>涌涵农本一号</t>
        </is>
      </c>
      <c r="C124" t="inlineStr">
        <is>
          <t>上海涌涵</t>
        </is>
      </c>
      <c r="D124" t="inlineStr">
        <is>
          <t>上海涌涵私募基金管理有限公司</t>
        </is>
      </c>
      <c r="E124" t="inlineStr">
        <is>
          <t>P1072760</t>
        </is>
      </c>
      <c r="F124" t="inlineStr">
        <is>
          <t>10-20亿元</t>
        </is>
      </c>
      <c r="G124" t="inlineStr">
        <is>
          <t>大规模</t>
        </is>
      </c>
      <c r="H124" t="inlineStr">
        <is>
          <t>本次公示未见相关记录</t>
        </is>
      </c>
      <c r="I124" t="inlineStr">
        <is>
          <t>https://gs.amac.org.cn/amac-infodisc/res/pof/manager/2108301436104889.html</t>
        </is>
      </c>
      <c r="J124" t="inlineStr">
        <is>
          <t>https://gs.amac.org.cn/amac-infodisc/res/pof/fund/2506041444103887.html</t>
        </is>
      </c>
      <c r="K124" t="inlineStr">
        <is>
          <t>2026-09-15</t>
        </is>
      </c>
    </row>
    <row r="125">
      <c r="A125" t="inlineStr">
        <is>
          <t>AGE96A</t>
        </is>
      </c>
      <c r="B125" t="inlineStr">
        <is>
          <t>慧衍锐智3号A类</t>
        </is>
      </c>
      <c r="C125" t="inlineStr">
        <is>
          <t>上海慧衍</t>
        </is>
      </c>
      <c r="D125" t="inlineStr">
        <is>
          <t>上海慧衍私募基金管理有限公司 上海慧衍私募基金管理有限公司</t>
        </is>
      </c>
      <c r="E125" t="inlineStr">
        <is>
          <t>P1072083</t>
        </is>
      </c>
      <c r="F125" t="inlineStr">
        <is>
          <t>10-20亿元</t>
        </is>
      </c>
      <c r="G125" t="inlineStr">
        <is>
          <t>大规模</t>
        </is>
      </c>
      <c r="H125" t="inlineStr">
        <is>
          <t>本次公示未见相关记录</t>
        </is>
      </c>
      <c r="I125" t="inlineStr">
        <is>
          <t>https://gs.amac.org.cn/amac-infodisc/res/pof/manager/2103171746100111.html</t>
        </is>
      </c>
      <c r="K125" t="inlineStr">
        <is>
          <t>2026-09-15</t>
        </is>
      </c>
    </row>
    <row r="126">
      <c r="A126" t="inlineStr">
        <is>
          <t>ZM840B</t>
        </is>
      </c>
      <c r="B126" t="inlineStr">
        <is>
          <t>时间稳健1号B类</t>
        </is>
      </c>
      <c r="C126" t="inlineStr">
        <is>
          <t>青岛时间</t>
        </is>
      </c>
      <c r="D126" t="inlineStr">
        <is>
          <t>青岛时间私募基金管理有限公司 青岛时间私募基金管理有限公司</t>
        </is>
      </c>
      <c r="E126" t="inlineStr">
        <is>
          <t>P1071508</t>
        </is>
      </c>
      <c r="F126" t="inlineStr">
        <is>
          <t>0-5亿元</t>
        </is>
      </c>
      <c r="G126" t="inlineStr">
        <is>
          <t>小规模</t>
        </is>
      </c>
      <c r="H126" t="inlineStr">
        <is>
          <t>本次公示未见相关记录</t>
        </is>
      </c>
      <c r="I126" t="inlineStr">
        <is>
          <t>https://gs.amac.org.cn/amac-infodisc/res/pof/manager/2007291034107765.html</t>
        </is>
      </c>
      <c r="K126" t="inlineStr">
        <is>
          <t>2026-09-15</t>
        </is>
      </c>
    </row>
    <row r="127">
      <c r="A127" t="inlineStr">
        <is>
          <t>SCB058</t>
        </is>
      </c>
      <c r="B127" t="inlineStr">
        <is>
          <t>磬晟启晟1号</t>
        </is>
      </c>
      <c r="C127" t="inlineStr">
        <is>
          <t>上海磬晟</t>
        </is>
      </c>
      <c r="D127" t="inlineStr">
        <is>
          <t>上海磬晟私募基金管理有限公司</t>
        </is>
      </c>
      <c r="E127" t="inlineStr">
        <is>
          <t>P1064288</t>
        </is>
      </c>
      <c r="F127" t="inlineStr">
        <is>
          <t>5-10亿元</t>
        </is>
      </c>
      <c r="G127" t="inlineStr">
        <is>
          <t>大规模</t>
        </is>
      </c>
      <c r="H127" t="inlineStr">
        <is>
          <t>本次公示未见相关记录</t>
        </is>
      </c>
      <c r="I127" t="inlineStr">
        <is>
          <t>https://gs.amac.org.cn/amac-infodisc/res/pof/manager/1612231709103386.html</t>
        </is>
      </c>
      <c r="J127" t="inlineStr">
        <is>
          <t>https://gs.amac.org.cn/amac-infodisc/res/pof/fund/1802081849101993.html</t>
        </is>
      </c>
      <c r="K127" t="inlineStr">
        <is>
          <t>2026-09-15</t>
        </is>
      </c>
    </row>
    <row r="128">
      <c r="A128" t="inlineStr">
        <is>
          <t>SZF187</t>
        </is>
      </c>
      <c r="B128" t="inlineStr">
        <is>
          <t>悬铃瑞享C号1期</t>
        </is>
      </c>
      <c r="C128" t="inlineStr">
        <is>
          <t>上海悬铃</t>
        </is>
      </c>
      <c r="D128" t="inlineStr">
        <is>
          <t>上海悬铃私募基金管理有限公司</t>
        </is>
      </c>
      <c r="E128" t="inlineStr">
        <is>
          <t>P1064634</t>
        </is>
      </c>
      <c r="F128" t="inlineStr">
        <is>
          <t>20-50亿元</t>
        </is>
      </c>
      <c r="G128" t="inlineStr">
        <is>
          <t>大规模</t>
        </is>
      </c>
      <c r="H128" t="inlineStr">
        <is>
          <t>本次公示未见相关记录</t>
        </is>
      </c>
      <c r="I128" t="inlineStr">
        <is>
          <t>https://gs.amac.org.cn/amac-infodisc/res/pof/manager/1701161209103763.html</t>
        </is>
      </c>
      <c r="J128" t="inlineStr">
        <is>
          <t>https://gs.amac.org.cn/amac-infodisc/res/pof/fund/2304181407104117.html</t>
        </is>
      </c>
      <c r="K128" t="inlineStr">
        <is>
          <t>2026-09-15</t>
        </is>
      </c>
    </row>
    <row r="129">
      <c r="A129" t="inlineStr">
        <is>
          <t>SACM90</t>
        </is>
      </c>
      <c r="B129" t="inlineStr">
        <is>
          <t>奶酪鑫鑫宝九号</t>
        </is>
      </c>
      <c r="C129" t="inlineStr">
        <is>
          <t>广东奶酪</t>
        </is>
      </c>
      <c r="D129" t="inlineStr">
        <is>
          <t>广东奶酪私募基金管理股份有限公司</t>
        </is>
      </c>
      <c r="E129" t="inlineStr">
        <is>
          <t>P1031632</t>
        </is>
      </c>
      <c r="F129" t="inlineStr">
        <is>
          <t>10-20亿元</t>
        </is>
      </c>
      <c r="G129" t="inlineStr">
        <is>
          <t>大规模</t>
        </is>
      </c>
      <c r="H129" t="inlineStr">
        <is>
          <t>本次公示未见相关记录</t>
        </is>
      </c>
      <c r="I129" t="inlineStr">
        <is>
          <t>https://gs.amac.org.cn/amac-infodisc/res/pof/manager/101000045017.html</t>
        </is>
      </c>
      <c r="J129" t="inlineStr">
        <is>
          <t>https://gs.amac.org.cn/amac-infodisc/res/pof/fund/2310231835105165.html</t>
        </is>
      </c>
      <c r="K129" t="inlineStr">
        <is>
          <t>2026-09-15</t>
        </is>
      </c>
    </row>
    <row r="130">
      <c r="A130" t="inlineStr">
        <is>
          <t>AHS76C</t>
        </is>
      </c>
      <c r="B130" t="inlineStr">
        <is>
          <t>博普安兴私享一号C类</t>
        </is>
      </c>
      <c r="C130" t="inlineStr">
        <is>
          <t>深圳前海博普资管</t>
        </is>
      </c>
      <c r="D130" t="inlineStr">
        <is>
          <t>深圳前海博普资产管理有限公司 深圳前海博普资产管理有限公司</t>
        </is>
      </c>
      <c r="E130" t="inlineStr">
        <is>
          <t>P1067653</t>
        </is>
      </c>
      <c r="F130" t="inlineStr">
        <is>
          <t>50-100亿元</t>
        </is>
      </c>
      <c r="G130" t="inlineStr">
        <is>
          <t>大规模</t>
        </is>
      </c>
      <c r="H130" t="inlineStr">
        <is>
          <t>本次公示未见相关记录</t>
        </is>
      </c>
      <c r="I130" t="inlineStr">
        <is>
          <t>https://gs.amac.org.cn/amac-infodisc/res/pof/manager/1709041706102598.html</t>
        </is>
      </c>
      <c r="K130" t="inlineStr">
        <is>
          <t>2026-09-15</t>
        </is>
      </c>
    </row>
    <row r="131">
      <c r="A131" t="inlineStr">
        <is>
          <t>SAUA99</t>
        </is>
      </c>
      <c r="B131" t="inlineStr">
        <is>
          <t>盛冠达稳享量化套利</t>
        </is>
      </c>
      <c r="C131" t="inlineStr">
        <is>
          <t>海南盛冠达</t>
        </is>
      </c>
      <c r="D131" t="inlineStr">
        <is>
          <t>海南盛冠达私募基金管理有限公司</t>
        </is>
      </c>
      <c r="E131" t="inlineStr">
        <is>
          <t>P1001070</t>
        </is>
      </c>
      <c r="F131" t="inlineStr">
        <is>
          <t>20-50亿元</t>
        </is>
      </c>
      <c r="G131" t="inlineStr">
        <is>
          <t>大规模</t>
        </is>
      </c>
      <c r="H131" t="inlineStr">
        <is>
          <t>本次公示未见相关记录</t>
        </is>
      </c>
      <c r="I131" t="inlineStr">
        <is>
          <t>https://gs.amac.org.cn/amac-infodisc/res/pof/manager/101000001663.html</t>
        </is>
      </c>
      <c r="J131" t="inlineStr">
        <is>
          <t>https://gs.amac.org.cn/amac-infodisc/res/pof/fund/2506201458107445.html</t>
        </is>
      </c>
      <c r="K131" t="inlineStr">
        <is>
          <t>2026-09-15</t>
        </is>
      </c>
    </row>
    <row r="132">
      <c r="A132" t="inlineStr">
        <is>
          <t>STP551</t>
        </is>
      </c>
      <c r="B132" t="inlineStr">
        <is>
          <t>悬铃成长1号</t>
        </is>
      </c>
      <c r="C132" t="inlineStr">
        <is>
          <t>上海悬铃</t>
        </is>
      </c>
      <c r="D132" t="inlineStr">
        <is>
          <t>上海悬铃私募基金管理有限公司</t>
        </is>
      </c>
      <c r="E132" t="inlineStr">
        <is>
          <t>P1064634</t>
        </is>
      </c>
      <c r="F132" t="inlineStr">
        <is>
          <t>20-50亿元</t>
        </is>
      </c>
      <c r="G132" t="inlineStr">
        <is>
          <t>大规模</t>
        </is>
      </c>
      <c r="H132" t="inlineStr">
        <is>
          <t>本次公示未见相关记录</t>
        </is>
      </c>
      <c r="I132" t="inlineStr">
        <is>
          <t>https://gs.amac.org.cn/amac-infodisc/res/pof/manager/1701161209103763.html</t>
        </is>
      </c>
      <c r="J132" t="inlineStr">
        <is>
          <t>https://gs.amac.org.cn/amac-infodisc/res/pof/fund/2112291739105312.html</t>
        </is>
      </c>
      <c r="K132" t="inlineStr">
        <is>
          <t>2026-09-15</t>
        </is>
      </c>
    </row>
    <row r="133">
      <c r="A133" t="inlineStr">
        <is>
          <t>SXT179</t>
        </is>
      </c>
      <c r="B133" t="inlineStr">
        <is>
          <t>岳鑫遥4号</t>
        </is>
      </c>
      <c r="C133" t="inlineStr">
        <is>
          <t>北京岳鑫遥</t>
        </is>
      </c>
      <c r="D133" t="inlineStr">
        <is>
          <t>岳鑫遥（北京）私募基金管理有限公司</t>
        </is>
      </c>
      <c r="E133" t="inlineStr">
        <is>
          <t>P1073901</t>
        </is>
      </c>
      <c r="F133" t="inlineStr">
        <is>
          <t>5-10亿元</t>
        </is>
      </c>
      <c r="G133" t="inlineStr">
        <is>
          <t>大规模</t>
        </is>
      </c>
      <c r="H133" t="inlineStr">
        <is>
          <t>协会提示／报送异常</t>
        </is>
      </c>
      <c r="I133" t="inlineStr">
        <is>
          <t>https://gs.amac.org.cn/amac-infodisc/res/pof/manager/2207041830121644.html</t>
        </is>
      </c>
      <c r="J133" t="inlineStr">
        <is>
          <t>https://gs.amac.org.cn/amac-infodisc/res/pof/fund/2212071732102482.html</t>
        </is>
      </c>
      <c r="K133" t="inlineStr">
        <is>
          <t>2026-09-15</t>
        </is>
      </c>
    </row>
    <row r="134">
      <c r="A134" t="inlineStr">
        <is>
          <t>SB9656</t>
        </is>
      </c>
      <c r="B134" t="inlineStr">
        <is>
          <t>安合融信匠人匠心10号</t>
        </is>
      </c>
      <c r="C134" t="inlineStr">
        <is>
          <t>青岛安合融信</t>
        </is>
      </c>
      <c r="D134" t="inlineStr">
        <is>
          <t>安合融信（青岛）私募基金管理有限公司</t>
        </is>
      </c>
      <c r="E134" t="inlineStr">
        <is>
          <t>P1073423</t>
        </is>
      </c>
      <c r="F134" t="inlineStr">
        <is>
          <t>0-5亿元</t>
        </is>
      </c>
      <c r="G134" t="inlineStr">
        <is>
          <t>小规模</t>
        </is>
      </c>
      <c r="H134" t="inlineStr">
        <is>
          <t>本次公示未见相关记录</t>
        </is>
      </c>
      <c r="I134" t="inlineStr">
        <is>
          <t>https://gs.amac.org.cn/amac-infodisc/res/pof/manager/2108161405106293.html</t>
        </is>
      </c>
      <c r="J134" t="inlineStr">
        <is>
          <t>https://gs.amac.org.cn/amac-infodisc/res/pof/fund/2309081103102439.html</t>
        </is>
      </c>
      <c r="K134" t="inlineStr">
        <is>
          <t>2026-09-15</t>
        </is>
      </c>
    </row>
    <row r="135">
      <c r="A135" t="inlineStr">
        <is>
          <t>SEU753</t>
        </is>
      </c>
      <c r="B135" t="inlineStr">
        <is>
          <t>灵涛卧龙</t>
        </is>
      </c>
      <c r="C135" t="inlineStr">
        <is>
          <t>灵涛基金</t>
        </is>
      </c>
      <c r="D135" t="inlineStr">
        <is>
          <t>灵涛私募基金管理（上海）有限公司</t>
        </is>
      </c>
      <c r="E135" t="inlineStr">
        <is>
          <t>P1024039</t>
        </is>
      </c>
      <c r="F135" t="inlineStr">
        <is>
          <t>5-10亿元</t>
        </is>
      </c>
      <c r="G135" t="inlineStr">
        <is>
          <t>大规模</t>
        </is>
      </c>
      <c r="H135" t="inlineStr">
        <is>
          <t>协会提示／报送异常</t>
        </is>
      </c>
      <c r="I135" t="inlineStr">
        <is>
          <t>https://gs.amac.org.cn/amac-infodisc/res/pof/manager/101000034805.html</t>
        </is>
      </c>
      <c r="J135" t="inlineStr">
        <is>
          <t>https://gs.amac.org.cn/amac-infodisc/res/pof/fund/1812171730109976.html</t>
        </is>
      </c>
      <c r="K135" t="inlineStr">
        <is>
          <t>2026-09-15</t>
        </is>
      </c>
    </row>
    <row r="136">
      <c r="A136" t="inlineStr">
        <is>
          <t>SEV580</t>
        </is>
      </c>
      <c r="B136" t="inlineStr">
        <is>
          <t>祁腾蜂赢1号</t>
        </is>
      </c>
      <c r="C136" t="inlineStr">
        <is>
          <t>宁波祁腾投资</t>
        </is>
      </c>
      <c r="D136" t="inlineStr">
        <is>
          <t>宁波祁腾投资管理有限公司</t>
        </is>
      </c>
      <c r="E136" t="inlineStr">
        <is>
          <t>P1069265</t>
        </is>
      </c>
      <c r="F136" t="inlineStr">
        <is>
          <t>0-5亿元</t>
        </is>
      </c>
      <c r="G136" t="inlineStr">
        <is>
          <t>小规模</t>
        </is>
      </c>
      <c r="H136" t="inlineStr">
        <is>
          <t>协会提示／报送异常</t>
        </is>
      </c>
      <c r="I136" t="inlineStr">
        <is>
          <t>https://gs.amac.org.cn/amac-infodisc/res/pof/manager/1809041559102185.html</t>
        </is>
      </c>
      <c r="J136" t="inlineStr">
        <is>
          <t>https://gs.amac.org.cn/amac-infodisc/res/pof/fund/1902010925104002.html</t>
        </is>
      </c>
      <c r="K136" t="inlineStr">
        <is>
          <t>2026-09-15</t>
        </is>
      </c>
    </row>
    <row r="137">
      <c r="A137" t="inlineStr">
        <is>
          <t>SGM512</t>
        </is>
      </c>
      <c r="B137" t="inlineStr">
        <is>
          <t>殊馥馥源套利1号</t>
        </is>
      </c>
      <c r="C137" t="inlineStr">
        <is>
          <t>上海殊馥投资</t>
        </is>
      </c>
      <c r="D137" t="inlineStr">
        <is>
          <t>上海殊馥投资管理有限公司</t>
        </is>
      </c>
      <c r="E137" t="inlineStr">
        <is>
          <t>P1029642</t>
        </is>
      </c>
      <c r="F137" t="inlineStr">
        <is>
          <t>10-20亿元</t>
        </is>
      </c>
      <c r="G137" t="inlineStr">
        <is>
          <t>大规模</t>
        </is>
      </c>
      <c r="H137" t="inlineStr">
        <is>
          <t>协会提示／报送异常</t>
        </is>
      </c>
      <c r="I137" t="inlineStr">
        <is>
          <t>https://gs.amac.org.cn/amac-infodisc/res/pof/manager/101000042776.html</t>
        </is>
      </c>
      <c r="J137" t="inlineStr">
        <is>
          <t>https://gs.amac.org.cn/amac-infodisc/res/pof/fund/1905151920101338.html</t>
        </is>
      </c>
      <c r="K137" t="inlineStr">
        <is>
          <t>2026-09-15</t>
        </is>
      </c>
    </row>
    <row r="138">
      <c r="A138" t="inlineStr">
        <is>
          <t>SLA063</t>
        </is>
      </c>
      <c r="B138" t="inlineStr">
        <is>
          <t>杉阳云杉混合1号</t>
        </is>
      </c>
      <c r="C138" t="inlineStr">
        <is>
          <t>上海杉阳</t>
        </is>
      </c>
      <c r="D138" t="inlineStr">
        <is>
          <t>上海杉阳私募基金管理有限公司</t>
        </is>
      </c>
      <c r="E138" t="inlineStr">
        <is>
          <t>P1070833</t>
        </is>
      </c>
      <c r="F138" t="inlineStr">
        <is>
          <t>0-5亿元</t>
        </is>
      </c>
      <c r="G138" t="inlineStr">
        <is>
          <t>小规模</t>
        </is>
      </c>
      <c r="H138" t="inlineStr">
        <is>
          <t>本次公示未见相关记录</t>
        </is>
      </c>
      <c r="I138" t="inlineStr">
        <is>
          <t>https://gs.amac.org.cn/amac-infodisc/res/pof/manager/2001061547104837.html</t>
        </is>
      </c>
      <c r="J138" t="inlineStr">
        <is>
          <t>https://gs.amac.org.cn/amac-infodisc/res/pof/fund/2006011729109166.html</t>
        </is>
      </c>
      <c r="K138" t="inlineStr">
        <is>
          <t>2026-09-15</t>
        </is>
      </c>
    </row>
    <row r="139">
      <c r="A139" t="inlineStr">
        <is>
          <t>SLD523</t>
        </is>
      </c>
      <c r="B139" t="inlineStr">
        <is>
          <t>申毅格物22号</t>
        </is>
      </c>
      <c r="C139" t="inlineStr">
        <is>
          <t>上海申毅投资</t>
        </is>
      </c>
      <c r="D139" t="inlineStr">
        <is>
          <t>上海申毅投资股份有限公司</t>
        </is>
      </c>
      <c r="E139" t="inlineStr">
        <is>
          <t>P1000404</t>
        </is>
      </c>
      <c r="F139" t="inlineStr">
        <is>
          <t>100亿元以上</t>
        </is>
      </c>
      <c r="G139" t="inlineStr">
        <is>
          <t>大规模</t>
        </is>
      </c>
      <c r="H139" t="inlineStr">
        <is>
          <t>本次公示未见相关记录</t>
        </is>
      </c>
      <c r="I139" t="inlineStr">
        <is>
          <t>https://gs.amac.org.cn/amac-infodisc/res/pof/manager/101000000870.html</t>
        </is>
      </c>
      <c r="J139" t="inlineStr">
        <is>
          <t>https://gs.amac.org.cn/amac-infodisc/res/pof/fund/2007131911107433.html</t>
        </is>
      </c>
      <c r="K139" t="inlineStr">
        <is>
          <t>2026-09-15</t>
        </is>
      </c>
    </row>
    <row r="140">
      <c r="A140" t="inlineStr">
        <is>
          <t>SLN352</t>
        </is>
      </c>
      <c r="B140" t="inlineStr">
        <is>
          <t>鹿秀驯鹿5号</t>
        </is>
      </c>
      <c r="C140" t="inlineStr">
        <is>
          <t>青岛鹿秀投资</t>
        </is>
      </c>
      <c r="D140" t="inlineStr">
        <is>
          <t>青岛鹿秀投资管理有限公司</t>
        </is>
      </c>
      <c r="E140" t="inlineStr">
        <is>
          <t>P1064617</t>
        </is>
      </c>
      <c r="F140" t="inlineStr">
        <is>
          <t>50-100亿元</t>
        </is>
      </c>
      <c r="G140" t="inlineStr">
        <is>
          <t>大规模</t>
        </is>
      </c>
      <c r="H140" t="inlineStr">
        <is>
          <t>协会提示／报送异常</t>
        </is>
      </c>
      <c r="I140" t="inlineStr">
        <is>
          <t>https://gs.amac.org.cn/amac-infodisc/res/pof/manager/1612231708101923.html</t>
        </is>
      </c>
      <c r="J140" t="inlineStr">
        <is>
          <t>https://gs.amac.org.cn/amac-infodisc/res/pof/fund/2008311029109749.html</t>
        </is>
      </c>
      <c r="K140" t="inlineStr">
        <is>
          <t>2026-09-15</t>
        </is>
      </c>
    </row>
    <row r="141">
      <c r="A141" t="inlineStr">
        <is>
          <t>SNK594</t>
        </is>
      </c>
      <c r="B141" t="inlineStr">
        <is>
          <t>鹿秀驯鹿10号</t>
        </is>
      </c>
      <c r="C141" t="inlineStr">
        <is>
          <t>青岛鹿秀投资</t>
        </is>
      </c>
      <c r="D141" t="inlineStr">
        <is>
          <t>青岛鹿秀投资管理有限公司</t>
        </is>
      </c>
      <c r="E141" t="inlineStr">
        <is>
          <t>P1064617</t>
        </is>
      </c>
      <c r="F141" t="inlineStr">
        <is>
          <t>50-100亿元</t>
        </is>
      </c>
      <c r="G141" t="inlineStr">
        <is>
          <t>大规模</t>
        </is>
      </c>
      <c r="H141" t="inlineStr">
        <is>
          <t>协会提示／报送异常</t>
        </is>
      </c>
      <c r="I141" t="inlineStr">
        <is>
          <t>https://gs.amac.org.cn/amac-infodisc/res/pof/manager/1612231708101923.html</t>
        </is>
      </c>
      <c r="J141" t="inlineStr">
        <is>
          <t>https://gs.amac.org.cn/amac-infodisc/res/pof/fund/2012081718105854.html</t>
        </is>
      </c>
      <c r="K141" t="inlineStr">
        <is>
          <t>2026-09-15</t>
        </is>
      </c>
    </row>
    <row r="142">
      <c r="A142" t="inlineStr">
        <is>
          <t>SQD546</t>
        </is>
      </c>
      <c r="B142" t="inlineStr">
        <is>
          <t>九招真格量化套利一号</t>
        </is>
      </c>
      <c r="C142" t="inlineStr">
        <is>
          <t>武汉九招</t>
        </is>
      </c>
      <c r="D142" t="inlineStr">
        <is>
          <t>武汉九招私募基金管理有限公司</t>
        </is>
      </c>
      <c r="E142" t="inlineStr">
        <is>
          <t>P1074391</t>
        </is>
      </c>
      <c r="F142" t="inlineStr">
        <is>
          <t>5-10亿元</t>
        </is>
      </c>
      <c r="G142" t="inlineStr">
        <is>
          <t>大规模</t>
        </is>
      </c>
      <c r="H142" t="inlineStr">
        <is>
          <t>监管警示函</t>
        </is>
      </c>
      <c r="I142" t="inlineStr">
        <is>
          <t>https://gs.amac.org.cn/amac-infodisc/res/pof/manager/2301051740101642.html</t>
        </is>
      </c>
      <c r="J142" t="inlineStr">
        <is>
          <t>https://gs.amac.org.cn/amac-infodisc/res/pof/fund/2103231905105915.html</t>
        </is>
      </c>
      <c r="K142" t="inlineStr">
        <is>
          <t>2026-09-15</t>
        </is>
      </c>
    </row>
    <row r="143">
      <c r="A143" t="inlineStr">
        <is>
          <t>SQA623</t>
        </is>
      </c>
      <c r="B143" t="inlineStr">
        <is>
          <t>宏翼高频1号</t>
        </is>
      </c>
      <c r="C143" t="inlineStr">
        <is>
          <t>上海宏翼</t>
        </is>
      </c>
      <c r="D143" t="inlineStr">
        <is>
          <t>上海宏翼私募基金管理有限公司</t>
        </is>
      </c>
      <c r="E143" t="inlineStr">
        <is>
          <t>P1071463</t>
        </is>
      </c>
      <c r="F143" t="inlineStr">
        <is>
          <t>5-10亿元</t>
        </is>
      </c>
      <c r="G143" t="inlineStr">
        <is>
          <t>大规模</t>
        </is>
      </c>
      <c r="H143" t="inlineStr">
        <is>
          <t>本次公示未见相关记录</t>
        </is>
      </c>
      <c r="I143" t="inlineStr">
        <is>
          <t>https://gs.amac.org.cn/amac-infodisc/res/pof/manager/2008271406105036.html</t>
        </is>
      </c>
      <c r="J143" t="inlineStr">
        <is>
          <t>https://gs.amac.org.cn/amac-infodisc/res/pof/fund/2104071855107484.html</t>
        </is>
      </c>
      <c r="K143" t="inlineStr">
        <is>
          <t>2026-09-15</t>
        </is>
      </c>
    </row>
    <row r="144">
      <c r="A144" t="inlineStr">
        <is>
          <t>SQN453</t>
        </is>
      </c>
      <c r="B144" t="inlineStr">
        <is>
          <t>钧誉厚德量化对冲11号</t>
        </is>
      </c>
      <c r="C144" t="inlineStr">
        <is>
          <t>珠海钧誉资管</t>
        </is>
      </c>
      <c r="D144" t="inlineStr">
        <is>
          <t>珠海钧誉资产管理有限公司</t>
        </is>
      </c>
      <c r="E144" t="inlineStr">
        <is>
          <t>P1068716</t>
        </is>
      </c>
      <c r="F144" t="inlineStr">
        <is>
          <t>0-5亿元</t>
        </is>
      </c>
      <c r="G144" t="inlineStr">
        <is>
          <t>小规模</t>
        </is>
      </c>
      <c r="H144" t="inlineStr">
        <is>
          <t>本次公示未见相关记录</t>
        </is>
      </c>
      <c r="I144" t="inlineStr">
        <is>
          <t>https://gs.amac.org.cn/amac-infodisc/res/pof/manager/1801241613109731.html</t>
        </is>
      </c>
      <c r="J144" t="inlineStr">
        <is>
          <t>https://gs.amac.org.cn/amac-infodisc/res/pof/fund/2105111737102298.html</t>
        </is>
      </c>
      <c r="K144" t="inlineStr">
        <is>
          <t>2026-09-15</t>
        </is>
      </c>
    </row>
    <row r="145">
      <c r="A145" t="inlineStr">
        <is>
          <t>SQW105</t>
        </is>
      </c>
      <c r="B145" t="inlineStr">
        <is>
          <t>巨博华多元策略1号</t>
        </is>
      </c>
      <c r="C145" t="inlineStr">
        <is>
          <t>深圳巨博华</t>
        </is>
      </c>
      <c r="D145" t="inlineStr">
        <is>
          <t>深圳市巨博华私募证券基金管理有限公司</t>
        </is>
      </c>
      <c r="E145" t="inlineStr">
        <is>
          <t>P1016497</t>
        </is>
      </c>
      <c r="F145" t="inlineStr">
        <is>
          <t>0-5亿元</t>
        </is>
      </c>
      <c r="G145" t="inlineStr">
        <is>
          <t>小规模</t>
        </is>
      </c>
      <c r="H145" t="inlineStr">
        <is>
          <t>本次公示未见相关记录</t>
        </is>
      </c>
      <c r="I145" t="inlineStr">
        <is>
          <t>https://gs.amac.org.cn/amac-infodisc/res/pof/manager/101000024658.html</t>
        </is>
      </c>
      <c r="J145" t="inlineStr">
        <is>
          <t>https://gs.amac.org.cn/amac-infodisc/res/pof/fund/2107201820100745.html</t>
        </is>
      </c>
      <c r="K145" t="inlineStr">
        <is>
          <t>2026-09-15</t>
        </is>
      </c>
    </row>
    <row r="146">
      <c r="A146" t="inlineStr">
        <is>
          <t>LA063A</t>
        </is>
      </c>
      <c r="B146" t="inlineStr">
        <is>
          <t>杉阳云杉混合1号A类</t>
        </is>
      </c>
      <c r="C146" t="inlineStr">
        <is>
          <t>上海杉阳</t>
        </is>
      </c>
      <c r="D146" t="inlineStr">
        <is>
          <t>上海杉阳私募基金管理有限公司 上海杉阳私募基金管理有限公司</t>
        </is>
      </c>
      <c r="E146" t="inlineStr">
        <is>
          <t>P1070833</t>
        </is>
      </c>
      <c r="F146" t="inlineStr">
        <is>
          <t>0-5亿元</t>
        </is>
      </c>
      <c r="G146" t="inlineStr">
        <is>
          <t>小规模</t>
        </is>
      </c>
      <c r="H146" t="inlineStr">
        <is>
          <t>本次公示未见相关记录</t>
        </is>
      </c>
      <c r="I146" t="inlineStr">
        <is>
          <t>https://gs.amac.org.cn/amac-infodisc/res/pof/manager/2001061547104837.html</t>
        </is>
      </c>
      <c r="K146" t="inlineStr">
        <is>
          <t>2026-09-15</t>
        </is>
      </c>
    </row>
    <row r="147">
      <c r="A147" t="inlineStr">
        <is>
          <t>STD929</t>
        </is>
      </c>
      <c r="B147" t="inlineStr">
        <is>
          <t>嘉和传承精研二期</t>
        </is>
      </c>
      <c r="C147" t="inlineStr">
        <is>
          <t>上海嘉和传承</t>
        </is>
      </c>
      <c r="D147" t="inlineStr">
        <is>
          <t>上海嘉和传承私募基金管理有限公司</t>
        </is>
      </c>
      <c r="E147" t="inlineStr">
        <is>
          <t>P1074030</t>
        </is>
      </c>
      <c r="F147" t="inlineStr">
        <is>
          <t>5-10亿元</t>
        </is>
      </c>
      <c r="G147" t="inlineStr">
        <is>
          <t>大规模</t>
        </is>
      </c>
      <c r="H147" t="inlineStr">
        <is>
          <t>本次公示未见相关记录</t>
        </is>
      </c>
      <c r="I147" t="inlineStr">
        <is>
          <t>https://gs.amac.org.cn/amac-infodisc/res/pof/manager/2203031405108672.html</t>
        </is>
      </c>
      <c r="J147" t="inlineStr">
        <is>
          <t>https://gs.amac.org.cn/amac-infodisc/res/pof/fund/2112091906107607.html</t>
        </is>
      </c>
      <c r="K147" t="inlineStr">
        <is>
          <t>2026-09-15</t>
        </is>
      </c>
    </row>
    <row r="148">
      <c r="A148" t="inlineStr">
        <is>
          <t>STK755</t>
        </is>
      </c>
      <c r="B148" t="inlineStr">
        <is>
          <t>呈瑞复合策略1号</t>
        </is>
      </c>
      <c r="C148" t="inlineStr">
        <is>
          <t>上海呈瑞投资</t>
        </is>
      </c>
      <c r="D148" t="inlineStr">
        <is>
          <t>上海呈瑞投资管理有限公司</t>
        </is>
      </c>
      <c r="E148" t="inlineStr">
        <is>
          <t>P1001067</t>
        </is>
      </c>
      <c r="F148" t="inlineStr">
        <is>
          <t>50-100亿元</t>
        </is>
      </c>
      <c r="G148" t="inlineStr">
        <is>
          <t>大规模</t>
        </is>
      </c>
      <c r="H148" t="inlineStr">
        <is>
          <t>监管责令改正</t>
        </is>
      </c>
      <c r="I148" t="inlineStr">
        <is>
          <t>https://gs.amac.org.cn/amac-infodisc/res/pof/manager/101000000860.html</t>
        </is>
      </c>
      <c r="J148" t="inlineStr">
        <is>
          <t>https://gs.amac.org.cn/amac-infodisc/res/pof/fund/2112281829100961.html</t>
        </is>
      </c>
      <c r="K148" t="inlineStr">
        <is>
          <t>2026-09-15</t>
        </is>
      </c>
    </row>
    <row r="149">
      <c r="A149" t="inlineStr">
        <is>
          <t>STS460</t>
        </is>
      </c>
      <c r="B149" t="inlineStr">
        <is>
          <t>晨翰6号</t>
        </is>
      </c>
      <c r="C149" t="inlineStr">
        <is>
          <t>晋江晨翰</t>
        </is>
      </c>
      <c r="D149" t="inlineStr">
        <is>
          <t>晋江市晨翰私募基金管理有限公司</t>
        </is>
      </c>
      <c r="E149" t="inlineStr">
        <is>
          <t>P1072342</t>
        </is>
      </c>
      <c r="F149" t="inlineStr">
        <is>
          <t>5-10亿元</t>
        </is>
      </c>
      <c r="G149" t="inlineStr">
        <is>
          <t>大规模</t>
        </is>
      </c>
      <c r="H149" t="inlineStr">
        <is>
          <t>本次公示未见相关记录</t>
        </is>
      </c>
      <c r="I149" t="inlineStr">
        <is>
          <t>https://gs.amac.org.cn/amac-infodisc/res/pof/manager/2002211754119480.html</t>
        </is>
      </c>
      <c r="J149" t="inlineStr">
        <is>
          <t>https://gs.amac.org.cn/amac-infodisc/res/pof/fund/2201191737119713.html</t>
        </is>
      </c>
      <c r="K149" t="inlineStr">
        <is>
          <t>2026-09-15</t>
        </is>
      </c>
    </row>
    <row r="150">
      <c r="A150" t="inlineStr">
        <is>
          <t>EE891A</t>
        </is>
      </c>
      <c r="B150" t="inlineStr">
        <is>
          <t>博普量化对冲6号A类</t>
        </is>
      </c>
      <c r="C150" t="inlineStr">
        <is>
          <t>深圳前海博普资管</t>
        </is>
      </c>
      <c r="D150" t="inlineStr">
        <is>
          <t>深圳前海博普资产管理有限公司 深圳前海博普资产管理有限公司</t>
        </is>
      </c>
      <c r="E150" t="inlineStr">
        <is>
          <t>P1067653</t>
        </is>
      </c>
      <c r="F150" t="inlineStr">
        <is>
          <t>50-100亿元</t>
        </is>
      </c>
      <c r="G150" t="inlineStr">
        <is>
          <t>大规模</t>
        </is>
      </c>
      <c r="H150" t="inlineStr">
        <is>
          <t>本次公示未见相关记录</t>
        </is>
      </c>
      <c r="I150" t="inlineStr">
        <is>
          <t>https://gs.amac.org.cn/amac-infodisc/res/pof/manager/1709041706102598.html</t>
        </is>
      </c>
      <c r="K150" t="inlineStr">
        <is>
          <t>2026-09-15</t>
        </is>
      </c>
    </row>
    <row r="151">
      <c r="A151" t="inlineStr">
        <is>
          <t>SXJ965</t>
        </is>
      </c>
      <c r="B151" t="inlineStr">
        <is>
          <t>兆祥祥瑞套利1号</t>
        </is>
      </c>
      <c r="C151" t="inlineStr">
        <is>
          <t>青岛兆祥资管</t>
        </is>
      </c>
      <c r="D151" t="inlineStr">
        <is>
          <t>青岛兆祥资产管理有限公司</t>
        </is>
      </c>
      <c r="E151" t="inlineStr">
        <is>
          <t>P1015705</t>
        </is>
      </c>
      <c r="F151" t="inlineStr">
        <is>
          <t>5-10亿元</t>
        </is>
      </c>
      <c r="G151" t="inlineStr">
        <is>
          <t>大规模</t>
        </is>
      </c>
      <c r="H151" t="inlineStr">
        <is>
          <t>本次公示未见相关记录</t>
        </is>
      </c>
      <c r="I151" t="inlineStr">
        <is>
          <t>https://gs.amac.org.cn/amac-infodisc/res/pof/manager/101000018153.html</t>
        </is>
      </c>
      <c r="J151" t="inlineStr">
        <is>
          <t>https://gs.amac.org.cn/amac-infodisc/res/pof/fund/2209231805113020.html</t>
        </is>
      </c>
      <c r="K151" t="inlineStr">
        <is>
          <t>2026-09-15</t>
        </is>
      </c>
    </row>
    <row r="152">
      <c r="A152" t="inlineStr">
        <is>
          <t>SXK740</t>
        </is>
      </c>
      <c r="B152" t="inlineStr">
        <is>
          <t>中益仁东染千顷</t>
        </is>
      </c>
      <c r="C152" t="inlineStr">
        <is>
          <t>日照中益仁</t>
        </is>
      </c>
      <c r="D152" t="inlineStr">
        <is>
          <t>日照中益仁私募基金管理有限公司</t>
        </is>
      </c>
      <c r="E152" t="inlineStr">
        <is>
          <t>P1069942</t>
        </is>
      </c>
      <c r="F152" t="inlineStr">
        <is>
          <t>10-20亿元</t>
        </is>
      </c>
      <c r="G152" t="inlineStr">
        <is>
          <t>大规模</t>
        </is>
      </c>
      <c r="H152" t="inlineStr">
        <is>
          <t>本次公示未见相关记录</t>
        </is>
      </c>
      <c r="I152" t="inlineStr">
        <is>
          <t>https://gs.amac.org.cn/amac-infodisc/res/pof/manager/1708291806108811.html</t>
        </is>
      </c>
      <c r="J152" t="inlineStr">
        <is>
          <t>https://gs.amac.org.cn/amac-infodisc/res/pof/fund/2209291849101854.html</t>
        </is>
      </c>
      <c r="K152" t="inlineStr">
        <is>
          <t>2026-09-15</t>
        </is>
      </c>
    </row>
    <row r="153">
      <c r="A153" t="inlineStr">
        <is>
          <t>SXK867</t>
        </is>
      </c>
      <c r="B153" t="inlineStr">
        <is>
          <t>华实行远1号</t>
        </is>
      </c>
      <c r="C153" t="inlineStr">
        <is>
          <t>青岛华实</t>
        </is>
      </c>
      <c r="D153" t="inlineStr">
        <is>
          <t>青岛华实私募基金管理有限公司</t>
        </is>
      </c>
      <c r="E153" t="inlineStr">
        <is>
          <t>P1067681</t>
        </is>
      </c>
      <c r="F153" t="inlineStr">
        <is>
          <t>0-5亿元</t>
        </is>
      </c>
      <c r="G153" t="inlineStr">
        <is>
          <t>小规模</t>
        </is>
      </c>
      <c r="H153" t="inlineStr">
        <is>
          <t>协会提示／报送异常</t>
        </is>
      </c>
      <c r="I153" t="inlineStr">
        <is>
          <t>https://gs.amac.org.cn/amac-infodisc/res/pof/manager/1706261652108175.html</t>
        </is>
      </c>
      <c r="J153" t="inlineStr">
        <is>
          <t>https://gs.amac.org.cn/amac-infodisc/res/pof/fund/2210191004108436.html</t>
        </is>
      </c>
      <c r="K153" t="inlineStr">
        <is>
          <t>2026-09-15</t>
        </is>
      </c>
    </row>
    <row r="154">
      <c r="A154" t="inlineStr">
        <is>
          <t>SXT086</t>
        </is>
      </c>
      <c r="B154" t="inlineStr">
        <is>
          <t>系数CTA套利五号</t>
        </is>
      </c>
      <c r="C154" t="inlineStr">
        <is>
          <t>上海系数投资</t>
        </is>
      </c>
      <c r="D154" t="inlineStr">
        <is>
          <t>上海系数投资管理合伙企业（有限合伙）</t>
        </is>
      </c>
      <c r="E154" t="inlineStr">
        <is>
          <t>P1002468</t>
        </is>
      </c>
      <c r="F154" t="inlineStr">
        <is>
          <t>0-5亿元</t>
        </is>
      </c>
      <c r="G154" t="inlineStr">
        <is>
          <t>小规模</t>
        </is>
      </c>
      <c r="H154" t="inlineStr">
        <is>
          <t>本次公示未见相关记录</t>
        </is>
      </c>
      <c r="I154" t="inlineStr">
        <is>
          <t>https://gs.amac.org.cn/amac-infodisc/res/pof/manager/101000000497.html</t>
        </is>
      </c>
      <c r="J154" t="inlineStr">
        <is>
          <t>https://gs.amac.org.cn/amac-infodisc/res/pof/fund/2211221840100768.html</t>
        </is>
      </c>
      <c r="K154" t="inlineStr">
        <is>
          <t>2026-09-15</t>
        </is>
      </c>
    </row>
    <row r="155">
      <c r="A155" t="inlineStr">
        <is>
          <t>SXT731</t>
        </is>
      </c>
      <c r="B155" t="inlineStr">
        <is>
          <t>世宽若水尘心1号</t>
        </is>
      </c>
      <c r="C155" t="inlineStr">
        <is>
          <t>厦门世宽</t>
        </is>
      </c>
      <c r="D155" t="inlineStr">
        <is>
          <t>厦门世宽私募基金管理有限公司</t>
        </is>
      </c>
      <c r="E155" t="inlineStr">
        <is>
          <t>P1022452</t>
        </is>
      </c>
      <c r="F155" t="inlineStr">
        <is>
          <t>0-5亿元</t>
        </is>
      </c>
      <c r="G155" t="inlineStr">
        <is>
          <t>小规模</t>
        </is>
      </c>
      <c r="H155" t="inlineStr">
        <is>
          <t>本次公示未见相关记录</t>
        </is>
      </c>
      <c r="I155" t="inlineStr">
        <is>
          <t>https://gs.amac.org.cn/amac-infodisc/res/pof/manager/101000026000.html</t>
        </is>
      </c>
      <c r="J155" t="inlineStr">
        <is>
          <t>https://gs.amac.org.cn/amac-infodisc/res/pof/fund/2211231146106175.html</t>
        </is>
      </c>
      <c r="K155" t="inlineStr">
        <is>
          <t>2026-09-15</t>
        </is>
      </c>
    </row>
    <row r="156">
      <c r="A156" t="inlineStr">
        <is>
          <t>SXT730</t>
        </is>
      </c>
      <c r="B156" t="inlineStr">
        <is>
          <t>世宽若水尘心3号</t>
        </is>
      </c>
      <c r="C156" t="inlineStr">
        <is>
          <t>厦门世宽</t>
        </is>
      </c>
      <c r="D156" t="inlineStr">
        <is>
          <t>厦门世宽私募基金管理有限公司</t>
        </is>
      </c>
      <c r="E156" t="inlineStr">
        <is>
          <t>P1022452</t>
        </is>
      </c>
      <c r="F156" t="inlineStr">
        <is>
          <t>0-5亿元</t>
        </is>
      </c>
      <c r="G156" t="inlineStr">
        <is>
          <t>小规模</t>
        </is>
      </c>
      <c r="H156" t="inlineStr">
        <is>
          <t>本次公示未见相关记录</t>
        </is>
      </c>
      <c r="I156" t="inlineStr">
        <is>
          <t>https://gs.amac.org.cn/amac-infodisc/res/pof/manager/101000026000.html</t>
        </is>
      </c>
      <c r="J156" t="inlineStr">
        <is>
          <t>https://gs.amac.org.cn/amac-infodisc/res/pof/fund/2211252020100971.html</t>
        </is>
      </c>
      <c r="K156" t="inlineStr">
        <is>
          <t>2026-09-15</t>
        </is>
      </c>
    </row>
    <row r="157">
      <c r="A157" t="inlineStr">
        <is>
          <t>CU913A</t>
        </is>
      </c>
      <c r="B157" t="inlineStr">
        <is>
          <t>泓倍商品相对价值1号A类</t>
        </is>
      </c>
      <c r="C157" t="inlineStr">
        <is>
          <t>上海泓倍投资</t>
        </is>
      </c>
      <c r="D157" t="inlineStr">
        <is>
          <t>上海泓倍资产管理中心（有限合伙） 上海泓倍资产管理中心（有限合伙）</t>
        </is>
      </c>
      <c r="E157" t="inlineStr">
        <is>
          <t>P1003437</t>
        </is>
      </c>
      <c r="F157" t="inlineStr">
        <is>
          <t>0-5亿元</t>
        </is>
      </c>
      <c r="G157" t="inlineStr">
        <is>
          <t>小规模</t>
        </is>
      </c>
      <c r="H157" t="inlineStr">
        <is>
          <t>协会提示／报送异常</t>
        </is>
      </c>
      <c r="I157" t="inlineStr">
        <is>
          <t>https://gs.amac.org.cn/amac-infodisc/res/pof/manager/101000004914.html</t>
        </is>
      </c>
      <c r="K157" t="inlineStr">
        <is>
          <t>2026-09-15</t>
        </is>
      </c>
    </row>
    <row r="158">
      <c r="A158" t="inlineStr">
        <is>
          <t>SB4100</t>
        </is>
      </c>
      <c r="B158" t="inlineStr">
        <is>
          <t>珞瑜阳明1号</t>
        </is>
      </c>
      <c r="C158" t="inlineStr">
        <is>
          <t>深圳珞瑜</t>
        </is>
      </c>
      <c r="D158" t="inlineStr">
        <is>
          <t>深圳市珞瑜私募证券基金管理有限公司</t>
        </is>
      </c>
      <c r="E158" t="inlineStr">
        <is>
          <t>P1022508</t>
        </is>
      </c>
      <c r="F158" t="inlineStr">
        <is>
          <t>0-5亿元</t>
        </is>
      </c>
      <c r="G158" t="inlineStr">
        <is>
          <t>小规模</t>
        </is>
      </c>
      <c r="H158" t="inlineStr">
        <is>
          <t>本次公示未见相关记录</t>
        </is>
      </c>
      <c r="I158" t="inlineStr">
        <is>
          <t>https://gs.amac.org.cn/amac-infodisc/res/pof/manager/101000029973.html</t>
        </is>
      </c>
      <c r="J158" t="inlineStr">
        <is>
          <t>https://gs.amac.org.cn/amac-infodisc/res/pof/fund/2307071815100231.html</t>
        </is>
      </c>
      <c r="K158" t="inlineStr">
        <is>
          <t>2026-09-15</t>
        </is>
      </c>
    </row>
    <row r="159">
      <c r="A159" t="inlineStr">
        <is>
          <t>SB7615</t>
        </is>
      </c>
      <c r="B159" t="inlineStr">
        <is>
          <t>乾元光辉岁月稳进32号</t>
        </is>
      </c>
      <c r="C159" t="inlineStr">
        <is>
          <t>深圳乾元资始</t>
        </is>
      </c>
      <c r="D159" t="inlineStr">
        <is>
          <t>深圳乾元资始私募证券基金管理有限公司</t>
        </is>
      </c>
      <c r="E159" t="inlineStr">
        <is>
          <t>P1020814</t>
        </is>
      </c>
      <c r="F159" t="inlineStr">
        <is>
          <t>5-10亿元</t>
        </is>
      </c>
      <c r="G159" t="inlineStr">
        <is>
          <t>大规模</t>
        </is>
      </c>
      <c r="H159" t="inlineStr">
        <is>
          <t>协会提示／报送异常</t>
        </is>
      </c>
      <c r="I159" t="inlineStr">
        <is>
          <t>https://gs.amac.org.cn/amac-infodisc/res/pof/manager/101000031013.html</t>
        </is>
      </c>
      <c r="J159" t="inlineStr">
        <is>
          <t>https://gs.amac.org.cn/amac-infodisc/res/pof/fund/2308021605101279.html</t>
        </is>
      </c>
      <c r="K159" t="inlineStr">
        <is>
          <t>2026-09-15</t>
        </is>
      </c>
    </row>
    <row r="160">
      <c r="A160" t="inlineStr">
        <is>
          <t>SAHS76</t>
        </is>
      </c>
      <c r="B160" t="inlineStr">
        <is>
          <t>博普安兴私享一号</t>
        </is>
      </c>
      <c r="C160" t="inlineStr">
        <is>
          <t>深圳前海博普资管</t>
        </is>
      </c>
      <c r="D160" t="inlineStr">
        <is>
          <t>深圳前海博普资产管理有限公司</t>
        </is>
      </c>
      <c r="E160" t="inlineStr">
        <is>
          <t>P1067653</t>
        </is>
      </c>
      <c r="F160" t="inlineStr">
        <is>
          <t>50-100亿元</t>
        </is>
      </c>
      <c r="G160" t="inlineStr">
        <is>
          <t>大规模</t>
        </is>
      </c>
      <c r="H160" t="inlineStr">
        <is>
          <t>本次公示未见相关记录</t>
        </is>
      </c>
      <c r="I160" t="inlineStr">
        <is>
          <t>https://gs.amac.org.cn/amac-infodisc/res/pof/manager/1709041706102598.html</t>
        </is>
      </c>
      <c r="J160" t="inlineStr">
        <is>
          <t>https://gs.amac.org.cn/amac-infodisc/res/pof/fund/2403271438103539.html</t>
        </is>
      </c>
      <c r="K160" t="inlineStr">
        <is>
          <t>2026-09-15</t>
        </is>
      </c>
    </row>
    <row r="161">
      <c r="A161" t="inlineStr">
        <is>
          <t>JW903A</t>
        </is>
      </c>
      <c r="B161" t="inlineStr">
        <is>
          <t>博普日添月益A类</t>
        </is>
      </c>
      <c r="C161" t="inlineStr">
        <is>
          <t>深圳前海博普资管</t>
        </is>
      </c>
      <c r="D161" t="inlineStr">
        <is>
          <t>深圳前海博普资产管理有限公司 深圳前海博普资产管理有限公司</t>
        </is>
      </c>
      <c r="E161" t="inlineStr">
        <is>
          <t>P1067653</t>
        </is>
      </c>
      <c r="F161" t="inlineStr">
        <is>
          <t>50-100亿元</t>
        </is>
      </c>
      <c r="G161" t="inlineStr">
        <is>
          <t>大规模</t>
        </is>
      </c>
      <c r="H161" t="inlineStr">
        <is>
          <t>本次公示未见相关记录</t>
        </is>
      </c>
      <c r="I161" t="inlineStr">
        <is>
          <t>https://gs.amac.org.cn/amac-infodisc/res/pof/manager/1709041706102598.html</t>
        </is>
      </c>
      <c r="K161" t="inlineStr">
        <is>
          <t>2026-09-15</t>
        </is>
      </c>
    </row>
    <row r="162">
      <c r="A162" t="inlineStr">
        <is>
          <t>SAQK03</t>
        </is>
      </c>
      <c r="B162" t="inlineStr">
        <is>
          <t>毅远稳健套利16号</t>
        </is>
      </c>
      <c r="C162" t="inlineStr">
        <is>
          <t>上海毅远</t>
        </is>
      </c>
      <c r="D162" t="inlineStr">
        <is>
          <t>上海毅远私募基金管理有限公司</t>
        </is>
      </c>
      <c r="E162" t="inlineStr">
        <is>
          <t>P1073858</t>
        </is>
      </c>
      <c r="F162" t="inlineStr">
        <is>
          <t>10-20亿元</t>
        </is>
      </c>
      <c r="G162" t="inlineStr">
        <is>
          <t>大规模</t>
        </is>
      </c>
      <c r="H162" t="inlineStr">
        <is>
          <t>本次公示未见相关记录</t>
        </is>
      </c>
      <c r="I162" t="inlineStr">
        <is>
          <t>https://gs.amac.org.cn/amac-infodisc/res/pof/manager/2112091706105909.html</t>
        </is>
      </c>
      <c r="J162" t="inlineStr">
        <is>
          <t>https://gs.amac.org.cn/amac-infodisc/res/pof/fund/2411251941105797.html</t>
        </is>
      </c>
      <c r="K162" t="inlineStr">
        <is>
          <t>2026-09-15</t>
        </is>
      </c>
    </row>
    <row r="163">
      <c r="A163" t="inlineStr">
        <is>
          <t>SARF55</t>
        </is>
      </c>
      <c r="B163" t="inlineStr">
        <is>
          <t>滨风屹禾7号</t>
        </is>
      </c>
      <c r="C163" t="inlineStr">
        <is>
          <t>鹰潭滨风投资</t>
        </is>
      </c>
      <c r="D163" t="inlineStr">
        <is>
          <t>鹰潭滨风投资管理有限公司</t>
        </is>
      </c>
      <c r="E163" t="inlineStr">
        <is>
          <t>P1067981</t>
        </is>
      </c>
      <c r="F163" t="inlineStr">
        <is>
          <t>5-10亿元</t>
        </is>
      </c>
      <c r="G163" t="inlineStr">
        <is>
          <t>大规模</t>
        </is>
      </c>
      <c r="H163" t="inlineStr">
        <is>
          <t>本次公示未见相关记录</t>
        </is>
      </c>
      <c r="I163" t="inlineStr">
        <is>
          <t>https://gs.amac.org.cn/amac-infodisc/res/pof/manager/1801301704109241.html</t>
        </is>
      </c>
      <c r="J163" t="inlineStr">
        <is>
          <t>https://gs.amac.org.cn/amac-infodisc/res/pof/fund/2412191843105843.html</t>
        </is>
      </c>
      <c r="K163" t="inlineStr">
        <is>
          <t>2026-09-15</t>
        </is>
      </c>
    </row>
    <row r="164">
      <c r="A164" t="inlineStr">
        <is>
          <t>SATE65</t>
        </is>
      </c>
      <c r="B164" t="inlineStr">
        <is>
          <t>阶石稳健1号</t>
        </is>
      </c>
      <c r="C164" t="inlineStr">
        <is>
          <t>深圳阶石</t>
        </is>
      </c>
      <c r="D164" t="inlineStr">
        <is>
          <t>深圳阶石私募证券基金管理有限公司</t>
        </is>
      </c>
      <c r="E164" t="inlineStr">
        <is>
          <t>P1069896</t>
        </is>
      </c>
      <c r="F164" t="inlineStr">
        <is>
          <t>10-20亿元</t>
        </is>
      </c>
      <c r="G164" t="inlineStr">
        <is>
          <t>大规模</t>
        </is>
      </c>
      <c r="H164" t="inlineStr">
        <is>
          <t>协会提示／报送异常</t>
        </is>
      </c>
      <c r="I164" t="inlineStr">
        <is>
          <t>https://gs.amac.org.cn/amac-infodisc/res/pof/manager/1903261812109866.html</t>
        </is>
      </c>
      <c r="J164" t="inlineStr">
        <is>
          <t>https://gs.amac.org.cn/amac-infodisc/res/pof/fund/2502121708108102.html</t>
        </is>
      </c>
      <c r="K164" t="inlineStr">
        <is>
          <t>2026-09-15</t>
        </is>
      </c>
    </row>
    <row r="165">
      <c r="A165" t="inlineStr">
        <is>
          <t>SATL22</t>
        </is>
      </c>
      <c r="B165" t="inlineStr">
        <is>
          <t>木莲安澜1号</t>
        </is>
      </c>
      <c r="C165" t="inlineStr">
        <is>
          <t>深圳木莲</t>
        </is>
      </c>
      <c r="D165" t="inlineStr">
        <is>
          <t>深圳木莲私募证券投资基金有限公司</t>
        </is>
      </c>
      <c r="E165" t="inlineStr">
        <is>
          <t>P1014491</t>
        </is>
      </c>
      <c r="F165" t="inlineStr">
        <is>
          <t>5-10亿元</t>
        </is>
      </c>
      <c r="G165" t="inlineStr">
        <is>
          <t>大规模</t>
        </is>
      </c>
      <c r="H165" t="inlineStr">
        <is>
          <t>协会提示／报送异常</t>
        </is>
      </c>
      <c r="I165" t="inlineStr">
        <is>
          <t>https://gs.amac.org.cn/amac-infodisc/res/pof/manager/101000023487.html</t>
        </is>
      </c>
      <c r="J165" t="inlineStr">
        <is>
          <t>https://gs.amac.org.cn/amac-infodisc/res/pof/fund/2503041725109415.html</t>
        </is>
      </c>
      <c r="K165" t="inlineStr">
        <is>
          <t>2026-09-15</t>
        </is>
      </c>
    </row>
    <row r="166">
      <c r="A166" t="inlineStr">
        <is>
          <t>SAVL62</t>
        </is>
      </c>
      <c r="B166" t="inlineStr">
        <is>
          <t>巨熊金龙二号</t>
        </is>
      </c>
      <c r="C166" t="inlineStr">
        <is>
          <t>深圳巨熊</t>
        </is>
      </c>
      <c r="D166" t="inlineStr">
        <is>
          <t>深圳巨熊私募证券基金管理有限公司</t>
        </is>
      </c>
      <c r="E166" t="inlineStr">
        <is>
          <t>P1063468</t>
        </is>
      </c>
      <c r="F166" t="inlineStr">
        <is>
          <t>0-5亿元</t>
        </is>
      </c>
      <c r="G166" t="inlineStr">
        <is>
          <t>小规模</t>
        </is>
      </c>
      <c r="H166" t="inlineStr">
        <is>
          <t>本次公示未见相关记录</t>
        </is>
      </c>
      <c r="I166" t="inlineStr">
        <is>
          <t>https://gs.amac.org.cn/amac-infodisc/res/pof/manager/1704191039103562.html</t>
        </is>
      </c>
      <c r="J166" t="inlineStr">
        <is>
          <t>https://gs.amac.org.cn/amac-infodisc/res/pof/fund/2504071548117289.html</t>
        </is>
      </c>
      <c r="K166" t="inlineStr">
        <is>
          <t>2026-09-15</t>
        </is>
      </c>
    </row>
    <row r="167">
      <c r="A167" t="inlineStr">
        <is>
          <t>SAZW60</t>
        </is>
      </c>
      <c r="B167" t="inlineStr">
        <is>
          <t>阶石稳健9号</t>
        </is>
      </c>
      <c r="C167" t="inlineStr">
        <is>
          <t>深圳阶石</t>
        </is>
      </c>
      <c r="D167" t="inlineStr">
        <is>
          <t>深圳阶石私募证券基金管理有限公司</t>
        </is>
      </c>
      <c r="E167" t="inlineStr">
        <is>
          <t>P1069896</t>
        </is>
      </c>
      <c r="F167" t="inlineStr">
        <is>
          <t>10-20亿元</t>
        </is>
      </c>
      <c r="G167" t="inlineStr">
        <is>
          <t>大规模</t>
        </is>
      </c>
      <c r="H167" t="inlineStr">
        <is>
          <t>协会提示／报送异常</t>
        </is>
      </c>
      <c r="I167" t="inlineStr">
        <is>
          <t>https://gs.amac.org.cn/amac-infodisc/res/pof/manager/1903261812109866.html</t>
        </is>
      </c>
      <c r="J167" t="inlineStr">
        <is>
          <t>https://gs.amac.org.cn/amac-infodisc/res/pof/fund/2506161812101029.html</t>
        </is>
      </c>
      <c r="K167" t="inlineStr">
        <is>
          <t>2026-09-15</t>
        </is>
      </c>
    </row>
    <row r="168">
      <c r="A168" t="inlineStr">
        <is>
          <t>ATL22A</t>
        </is>
      </c>
      <c r="B168" t="inlineStr">
        <is>
          <t>木莲安澜1号A类</t>
        </is>
      </c>
      <c r="C168" t="inlineStr">
        <is>
          <t>深圳木莲</t>
        </is>
      </c>
      <c r="D168" t="inlineStr">
        <is>
          <t>深圳木莲私募证券投资基金有限公司 深圳木莲私募证券投资基金有限公司</t>
        </is>
      </c>
      <c r="E168" t="inlineStr">
        <is>
          <t>P1014491</t>
        </is>
      </c>
      <c r="F168" t="inlineStr">
        <is>
          <t>5-10亿元</t>
        </is>
      </c>
      <c r="G168" t="inlineStr">
        <is>
          <t>大规模</t>
        </is>
      </c>
      <c r="H168" t="inlineStr">
        <is>
          <t>协会提示／报送异常</t>
        </is>
      </c>
      <c r="I168" t="inlineStr">
        <is>
          <t>https://gs.amac.org.cn/amac-infodisc/res/pof/manager/101000023487.html</t>
        </is>
      </c>
      <c r="K168" t="inlineStr">
        <is>
          <t>2026-09-15</t>
        </is>
      </c>
    </row>
    <row r="169">
      <c r="A169" t="inlineStr">
        <is>
          <t>XJ965B</t>
        </is>
      </c>
      <c r="B169" t="inlineStr">
        <is>
          <t>兆祥祥瑞套利1号B类</t>
        </is>
      </c>
      <c r="C169" t="inlineStr">
        <is>
          <t>青岛兆祥资管</t>
        </is>
      </c>
      <c r="D169" t="inlineStr">
        <is>
          <t>青岛兆祥资产管理有限公司 青岛兆祥资产管理有限公司</t>
        </is>
      </c>
      <c r="E169" t="inlineStr">
        <is>
          <t>P1015705</t>
        </is>
      </c>
      <c r="F169" t="inlineStr">
        <is>
          <t>5-10亿元</t>
        </is>
      </c>
      <c r="G169" t="inlineStr">
        <is>
          <t>大规模</t>
        </is>
      </c>
      <c r="H169" t="inlineStr">
        <is>
          <t>本次公示未见相关记录</t>
        </is>
      </c>
      <c r="I169" t="inlineStr">
        <is>
          <t>https://gs.amac.org.cn/amac-infodisc/res/pof/manager/101000018153.html</t>
        </is>
      </c>
      <c r="K169" t="inlineStr">
        <is>
          <t>2026-09-15</t>
        </is>
      </c>
    </row>
    <row r="170">
      <c r="A170" t="inlineStr">
        <is>
          <t>B4982B</t>
        </is>
      </c>
      <c r="B170" t="inlineStr">
        <is>
          <t>鋆晟衡泰进取1号B类</t>
        </is>
      </c>
      <c r="C170" t="inlineStr">
        <is>
          <t>上海鋆晟投资</t>
        </is>
      </c>
      <c r="D170" t="inlineStr">
        <is>
          <t>上海鋆晟投资管理有限公司 上海鋆晟投资管理有限公司</t>
        </is>
      </c>
      <c r="E170" t="inlineStr">
        <is>
          <t>P1028385</t>
        </is>
      </c>
      <c r="F170" t="inlineStr">
        <is>
          <t>5-10亿元</t>
        </is>
      </c>
      <c r="G170" t="inlineStr">
        <is>
          <t>大规模</t>
        </is>
      </c>
      <c r="H170" t="inlineStr">
        <is>
          <t>本次公示未见相关记录</t>
        </is>
      </c>
      <c r="I170" t="inlineStr">
        <is>
          <t>https://gs.amac.org.cn/amac-infodisc/res/pof/manager/101000039679.html</t>
        </is>
      </c>
      <c r="K170" t="inlineStr">
        <is>
          <t>2026-09-15</t>
        </is>
      </c>
    </row>
    <row r="171">
      <c r="A171" t="inlineStr">
        <is>
          <t>SN5169</t>
        </is>
      </c>
      <c r="B171" t="inlineStr">
        <is>
          <t>博普跨市场1号</t>
        </is>
      </c>
      <c r="C171" t="inlineStr">
        <is>
          <t>深圳博普科技</t>
        </is>
      </c>
      <c r="D171" t="inlineStr">
        <is>
          <t>深圳博普科技有限公司</t>
        </is>
      </c>
      <c r="E171" t="inlineStr">
        <is>
          <t>P1001724</t>
        </is>
      </c>
      <c r="F171" t="inlineStr">
        <is>
          <t>100亿元以上</t>
        </is>
      </c>
      <c r="G171" t="inlineStr">
        <is>
          <t>大规模</t>
        </is>
      </c>
      <c r="H171" t="inlineStr">
        <is>
          <t>本次公示未见相关记录</t>
        </is>
      </c>
      <c r="I171" t="inlineStr">
        <is>
          <t>https://gs.amac.org.cn/amac-infodisc/res/pof/manager/101000001136.html</t>
        </is>
      </c>
      <c r="J171" t="inlineStr">
        <is>
          <t>https://gs.amac.org.cn/amac-infodisc/res/pof/fund/351000603064.html</t>
        </is>
      </c>
      <c r="K171" t="inlineStr">
        <is>
          <t>2026-09-15</t>
        </is>
      </c>
    </row>
    <row r="172">
      <c r="A172" t="inlineStr">
        <is>
          <t>SL9566</t>
        </is>
      </c>
      <c r="B172" t="inlineStr">
        <is>
          <t>博益安盈精英1号</t>
        </is>
      </c>
      <c r="C172" t="inlineStr">
        <is>
          <t>深圳博益安盈</t>
        </is>
      </c>
      <c r="D172" t="inlineStr">
        <is>
          <t>深圳市博益安盈私募证券投资基金管理有限公司</t>
        </is>
      </c>
      <c r="E172" t="inlineStr">
        <is>
          <t>P1032574</t>
        </is>
      </c>
      <c r="F172" t="inlineStr">
        <is>
          <t>5-10亿元</t>
        </is>
      </c>
      <c r="G172" t="inlineStr">
        <is>
          <t>大规模</t>
        </is>
      </c>
      <c r="H172" t="inlineStr">
        <is>
          <t>本次公示未见相关记录</t>
        </is>
      </c>
      <c r="I172" t="inlineStr">
        <is>
          <t>https://gs.amac.org.cn/amac-infodisc/res/pof/manager/101000052138.html</t>
        </is>
      </c>
      <c r="J172" t="inlineStr">
        <is>
          <t>https://gs.amac.org.cn/amac-infodisc/res/pof/fund/351000502422.html</t>
        </is>
      </c>
      <c r="K172" t="inlineStr">
        <is>
          <t>2026-09-15</t>
        </is>
      </c>
    </row>
    <row r="173">
      <c r="A173" t="inlineStr">
        <is>
          <t>SD8791</t>
        </is>
      </c>
      <c r="B173" t="inlineStr">
        <is>
          <t>珺墀价值投资甄选系列</t>
        </is>
      </c>
      <c r="C173" t="inlineStr">
        <is>
          <t>上海珺墀资管</t>
        </is>
      </c>
      <c r="D173" t="inlineStr">
        <is>
          <t>上海珺墀资产管理有限公司</t>
        </is>
      </c>
      <c r="E173" t="inlineStr">
        <is>
          <t>P1016333</t>
        </is>
      </c>
      <c r="F173" t="inlineStr">
        <is>
          <t>0-5亿元</t>
        </is>
      </c>
      <c r="G173" t="inlineStr">
        <is>
          <t>小规模</t>
        </is>
      </c>
      <c r="H173" t="inlineStr">
        <is>
          <t>协会提示／报送异常</t>
        </is>
      </c>
      <c r="I173" t="inlineStr">
        <is>
          <t>https://gs.amac.org.cn/amac-infodisc/res/pof/manager/101000026339.html</t>
        </is>
      </c>
      <c r="J173" t="inlineStr">
        <is>
          <t>https://gs.amac.org.cn/amac-infodisc/res/pof/fund/351000269550.html</t>
        </is>
      </c>
      <c r="K173" t="inlineStr">
        <is>
          <t>2026-09-15</t>
        </is>
      </c>
    </row>
    <row r="174">
      <c r="A174" t="inlineStr">
        <is>
          <t>S67533</t>
        </is>
      </c>
      <c r="B174" t="inlineStr">
        <is>
          <t>盛泉恒元多策略量化对冲2号基金</t>
        </is>
      </c>
      <c r="C174" t="inlineStr">
        <is>
          <t>南京盛泉恒元投资</t>
        </is>
      </c>
      <c r="D174" t="inlineStr">
        <is>
          <t>南京盛泉恒元投资有限公司</t>
        </is>
      </c>
      <c r="E174" t="inlineStr">
        <is>
          <t>P1006545</t>
        </is>
      </c>
      <c r="F174" t="inlineStr">
        <is>
          <t>100亿元以上</t>
        </is>
      </c>
      <c r="G174" t="inlineStr">
        <is>
          <t>大规模</t>
        </is>
      </c>
      <c r="H174" t="inlineStr">
        <is>
          <t>本次公示未见相关记录</t>
        </is>
      </c>
      <c r="I174" t="inlineStr">
        <is>
          <t>https://gs.amac.org.cn/amac-infodisc/res/pof/manager/101000008304.html</t>
        </is>
      </c>
      <c r="J174" t="inlineStr">
        <is>
          <t>https://gs.amac.org.cn/amac-infodisc/res/pof/fund/351000223244.html</t>
        </is>
      </c>
      <c r="K174" t="inlineStr">
        <is>
          <t>2026-09-15</t>
        </is>
      </c>
    </row>
    <row r="175">
      <c r="A175" t="inlineStr">
        <is>
          <t>S35707</t>
        </is>
      </c>
      <c r="B175" t="inlineStr">
        <is>
          <t>申毅多策略量化7号</t>
        </is>
      </c>
      <c r="C175" t="inlineStr">
        <is>
          <t>上海申毅投资</t>
        </is>
      </c>
      <c r="D175" t="inlineStr">
        <is>
          <t>上海申毅投资股份有限公司</t>
        </is>
      </c>
      <c r="E175" t="inlineStr">
        <is>
          <t>P1000404</t>
        </is>
      </c>
      <c r="F175" t="inlineStr">
        <is>
          <t>100亿元以上</t>
        </is>
      </c>
      <c r="G175" t="inlineStr">
        <is>
          <t>大规模</t>
        </is>
      </c>
      <c r="H175" t="inlineStr">
        <is>
          <t>本次公示未见相关记录</t>
        </is>
      </c>
      <c r="I175" t="inlineStr">
        <is>
          <t>https://gs.amac.org.cn/amac-infodisc/res/pof/manager/101000000870.html</t>
        </is>
      </c>
      <c r="J175" t="inlineStr">
        <is>
          <t>https://gs.amac.org.cn/amac-infodisc/res/pof/fund/351000188777.html</t>
        </is>
      </c>
      <c r="K175" t="inlineStr">
        <is>
          <t>2026-09-15</t>
        </is>
      </c>
    </row>
    <row r="176">
      <c r="A176" t="inlineStr">
        <is>
          <t>SR8584</t>
        </is>
      </c>
      <c r="B176" t="inlineStr">
        <is>
          <t>汇艾稳健3号</t>
        </is>
      </c>
      <c r="C176" t="inlineStr">
        <is>
          <t>上海汇艾资管</t>
        </is>
      </c>
      <c r="D176" t="inlineStr">
        <is>
          <t>上海汇艾资产管理有限公司</t>
        </is>
      </c>
      <c r="E176" t="inlineStr">
        <is>
          <t>P1014027</t>
        </is>
      </c>
      <c r="F176" t="inlineStr">
        <is>
          <t>0-5亿元</t>
        </is>
      </c>
      <c r="G176" t="inlineStr">
        <is>
          <t>小规模</t>
        </is>
      </c>
      <c r="H176" t="inlineStr">
        <is>
          <t>本次公示未见相关记录</t>
        </is>
      </c>
      <c r="I176" t="inlineStr">
        <is>
          <t>https://gs.amac.org.cn/amac-infodisc/res/pof/manager/101000016385.html</t>
        </is>
      </c>
      <c r="J176" t="inlineStr">
        <is>
          <t>https://gs.amac.org.cn/amac-infodisc/res/pof/fund/351000760422.html</t>
        </is>
      </c>
      <c r="K176" t="inlineStr">
        <is>
          <t>2026-09-15</t>
        </is>
      </c>
    </row>
    <row r="177">
      <c r="A177" t="inlineStr">
        <is>
          <t>SW7191</t>
        </is>
      </c>
      <c r="B177" t="inlineStr">
        <is>
          <t>博普稳增3号</t>
        </is>
      </c>
      <c r="C177" t="inlineStr">
        <is>
          <t>深圳博普科技</t>
        </is>
      </c>
      <c r="D177" t="inlineStr">
        <is>
          <t>深圳博普科技有限公司</t>
        </is>
      </c>
      <c r="E177" t="inlineStr">
        <is>
          <t>P1001724</t>
        </is>
      </c>
      <c r="F177" t="inlineStr">
        <is>
          <t>100亿元以上</t>
        </is>
      </c>
      <c r="G177" t="inlineStr">
        <is>
          <t>大规模</t>
        </is>
      </c>
      <c r="H177" t="inlineStr">
        <is>
          <t>本次公示未见相关记录</t>
        </is>
      </c>
      <c r="I177" t="inlineStr">
        <is>
          <t>https://gs.amac.org.cn/amac-infodisc/res/pof/manager/101000001136.html</t>
        </is>
      </c>
      <c r="J177" t="inlineStr">
        <is>
          <t>https://gs.amac.org.cn/amac-infodisc/res/pof/fund/1711061720100628.html</t>
        </is>
      </c>
      <c r="K177" t="inlineStr">
        <is>
          <t>2026-09-15</t>
        </is>
      </c>
    </row>
    <row r="178">
      <c r="A178" t="inlineStr">
        <is>
          <t>SW1709</t>
        </is>
      </c>
      <c r="B178" t="inlineStr">
        <is>
          <t>盛冠达试金石3号</t>
        </is>
      </c>
      <c r="C178" t="inlineStr">
        <is>
          <t>海南盛冠达</t>
        </is>
      </c>
      <c r="D178" t="inlineStr">
        <is>
          <t>海南盛冠达私募基金管理有限公司</t>
        </is>
      </c>
      <c r="E178" t="inlineStr">
        <is>
          <t>P1001070</t>
        </is>
      </c>
      <c r="F178" t="inlineStr">
        <is>
          <t>20-50亿元</t>
        </is>
      </c>
      <c r="G178" t="inlineStr">
        <is>
          <t>大规模</t>
        </is>
      </c>
      <c r="H178" t="inlineStr">
        <is>
          <t>本次公示未见相关记录</t>
        </is>
      </c>
      <c r="I178" t="inlineStr">
        <is>
          <t>https://gs.amac.org.cn/amac-infodisc/res/pof/manager/101000001663.html</t>
        </is>
      </c>
      <c r="J178" t="inlineStr">
        <is>
          <t>https://gs.amac.org.cn/amac-infodisc/res/pof/fund/1711131228105655.html</t>
        </is>
      </c>
      <c r="K178" t="inlineStr">
        <is>
          <t>2026-09-15</t>
        </is>
      </c>
    </row>
    <row r="179">
      <c r="A179" t="inlineStr">
        <is>
          <t>SEE184</t>
        </is>
      </c>
      <c r="B179" t="inlineStr">
        <is>
          <t>盛泉恒元量化套利12号专项</t>
        </is>
      </c>
      <c r="C179" t="inlineStr">
        <is>
          <t>南京盛泉恒元投资</t>
        </is>
      </c>
      <c r="D179" t="inlineStr">
        <is>
          <t>南京盛泉恒元投资有限公司</t>
        </is>
      </c>
      <c r="E179" t="inlineStr">
        <is>
          <t>P1006545</t>
        </is>
      </c>
      <c r="F179" t="inlineStr">
        <is>
          <t>100亿元以上</t>
        </is>
      </c>
      <c r="G179" t="inlineStr">
        <is>
          <t>大规模</t>
        </is>
      </c>
      <c r="H179" t="inlineStr">
        <is>
          <t>本次公示未见相关记录</t>
        </is>
      </c>
      <c r="I179" t="inlineStr">
        <is>
          <t>https://gs.amac.org.cn/amac-infodisc/res/pof/manager/101000008304.html</t>
        </is>
      </c>
      <c r="J179" t="inlineStr">
        <is>
          <t>https://gs.amac.org.cn/amac-infodisc/res/pof/fund/1808311648103483.html</t>
        </is>
      </c>
      <c r="K179" t="inlineStr">
        <is>
          <t>2026-09-15</t>
        </is>
      </c>
    </row>
    <row r="180">
      <c r="A180" t="inlineStr">
        <is>
          <t>SEG244</t>
        </is>
      </c>
      <c r="B180" t="inlineStr">
        <is>
          <t>东方富银命运1号</t>
        </is>
      </c>
      <c r="C180" t="inlineStr">
        <is>
          <t>深圳东方富银投资</t>
        </is>
      </c>
      <c r="D180" t="inlineStr">
        <is>
          <t>深圳市东方富银投资管理有限公司</t>
        </is>
      </c>
      <c r="E180" t="inlineStr">
        <is>
          <t>P1068576</t>
        </is>
      </c>
      <c r="F180" t="inlineStr">
        <is>
          <t>0-5亿元</t>
        </is>
      </c>
      <c r="G180" t="inlineStr">
        <is>
          <t>小规模</t>
        </is>
      </c>
      <c r="H180" t="inlineStr">
        <is>
          <t>本次公示未见相关记录</t>
        </is>
      </c>
      <c r="I180" t="inlineStr">
        <is>
          <t>https://gs.amac.org.cn/amac-infodisc/res/pof/manager/1803121751101388.html</t>
        </is>
      </c>
      <c r="J180" t="inlineStr">
        <is>
          <t>https://gs.amac.org.cn/amac-infodisc/res/pof/fund/1809041832107174.html</t>
        </is>
      </c>
      <c r="K180" t="inlineStr">
        <is>
          <t>2026-09-15</t>
        </is>
      </c>
    </row>
    <row r="181">
      <c r="A181" t="inlineStr">
        <is>
          <t>SEP459</t>
        </is>
      </c>
      <c r="B181" t="inlineStr">
        <is>
          <t>致同稳健成长1期</t>
        </is>
      </c>
      <c r="C181" t="inlineStr">
        <is>
          <t>上海致同投资</t>
        </is>
      </c>
      <c r="D181" t="inlineStr">
        <is>
          <t>上海致同投资管理有限公司</t>
        </is>
      </c>
      <c r="E181" t="inlineStr">
        <is>
          <t>P1003519</t>
        </is>
      </c>
      <c r="F181" t="inlineStr">
        <is>
          <t>20-50亿元</t>
        </is>
      </c>
      <c r="G181" t="inlineStr">
        <is>
          <t>大规模</t>
        </is>
      </c>
      <c r="H181" t="inlineStr">
        <is>
          <t>监管警示函</t>
        </is>
      </c>
      <c r="I181" t="inlineStr">
        <is>
          <t>https://gs.amac.org.cn/amac-infodisc/res/pof/manager/101000004339.html</t>
        </is>
      </c>
      <c r="J181" t="inlineStr">
        <is>
          <t>https://gs.amac.org.cn/amac-infodisc/res/pof/fund/1810191705108886.html</t>
        </is>
      </c>
      <c r="K181" t="inlineStr">
        <is>
          <t>2026-09-15</t>
        </is>
      </c>
    </row>
    <row r="182">
      <c r="A182" t="inlineStr">
        <is>
          <t>SEE891</t>
        </is>
      </c>
      <c r="B182" t="inlineStr">
        <is>
          <t>博普量化对冲6号</t>
        </is>
      </c>
      <c r="C182" t="inlineStr">
        <is>
          <t>深圳前海博普资管</t>
        </is>
      </c>
      <c r="D182" t="inlineStr">
        <is>
          <t>深圳前海博普资产管理有限公司</t>
        </is>
      </c>
      <c r="E182" t="inlineStr">
        <is>
          <t>P1067653</t>
        </is>
      </c>
      <c r="F182" t="inlineStr">
        <is>
          <t>50-100亿元</t>
        </is>
      </c>
      <c r="G182" t="inlineStr">
        <is>
          <t>大规模</t>
        </is>
      </c>
      <c r="H182" t="inlineStr">
        <is>
          <t>本次公示未见相关记录</t>
        </is>
      </c>
      <c r="I182" t="inlineStr">
        <is>
          <t>https://gs.amac.org.cn/amac-infodisc/res/pof/manager/1709041706102598.html</t>
        </is>
      </c>
      <c r="J182" t="inlineStr">
        <is>
          <t>https://gs.amac.org.cn/amac-infodisc/res/pof/fund/1812171730101213.html</t>
        </is>
      </c>
      <c r="K182" t="inlineStr">
        <is>
          <t>2026-09-15</t>
        </is>
      </c>
    </row>
    <row r="183">
      <c r="A183" t="inlineStr">
        <is>
          <t>SEW918</t>
        </is>
      </c>
      <c r="B183" t="inlineStr">
        <is>
          <t>冲和稳健增长一号</t>
        </is>
      </c>
      <c r="C183" t="inlineStr">
        <is>
          <t>北京冲和资管</t>
        </is>
      </c>
      <c r="D183" t="inlineStr">
        <is>
          <t>北京冲和资产管理有限公司</t>
        </is>
      </c>
      <c r="E183" t="inlineStr">
        <is>
          <t>P1026274</t>
        </is>
      </c>
      <c r="F183" t="inlineStr">
        <is>
          <t>0-5亿元</t>
        </is>
      </c>
      <c r="G183" t="inlineStr">
        <is>
          <t>小规模</t>
        </is>
      </c>
      <c r="H183" t="inlineStr">
        <is>
          <t>协会提示／报送异常</t>
        </is>
      </c>
      <c r="I183" t="inlineStr">
        <is>
          <t>https://gs.amac.org.cn/amac-infodisc/res/pof/manager/101000038139.html</t>
        </is>
      </c>
      <c r="J183" t="inlineStr">
        <is>
          <t>https://gs.amac.org.cn/amac-infodisc/res/pof/fund/1901080925106759.html</t>
        </is>
      </c>
      <c r="K183" t="inlineStr">
        <is>
          <t>2026-09-15</t>
        </is>
      </c>
    </row>
    <row r="184">
      <c r="A184" t="inlineStr">
        <is>
          <t>SEX105</t>
        </is>
      </c>
      <c r="B184" t="inlineStr">
        <is>
          <t>晨乐佳享3号</t>
        </is>
      </c>
      <c r="C184" t="inlineStr">
        <is>
          <t>北京晨乐资管</t>
        </is>
      </c>
      <c r="D184" t="inlineStr">
        <is>
          <t>北京晨乐资产管理有限公司</t>
        </is>
      </c>
      <c r="E184" t="inlineStr">
        <is>
          <t>P1064140</t>
        </is>
      </c>
      <c r="F184" t="inlineStr">
        <is>
          <t>5-10亿元</t>
        </is>
      </c>
      <c r="G184" t="inlineStr">
        <is>
          <t>大规模</t>
        </is>
      </c>
      <c r="H184" t="inlineStr">
        <is>
          <t>协会提示／报送异常</t>
        </is>
      </c>
      <c r="I184" t="inlineStr">
        <is>
          <t>https://gs.amac.org.cn/amac-infodisc/res/pof/manager/1701061825106751.html</t>
        </is>
      </c>
      <c r="J184" t="inlineStr">
        <is>
          <t>https://gs.amac.org.cn/amac-infodisc/res/pof/fund/1901251805101844.html</t>
        </is>
      </c>
      <c r="K184" t="inlineStr">
        <is>
          <t>2026-09-15</t>
        </is>
      </c>
    </row>
    <row r="185">
      <c r="A185" t="inlineStr">
        <is>
          <t>SEX315</t>
        </is>
      </c>
      <c r="B185" t="inlineStr">
        <is>
          <t>盛泉恒元量化套利11号</t>
        </is>
      </c>
      <c r="C185" t="inlineStr">
        <is>
          <t>南京盛泉恒元投资</t>
        </is>
      </c>
      <c r="D185" t="inlineStr">
        <is>
          <t>南京盛泉恒元投资有限公司</t>
        </is>
      </c>
      <c r="E185" t="inlineStr">
        <is>
          <t>P1006545</t>
        </is>
      </c>
      <c r="F185" t="inlineStr">
        <is>
          <t>100亿元以上</t>
        </is>
      </c>
      <c r="G185" t="inlineStr">
        <is>
          <t>大规模</t>
        </is>
      </c>
      <c r="H185" t="inlineStr">
        <is>
          <t>本次公示未见相关记录</t>
        </is>
      </c>
      <c r="I185" t="inlineStr">
        <is>
          <t>https://gs.amac.org.cn/amac-infodisc/res/pof/manager/101000008304.html</t>
        </is>
      </c>
      <c r="J185" t="inlineStr">
        <is>
          <t>https://gs.amac.org.cn/amac-infodisc/res/pof/fund/1901281739102503.html</t>
        </is>
      </c>
      <c r="K185" t="inlineStr">
        <is>
          <t>2026-09-15</t>
        </is>
      </c>
    </row>
    <row r="186">
      <c r="A186" t="inlineStr">
        <is>
          <t>SGH592</t>
        </is>
      </c>
      <c r="B186" t="inlineStr">
        <is>
          <t>殊馥兴义2号</t>
        </is>
      </c>
      <c r="C186" t="inlineStr">
        <is>
          <t>上海殊馥投资</t>
        </is>
      </c>
      <c r="D186" t="inlineStr">
        <is>
          <t>上海殊馥投资管理有限公司</t>
        </is>
      </c>
      <c r="E186" t="inlineStr">
        <is>
          <t>P1029642</t>
        </is>
      </c>
      <c r="F186" t="inlineStr">
        <is>
          <t>10-20亿元</t>
        </is>
      </c>
      <c r="G186" t="inlineStr">
        <is>
          <t>大规模</t>
        </is>
      </c>
      <c r="H186" t="inlineStr">
        <is>
          <t>协会提示／报送异常</t>
        </is>
      </c>
      <c r="I186" t="inlineStr">
        <is>
          <t>https://gs.amac.org.cn/amac-infodisc/res/pof/manager/101000042776.html</t>
        </is>
      </c>
      <c r="J186" t="inlineStr">
        <is>
          <t>https://gs.amac.org.cn/amac-infodisc/res/pof/fund/1904241451105050.html</t>
        </is>
      </c>
      <c r="K186" t="inlineStr">
        <is>
          <t>2026-09-15</t>
        </is>
      </c>
    </row>
    <row r="187">
      <c r="A187" t="inlineStr">
        <is>
          <t>SGM299</t>
        </is>
      </c>
      <c r="B187" t="inlineStr">
        <is>
          <t>永泉奇点1号混合投资</t>
        </is>
      </c>
      <c r="C187" t="inlineStr">
        <is>
          <t>宁波永泉</t>
        </is>
      </c>
      <c r="D187" t="inlineStr">
        <is>
          <t>宁波永泉私募基金管理有限公司</t>
        </is>
      </c>
      <c r="E187" t="inlineStr">
        <is>
          <t>P1017919</t>
        </is>
      </c>
      <c r="F187" t="inlineStr">
        <is>
          <t>0-5亿元</t>
        </is>
      </c>
      <c r="G187" t="inlineStr">
        <is>
          <t>小规模</t>
        </is>
      </c>
      <c r="H187" t="inlineStr">
        <is>
          <t>协会提示／报送异常</t>
        </is>
      </c>
      <c r="I187" t="inlineStr">
        <is>
          <t>https://gs.amac.org.cn/amac-infodisc/res/pof/manager/101000016974.html</t>
        </is>
      </c>
      <c r="J187" t="inlineStr">
        <is>
          <t>https://gs.amac.org.cn/amac-infodisc/res/pof/fund/1905101802102119.html</t>
        </is>
      </c>
      <c r="K187" t="inlineStr">
        <is>
          <t>2026-09-15</t>
        </is>
      </c>
    </row>
    <row r="188">
      <c r="A188" t="inlineStr">
        <is>
          <t>SGQ716</t>
        </is>
      </c>
      <c r="B188" t="inlineStr">
        <is>
          <t>宏量鼎诚</t>
        </is>
      </c>
      <c r="C188" t="inlineStr">
        <is>
          <t>北京宏量资管</t>
        </is>
      </c>
      <c r="D188" t="inlineStr">
        <is>
          <t>北京宏量资本管理有限公司</t>
        </is>
      </c>
      <c r="E188" t="inlineStr">
        <is>
          <t>P1065674</t>
        </is>
      </c>
      <c r="F188" t="inlineStr">
        <is>
          <t>0-5亿元</t>
        </is>
      </c>
      <c r="G188" t="inlineStr">
        <is>
          <t>小规模</t>
        </is>
      </c>
      <c r="H188" t="inlineStr">
        <is>
          <t>本次公示未见相关记录</t>
        </is>
      </c>
      <c r="I188" t="inlineStr">
        <is>
          <t>https://gs.amac.org.cn/amac-infodisc/res/pof/manager/1706211851108652.html</t>
        </is>
      </c>
      <c r="J188" t="inlineStr">
        <is>
          <t>https://gs.amac.org.cn/amac-infodisc/res/pof/fund/1906111459103914.html</t>
        </is>
      </c>
      <c r="K188" t="inlineStr">
        <is>
          <t>2026-09-15</t>
        </is>
      </c>
    </row>
    <row r="189">
      <c r="A189" t="inlineStr">
        <is>
          <t>SJB356</t>
        </is>
      </c>
      <c r="B189" t="inlineStr">
        <is>
          <t>永泉奇点2号混合投资</t>
        </is>
      </c>
      <c r="C189" t="inlineStr">
        <is>
          <t>宁波永泉</t>
        </is>
      </c>
      <c r="D189" t="inlineStr">
        <is>
          <t>宁波永泉私募基金管理有限公司</t>
        </is>
      </c>
      <c r="E189" t="inlineStr">
        <is>
          <t>P1017919</t>
        </is>
      </c>
      <c r="F189" t="inlineStr">
        <is>
          <t>0-5亿元</t>
        </is>
      </c>
      <c r="G189" t="inlineStr">
        <is>
          <t>小规模</t>
        </is>
      </c>
      <c r="H189" t="inlineStr">
        <is>
          <t>协会提示／报送异常</t>
        </is>
      </c>
      <c r="I189" t="inlineStr">
        <is>
          <t>https://gs.amac.org.cn/amac-infodisc/res/pof/manager/101000016974.html</t>
        </is>
      </c>
      <c r="J189" t="inlineStr">
        <is>
          <t>https://gs.amac.org.cn/amac-infodisc/res/pof/fund/1909261835100611.html</t>
        </is>
      </c>
      <c r="K189" t="inlineStr">
        <is>
          <t>2026-09-15</t>
        </is>
      </c>
    </row>
    <row r="190">
      <c r="A190" t="inlineStr">
        <is>
          <t>SJR679</t>
        </is>
      </c>
      <c r="B190" t="inlineStr">
        <is>
          <t>厦门言起博士一号</t>
        </is>
      </c>
      <c r="C190" t="inlineStr">
        <is>
          <t>厦门言起投资</t>
        </is>
      </c>
      <c r="D190" t="inlineStr">
        <is>
          <t>厦门言起投资管理有限公司</t>
        </is>
      </c>
      <c r="E190" t="inlineStr">
        <is>
          <t>P1032282</t>
        </is>
      </c>
      <c r="F190" t="inlineStr">
        <is>
          <t>0-5亿元</t>
        </is>
      </c>
      <c r="G190" t="inlineStr">
        <is>
          <t>小规模</t>
        </is>
      </c>
      <c r="H190" t="inlineStr">
        <is>
          <t>协会提示／报送异常</t>
        </is>
      </c>
      <c r="I190" t="inlineStr">
        <is>
          <t>https://gs.amac.org.cn/amac-infodisc/res/pof/manager/101000049573.html</t>
        </is>
      </c>
      <c r="J190" t="inlineStr">
        <is>
          <t>https://gs.amac.org.cn/amac-infodisc/res/pof/fund/2002211800116572.html</t>
        </is>
      </c>
      <c r="K190" t="inlineStr">
        <is>
          <t>2026-09-15</t>
        </is>
      </c>
    </row>
    <row r="191">
      <c r="A191" t="inlineStr">
        <is>
          <t>SJS890</t>
        </is>
      </c>
      <c r="B191" t="inlineStr">
        <is>
          <t>平凡浩睿</t>
        </is>
      </c>
      <c r="C191" t="inlineStr">
        <is>
          <t>北京平凡</t>
        </is>
      </c>
      <c r="D191" t="inlineStr">
        <is>
          <t>北京平凡私募基金管理有限公司</t>
        </is>
      </c>
      <c r="E191" t="inlineStr">
        <is>
          <t>P1021670</t>
        </is>
      </c>
      <c r="F191" t="inlineStr">
        <is>
          <t>50-100亿元</t>
        </is>
      </c>
      <c r="G191" t="inlineStr">
        <is>
          <t>大规模</t>
        </is>
      </c>
      <c r="H191" t="inlineStr">
        <is>
          <t>本次公示未见相关记录</t>
        </is>
      </c>
      <c r="I191" t="inlineStr">
        <is>
          <t>https://gs.amac.org.cn/amac-infodisc/res/pof/manager/101000030286.html</t>
        </is>
      </c>
      <c r="J191" t="inlineStr">
        <is>
          <t>https://gs.amac.org.cn/amac-infodisc/res/pof/fund/2003111724111317.html</t>
        </is>
      </c>
      <c r="K191" t="inlineStr">
        <is>
          <t>2026-09-15</t>
        </is>
      </c>
    </row>
    <row r="192">
      <c r="A192" t="inlineStr">
        <is>
          <t>SJW903</t>
        </is>
      </c>
      <c r="B192" t="inlineStr">
        <is>
          <t>博普日添月益</t>
        </is>
      </c>
      <c r="C192" t="inlineStr">
        <is>
          <t>深圳前海博普资管</t>
        </is>
      </c>
      <c r="D192" t="inlineStr">
        <is>
          <t>深圳前海博普资产管理有限公司</t>
        </is>
      </c>
      <c r="E192" t="inlineStr">
        <is>
          <t>P1067653</t>
        </is>
      </c>
      <c r="F192" t="inlineStr">
        <is>
          <t>50-100亿元</t>
        </is>
      </c>
      <c r="G192" t="inlineStr">
        <is>
          <t>大规模</t>
        </is>
      </c>
      <c r="H192" t="inlineStr">
        <is>
          <t>本次公示未见相关记录</t>
        </is>
      </c>
      <c r="I192" t="inlineStr">
        <is>
          <t>https://gs.amac.org.cn/amac-infodisc/res/pof/manager/1709041706102598.html</t>
        </is>
      </c>
      <c r="J192" t="inlineStr">
        <is>
          <t>https://gs.amac.org.cn/amac-infodisc/res/pof/fund/2003311737105713.html</t>
        </is>
      </c>
      <c r="K192" t="inlineStr">
        <is>
          <t>2026-09-15</t>
        </is>
      </c>
    </row>
    <row r="193">
      <c r="A193" t="inlineStr">
        <is>
          <t>SJZ381</t>
        </is>
      </c>
      <c r="B193" t="inlineStr">
        <is>
          <t>鸣熙资产-招享套利1号</t>
        </is>
      </c>
      <c r="C193" t="inlineStr">
        <is>
          <t>鸣熙资本</t>
        </is>
      </c>
      <c r="D193" t="inlineStr">
        <is>
          <t>上海鸣熙资产管理有限公司</t>
        </is>
      </c>
      <c r="E193" t="inlineStr">
        <is>
          <t>P1033450</t>
        </is>
      </c>
      <c r="F193" t="inlineStr">
        <is>
          <t>100亿元以上</t>
        </is>
      </c>
      <c r="G193" t="inlineStr">
        <is>
          <t>大规模</t>
        </is>
      </c>
      <c r="H193" t="inlineStr">
        <is>
          <t>本次公示未见相关记录</t>
        </is>
      </c>
      <c r="I193" t="inlineStr">
        <is>
          <t>https://gs.amac.org.cn/amac-infodisc/res/pof/manager/101000039347.html</t>
        </is>
      </c>
      <c r="J193" t="inlineStr">
        <is>
          <t>https://gs.amac.org.cn/amac-infodisc/res/pof/fund/2004141732109376.html</t>
        </is>
      </c>
      <c r="K193" t="inlineStr">
        <is>
          <t>2026-09-15</t>
        </is>
      </c>
    </row>
    <row r="194">
      <c r="A194" t="inlineStr">
        <is>
          <t>SJZ209</t>
        </is>
      </c>
      <c r="B194" t="inlineStr">
        <is>
          <t>盛冠达量化套利6号</t>
        </is>
      </c>
      <c r="C194" t="inlineStr">
        <is>
          <t>海南盛冠达</t>
        </is>
      </c>
      <c r="D194" t="inlineStr">
        <is>
          <t>海南盛冠达私募基金管理有限公司</t>
        </is>
      </c>
      <c r="E194" t="inlineStr">
        <is>
          <t>P1001070</t>
        </is>
      </c>
      <c r="F194" t="inlineStr">
        <is>
          <t>20-50亿元</t>
        </is>
      </c>
      <c r="G194" t="inlineStr">
        <is>
          <t>大规模</t>
        </is>
      </c>
      <c r="H194" t="inlineStr">
        <is>
          <t>本次公示未见相关记录</t>
        </is>
      </c>
      <c r="I194" t="inlineStr">
        <is>
          <t>https://gs.amac.org.cn/amac-infodisc/res/pof/manager/101000001663.html</t>
        </is>
      </c>
      <c r="J194" t="inlineStr">
        <is>
          <t>https://gs.amac.org.cn/amac-infodisc/res/pof/fund/2006011729107407.html</t>
        </is>
      </c>
      <c r="K194" t="inlineStr">
        <is>
          <t>2026-09-15</t>
        </is>
      </c>
    </row>
    <row r="195">
      <c r="A195" t="inlineStr">
        <is>
          <t>SJY718</t>
        </is>
      </c>
      <c r="B195" t="inlineStr">
        <is>
          <t>盛泉恒元量化套利27号</t>
        </is>
      </c>
      <c r="C195" t="inlineStr">
        <is>
          <t>南京盛泉恒元投资</t>
        </is>
      </c>
      <c r="D195" t="inlineStr">
        <is>
          <t>南京盛泉恒元投资有限公司</t>
        </is>
      </c>
      <c r="E195" t="inlineStr">
        <is>
          <t>P1006545</t>
        </is>
      </c>
      <c r="F195" t="inlineStr">
        <is>
          <t>100亿元以上</t>
        </is>
      </c>
      <c r="G195" t="inlineStr">
        <is>
          <t>大规模</t>
        </is>
      </c>
      <c r="H195" t="inlineStr">
        <is>
          <t>本次公示未见相关记录</t>
        </is>
      </c>
      <c r="I195" t="inlineStr">
        <is>
          <t>https://gs.amac.org.cn/amac-infodisc/res/pof/manager/101000008304.html</t>
        </is>
      </c>
      <c r="J195" t="inlineStr">
        <is>
          <t>https://gs.amac.org.cn/amac-infodisc/res/pof/fund/2006151927109230.html</t>
        </is>
      </c>
      <c r="K195" t="inlineStr">
        <is>
          <t>2026-09-15</t>
        </is>
      </c>
    </row>
    <row r="196">
      <c r="A196" t="inlineStr">
        <is>
          <t>SLE395</t>
        </is>
      </c>
      <c r="B196" t="inlineStr">
        <is>
          <t>杉阳云杉转债1号</t>
        </is>
      </c>
      <c r="C196" t="inlineStr">
        <is>
          <t>上海杉阳</t>
        </is>
      </c>
      <c r="D196" t="inlineStr">
        <is>
          <t>上海杉阳私募基金管理有限公司</t>
        </is>
      </c>
      <c r="E196" t="inlineStr">
        <is>
          <t>P1070833</t>
        </is>
      </c>
      <c r="F196" t="inlineStr">
        <is>
          <t>0-5亿元</t>
        </is>
      </c>
      <c r="G196" t="inlineStr">
        <is>
          <t>小规模</t>
        </is>
      </c>
      <c r="H196" t="inlineStr">
        <is>
          <t>本次公示未见相关记录</t>
        </is>
      </c>
      <c r="I196" t="inlineStr">
        <is>
          <t>https://gs.amac.org.cn/amac-infodisc/res/pof/manager/2001061547104837.html</t>
        </is>
      </c>
      <c r="J196" t="inlineStr">
        <is>
          <t>https://gs.amac.org.cn/amac-infodisc/res/pof/fund/2006171757102620.html</t>
        </is>
      </c>
      <c r="K196" t="inlineStr">
        <is>
          <t>2026-09-15</t>
        </is>
      </c>
    </row>
    <row r="197">
      <c r="A197" t="inlineStr">
        <is>
          <t>SLM995</t>
        </is>
      </c>
      <c r="B197" t="inlineStr">
        <is>
          <t>聚亿具臻</t>
        </is>
      </c>
      <c r="C197" t="inlineStr">
        <is>
          <t>珠海聚亿基金</t>
        </is>
      </c>
      <c r="D197" t="inlineStr">
        <is>
          <t>珠海聚亿基金管理有限公司</t>
        </is>
      </c>
      <c r="E197" t="inlineStr">
        <is>
          <t>P1066810</t>
        </is>
      </c>
      <c r="F197" t="inlineStr">
        <is>
          <t>0-5亿元</t>
        </is>
      </c>
      <c r="G197" t="inlineStr">
        <is>
          <t>小规模</t>
        </is>
      </c>
      <c r="H197" t="inlineStr">
        <is>
          <t>本次公示未见相关记录</t>
        </is>
      </c>
      <c r="I197" t="inlineStr">
        <is>
          <t>https://gs.amac.org.cn/amac-infodisc/res/pof/manager/1706231108101144.html</t>
        </is>
      </c>
      <c r="J197" t="inlineStr">
        <is>
          <t>https://gs.amac.org.cn/amac-infodisc/res/pof/fund/2008201725129997.html</t>
        </is>
      </c>
      <c r="K197" t="inlineStr">
        <is>
          <t>2026-09-15</t>
        </is>
      </c>
    </row>
    <row r="198">
      <c r="A198" t="inlineStr">
        <is>
          <t>SLM933</t>
        </is>
      </c>
      <c r="B198" t="inlineStr">
        <is>
          <t>盛泉恒元量化套利31号</t>
        </is>
      </c>
      <c r="C198" t="inlineStr">
        <is>
          <t>南京盛泉恒元投资</t>
        </is>
      </c>
      <c r="D198" t="inlineStr">
        <is>
          <t>南京盛泉恒元投资有限公司</t>
        </is>
      </c>
      <c r="E198" t="inlineStr">
        <is>
          <t>P1006545</t>
        </is>
      </c>
      <c r="F198" t="inlineStr">
        <is>
          <t>100亿元以上</t>
        </is>
      </c>
      <c r="G198" t="inlineStr">
        <is>
          <t>大规模</t>
        </is>
      </c>
      <c r="H198" t="inlineStr">
        <is>
          <t>本次公示未见相关记录</t>
        </is>
      </c>
      <c r="I198" t="inlineStr">
        <is>
          <t>https://gs.amac.org.cn/amac-infodisc/res/pof/manager/101000008304.html</t>
        </is>
      </c>
      <c r="J198" t="inlineStr">
        <is>
          <t>https://gs.amac.org.cn/amac-infodisc/res/pof/fund/2008261728106155.html</t>
        </is>
      </c>
      <c r="K198" t="inlineStr">
        <is>
          <t>2026-09-15</t>
        </is>
      </c>
    </row>
    <row r="199">
      <c r="A199" t="inlineStr">
        <is>
          <t>SLQ627</t>
        </is>
      </c>
      <c r="B199" t="inlineStr">
        <is>
          <t>俊丹湾谷二号</t>
        </is>
      </c>
      <c r="C199" t="inlineStr">
        <is>
          <t>上海俊丹</t>
        </is>
      </c>
      <c r="D199" t="inlineStr">
        <is>
          <t>上海俊丹私募基金管理有限公司</t>
        </is>
      </c>
      <c r="E199" t="inlineStr">
        <is>
          <t>P1070619</t>
        </is>
      </c>
      <c r="F199" t="inlineStr">
        <is>
          <t>10-20亿元</t>
        </is>
      </c>
      <c r="G199" t="inlineStr">
        <is>
          <t>大规模</t>
        </is>
      </c>
      <c r="H199" t="inlineStr">
        <is>
          <t>本次公示未见相关记录</t>
        </is>
      </c>
      <c r="I199" t="inlineStr">
        <is>
          <t>https://gs.amac.org.cn/amac-infodisc/res/pof/manager/1907181104109037.html</t>
        </is>
      </c>
      <c r="J199" t="inlineStr">
        <is>
          <t>https://gs.amac.org.cn/amac-infodisc/res/pof/fund/2008311647105017.html</t>
        </is>
      </c>
      <c r="K199" t="inlineStr">
        <is>
          <t>2026-09-15</t>
        </is>
      </c>
    </row>
    <row r="200">
      <c r="A200" t="inlineStr">
        <is>
          <t>SNG016</t>
        </is>
      </c>
      <c r="B200" t="inlineStr">
        <is>
          <t>永泉奇点17号混合投资</t>
        </is>
      </c>
      <c r="C200" t="inlineStr">
        <is>
          <t>宁波永泉</t>
        </is>
      </c>
      <c r="D200" t="inlineStr">
        <is>
          <t>宁波永泉私募基金管理有限公司</t>
        </is>
      </c>
      <c r="E200" t="inlineStr">
        <is>
          <t>P1017919</t>
        </is>
      </c>
      <c r="F200" t="inlineStr">
        <is>
          <t>0-5亿元</t>
        </is>
      </c>
      <c r="G200" t="inlineStr">
        <is>
          <t>小规模</t>
        </is>
      </c>
      <c r="H200" t="inlineStr">
        <is>
          <t>协会提示／报送异常</t>
        </is>
      </c>
      <c r="I200" t="inlineStr">
        <is>
          <t>https://gs.amac.org.cn/amac-infodisc/res/pof/manager/101000016974.html</t>
        </is>
      </c>
      <c r="J200" t="inlineStr">
        <is>
          <t>https://gs.amac.org.cn/amac-infodisc/res/pof/fund/2011301715100423.html</t>
        </is>
      </c>
      <c r="K200" t="inlineStr">
        <is>
          <t>2026-09-15</t>
        </is>
      </c>
    </row>
    <row r="201">
      <c r="A201" t="inlineStr">
        <is>
          <t>SNF235</t>
        </is>
      </c>
      <c r="B201" t="inlineStr">
        <is>
          <t>多打粮磬晟</t>
        </is>
      </c>
      <c r="C201" t="inlineStr">
        <is>
          <t>上海磬晟</t>
        </is>
      </c>
      <c r="D201" t="inlineStr">
        <is>
          <t>上海磬晟私募基金管理有限公司</t>
        </is>
      </c>
      <c r="E201" t="inlineStr">
        <is>
          <t>P1064288</t>
        </is>
      </c>
      <c r="F201" t="inlineStr">
        <is>
          <t>5-10亿元</t>
        </is>
      </c>
      <c r="G201" t="inlineStr">
        <is>
          <t>大规模</t>
        </is>
      </c>
      <c r="H201" t="inlineStr">
        <is>
          <t>本次公示未见相关记录</t>
        </is>
      </c>
      <c r="I201" t="inlineStr">
        <is>
          <t>https://gs.amac.org.cn/amac-infodisc/res/pof/manager/1612231709103386.html</t>
        </is>
      </c>
      <c r="J201" t="inlineStr">
        <is>
          <t>https://gs.amac.org.cn/amac-infodisc/res/pof/fund/2012141440107801.html</t>
        </is>
      </c>
      <c r="K201" t="inlineStr">
        <is>
          <t>2026-09-15</t>
        </is>
      </c>
    </row>
    <row r="202">
      <c r="A202" t="inlineStr">
        <is>
          <t>SNF469</t>
        </is>
      </c>
      <c r="B202" t="inlineStr">
        <is>
          <t>元康投资-稳健添利1号</t>
        </is>
      </c>
      <c r="C202" t="inlineStr">
        <is>
          <t>上海元康投资</t>
        </is>
      </c>
      <c r="D202" t="inlineStr">
        <is>
          <t>上海元康投资管理有限公司</t>
        </is>
      </c>
      <c r="E202" t="inlineStr">
        <is>
          <t>P1005920</t>
        </is>
      </c>
      <c r="F202" t="inlineStr">
        <is>
          <t>5-10亿元</t>
        </is>
      </c>
      <c r="G202" t="inlineStr">
        <is>
          <t>大规模</t>
        </is>
      </c>
      <c r="H202" t="inlineStr">
        <is>
          <t>协会提示／报送异常</t>
        </is>
      </c>
      <c r="I202" t="inlineStr">
        <is>
          <t>https://gs.amac.org.cn/amac-infodisc/res/pof/manager/101000012102.html</t>
        </is>
      </c>
      <c r="J202" t="inlineStr">
        <is>
          <t>https://gs.amac.org.cn/amac-infodisc/res/pof/fund/2012301646100082.html</t>
        </is>
      </c>
      <c r="K202" t="inlineStr">
        <is>
          <t>2026-09-15</t>
        </is>
      </c>
    </row>
    <row r="203">
      <c r="A203" t="inlineStr">
        <is>
          <t>SNQ397</t>
        </is>
      </c>
      <c r="B203" t="inlineStr">
        <is>
          <t>鹿秀驯鹿20号</t>
        </is>
      </c>
      <c r="C203" t="inlineStr">
        <is>
          <t>青岛鹿秀投资</t>
        </is>
      </c>
      <c r="D203" t="inlineStr">
        <is>
          <t>青岛鹿秀投资管理有限公司</t>
        </is>
      </c>
      <c r="E203" t="inlineStr">
        <is>
          <t>P1064617</t>
        </is>
      </c>
      <c r="F203" t="inlineStr">
        <is>
          <t>50-100亿元</t>
        </is>
      </c>
      <c r="G203" t="inlineStr">
        <is>
          <t>大规模</t>
        </is>
      </c>
      <c r="H203" t="inlineStr">
        <is>
          <t>协会提示／报送异常</t>
        </is>
      </c>
      <c r="I203" t="inlineStr">
        <is>
          <t>https://gs.amac.org.cn/amac-infodisc/res/pof/manager/1612231708101923.html</t>
        </is>
      </c>
      <c r="J203" t="inlineStr">
        <is>
          <t>https://gs.amac.org.cn/amac-infodisc/res/pof/fund/2101261837105022.html</t>
        </is>
      </c>
      <c r="K203" t="inlineStr">
        <is>
          <t>2026-09-15</t>
        </is>
      </c>
    </row>
    <row r="204">
      <c r="A204" t="inlineStr">
        <is>
          <t>SQL764</t>
        </is>
      </c>
      <c r="B204" t="inlineStr">
        <is>
          <t>宣夜投资涓流二号</t>
        </is>
      </c>
      <c r="C204" t="inlineStr">
        <is>
          <t>上海宣夜投资</t>
        </is>
      </c>
      <c r="D204" t="inlineStr">
        <is>
          <t>上海宣夜投资管理有限公司</t>
        </is>
      </c>
      <c r="E204" t="inlineStr">
        <is>
          <t>P1060042</t>
        </is>
      </c>
      <c r="F204" t="inlineStr">
        <is>
          <t>20-50亿元</t>
        </is>
      </c>
      <c r="G204" t="inlineStr">
        <is>
          <t>大规模</t>
        </is>
      </c>
      <c r="H204" t="inlineStr">
        <is>
          <t>协会提示／报送异常</t>
        </is>
      </c>
      <c r="I204" t="inlineStr">
        <is>
          <t>https://gs.amac.org.cn/amac-infodisc/res/pof/manager/1609130947110564.html</t>
        </is>
      </c>
      <c r="J204" t="inlineStr">
        <is>
          <t>https://gs.amac.org.cn/amac-infodisc/res/pof/fund/2105181107105802.html</t>
        </is>
      </c>
      <c r="K204" t="inlineStr">
        <is>
          <t>2026-09-15</t>
        </is>
      </c>
    </row>
    <row r="205">
      <c r="A205" t="inlineStr">
        <is>
          <t>SNK980</t>
        </is>
      </c>
      <c r="B205" t="inlineStr">
        <is>
          <t>永泉奇点18号混合投资</t>
        </is>
      </c>
      <c r="C205" t="inlineStr">
        <is>
          <t>宁波永泉</t>
        </is>
      </c>
      <c r="D205" t="inlineStr">
        <is>
          <t>宁波永泉私募基金管理有限公司</t>
        </is>
      </c>
      <c r="E205" t="inlineStr">
        <is>
          <t>P1017919</t>
        </is>
      </c>
      <c r="F205" t="inlineStr">
        <is>
          <t>0-5亿元</t>
        </is>
      </c>
      <c r="G205" t="inlineStr">
        <is>
          <t>小规模</t>
        </is>
      </c>
      <c r="H205" t="inlineStr">
        <is>
          <t>协会提示／报送异常</t>
        </is>
      </c>
      <c r="I205" t="inlineStr">
        <is>
          <t>https://gs.amac.org.cn/amac-infodisc/res/pof/manager/101000016974.html</t>
        </is>
      </c>
      <c r="J205" t="inlineStr">
        <is>
          <t>https://gs.amac.org.cn/amac-infodisc/res/pof/fund/2105261800100429.html</t>
        </is>
      </c>
      <c r="K205" t="inlineStr">
        <is>
          <t>2026-09-15</t>
        </is>
      </c>
    </row>
    <row r="206">
      <c r="A206" t="inlineStr">
        <is>
          <t>SQG026</t>
        </is>
      </c>
      <c r="B206" t="inlineStr">
        <is>
          <t>惠隆金选套利1号</t>
        </is>
      </c>
      <c r="C206" t="inlineStr">
        <is>
          <t>北京惠隆资管</t>
        </is>
      </c>
      <c r="D206" t="inlineStr">
        <is>
          <t>北京惠隆资本管理有限责任公司</t>
        </is>
      </c>
      <c r="E206" t="inlineStr">
        <is>
          <t>P1062865</t>
        </is>
      </c>
      <c r="F206" t="inlineStr">
        <is>
          <t>10-20亿元</t>
        </is>
      </c>
      <c r="G206" t="inlineStr">
        <is>
          <t>大规模</t>
        </is>
      </c>
      <c r="H206" t="inlineStr">
        <is>
          <t>协会提示／报送异常</t>
        </is>
      </c>
      <c r="I206" t="inlineStr">
        <is>
          <t>https://gs.amac.org.cn/amac-infodisc/res/pof/manager/1705031716108118.html</t>
        </is>
      </c>
      <c r="J206" t="inlineStr">
        <is>
          <t>https://gs.amac.org.cn/amac-infodisc/res/pof/fund/2109281437101671.html</t>
        </is>
      </c>
      <c r="K206" t="inlineStr">
        <is>
          <t>2026-09-15</t>
        </is>
      </c>
    </row>
    <row r="207">
      <c r="A207" t="inlineStr">
        <is>
          <t>SSX278</t>
        </is>
      </c>
      <c r="B207" t="inlineStr">
        <is>
          <t>景鹏稳进1号</t>
        </is>
      </c>
      <c r="C207" t="inlineStr">
        <is>
          <t>上海景鹏</t>
        </is>
      </c>
      <c r="D207" t="inlineStr">
        <is>
          <t>上海景鹏私募基金管理有限公司</t>
        </is>
      </c>
      <c r="E207" t="inlineStr">
        <is>
          <t>P1072433</t>
        </is>
      </c>
      <c r="F207" t="inlineStr">
        <is>
          <t>0-5亿元</t>
        </is>
      </c>
      <c r="G207" t="inlineStr">
        <is>
          <t>小规模</t>
        </is>
      </c>
      <c r="H207" t="inlineStr">
        <is>
          <t>本次公示未见相关记录</t>
        </is>
      </c>
      <c r="I207" t="inlineStr">
        <is>
          <t>https://gs.amac.org.cn/amac-infodisc/res/pof/manager/2107201407107524.html</t>
        </is>
      </c>
      <c r="J207" t="inlineStr">
        <is>
          <t>https://gs.amac.org.cn/amac-infodisc/res/pof/fund/2110181713130466.html</t>
        </is>
      </c>
      <c r="K207" t="inlineStr">
        <is>
          <t>2026-09-15</t>
        </is>
      </c>
    </row>
    <row r="208">
      <c r="A208" t="inlineStr">
        <is>
          <t>STB214</t>
        </is>
      </c>
      <c r="B208" t="inlineStr">
        <is>
          <t>久游投资4号</t>
        </is>
      </c>
      <c r="C208" t="inlineStr">
        <is>
          <t>深圳久游</t>
        </is>
      </c>
      <c r="D208" t="inlineStr">
        <is>
          <t>深圳久游私募证券基金管理有限公司</t>
        </is>
      </c>
      <c r="E208" t="inlineStr">
        <is>
          <t>P1072575</t>
        </is>
      </c>
      <c r="F208" t="inlineStr">
        <is>
          <t>0-5亿元</t>
        </is>
      </c>
      <c r="G208" t="inlineStr">
        <is>
          <t>小规模</t>
        </is>
      </c>
      <c r="H208" t="inlineStr">
        <is>
          <t>协会提示／报送异常</t>
        </is>
      </c>
      <c r="I208" t="inlineStr">
        <is>
          <t>https://gs.amac.org.cn/amac-infodisc/res/pof/manager/2108310949105248.html</t>
        </is>
      </c>
      <c r="J208" t="inlineStr">
        <is>
          <t>https://gs.amac.org.cn/amac-infodisc/res/pof/fund/2111101732101714.html</t>
        </is>
      </c>
      <c r="K208" t="inlineStr">
        <is>
          <t>2026-09-15</t>
        </is>
      </c>
    </row>
    <row r="209">
      <c r="A209" t="inlineStr">
        <is>
          <t>STR466</t>
        </is>
      </c>
      <c r="B209" t="inlineStr">
        <is>
          <t>摩旗ETF套利1号</t>
        </is>
      </c>
      <c r="C209" t="inlineStr">
        <is>
          <t>上海摩旗投资</t>
        </is>
      </c>
      <c r="D209" t="inlineStr">
        <is>
          <t>上海摩旗投资管理有限公司</t>
        </is>
      </c>
      <c r="E209" t="inlineStr">
        <is>
          <t>P1000652</t>
        </is>
      </c>
      <c r="F209" t="inlineStr">
        <is>
          <t>10-20亿元</t>
        </is>
      </c>
      <c r="G209" t="inlineStr">
        <is>
          <t>大规模</t>
        </is>
      </c>
      <c r="H209" t="inlineStr">
        <is>
          <t>本次公示未见相关记录</t>
        </is>
      </c>
      <c r="I209" t="inlineStr">
        <is>
          <t>https://gs.amac.org.cn/amac-infodisc/res/pof/manager/101000000297.html</t>
        </is>
      </c>
      <c r="J209" t="inlineStr">
        <is>
          <t>https://gs.amac.org.cn/amac-infodisc/res/pof/fund/2201111049116796.html</t>
        </is>
      </c>
      <c r="K209" t="inlineStr">
        <is>
          <t>2026-09-15</t>
        </is>
      </c>
    </row>
    <row r="210">
      <c r="A210" t="inlineStr">
        <is>
          <t>TB977A</t>
        </is>
      </c>
      <c r="B210" t="inlineStr">
        <is>
          <t>兆信期权中性2号A类</t>
        </is>
      </c>
      <c r="C210" t="inlineStr">
        <is>
          <t>江苏兆信</t>
        </is>
      </c>
      <c r="D210" t="inlineStr">
        <is>
          <t>江苏兆信私募基金管理有限公司 江苏兆信私募基金管理有限公司</t>
        </is>
      </c>
      <c r="E210" t="inlineStr">
        <is>
          <t>P1001740</t>
        </is>
      </c>
      <c r="F210" t="inlineStr">
        <is>
          <t>20-50亿元</t>
        </is>
      </c>
      <c r="G210" t="inlineStr">
        <is>
          <t>大规模</t>
        </is>
      </c>
      <c r="H210" t="inlineStr">
        <is>
          <t>本次公示未见相关记录</t>
        </is>
      </c>
      <c r="I210" t="inlineStr">
        <is>
          <t>https://gs.amac.org.cn/amac-infodisc/res/pof/manager/101000002312.html</t>
        </is>
      </c>
      <c r="K210" t="inlineStr">
        <is>
          <t>2026-09-15</t>
        </is>
      </c>
    </row>
    <row r="211">
      <c r="A211" t="inlineStr">
        <is>
          <t>STW239</t>
        </is>
      </c>
      <c r="B211" t="inlineStr">
        <is>
          <t>庄贤亨贞期权对冲</t>
        </is>
      </c>
      <c r="C211" t="inlineStr">
        <is>
          <t>杭州庄贤投资</t>
        </is>
      </c>
      <c r="D211" t="inlineStr">
        <is>
          <t>杭州庄贤投资管理合伙企业（有限合伙）</t>
        </is>
      </c>
      <c r="E211" t="inlineStr">
        <is>
          <t>P1063460</t>
        </is>
      </c>
      <c r="F211" t="inlineStr">
        <is>
          <t>20-50亿元</t>
        </is>
      </c>
      <c r="G211" t="inlineStr">
        <is>
          <t>大规模</t>
        </is>
      </c>
      <c r="H211" t="inlineStr">
        <is>
          <t>本次公示未见相关记录</t>
        </is>
      </c>
      <c r="I211" t="inlineStr">
        <is>
          <t>https://gs.amac.org.cn/amac-infodisc/res/pof/manager/1703280912100590.html</t>
        </is>
      </c>
      <c r="J211" t="inlineStr">
        <is>
          <t>https://gs.amac.org.cn/amac-infodisc/res/pof/fund/2202111734100728.html</t>
        </is>
      </c>
      <c r="K211" t="inlineStr">
        <is>
          <t>2026-09-15</t>
        </is>
      </c>
    </row>
    <row r="212">
      <c r="A212" t="inlineStr">
        <is>
          <t>STW103</t>
        </is>
      </c>
      <c r="B212" t="inlineStr">
        <is>
          <t>悬铃尊享CTA8号</t>
        </is>
      </c>
      <c r="C212" t="inlineStr">
        <is>
          <t>上海悬铃</t>
        </is>
      </c>
      <c r="D212" t="inlineStr">
        <is>
          <t>上海悬铃私募基金管理有限公司</t>
        </is>
      </c>
      <c r="E212" t="inlineStr">
        <is>
          <t>P1064634</t>
        </is>
      </c>
      <c r="F212" t="inlineStr">
        <is>
          <t>20-50亿元</t>
        </is>
      </c>
      <c r="G212" t="inlineStr">
        <is>
          <t>大规模</t>
        </is>
      </c>
      <c r="H212" t="inlineStr">
        <is>
          <t>本次公示未见相关记录</t>
        </is>
      </c>
      <c r="I212" t="inlineStr">
        <is>
          <t>https://gs.amac.org.cn/amac-infodisc/res/pof/manager/1701161209103763.html</t>
        </is>
      </c>
      <c r="J212" t="inlineStr">
        <is>
          <t>https://gs.amac.org.cn/amac-infodisc/res/pof/fund/2203171944106372.html</t>
        </is>
      </c>
      <c r="K212" t="inlineStr">
        <is>
          <t>2026-09-15</t>
        </is>
      </c>
    </row>
    <row r="213">
      <c r="A213" t="inlineStr">
        <is>
          <t>SVJ267</t>
        </is>
      </c>
      <c r="B213" t="inlineStr">
        <is>
          <t>起源天择稳健1号</t>
        </is>
      </c>
      <c r="C213" t="inlineStr">
        <is>
          <t>海南起源</t>
        </is>
      </c>
      <c r="D213" t="inlineStr">
        <is>
          <t>海南起源私募基金管理合伙企业（有限合伙）</t>
        </is>
      </c>
      <c r="E213" t="inlineStr">
        <is>
          <t>P1073181</t>
        </is>
      </c>
      <c r="F213" t="inlineStr">
        <is>
          <t>0-5亿元</t>
        </is>
      </c>
      <c r="G213" t="inlineStr">
        <is>
          <t>小规模</t>
        </is>
      </c>
      <c r="H213" t="inlineStr">
        <is>
          <t>协会提示／报送异常</t>
        </is>
      </c>
      <c r="I213" t="inlineStr">
        <is>
          <t>https://gs.amac.org.cn/amac-infodisc/res/pof/manager/2109301707118145.html</t>
        </is>
      </c>
      <c r="J213" t="inlineStr">
        <is>
          <t>https://gs.amac.org.cn/amac-infodisc/res/pof/fund/2203280952108464.html</t>
        </is>
      </c>
      <c r="K213" t="inlineStr">
        <is>
          <t>2026-09-15</t>
        </is>
      </c>
    </row>
    <row r="214">
      <c r="A214" t="inlineStr">
        <is>
          <t>SVG441</t>
        </is>
      </c>
      <c r="B214" t="inlineStr">
        <is>
          <t>东玛多策略稳健1号</t>
        </is>
      </c>
      <c r="C214" t="inlineStr">
        <is>
          <t>宁波东玛</t>
        </is>
      </c>
      <c r="D214" t="inlineStr">
        <is>
          <t>宁波东玛私募基金管理有限公司</t>
        </is>
      </c>
      <c r="E214" t="inlineStr">
        <is>
          <t>P1073092</t>
        </is>
      </c>
      <c r="F214" t="inlineStr">
        <is>
          <t>5-10亿元</t>
        </is>
      </c>
      <c r="G214" t="inlineStr">
        <is>
          <t>大规模</t>
        </is>
      </c>
      <c r="H214" t="inlineStr">
        <is>
          <t>本次公示未见相关记录</t>
        </is>
      </c>
      <c r="I214" t="inlineStr">
        <is>
          <t>https://gs.amac.org.cn/amac-infodisc/res/pof/manager/2110261036100964.html</t>
        </is>
      </c>
      <c r="J214" t="inlineStr">
        <is>
          <t>https://gs.amac.org.cn/amac-infodisc/res/pof/fund/2204081717101635.html</t>
        </is>
      </c>
      <c r="K214" t="inlineStr">
        <is>
          <t>2026-09-15</t>
        </is>
      </c>
    </row>
    <row r="215">
      <c r="A215" t="inlineStr">
        <is>
          <t>SVJ912</t>
        </is>
      </c>
      <c r="B215" t="inlineStr">
        <is>
          <t>以利安得利混合1号</t>
        </is>
      </c>
      <c r="C215" t="inlineStr">
        <is>
          <t>河南以利</t>
        </is>
      </c>
      <c r="D215" t="inlineStr">
        <is>
          <t>河南以利私募基金管理有限公司</t>
        </is>
      </c>
      <c r="E215" t="inlineStr">
        <is>
          <t>P1007376</t>
        </is>
      </c>
      <c r="F215" t="inlineStr">
        <is>
          <t>0-5亿元</t>
        </is>
      </c>
      <c r="G215" t="inlineStr">
        <is>
          <t>小规模</t>
        </is>
      </c>
      <c r="H215" t="inlineStr">
        <is>
          <t>本次公示未见相关记录</t>
        </is>
      </c>
      <c r="I215" t="inlineStr">
        <is>
          <t>https://gs.amac.org.cn/amac-infodisc/res/pof/manager/101000009955.html</t>
        </is>
      </c>
      <c r="J215" t="inlineStr">
        <is>
          <t>https://gs.amac.org.cn/amac-infodisc/res/pof/fund/2204180932106462.html</t>
        </is>
      </c>
      <c r="K215" t="inlineStr">
        <is>
          <t>2026-09-15</t>
        </is>
      </c>
    </row>
    <row r="216">
      <c r="A216" t="inlineStr">
        <is>
          <t>SVH487</t>
        </is>
      </c>
      <c r="B216" t="inlineStr">
        <is>
          <t>放牛人5号</t>
        </is>
      </c>
      <c r="C216" t="inlineStr">
        <is>
          <t>上海放牛人</t>
        </is>
      </c>
      <c r="D216" t="inlineStr">
        <is>
          <t>上海放牛人私募基金管理有限公司</t>
        </is>
      </c>
      <c r="E216" t="inlineStr">
        <is>
          <t>P1072166</t>
        </is>
      </c>
      <c r="F216" t="inlineStr">
        <is>
          <t>0-5亿元</t>
        </is>
      </c>
      <c r="G216" t="inlineStr">
        <is>
          <t>小规模</t>
        </is>
      </c>
      <c r="H216" t="inlineStr">
        <is>
          <t>本次公示未见相关记录</t>
        </is>
      </c>
      <c r="I216" t="inlineStr">
        <is>
          <t>https://gs.amac.org.cn/amac-infodisc/res/pof/manager/2104292125100136.html</t>
        </is>
      </c>
      <c r="J216" t="inlineStr">
        <is>
          <t>https://gs.amac.org.cn/amac-infodisc/res/pof/fund/2206241503107051.html</t>
        </is>
      </c>
      <c r="K216" t="inlineStr">
        <is>
          <t>2026-09-15</t>
        </is>
      </c>
    </row>
    <row r="217">
      <c r="A217" t="inlineStr">
        <is>
          <t>SVY067</t>
        </is>
      </c>
      <c r="B217" t="inlineStr">
        <is>
          <t>鹿秀呦呦1号</t>
        </is>
      </c>
      <c r="C217" t="inlineStr">
        <is>
          <t>青岛鹿秀投资</t>
        </is>
      </c>
      <c r="D217" t="inlineStr">
        <is>
          <t>青岛鹿秀投资管理有限公司</t>
        </is>
      </c>
      <c r="E217" t="inlineStr">
        <is>
          <t>P1064617</t>
        </is>
      </c>
      <c r="F217" t="inlineStr">
        <is>
          <t>50-100亿元</t>
        </is>
      </c>
      <c r="G217" t="inlineStr">
        <is>
          <t>大规模</t>
        </is>
      </c>
      <c r="H217" t="inlineStr">
        <is>
          <t>协会提示／报送异常</t>
        </is>
      </c>
      <c r="I217" t="inlineStr">
        <is>
          <t>https://gs.amac.org.cn/amac-infodisc/res/pof/manager/1612231708101923.html</t>
        </is>
      </c>
      <c r="J217" t="inlineStr">
        <is>
          <t>https://gs.amac.org.cn/amac-infodisc/res/pof/fund/2207121422105313.html</t>
        </is>
      </c>
      <c r="K217" t="inlineStr">
        <is>
          <t>2026-09-15</t>
        </is>
      </c>
    </row>
    <row r="218">
      <c r="A218" t="inlineStr">
        <is>
          <t>SVW787</t>
        </is>
      </c>
      <c r="B218" t="inlineStr">
        <is>
          <t>慕途基本面量化1号</t>
        </is>
      </c>
      <c r="C218" t="inlineStr">
        <is>
          <t>慕途基金</t>
        </is>
      </c>
      <c r="D218" t="inlineStr">
        <is>
          <t>上海慕途私募基金管理有限公司</t>
        </is>
      </c>
      <c r="E218" t="inlineStr">
        <is>
          <t>P1073298</t>
        </is>
      </c>
      <c r="F218" t="inlineStr">
        <is>
          <t>10-20亿元</t>
        </is>
      </c>
      <c r="G218" t="inlineStr">
        <is>
          <t>大规模</t>
        </is>
      </c>
      <c r="H218" t="inlineStr">
        <is>
          <t>本次公示未见相关记录</t>
        </is>
      </c>
      <c r="I218" t="inlineStr">
        <is>
          <t>https://gs.amac.org.cn/amac-infodisc/res/pof/manager/2106221238106983.html</t>
        </is>
      </c>
      <c r="J218" t="inlineStr">
        <is>
          <t>https://gs.amac.org.cn/amac-infodisc/res/pof/fund/2207141704102568.html</t>
        </is>
      </c>
      <c r="K218" t="inlineStr">
        <is>
          <t>2026-09-15</t>
        </is>
      </c>
    </row>
    <row r="219">
      <c r="A219" t="inlineStr">
        <is>
          <t>SVZ035</t>
        </is>
      </c>
      <c r="B219" t="inlineStr">
        <is>
          <t>金和金诚5号</t>
        </is>
      </c>
      <c r="C219" t="inlineStr">
        <is>
          <t>上海金和晟</t>
        </is>
      </c>
      <c r="D219" t="inlineStr">
        <is>
          <t>上海金和晟私募基金管理有限公司</t>
        </is>
      </c>
      <c r="E219" t="inlineStr">
        <is>
          <t>P1071636</t>
        </is>
      </c>
      <c r="F219" t="inlineStr">
        <is>
          <t>20-50亿元</t>
        </is>
      </c>
      <c r="G219" t="inlineStr">
        <is>
          <t>大规模</t>
        </is>
      </c>
      <c r="H219" t="inlineStr">
        <is>
          <t>本次公示未见相关记录</t>
        </is>
      </c>
      <c r="I219" t="inlineStr">
        <is>
          <t>https://gs.amac.org.cn/amac-infodisc/res/pof/manager/2010280957108370.html</t>
        </is>
      </c>
      <c r="J219" t="inlineStr">
        <is>
          <t>https://gs.amac.org.cn/amac-infodisc/res/pof/fund/2207141704101581.html</t>
        </is>
      </c>
      <c r="K219" t="inlineStr">
        <is>
          <t>2026-09-15</t>
        </is>
      </c>
    </row>
    <row r="220">
      <c r="A220" t="inlineStr">
        <is>
          <t>SXA180</t>
        </is>
      </c>
      <c r="B220" t="inlineStr">
        <is>
          <t>殊馥馥源套利6号</t>
        </is>
      </c>
      <c r="C220" t="inlineStr">
        <is>
          <t>上海殊馥投资</t>
        </is>
      </c>
      <c r="D220" t="inlineStr">
        <is>
          <t>上海殊馥投资管理有限公司</t>
        </is>
      </c>
      <c r="E220" t="inlineStr">
        <is>
          <t>P1029642</t>
        </is>
      </c>
      <c r="F220" t="inlineStr">
        <is>
          <t>10-20亿元</t>
        </is>
      </c>
      <c r="G220" t="inlineStr">
        <is>
          <t>大规模</t>
        </is>
      </c>
      <c r="H220" t="inlineStr">
        <is>
          <t>协会提示／报送异常</t>
        </is>
      </c>
      <c r="I220" t="inlineStr">
        <is>
          <t>https://gs.amac.org.cn/amac-infodisc/res/pof/manager/101000042776.html</t>
        </is>
      </c>
      <c r="J220" t="inlineStr">
        <is>
          <t>https://gs.amac.org.cn/amac-infodisc/res/pof/fund/2208031553101578.html</t>
        </is>
      </c>
      <c r="K220" t="inlineStr">
        <is>
          <t>2026-09-15</t>
        </is>
      </c>
    </row>
    <row r="221">
      <c r="A221" t="inlineStr">
        <is>
          <t>SVY984</t>
        </is>
      </c>
      <c r="B221" t="inlineStr">
        <is>
          <t>守正卓越一号</t>
        </is>
      </c>
      <c r="C221" t="inlineStr">
        <is>
          <t>山东守正</t>
        </is>
      </c>
      <c r="D221" t="inlineStr">
        <is>
          <t>山东守正私募基金管理有限公司</t>
        </is>
      </c>
      <c r="E221" t="inlineStr">
        <is>
          <t>P1073424</t>
        </is>
      </c>
      <c r="F221" t="inlineStr">
        <is>
          <t>0-5亿元</t>
        </is>
      </c>
      <c r="G221" t="inlineStr">
        <is>
          <t>小规模</t>
        </is>
      </c>
      <c r="H221" t="inlineStr">
        <is>
          <t>协会提示／报送异常</t>
        </is>
      </c>
      <c r="I221" t="inlineStr">
        <is>
          <t>https://gs.amac.org.cn/amac-infodisc/res/pof/manager/2111241907106834.html</t>
        </is>
      </c>
      <c r="J221" t="inlineStr">
        <is>
          <t>https://gs.amac.org.cn/amac-infodisc/res/pof/fund/2208081957100560.html</t>
        </is>
      </c>
      <c r="K221" t="inlineStr">
        <is>
          <t>2026-09-15</t>
        </is>
      </c>
    </row>
    <row r="222">
      <c r="A222" t="inlineStr">
        <is>
          <t>SXA890</t>
        </is>
      </c>
      <c r="B222" t="inlineStr">
        <is>
          <t>东方富银宏观量化1号</t>
        </is>
      </c>
      <c r="C222" t="inlineStr">
        <is>
          <t>深圳东方富银投资</t>
        </is>
      </c>
      <c r="D222" t="inlineStr">
        <is>
          <t>深圳市东方富银投资管理有限公司</t>
        </is>
      </c>
      <c r="E222" t="inlineStr">
        <is>
          <t>P1068576</t>
        </is>
      </c>
      <c r="F222" t="inlineStr">
        <is>
          <t>0-5亿元</t>
        </is>
      </c>
      <c r="G222" t="inlineStr">
        <is>
          <t>小规模</t>
        </is>
      </c>
      <c r="H222" t="inlineStr">
        <is>
          <t>本次公示未见相关记录</t>
        </is>
      </c>
      <c r="I222" t="inlineStr">
        <is>
          <t>https://gs.amac.org.cn/amac-infodisc/res/pof/manager/1803121751101388.html</t>
        </is>
      </c>
      <c r="J222" t="inlineStr">
        <is>
          <t>https://gs.amac.org.cn/amac-infodisc/res/pof/fund/2208111702102050.html</t>
        </is>
      </c>
      <c r="K222" t="inlineStr">
        <is>
          <t>2026-09-15</t>
        </is>
      </c>
    </row>
    <row r="223">
      <c r="A223" t="inlineStr">
        <is>
          <t>TY632A</t>
        </is>
      </c>
      <c r="B223" t="inlineStr">
        <is>
          <t>致同添利套利多策略三期A类</t>
        </is>
      </c>
      <c r="C223" t="inlineStr">
        <is>
          <t>上海致同投资</t>
        </is>
      </c>
      <c r="D223" t="inlineStr">
        <is>
          <t>上海致同投资管理有限公司 上海致同投资管理有限公司</t>
        </is>
      </c>
      <c r="E223" t="inlineStr">
        <is>
          <t>P1003519</t>
        </is>
      </c>
      <c r="F223" t="inlineStr">
        <is>
          <t>20-50亿元</t>
        </is>
      </c>
      <c r="G223" t="inlineStr">
        <is>
          <t>大规模</t>
        </is>
      </c>
      <c r="H223" t="inlineStr">
        <is>
          <t>监管警示函</t>
        </is>
      </c>
      <c r="I223" t="inlineStr">
        <is>
          <t>https://gs.amac.org.cn/amac-infodisc/res/pof/manager/101000004339.html</t>
        </is>
      </c>
      <c r="K223" t="inlineStr">
        <is>
          <t>2026-09-15</t>
        </is>
      </c>
    </row>
    <row r="224">
      <c r="A224" t="inlineStr">
        <is>
          <t>SXH337</t>
        </is>
      </c>
      <c r="B224" t="inlineStr">
        <is>
          <t>炽浪衍复9号</t>
        </is>
      </c>
      <c r="C224" t="inlineStr">
        <is>
          <t>海南炽浪</t>
        </is>
      </c>
      <c r="D224" t="inlineStr">
        <is>
          <t>炽浪私募基金（海南）合伙企业（有限合伙）</t>
        </is>
      </c>
      <c r="E224" t="inlineStr">
        <is>
          <t>P1071162</t>
        </is>
      </c>
      <c r="F224" t="inlineStr">
        <is>
          <t>0-5亿元</t>
        </is>
      </c>
      <c r="G224" t="inlineStr">
        <is>
          <t>小规模</t>
        </is>
      </c>
      <c r="H224" t="inlineStr">
        <is>
          <t>协会提示／报送异常</t>
        </is>
      </c>
      <c r="I224" t="inlineStr">
        <is>
          <t>https://gs.amac.org.cn/amac-infodisc/res/pof/manager/2005090837103499.html</t>
        </is>
      </c>
      <c r="J224" t="inlineStr">
        <is>
          <t>https://gs.amac.org.cn/amac-infodisc/res/pof/fund/2209211854100874.html</t>
        </is>
      </c>
      <c r="K224" t="inlineStr">
        <is>
          <t>2026-09-15</t>
        </is>
      </c>
    </row>
    <row r="225">
      <c r="A225" t="inlineStr">
        <is>
          <t>SXJ331</t>
        </is>
      </c>
      <c r="B225" t="inlineStr">
        <is>
          <t>岳鑫遥1号</t>
        </is>
      </c>
      <c r="C225" t="inlineStr">
        <is>
          <t>北京岳鑫遥</t>
        </is>
      </c>
      <c r="D225" t="inlineStr">
        <is>
          <t>岳鑫遥（北京）私募基金管理有限公司</t>
        </is>
      </c>
      <c r="E225" t="inlineStr">
        <is>
          <t>P1073901</t>
        </is>
      </c>
      <c r="F225" t="inlineStr">
        <is>
          <t>5-10亿元</t>
        </is>
      </c>
      <c r="G225" t="inlineStr">
        <is>
          <t>大规模</t>
        </is>
      </c>
      <c r="H225" t="inlineStr">
        <is>
          <t>协会提示／报送异常</t>
        </is>
      </c>
      <c r="I225" t="inlineStr">
        <is>
          <t>https://gs.amac.org.cn/amac-infodisc/res/pof/manager/2207041830121644.html</t>
        </is>
      </c>
      <c r="J225" t="inlineStr">
        <is>
          <t>https://gs.amac.org.cn/amac-infodisc/res/pof/fund/2210131922100921.html</t>
        </is>
      </c>
      <c r="K225" t="inlineStr">
        <is>
          <t>2026-09-15</t>
        </is>
      </c>
    </row>
    <row r="226">
      <c r="A226" t="inlineStr">
        <is>
          <t>SXN023</t>
        </is>
      </c>
      <c r="B226" t="inlineStr">
        <is>
          <t>兆信股指期货期权套利1号</t>
        </is>
      </c>
      <c r="C226" t="inlineStr">
        <is>
          <t>江苏兆信</t>
        </is>
      </c>
      <c r="D226" t="inlineStr">
        <is>
          <t>江苏兆信私募基金管理有限公司</t>
        </is>
      </c>
      <c r="E226" t="inlineStr">
        <is>
          <t>P1001740</t>
        </is>
      </c>
      <c r="F226" t="inlineStr">
        <is>
          <t>20-50亿元</t>
        </is>
      </c>
      <c r="G226" t="inlineStr">
        <is>
          <t>大规模</t>
        </is>
      </c>
      <c r="H226" t="inlineStr">
        <is>
          <t>本次公示未见相关记录</t>
        </is>
      </c>
      <c r="I226" t="inlineStr">
        <is>
          <t>https://gs.amac.org.cn/amac-infodisc/res/pof/manager/101000002312.html</t>
        </is>
      </c>
      <c r="J226" t="inlineStr">
        <is>
          <t>https://gs.amac.org.cn/amac-infodisc/res/pof/fund/2210140921103682.html</t>
        </is>
      </c>
      <c r="K226" t="inlineStr">
        <is>
          <t>2026-09-15</t>
        </is>
      </c>
    </row>
    <row r="227">
      <c r="A227" t="inlineStr">
        <is>
          <t>SXL701</t>
        </is>
      </c>
      <c r="B227" t="inlineStr">
        <is>
          <t>谊恒滴海一号</t>
        </is>
      </c>
      <c r="C227" t="inlineStr">
        <is>
          <t>上海滴海</t>
        </is>
      </c>
      <c r="D227" t="inlineStr">
        <is>
          <t>上海滴海私募基金管理中心（有限合伙）</t>
        </is>
      </c>
      <c r="E227" t="inlineStr">
        <is>
          <t>P1012859</t>
        </is>
      </c>
      <c r="F227" t="inlineStr">
        <is>
          <t>5-10亿元</t>
        </is>
      </c>
      <c r="G227" t="inlineStr">
        <is>
          <t>大规模</t>
        </is>
      </c>
      <c r="H227" t="inlineStr">
        <is>
          <t>协会提示／报送异常</t>
        </is>
      </c>
      <c r="I227" t="inlineStr">
        <is>
          <t>https://gs.amac.org.cn/amac-infodisc/res/pof/manager/101000018343.html</t>
        </is>
      </c>
      <c r="J227" t="inlineStr">
        <is>
          <t>https://gs.amac.org.cn/amac-infodisc/res/pof/fund/2210281610103422.html</t>
        </is>
      </c>
      <c r="K227" t="inlineStr">
        <is>
          <t>2026-09-15</t>
        </is>
      </c>
    </row>
    <row r="228">
      <c r="A228" t="inlineStr">
        <is>
          <t>SXM526</t>
        </is>
      </c>
      <c r="B228" t="inlineStr">
        <is>
          <t>尊嘉金润1号</t>
        </is>
      </c>
      <c r="C228" t="inlineStr">
        <is>
          <t>北京尊嘉资管</t>
        </is>
      </c>
      <c r="D228" t="inlineStr">
        <is>
          <t>北京尊嘉资产管理有限公司</t>
        </is>
      </c>
      <c r="E228" t="inlineStr">
        <is>
          <t>P1000319</t>
        </is>
      </c>
      <c r="F228" t="inlineStr">
        <is>
          <t>0-5亿元</t>
        </is>
      </c>
      <c r="G228" t="inlineStr">
        <is>
          <t>小规模</t>
        </is>
      </c>
      <c r="H228" t="inlineStr">
        <is>
          <t>本次公示未见相关记录</t>
        </is>
      </c>
      <c r="I228" t="inlineStr">
        <is>
          <t>https://gs.amac.org.cn/amac-infodisc/res/pof/manager/101000000661.html</t>
        </is>
      </c>
      <c r="J228" t="inlineStr">
        <is>
          <t>https://gs.amac.org.cn/amac-infodisc/res/pof/fund/2210311704131702.html</t>
        </is>
      </c>
      <c r="K228" t="inlineStr">
        <is>
          <t>2026-09-15</t>
        </is>
      </c>
    </row>
    <row r="229">
      <c r="A229" t="inlineStr">
        <is>
          <t>SXQ267</t>
        </is>
      </c>
      <c r="B229" t="inlineStr">
        <is>
          <t>殊馥兴义6号</t>
        </is>
      </c>
      <c r="C229" t="inlineStr">
        <is>
          <t>上海殊馥投资</t>
        </is>
      </c>
      <c r="D229" t="inlineStr">
        <is>
          <t>上海殊馥投资管理有限公司</t>
        </is>
      </c>
      <c r="E229" t="inlineStr">
        <is>
          <t>P1029642</t>
        </is>
      </c>
      <c r="F229" t="inlineStr">
        <is>
          <t>10-20亿元</t>
        </is>
      </c>
      <c r="G229" t="inlineStr">
        <is>
          <t>大规模</t>
        </is>
      </c>
      <c r="H229" t="inlineStr">
        <is>
          <t>协会提示／报送异常</t>
        </is>
      </c>
      <c r="I229" t="inlineStr">
        <is>
          <t>https://gs.amac.org.cn/amac-infodisc/res/pof/manager/101000042776.html</t>
        </is>
      </c>
      <c r="J229" t="inlineStr">
        <is>
          <t>https://gs.amac.org.cn/amac-infodisc/res/pof/fund/2211021355100496.html</t>
        </is>
      </c>
      <c r="K229" t="inlineStr">
        <is>
          <t>2026-09-15</t>
        </is>
      </c>
    </row>
    <row r="230">
      <c r="A230" t="inlineStr">
        <is>
          <t>SXR086</t>
        </is>
      </c>
      <c r="B230" t="inlineStr">
        <is>
          <t>博弈树金选套利2号</t>
        </is>
      </c>
      <c r="C230" t="inlineStr">
        <is>
          <t>广东丰煜</t>
        </is>
      </c>
      <c r="D230" t="inlineStr">
        <is>
          <t>广东丰煜私募基金管理有限公司</t>
        </is>
      </c>
      <c r="E230" t="inlineStr">
        <is>
          <t>P1008967</t>
        </is>
      </c>
      <c r="F230" t="inlineStr">
        <is>
          <t>0-5亿元</t>
        </is>
      </c>
      <c r="G230" t="inlineStr">
        <is>
          <t>小规模</t>
        </is>
      </c>
      <c r="H230" t="inlineStr">
        <is>
          <t>本次公示未见相关记录</t>
        </is>
      </c>
      <c r="I230" t="inlineStr">
        <is>
          <t>https://gs.amac.org.cn/amac-infodisc/res/pof/manager/101000015767.html</t>
        </is>
      </c>
      <c r="J230" t="inlineStr">
        <is>
          <t>https://gs.amac.org.cn/amac-infodisc/res/pof/fund/2211100902114438.html</t>
        </is>
      </c>
      <c r="K230" t="inlineStr">
        <is>
          <t>2026-09-15</t>
        </is>
      </c>
    </row>
    <row r="231">
      <c r="A231" t="inlineStr">
        <is>
          <t>NB380A</t>
        </is>
      </c>
      <c r="B231" t="inlineStr">
        <is>
          <t>致同云峰AA类</t>
        </is>
      </c>
      <c r="C231" t="inlineStr">
        <is>
          <t>上海致同投资</t>
        </is>
      </c>
      <c r="D231" t="inlineStr">
        <is>
          <t>上海致同投资管理有限公司 上海致同投资管理有限公司</t>
        </is>
      </c>
      <c r="E231" t="inlineStr">
        <is>
          <t>P1003519</t>
        </is>
      </c>
      <c r="F231" t="inlineStr">
        <is>
          <t>20-50亿元</t>
        </is>
      </c>
      <c r="G231" t="inlineStr">
        <is>
          <t>大规模</t>
        </is>
      </c>
      <c r="H231" t="inlineStr">
        <is>
          <t>监管警示函</t>
        </is>
      </c>
      <c r="I231" t="inlineStr">
        <is>
          <t>https://gs.amac.org.cn/amac-infodisc/res/pof/manager/101000004339.html</t>
        </is>
      </c>
      <c r="K231" t="inlineStr">
        <is>
          <t>2026-09-15</t>
        </is>
      </c>
    </row>
    <row r="232">
      <c r="A232" t="inlineStr">
        <is>
          <t>SXK911</t>
        </is>
      </c>
      <c r="B232" t="inlineStr">
        <is>
          <t>擎丰1号3期</t>
        </is>
      </c>
      <c r="C232" t="inlineStr">
        <is>
          <t>上海擎丰</t>
        </is>
      </c>
      <c r="D232" t="inlineStr">
        <is>
          <t>上海擎丰私募基金管理有限公司</t>
        </is>
      </c>
      <c r="E232" t="inlineStr">
        <is>
          <t>P1066774</t>
        </is>
      </c>
      <c r="F232" t="inlineStr">
        <is>
          <t>0-5亿元</t>
        </is>
      </c>
      <c r="G232" t="inlineStr">
        <is>
          <t>小规模</t>
        </is>
      </c>
      <c r="H232" t="inlineStr">
        <is>
          <t>协会提示／报送异常</t>
        </is>
      </c>
      <c r="I232" t="inlineStr">
        <is>
          <t>https://gs.amac.org.cn/amac-infodisc/res/pof/manager/1707071820104466.html</t>
        </is>
      </c>
      <c r="J232" t="inlineStr">
        <is>
          <t>https://gs.amac.org.cn/amac-infodisc/res/pof/fund/2211141811104373.html</t>
        </is>
      </c>
      <c r="K232" t="inlineStr">
        <is>
          <t>2026-09-15</t>
        </is>
      </c>
    </row>
    <row r="233">
      <c r="A233" t="inlineStr">
        <is>
          <t>SXP356</t>
        </is>
      </c>
      <c r="B233" t="inlineStr">
        <is>
          <t>泰创稳健二号</t>
        </is>
      </c>
      <c r="C233" t="inlineStr">
        <is>
          <t>北京泰创投资</t>
        </is>
      </c>
      <c r="D233" t="inlineStr">
        <is>
          <t>北京泰创投资管理有限公司</t>
        </is>
      </c>
      <c r="E233" t="inlineStr">
        <is>
          <t>P1006143</t>
        </is>
      </c>
      <c r="F233" t="inlineStr">
        <is>
          <t>5-10亿元</t>
        </is>
      </c>
      <c r="G233" t="inlineStr">
        <is>
          <t>大规模</t>
        </is>
      </c>
      <c r="H233" t="inlineStr">
        <is>
          <t>本次公示未见相关记录</t>
        </is>
      </c>
      <c r="I233" t="inlineStr">
        <is>
          <t>https://gs.amac.org.cn/amac-infodisc/res/pof/manager/101000008864.html</t>
        </is>
      </c>
      <c r="J233" t="inlineStr">
        <is>
          <t>https://gs.amac.org.cn/amac-infodisc/res/pof/fund/2211151609104614.html</t>
        </is>
      </c>
      <c r="K233" t="inlineStr">
        <is>
          <t>2026-09-15</t>
        </is>
      </c>
    </row>
    <row r="234">
      <c r="A234" t="inlineStr">
        <is>
          <t>SXT610</t>
        </is>
      </c>
      <c r="B234" t="inlineStr">
        <is>
          <t>殊馥兴义7号</t>
        </is>
      </c>
      <c r="C234" t="inlineStr">
        <is>
          <t>上海殊馥投资</t>
        </is>
      </c>
      <c r="D234" t="inlineStr">
        <is>
          <t>上海殊馥投资管理有限公司</t>
        </is>
      </c>
      <c r="E234" t="inlineStr">
        <is>
          <t>P1029642</t>
        </is>
      </c>
      <c r="F234" t="inlineStr">
        <is>
          <t>10-20亿元</t>
        </is>
      </c>
      <c r="G234" t="inlineStr">
        <is>
          <t>大规模</t>
        </is>
      </c>
      <c r="H234" t="inlineStr">
        <is>
          <t>协会提示／报送异常</t>
        </is>
      </c>
      <c r="I234" t="inlineStr">
        <is>
          <t>https://gs.amac.org.cn/amac-infodisc/res/pof/manager/101000042776.html</t>
        </is>
      </c>
      <c r="J234" t="inlineStr">
        <is>
          <t>https://gs.amac.org.cn/amac-infodisc/res/pof/fund/2211291421100191.html</t>
        </is>
      </c>
      <c r="K234" t="inlineStr">
        <is>
          <t>2026-09-15</t>
        </is>
      </c>
    </row>
    <row r="235">
      <c r="A235" t="inlineStr">
        <is>
          <t>SXV513</t>
        </is>
      </c>
      <c r="B235" t="inlineStr">
        <is>
          <t>锐耐复利倍增2号</t>
        </is>
      </c>
      <c r="C235" t="inlineStr">
        <is>
          <t>上海锐耐</t>
        </is>
      </c>
      <c r="D235" t="inlineStr">
        <is>
          <t>上海锐耐私募基金管理有限公司</t>
        </is>
      </c>
      <c r="E235" t="inlineStr">
        <is>
          <t>P1071795</t>
        </is>
      </c>
      <c r="F235" t="inlineStr">
        <is>
          <t>20-50亿元</t>
        </is>
      </c>
      <c r="G235" t="inlineStr">
        <is>
          <t>大规模</t>
        </is>
      </c>
      <c r="H235" t="inlineStr">
        <is>
          <t>本次公示未见相关记录</t>
        </is>
      </c>
      <c r="I235" t="inlineStr">
        <is>
          <t>https://gs.amac.org.cn/amac-infodisc/res/pof/manager/2011201413105709.html</t>
        </is>
      </c>
      <c r="J235" t="inlineStr">
        <is>
          <t>https://gs.amac.org.cn/amac-infodisc/res/pof/fund/2212051126108903.html</t>
        </is>
      </c>
      <c r="K235" t="inlineStr">
        <is>
          <t>2026-09-15</t>
        </is>
      </c>
    </row>
    <row r="236">
      <c r="A236" t="inlineStr">
        <is>
          <t>SXW399</t>
        </is>
      </c>
      <c r="B236" t="inlineStr">
        <is>
          <t>乘舟紫荆1号</t>
        </is>
      </c>
      <c r="C236" t="inlineStr">
        <is>
          <t>上海乘舟投资</t>
        </is>
      </c>
      <c r="D236" t="inlineStr">
        <is>
          <t>上海乘舟投资管理有限公司</t>
        </is>
      </c>
      <c r="E236" t="inlineStr">
        <is>
          <t>P1070907</t>
        </is>
      </c>
      <c r="F236" t="inlineStr">
        <is>
          <t>5-10亿元</t>
        </is>
      </c>
      <c r="G236" t="inlineStr">
        <is>
          <t>大规模</t>
        </is>
      </c>
      <c r="H236" t="inlineStr">
        <is>
          <t>本次公示未见相关记录</t>
        </is>
      </c>
      <c r="I236" t="inlineStr">
        <is>
          <t>https://gs.amac.org.cn/amac-infodisc/res/pof/manager/2003191500102072.html</t>
        </is>
      </c>
      <c r="J236" t="inlineStr">
        <is>
          <t>https://gs.amac.org.cn/amac-infodisc/res/pof/fund/2212071732102944.html</t>
        </is>
      </c>
      <c r="K236" t="inlineStr">
        <is>
          <t>2026-09-15</t>
        </is>
      </c>
    </row>
    <row r="237">
      <c r="A237" t="inlineStr">
        <is>
          <t>SXW818</t>
        </is>
      </c>
      <c r="B237" t="inlineStr">
        <is>
          <t>岳鑫遥3号</t>
        </is>
      </c>
      <c r="C237" t="inlineStr">
        <is>
          <t>北京岳鑫遥</t>
        </is>
      </c>
      <c r="D237" t="inlineStr">
        <is>
          <t>岳鑫遥（北京）私募基金管理有限公司</t>
        </is>
      </c>
      <c r="E237" t="inlineStr">
        <is>
          <t>P1073901</t>
        </is>
      </c>
      <c r="F237" t="inlineStr">
        <is>
          <t>5-10亿元</t>
        </is>
      </c>
      <c r="G237" t="inlineStr">
        <is>
          <t>大规模</t>
        </is>
      </c>
      <c r="H237" t="inlineStr">
        <is>
          <t>协会提示／报送异常</t>
        </is>
      </c>
      <c r="I237" t="inlineStr">
        <is>
          <t>https://gs.amac.org.cn/amac-infodisc/res/pof/manager/2207041830121644.html</t>
        </is>
      </c>
      <c r="J237" t="inlineStr">
        <is>
          <t>https://gs.amac.org.cn/amac-infodisc/res/pof/fund/2212231712100194.html</t>
        </is>
      </c>
      <c r="K237" t="inlineStr">
        <is>
          <t>2026-09-15</t>
        </is>
      </c>
    </row>
    <row r="238">
      <c r="A238" t="inlineStr">
        <is>
          <t>SXX404</t>
        </is>
      </c>
      <c r="B238" t="inlineStr">
        <is>
          <t>雁丰卓衍1号</t>
        </is>
      </c>
      <c r="C238" t="inlineStr">
        <is>
          <t>上海雁丰投资</t>
        </is>
      </c>
      <c r="D238" t="inlineStr">
        <is>
          <t>上海雁丰投资管理有限公司</t>
        </is>
      </c>
      <c r="E238" t="inlineStr">
        <is>
          <t>P1006965</t>
        </is>
      </c>
      <c r="F238" t="inlineStr">
        <is>
          <t>0-5亿元</t>
        </is>
      </c>
      <c r="G238" t="inlineStr">
        <is>
          <t>小规模</t>
        </is>
      </c>
      <c r="H238" t="inlineStr">
        <is>
          <t>协会提示／报送异常</t>
        </is>
      </c>
      <c r="I238" t="inlineStr">
        <is>
          <t>https://gs.amac.org.cn/amac-infodisc/res/pof/manager/101000007795.html</t>
        </is>
      </c>
      <c r="J238" t="inlineStr">
        <is>
          <t>https://gs.amac.org.cn/amac-infodisc/res/pof/fund/2301040921105586.html</t>
        </is>
      </c>
      <c r="K238" t="inlineStr">
        <is>
          <t>2026-09-15</t>
        </is>
      </c>
    </row>
    <row r="239">
      <c r="A239" t="inlineStr">
        <is>
          <t>SZA394</t>
        </is>
      </c>
      <c r="B239" t="inlineStr">
        <is>
          <t>殊馥兴义8号</t>
        </is>
      </c>
      <c r="C239" t="inlineStr">
        <is>
          <t>上海殊馥投资</t>
        </is>
      </c>
      <c r="D239" t="inlineStr">
        <is>
          <t>上海殊馥投资管理有限公司</t>
        </is>
      </c>
      <c r="E239" t="inlineStr">
        <is>
          <t>P1029642</t>
        </is>
      </c>
      <c r="F239" t="inlineStr">
        <is>
          <t>10-20亿元</t>
        </is>
      </c>
      <c r="G239" t="inlineStr">
        <is>
          <t>大规模</t>
        </is>
      </c>
      <c r="H239" t="inlineStr">
        <is>
          <t>协会提示／报送异常</t>
        </is>
      </c>
      <c r="I239" t="inlineStr">
        <is>
          <t>https://gs.amac.org.cn/amac-infodisc/res/pof/manager/101000042776.html</t>
        </is>
      </c>
      <c r="J239" t="inlineStr">
        <is>
          <t>https://gs.amac.org.cn/amac-infodisc/res/pof/fund/2301040929105681.html</t>
        </is>
      </c>
      <c r="K239" t="inlineStr">
        <is>
          <t>2026-09-15</t>
        </is>
      </c>
    </row>
    <row r="240">
      <c r="A240" t="inlineStr">
        <is>
          <t>SZB527</t>
        </is>
      </c>
      <c r="B240" t="inlineStr">
        <is>
          <t>烁菓量化复合套利2号</t>
        </is>
      </c>
      <c r="C240" t="inlineStr">
        <is>
          <t>福州烁菓</t>
        </is>
      </c>
      <c r="D240" t="inlineStr">
        <is>
          <t>福州烁菓私募基金管理有限公司</t>
        </is>
      </c>
      <c r="E240" t="inlineStr">
        <is>
          <t>P1017468</t>
        </is>
      </c>
      <c r="F240" t="inlineStr">
        <is>
          <t>0-5亿元</t>
        </is>
      </c>
      <c r="G240" t="inlineStr">
        <is>
          <t>小规模</t>
        </is>
      </c>
      <c r="H240" t="inlineStr">
        <is>
          <t>协会提示／报送异常</t>
        </is>
      </c>
      <c r="I240" t="inlineStr">
        <is>
          <t>https://gs.amac.org.cn/amac-infodisc/res/pof/manager/101000027571.html</t>
        </is>
      </c>
      <c r="J240" t="inlineStr">
        <is>
          <t>https://gs.amac.org.cn/amac-infodisc/res/pof/fund/2301111805105842.html</t>
        </is>
      </c>
      <c r="K240" t="inlineStr">
        <is>
          <t>2026-09-15</t>
        </is>
      </c>
    </row>
    <row r="241">
      <c r="A241" t="inlineStr">
        <is>
          <t>SZD744</t>
        </is>
      </c>
      <c r="B241" t="inlineStr">
        <is>
          <t>泰创稳健三号</t>
        </is>
      </c>
      <c r="C241" t="inlineStr">
        <is>
          <t>北京泰创投资</t>
        </is>
      </c>
      <c r="D241" t="inlineStr">
        <is>
          <t>北京泰创投资管理有限公司</t>
        </is>
      </c>
      <c r="E241" t="inlineStr">
        <is>
          <t>P1006143</t>
        </is>
      </c>
      <c r="F241" t="inlineStr">
        <is>
          <t>5-10亿元</t>
        </is>
      </c>
      <c r="G241" t="inlineStr">
        <is>
          <t>大规模</t>
        </is>
      </c>
      <c r="H241" t="inlineStr">
        <is>
          <t>本次公示未见相关记录</t>
        </is>
      </c>
      <c r="I241" t="inlineStr">
        <is>
          <t>https://gs.amac.org.cn/amac-infodisc/res/pof/manager/101000008864.html</t>
        </is>
      </c>
      <c r="J241" t="inlineStr">
        <is>
          <t>https://gs.amac.org.cn/amac-infodisc/res/pof/fund/2301161834100205.html</t>
        </is>
      </c>
      <c r="K241" t="inlineStr">
        <is>
          <t>2026-09-15</t>
        </is>
      </c>
    </row>
    <row r="242">
      <c r="A242" t="inlineStr">
        <is>
          <t>SZF089</t>
        </is>
      </c>
      <c r="B242" t="inlineStr">
        <is>
          <t>瑞倍稳聚1号</t>
        </is>
      </c>
      <c r="C242" t="inlineStr">
        <is>
          <t>宁波瑞倍</t>
        </is>
      </c>
      <c r="D242" t="inlineStr">
        <is>
          <t>宁波瑞倍私募基金管理有限公司</t>
        </is>
      </c>
      <c r="E242" t="inlineStr">
        <is>
          <t>P1010568</t>
        </is>
      </c>
      <c r="F242" t="inlineStr">
        <is>
          <t>10-20亿元</t>
        </is>
      </c>
      <c r="G242" t="inlineStr">
        <is>
          <t>大规模</t>
        </is>
      </c>
      <c r="H242" t="inlineStr">
        <is>
          <t>本次公示未见相关记录</t>
        </is>
      </c>
      <c r="I242" t="inlineStr">
        <is>
          <t>https://gs.amac.org.cn/amac-infodisc/res/pof/manager/101000014169.html</t>
        </is>
      </c>
      <c r="J242" t="inlineStr">
        <is>
          <t>https://gs.amac.org.cn/amac-infodisc/res/pof/fund/2301160956105305.html</t>
        </is>
      </c>
      <c r="K242" t="inlineStr">
        <is>
          <t>2026-09-15</t>
        </is>
      </c>
    </row>
    <row r="243">
      <c r="A243" t="inlineStr">
        <is>
          <t>SZC360</t>
        </is>
      </c>
      <c r="B243" t="inlineStr">
        <is>
          <t>赢起隆华1期</t>
        </is>
      </c>
      <c r="C243" t="inlineStr">
        <is>
          <t>上海赢起</t>
        </is>
      </c>
      <c r="D243" t="inlineStr">
        <is>
          <t>赢起（上海）私募基金管理有限公司</t>
        </is>
      </c>
      <c r="E243" t="inlineStr">
        <is>
          <t>P1060702</t>
        </is>
      </c>
      <c r="F243" t="inlineStr">
        <is>
          <t>0-5亿元</t>
        </is>
      </c>
      <c r="G243" t="inlineStr">
        <is>
          <t>小规模</t>
        </is>
      </c>
      <c r="H243" t="inlineStr">
        <is>
          <t>协会提示／报送异常</t>
        </is>
      </c>
      <c r="I243" t="inlineStr">
        <is>
          <t>https://gs.amac.org.cn/amac-infodisc/res/pof/manager/1611081535100767.html</t>
        </is>
      </c>
      <c r="J243" t="inlineStr">
        <is>
          <t>https://gs.amac.org.cn/amac-infodisc/res/pof/fund/2301171711114464.html</t>
        </is>
      </c>
      <c r="K243" t="inlineStr">
        <is>
          <t>2026-09-15</t>
        </is>
      </c>
    </row>
    <row r="244">
      <c r="A244" t="inlineStr">
        <is>
          <t>SZC556</t>
        </is>
      </c>
      <c r="B244" t="inlineStr">
        <is>
          <t>思益行稳致远1号</t>
        </is>
      </c>
      <c r="C244" t="inlineStr">
        <is>
          <t>海南思益</t>
        </is>
      </c>
      <c r="D244" t="inlineStr">
        <is>
          <t>海南思益私募基金管理合伙企业（有限合伙）</t>
        </is>
      </c>
      <c r="E244" t="inlineStr">
        <is>
          <t>P1073674</t>
        </is>
      </c>
      <c r="F244" t="inlineStr">
        <is>
          <t>10-20亿元</t>
        </is>
      </c>
      <c r="G244" t="inlineStr">
        <is>
          <t>大规模</t>
        </is>
      </c>
      <c r="H244" t="inlineStr">
        <is>
          <t>本次公示未见相关记录</t>
        </is>
      </c>
      <c r="I244" t="inlineStr">
        <is>
          <t>https://gs.amac.org.cn/amac-infodisc/res/pof/manager/2204271712106058.html</t>
        </is>
      </c>
      <c r="J244" t="inlineStr">
        <is>
          <t>https://gs.amac.org.cn/amac-infodisc/res/pof/fund/2301191725107252.html</t>
        </is>
      </c>
      <c r="K244" t="inlineStr">
        <is>
          <t>2026-09-15</t>
        </is>
      </c>
    </row>
    <row r="245">
      <c r="A245" t="inlineStr">
        <is>
          <t>SZF893</t>
        </is>
      </c>
      <c r="B245" t="inlineStr">
        <is>
          <t>恒立卓越1号</t>
        </is>
      </c>
      <c r="C245" t="inlineStr">
        <is>
          <t>海南恒立</t>
        </is>
      </c>
      <c r="D245" t="inlineStr">
        <is>
          <t>海南恒立私募基金管理有限公司</t>
        </is>
      </c>
      <c r="E245" t="inlineStr">
        <is>
          <t>P1073663</t>
        </is>
      </c>
      <c r="F245" t="inlineStr">
        <is>
          <t>5-10亿元</t>
        </is>
      </c>
      <c r="G245" t="inlineStr">
        <is>
          <t>大规模</t>
        </is>
      </c>
      <c r="H245" t="inlineStr">
        <is>
          <t>协会提示／报送异常</t>
        </is>
      </c>
      <c r="I245" t="inlineStr">
        <is>
          <t>https://gs.amac.org.cn/amac-infodisc/res/pof/manager/2204132153103555.html</t>
        </is>
      </c>
      <c r="J245" t="inlineStr">
        <is>
          <t>https://gs.amac.org.cn/amac-infodisc/res/pof/fund/2301291120104275.html</t>
        </is>
      </c>
      <c r="K245" t="inlineStr">
        <is>
          <t>2026-09-15</t>
        </is>
      </c>
    </row>
    <row r="246">
      <c r="A246" t="inlineStr">
        <is>
          <t>SZH690</t>
        </is>
      </c>
      <c r="B246" t="inlineStr">
        <is>
          <t>辰元优选稳健</t>
        </is>
      </c>
      <c r="C246" t="inlineStr">
        <is>
          <t>广东辰元</t>
        </is>
      </c>
      <c r="D246" t="inlineStr">
        <is>
          <t>广东辰元私募基金管理有限公司</t>
        </is>
      </c>
      <c r="E246" t="inlineStr">
        <is>
          <t>P1074301</t>
        </is>
      </c>
      <c r="F246" t="inlineStr">
        <is>
          <t>20-50亿元</t>
        </is>
      </c>
      <c r="G246" t="inlineStr">
        <is>
          <t>大规模</t>
        </is>
      </c>
      <c r="H246" t="inlineStr">
        <is>
          <t>本次公示未见相关记录</t>
        </is>
      </c>
      <c r="I246" t="inlineStr">
        <is>
          <t>https://gs.amac.org.cn/amac-infodisc/res/pof/manager/2209261520106658.html</t>
        </is>
      </c>
      <c r="J246" t="inlineStr">
        <is>
          <t>https://gs.amac.org.cn/amac-infodisc/res/pof/fund/2302141700101335.html</t>
        </is>
      </c>
      <c r="K246" t="inlineStr">
        <is>
          <t>2026-09-15</t>
        </is>
      </c>
    </row>
    <row r="247">
      <c r="A247" t="inlineStr">
        <is>
          <t>SZJ724</t>
        </is>
      </c>
      <c r="B247" t="inlineStr">
        <is>
          <t>辰元稳健2号</t>
        </is>
      </c>
      <c r="C247" t="inlineStr">
        <is>
          <t>广东辰元</t>
        </is>
      </c>
      <c r="D247" t="inlineStr">
        <is>
          <t>广东辰元私募基金管理有限公司</t>
        </is>
      </c>
      <c r="E247" t="inlineStr">
        <is>
          <t>P1074301</t>
        </is>
      </c>
      <c r="F247" t="inlineStr">
        <is>
          <t>20-50亿元</t>
        </is>
      </c>
      <c r="G247" t="inlineStr">
        <is>
          <t>大规模</t>
        </is>
      </c>
      <c r="H247" t="inlineStr">
        <is>
          <t>本次公示未见相关记录</t>
        </is>
      </c>
      <c r="I247" t="inlineStr">
        <is>
          <t>https://gs.amac.org.cn/amac-infodisc/res/pof/manager/2209261520106658.html</t>
        </is>
      </c>
      <c r="J247" t="inlineStr">
        <is>
          <t>https://gs.amac.org.cn/amac-infodisc/res/pof/fund/2302151739100614.html</t>
        </is>
      </c>
      <c r="K247" t="inlineStr">
        <is>
          <t>2026-09-15</t>
        </is>
      </c>
    </row>
    <row r="248">
      <c r="A248" t="inlineStr">
        <is>
          <t>SZJ846</t>
        </is>
      </c>
      <c r="B248" t="inlineStr">
        <is>
          <t>江岳联接54期</t>
        </is>
      </c>
      <c r="C248" t="inlineStr">
        <is>
          <t>西安江岳</t>
        </is>
      </c>
      <c r="D248" t="inlineStr">
        <is>
          <t>西安江岳私募基金管理有限公司</t>
        </is>
      </c>
      <c r="E248" t="inlineStr">
        <is>
          <t>P1064313</t>
        </is>
      </c>
      <c r="F248" t="inlineStr">
        <is>
          <t>10-20亿元</t>
        </is>
      </c>
      <c r="G248" t="inlineStr">
        <is>
          <t>大规模</t>
        </is>
      </c>
      <c r="H248" t="inlineStr">
        <is>
          <t>本次公示未见相关记录</t>
        </is>
      </c>
      <c r="I248" t="inlineStr">
        <is>
          <t>https://gs.amac.org.cn/amac-infodisc/res/pof/manager/1703241729101117.html</t>
        </is>
      </c>
      <c r="J248" t="inlineStr">
        <is>
          <t>https://gs.amac.org.cn/amac-infodisc/res/pof/fund/2302211738101079.html</t>
        </is>
      </c>
      <c r="K248" t="inlineStr">
        <is>
          <t>2026-09-15</t>
        </is>
      </c>
    </row>
    <row r="249">
      <c r="A249" t="inlineStr">
        <is>
          <t>SZJ896</t>
        </is>
      </c>
      <c r="B249" t="inlineStr">
        <is>
          <t>权舆金品1号</t>
        </is>
      </c>
      <c r="C249" t="inlineStr">
        <is>
          <t>上海权舆</t>
        </is>
      </c>
      <c r="D249" t="inlineStr">
        <is>
          <t>上海权舆私募基金管理有限公司</t>
        </is>
      </c>
      <c r="E249" t="inlineStr">
        <is>
          <t>P1073573</t>
        </is>
      </c>
      <c r="F249" t="inlineStr">
        <is>
          <t>0-5亿元</t>
        </is>
      </c>
      <c r="G249" t="inlineStr">
        <is>
          <t>小规模</t>
        </is>
      </c>
      <c r="H249" t="inlineStr">
        <is>
          <t>本次公示未见相关记录</t>
        </is>
      </c>
      <c r="I249" t="inlineStr">
        <is>
          <t>https://gs.amac.org.cn/amac-infodisc/res/pof/manager/2112210913109327.html</t>
        </is>
      </c>
      <c r="J249" t="inlineStr">
        <is>
          <t>https://gs.amac.org.cn/amac-infodisc/res/pof/fund/2302241522101552.html</t>
        </is>
      </c>
      <c r="K249" t="inlineStr">
        <is>
          <t>2026-09-15</t>
        </is>
      </c>
    </row>
    <row r="250">
      <c r="A250" t="inlineStr">
        <is>
          <t>SZL583</t>
        </is>
      </c>
      <c r="B250" t="inlineStr">
        <is>
          <t>言起投资价值成长1号</t>
        </is>
      </c>
      <c r="C250" t="inlineStr">
        <is>
          <t>厦门言起投资</t>
        </is>
      </c>
      <c r="D250" t="inlineStr">
        <is>
          <t>厦门言起投资管理有限公司</t>
        </is>
      </c>
      <c r="E250" t="inlineStr">
        <is>
          <t>P1032282</t>
        </is>
      </c>
      <c r="F250" t="inlineStr">
        <is>
          <t>0-5亿元</t>
        </is>
      </c>
      <c r="G250" t="inlineStr">
        <is>
          <t>小规模</t>
        </is>
      </c>
      <c r="H250" t="inlineStr">
        <is>
          <t>协会提示／报送异常</t>
        </is>
      </c>
      <c r="I250" t="inlineStr">
        <is>
          <t>https://gs.amac.org.cn/amac-infodisc/res/pof/manager/101000049573.html</t>
        </is>
      </c>
      <c r="J250" t="inlineStr">
        <is>
          <t>https://gs.amac.org.cn/amac-infodisc/res/pof/fund/2302271500104378.html</t>
        </is>
      </c>
      <c r="K250" t="inlineStr">
        <is>
          <t>2026-09-15</t>
        </is>
      </c>
    </row>
    <row r="251">
      <c r="A251" t="inlineStr">
        <is>
          <t>SZV527</t>
        </is>
      </c>
      <c r="B251" t="inlineStr">
        <is>
          <t>泰创稳增1号</t>
        </is>
      </c>
      <c r="C251" t="inlineStr">
        <is>
          <t>北京泰创投资</t>
        </is>
      </c>
      <c r="D251" t="inlineStr">
        <is>
          <t>北京泰创投资管理有限公司</t>
        </is>
      </c>
      <c r="E251" t="inlineStr">
        <is>
          <t>P1006143</t>
        </is>
      </c>
      <c r="F251" t="inlineStr">
        <is>
          <t>5-10亿元</t>
        </is>
      </c>
      <c r="G251" t="inlineStr">
        <is>
          <t>大规模</t>
        </is>
      </c>
      <c r="H251" t="inlineStr">
        <is>
          <t>本次公示未见相关记录</t>
        </is>
      </c>
      <c r="I251" t="inlineStr">
        <is>
          <t>https://gs.amac.org.cn/amac-infodisc/res/pof/manager/101000008864.html</t>
        </is>
      </c>
      <c r="J251" t="inlineStr">
        <is>
          <t>https://gs.amac.org.cn/amac-infodisc/res/pof/fund/2304172010100805.html</t>
        </is>
      </c>
      <c r="K251" t="inlineStr">
        <is>
          <t>2026-09-15</t>
        </is>
      </c>
    </row>
    <row r="252">
      <c r="A252" t="inlineStr">
        <is>
          <t>SZF199</t>
        </is>
      </c>
      <c r="B252" t="inlineStr">
        <is>
          <t>悬铃君享CTA2号</t>
        </is>
      </c>
      <c r="C252" t="inlineStr">
        <is>
          <t>上海悬铃</t>
        </is>
      </c>
      <c r="D252" t="inlineStr">
        <is>
          <t>上海悬铃私募基金管理有限公司</t>
        </is>
      </c>
      <c r="E252" t="inlineStr">
        <is>
          <t>P1064634</t>
        </is>
      </c>
      <c r="F252" t="inlineStr">
        <is>
          <t>20-50亿元</t>
        </is>
      </c>
      <c r="G252" t="inlineStr">
        <is>
          <t>大规模</t>
        </is>
      </c>
      <c r="H252" t="inlineStr">
        <is>
          <t>本次公示未见相关记录</t>
        </is>
      </c>
      <c r="I252" t="inlineStr">
        <is>
          <t>https://gs.amac.org.cn/amac-infodisc/res/pof/manager/1701161209103763.html</t>
        </is>
      </c>
      <c r="J252" t="inlineStr">
        <is>
          <t>https://gs.amac.org.cn/amac-infodisc/res/pof/fund/2304181515102191.html</t>
        </is>
      </c>
      <c r="K252" t="inlineStr">
        <is>
          <t>2026-09-15</t>
        </is>
      </c>
    </row>
    <row r="253">
      <c r="A253" t="inlineStr">
        <is>
          <t>XX769B</t>
        </is>
      </c>
      <c r="B253" t="inlineStr">
        <is>
          <t>世宽若水尘心2号B类</t>
        </is>
      </c>
      <c r="C253" t="inlineStr">
        <is>
          <t>厦门世宽</t>
        </is>
      </c>
      <c r="D253" t="inlineStr">
        <is>
          <t>厦门世宽私募基金管理有限公司 厦门世宽私募基金管理有限公司</t>
        </is>
      </c>
      <c r="E253" t="inlineStr">
        <is>
          <t>P1022452</t>
        </is>
      </c>
      <c r="F253" t="inlineStr">
        <is>
          <t>0-5亿元</t>
        </is>
      </c>
      <c r="G253" t="inlineStr">
        <is>
          <t>小规模</t>
        </is>
      </c>
      <c r="H253" t="inlineStr">
        <is>
          <t>本次公示未见相关记录</t>
        </is>
      </c>
      <c r="I253" t="inlineStr">
        <is>
          <t>https://gs.amac.org.cn/amac-infodisc/res/pof/manager/101000026000.html</t>
        </is>
      </c>
      <c r="K253" t="inlineStr">
        <is>
          <t>2026-09-15</t>
        </is>
      </c>
    </row>
    <row r="254">
      <c r="A254" t="inlineStr">
        <is>
          <t>S09408</t>
        </is>
      </c>
      <c r="B254" t="inlineStr">
        <is>
          <t>溋沣鸿运来星选1号</t>
        </is>
      </c>
      <c r="C254" t="inlineStr">
        <is>
          <t>深圳前海溋沣资管</t>
        </is>
      </c>
      <c r="D254" t="inlineStr">
        <is>
          <t>深圳前海溋沣资本管理有限公司</t>
        </is>
      </c>
      <c r="E254" t="inlineStr">
        <is>
          <t>P1060526</t>
        </is>
      </c>
      <c r="F254" t="inlineStr">
        <is>
          <t>0-5亿元</t>
        </is>
      </c>
      <c r="G254" t="inlineStr">
        <is>
          <t>小规模</t>
        </is>
      </c>
      <c r="H254" t="inlineStr">
        <is>
          <t>本次公示未见相关记录</t>
        </is>
      </c>
      <c r="I254" t="inlineStr">
        <is>
          <t>https://gs.amac.org.cn/amac-infodisc/res/pof/manager/1610131040102006.html</t>
        </is>
      </c>
      <c r="J254" t="inlineStr">
        <is>
          <t>https://gs.amac.org.cn/amac-infodisc/res/pof/fund/2305191728100615.html</t>
        </is>
      </c>
      <c r="K254" t="inlineStr">
        <is>
          <t>2026-09-15</t>
        </is>
      </c>
    </row>
    <row r="255">
      <c r="A255" t="inlineStr">
        <is>
          <t>SZR346</t>
        </is>
      </c>
      <c r="B255" t="inlineStr">
        <is>
          <t>鑫翰启明复合策略三期</t>
        </is>
      </c>
      <c r="C255" t="inlineStr">
        <is>
          <t>北京鑫翰资管</t>
        </is>
      </c>
      <c r="D255" t="inlineStr">
        <is>
          <t>北京鑫翰资本管理有限公司</t>
        </is>
      </c>
      <c r="E255" t="inlineStr">
        <is>
          <t>P1070397</t>
        </is>
      </c>
      <c r="F255" t="inlineStr">
        <is>
          <t>0-5亿元</t>
        </is>
      </c>
      <c r="G255" t="inlineStr">
        <is>
          <t>小规模</t>
        </is>
      </c>
      <c r="H255" t="inlineStr">
        <is>
          <t>本次公示未见相关记录</t>
        </is>
      </c>
      <c r="I255" t="inlineStr">
        <is>
          <t>https://gs.amac.org.cn/amac-infodisc/res/pof/manager/1906200947105473.html</t>
        </is>
      </c>
      <c r="J255" t="inlineStr">
        <is>
          <t>https://gs.amac.org.cn/amac-infodisc/res/pof/fund/2305312045104021.html</t>
        </is>
      </c>
      <c r="K255" t="inlineStr">
        <is>
          <t>2026-09-15</t>
        </is>
      </c>
    </row>
    <row r="256">
      <c r="A256" t="inlineStr">
        <is>
          <t>SB5534</t>
        </is>
      </c>
      <c r="B256" t="inlineStr">
        <is>
          <t>金和至信稳健12号</t>
        </is>
      </c>
      <c r="C256" t="inlineStr">
        <is>
          <t>上海金和晟</t>
        </is>
      </c>
      <c r="D256" t="inlineStr">
        <is>
          <t>上海金和晟私募基金管理有限公司</t>
        </is>
      </c>
      <c r="E256" t="inlineStr">
        <is>
          <t>P1071636</t>
        </is>
      </c>
      <c r="F256" t="inlineStr">
        <is>
          <t>20-50亿元</t>
        </is>
      </c>
      <c r="G256" t="inlineStr">
        <is>
          <t>大规模</t>
        </is>
      </c>
      <c r="H256" t="inlineStr">
        <is>
          <t>本次公示未见相关记录</t>
        </is>
      </c>
      <c r="I256" t="inlineStr">
        <is>
          <t>https://gs.amac.org.cn/amac-infodisc/res/pof/manager/2010280957108370.html</t>
        </is>
      </c>
      <c r="J256" t="inlineStr">
        <is>
          <t>https://gs.amac.org.cn/amac-infodisc/res/pof/fund/2308031614104375.html</t>
        </is>
      </c>
      <c r="K256" t="inlineStr">
        <is>
          <t>2026-09-15</t>
        </is>
      </c>
    </row>
    <row r="257">
      <c r="A257" t="inlineStr">
        <is>
          <t>SB5918</t>
        </is>
      </c>
      <c r="B257" t="inlineStr">
        <is>
          <t>鸿儒灵活配置2期</t>
        </is>
      </c>
      <c r="C257" t="inlineStr">
        <is>
          <t>上海鸿儒投资</t>
        </is>
      </c>
      <c r="D257" t="inlineStr">
        <is>
          <t>上海鸿儒投资管理有限公司</t>
        </is>
      </c>
      <c r="E257" t="inlineStr">
        <is>
          <t>P1070914</t>
        </is>
      </c>
      <c r="F257" t="inlineStr">
        <is>
          <t>0-5亿元</t>
        </is>
      </c>
      <c r="G257" t="inlineStr">
        <is>
          <t>小规模</t>
        </is>
      </c>
      <c r="H257" t="inlineStr">
        <is>
          <t>协会提示／报送异常</t>
        </is>
      </c>
      <c r="I257" t="inlineStr">
        <is>
          <t>https://gs.amac.org.cn/amac-infodisc/res/pof/manager/1912121722101881.html</t>
        </is>
      </c>
      <c r="J257" t="inlineStr">
        <is>
          <t>https://gs.amac.org.cn/amac-infodisc/res/pof/fund/2308031614104654.html</t>
        </is>
      </c>
      <c r="K257" t="inlineStr">
        <is>
          <t>2026-09-15</t>
        </is>
      </c>
    </row>
    <row r="258">
      <c r="A258" t="inlineStr">
        <is>
          <t>N5169A</t>
        </is>
      </c>
      <c r="B258" t="inlineStr">
        <is>
          <t>博普跨市场1号A类</t>
        </is>
      </c>
      <c r="C258" t="inlineStr">
        <is>
          <t>深圳博普科技</t>
        </is>
      </c>
      <c r="D258" t="inlineStr">
        <is>
          <t>深圳博普科技有限公司 深圳博普科技有限公司</t>
        </is>
      </c>
      <c r="E258" t="inlineStr">
        <is>
          <t>P1001724</t>
        </is>
      </c>
      <c r="F258" t="inlineStr">
        <is>
          <t>100亿元以上</t>
        </is>
      </c>
      <c r="G258" t="inlineStr">
        <is>
          <t>大规模</t>
        </is>
      </c>
      <c r="H258" t="inlineStr">
        <is>
          <t>本次公示未见相关记录</t>
        </is>
      </c>
      <c r="I258" t="inlineStr">
        <is>
          <t>https://gs.amac.org.cn/amac-infodisc/res/pof/manager/101000001136.html</t>
        </is>
      </c>
      <c r="K258" t="inlineStr">
        <is>
          <t>2026-09-15</t>
        </is>
      </c>
    </row>
    <row r="259">
      <c r="A259" t="inlineStr">
        <is>
          <t>L9566A</t>
        </is>
      </c>
      <c r="B259" t="inlineStr">
        <is>
          <t>博益安盈精英1号A类</t>
        </is>
      </c>
      <c r="C259" t="inlineStr">
        <is>
          <t>深圳博益安盈</t>
        </is>
      </c>
      <c r="D259" t="inlineStr">
        <is>
          <t>深圳市博益安盈私募证券投资基金管理有限公司 深圳市博益安盈私募证券投资基金管理有限公司</t>
        </is>
      </c>
      <c r="E259" t="inlineStr">
        <is>
          <t>P1032574</t>
        </is>
      </c>
      <c r="F259" t="inlineStr">
        <is>
          <t>5-10亿元</t>
        </is>
      </c>
      <c r="G259" t="inlineStr">
        <is>
          <t>大规模</t>
        </is>
      </c>
      <c r="H259" t="inlineStr">
        <is>
          <t>本次公示未见相关记录</t>
        </is>
      </c>
      <c r="I259" t="inlineStr">
        <is>
          <t>https://gs.amac.org.cn/amac-infodisc/res/pof/manager/101000052138.html</t>
        </is>
      </c>
      <c r="K259" t="inlineStr">
        <is>
          <t>2026-09-15</t>
        </is>
      </c>
    </row>
    <row r="260">
      <c r="A260" t="inlineStr">
        <is>
          <t>SAAE31</t>
        </is>
      </c>
      <c r="B260" t="inlineStr">
        <is>
          <t>东宏启航稳健1号</t>
        </is>
      </c>
      <c r="C260" t="inlineStr">
        <is>
          <t>北京东宏世家资管</t>
        </is>
      </c>
      <c r="D260" t="inlineStr">
        <is>
          <t>北京东宏世家资产管理有限公司</t>
        </is>
      </c>
      <c r="E260" t="inlineStr">
        <is>
          <t>P1020293</t>
        </is>
      </c>
      <c r="F260" t="inlineStr">
        <is>
          <t>5-10亿元</t>
        </is>
      </c>
      <c r="G260" t="inlineStr">
        <is>
          <t>大规模</t>
        </is>
      </c>
      <c r="H260" t="inlineStr">
        <is>
          <t>本次公示未见相关记录</t>
        </is>
      </c>
      <c r="I260" t="inlineStr">
        <is>
          <t>https://gs.amac.org.cn/amac-infodisc/res/pof/manager/101000028582.html</t>
        </is>
      </c>
      <c r="J260" t="inlineStr">
        <is>
          <t>https://gs.amac.org.cn/amac-infodisc/res/pof/fund/2308251717100782.html</t>
        </is>
      </c>
      <c r="K260" t="inlineStr">
        <is>
          <t>2026-09-15</t>
        </is>
      </c>
    </row>
    <row r="261">
      <c r="A261" t="inlineStr">
        <is>
          <t>SB9576</t>
        </is>
      </c>
      <c r="B261" t="inlineStr">
        <is>
          <t>慕途基本面量化2号</t>
        </is>
      </c>
      <c r="C261" t="inlineStr">
        <is>
          <t>慕途基金</t>
        </is>
      </c>
      <c r="D261" t="inlineStr">
        <is>
          <t>上海慕途私募基金管理有限公司</t>
        </is>
      </c>
      <c r="E261" t="inlineStr">
        <is>
          <t>P1073298</t>
        </is>
      </c>
      <c r="F261" t="inlineStr">
        <is>
          <t>10-20亿元</t>
        </is>
      </c>
      <c r="G261" t="inlineStr">
        <is>
          <t>大规模</t>
        </is>
      </c>
      <c r="H261" t="inlineStr">
        <is>
          <t>本次公示未见相关记录</t>
        </is>
      </c>
      <c r="I261" t="inlineStr">
        <is>
          <t>https://gs.amac.org.cn/amac-infodisc/res/pof/manager/2106221238106983.html</t>
        </is>
      </c>
      <c r="J261" t="inlineStr">
        <is>
          <t>https://gs.amac.org.cn/amac-infodisc/res/pof/fund/2309061045105511.html</t>
        </is>
      </c>
      <c r="K261" t="inlineStr">
        <is>
          <t>2026-09-15</t>
        </is>
      </c>
    </row>
    <row r="262">
      <c r="A262" t="inlineStr">
        <is>
          <t>SAAP55</t>
        </is>
      </c>
      <c r="B262" t="inlineStr">
        <is>
          <t>金和至信稳健13号</t>
        </is>
      </c>
      <c r="C262" t="inlineStr">
        <is>
          <t>上海金和晟</t>
        </is>
      </c>
      <c r="D262" t="inlineStr">
        <is>
          <t>上海金和晟私募基金管理有限公司</t>
        </is>
      </c>
      <c r="E262" t="inlineStr">
        <is>
          <t>P1071636</t>
        </is>
      </c>
      <c r="F262" t="inlineStr">
        <is>
          <t>20-50亿元</t>
        </is>
      </c>
      <c r="G262" t="inlineStr">
        <is>
          <t>大规模</t>
        </is>
      </c>
      <c r="H262" t="inlineStr">
        <is>
          <t>本次公示未见相关记录</t>
        </is>
      </c>
      <c r="I262" t="inlineStr">
        <is>
          <t>https://gs.amac.org.cn/amac-infodisc/res/pof/manager/2010280957108370.html</t>
        </is>
      </c>
      <c r="J262" t="inlineStr">
        <is>
          <t>https://gs.amac.org.cn/amac-infodisc/res/pof/fund/2309201921101838.html</t>
        </is>
      </c>
      <c r="K262" t="inlineStr">
        <is>
          <t>2026-09-15</t>
        </is>
      </c>
    </row>
    <row r="263">
      <c r="A263" t="inlineStr">
        <is>
          <t>SAEA78</t>
        </is>
      </c>
      <c r="B263" t="inlineStr">
        <is>
          <t>量宇进取1号</t>
        </is>
      </c>
      <c r="C263" t="inlineStr">
        <is>
          <t>上海量宇</t>
        </is>
      </c>
      <c r="D263" t="inlineStr">
        <is>
          <t>上海量宇私募基金管理有限公司</t>
        </is>
      </c>
      <c r="E263" t="inlineStr">
        <is>
          <t>P1064318</t>
        </is>
      </c>
      <c r="F263" t="inlineStr">
        <is>
          <t>20-50亿元</t>
        </is>
      </c>
      <c r="G263" t="inlineStr">
        <is>
          <t>大规模</t>
        </is>
      </c>
      <c r="H263" t="inlineStr">
        <is>
          <t>协会提示／报送异常</t>
        </is>
      </c>
      <c r="I263" t="inlineStr">
        <is>
          <t>https://gs.amac.org.cn/amac-infodisc/res/pof/manager/1706281152106855.html</t>
        </is>
      </c>
      <c r="J263" t="inlineStr">
        <is>
          <t>https://gs.amac.org.cn/amac-infodisc/res/pof/fund/2312121626109681.html</t>
        </is>
      </c>
      <c r="K263" t="inlineStr">
        <is>
          <t>2026-09-15</t>
        </is>
      </c>
    </row>
    <row r="264">
      <c r="A264" t="inlineStr">
        <is>
          <t>SAFW30</t>
        </is>
      </c>
      <c r="B264" t="inlineStr">
        <is>
          <t>野牛稳进2号</t>
        </is>
      </c>
      <c r="C264" t="inlineStr">
        <is>
          <t>福建野牛资管</t>
        </is>
      </c>
      <c r="D264" t="inlineStr">
        <is>
          <t>福建野牛资产管理有限公司</t>
        </is>
      </c>
      <c r="E264" t="inlineStr">
        <is>
          <t>P1025486</t>
        </is>
      </c>
      <c r="F264" t="inlineStr">
        <is>
          <t>0-5亿元</t>
        </is>
      </c>
      <c r="G264" t="inlineStr">
        <is>
          <t>小规模</t>
        </is>
      </c>
      <c r="H264" t="inlineStr">
        <is>
          <t>本次公示未见相关记录</t>
        </is>
      </c>
      <c r="I264" t="inlineStr">
        <is>
          <t>https://gs.amac.org.cn/amac-infodisc/res/pof/manager/101000032872.html</t>
        </is>
      </c>
      <c r="J264" t="inlineStr">
        <is>
          <t>https://gs.amac.org.cn/amac-infodisc/res/pof/fund/2401261627102833.html</t>
        </is>
      </c>
      <c r="K264" t="inlineStr">
        <is>
          <t>2026-09-15</t>
        </is>
      </c>
    </row>
    <row r="265">
      <c r="A265" t="inlineStr">
        <is>
          <t>SAGG20</t>
        </is>
      </c>
      <c r="B265" t="inlineStr">
        <is>
          <t>毅远稳健套利3号</t>
        </is>
      </c>
      <c r="C265" t="inlineStr">
        <is>
          <t>上海毅远</t>
        </is>
      </c>
      <c r="D265" t="inlineStr">
        <is>
          <t>上海毅远私募基金管理有限公司</t>
        </is>
      </c>
      <c r="E265" t="inlineStr">
        <is>
          <t>P1073858</t>
        </is>
      </c>
      <c r="F265" t="inlineStr">
        <is>
          <t>10-20亿元</t>
        </is>
      </c>
      <c r="G265" t="inlineStr">
        <is>
          <t>大规模</t>
        </is>
      </c>
      <c r="H265" t="inlineStr">
        <is>
          <t>本次公示未见相关记录</t>
        </is>
      </c>
      <c r="I265" t="inlineStr">
        <is>
          <t>https://gs.amac.org.cn/amac-infodisc/res/pof/manager/2112091706105909.html</t>
        </is>
      </c>
      <c r="J265" t="inlineStr">
        <is>
          <t>https://gs.amac.org.cn/amac-infodisc/res/pof/fund/2401261627102402.html</t>
        </is>
      </c>
      <c r="K265" t="inlineStr">
        <is>
          <t>2026-09-15</t>
        </is>
      </c>
    </row>
    <row r="266">
      <c r="A266" t="inlineStr">
        <is>
          <t>SAFY84</t>
        </is>
      </c>
      <c r="B266" t="inlineStr">
        <is>
          <t>翎涵容克套利二号</t>
        </is>
      </c>
      <c r="C266" t="inlineStr">
        <is>
          <t>上海翎涵</t>
        </is>
      </c>
      <c r="D266" t="inlineStr">
        <is>
          <t>上海翎涵私募基金管理有限公司</t>
        </is>
      </c>
      <c r="E266" t="inlineStr">
        <is>
          <t>P1073789</t>
        </is>
      </c>
      <c r="F266" t="inlineStr">
        <is>
          <t>0-5亿元</t>
        </is>
      </c>
      <c r="G266" t="inlineStr">
        <is>
          <t>小规模</t>
        </is>
      </c>
      <c r="H266" t="inlineStr">
        <is>
          <t>协会提示／报送异常</t>
        </is>
      </c>
      <c r="I266" t="inlineStr">
        <is>
          <t>https://gs.amac.org.cn/amac-infodisc/res/pof/manager/2204201120100789.html</t>
        </is>
      </c>
      <c r="J266" t="inlineStr">
        <is>
          <t>https://gs.amac.org.cn/amac-infodisc/res/pof/fund/2402021439101587.html</t>
        </is>
      </c>
      <c r="K266" t="inlineStr">
        <is>
          <t>2026-09-15</t>
        </is>
      </c>
    </row>
    <row r="267">
      <c r="A267" t="inlineStr">
        <is>
          <t>XN023A</t>
        </is>
      </c>
      <c r="B267" t="inlineStr">
        <is>
          <t>兆信股指期货期权套利1号A类</t>
        </is>
      </c>
      <c r="C267" t="inlineStr">
        <is>
          <t>江苏兆信</t>
        </is>
      </c>
      <c r="D267" t="inlineStr">
        <is>
          <t>江苏兆信私募基金管理有限公司 江苏兆信私募基金管理有限公司</t>
        </is>
      </c>
      <c r="E267" t="inlineStr">
        <is>
          <t>P1001740</t>
        </is>
      </c>
      <c r="F267" t="inlineStr">
        <is>
          <t>20-50亿元</t>
        </is>
      </c>
      <c r="G267" t="inlineStr">
        <is>
          <t>大规模</t>
        </is>
      </c>
      <c r="H267" t="inlineStr">
        <is>
          <t>本次公示未见相关记录</t>
        </is>
      </c>
      <c r="I267" t="inlineStr">
        <is>
          <t>https://gs.amac.org.cn/amac-infodisc/res/pof/manager/101000002312.html</t>
        </is>
      </c>
      <c r="K267" t="inlineStr">
        <is>
          <t>2026-09-15</t>
        </is>
      </c>
    </row>
    <row r="268">
      <c r="A268" t="inlineStr">
        <is>
          <t>SAHY15</t>
        </is>
      </c>
      <c r="B268" t="inlineStr">
        <is>
          <t>巨量边界周周开2号</t>
        </is>
      </c>
      <c r="C268" t="inlineStr">
        <is>
          <t>北京巨量边界</t>
        </is>
      </c>
      <c r="D268" t="inlineStr">
        <is>
          <t>北京巨量边界私募基金管理有限公司</t>
        </is>
      </c>
      <c r="E268" t="inlineStr">
        <is>
          <t>P1072384</t>
        </is>
      </c>
      <c r="F268" t="inlineStr">
        <is>
          <t>20-50亿元</t>
        </is>
      </c>
      <c r="G268" t="inlineStr">
        <is>
          <t>大规模</t>
        </is>
      </c>
      <c r="H268" t="inlineStr">
        <is>
          <t>协会提示／报送异常</t>
        </is>
      </c>
      <c r="I268" t="inlineStr">
        <is>
          <t>https://gs.amac.org.cn/amac-infodisc/res/pof/manager/2107271706122405.html</t>
        </is>
      </c>
      <c r="J268" t="inlineStr">
        <is>
          <t>https://gs.amac.org.cn/amac-infodisc/res/pof/fund/2404091602104237.html</t>
        </is>
      </c>
      <c r="K268" t="inlineStr">
        <is>
          <t>2026-09-15</t>
        </is>
      </c>
    </row>
    <row r="269">
      <c r="A269" t="inlineStr">
        <is>
          <t>SABF69</t>
        </is>
      </c>
      <c r="B269" t="inlineStr">
        <is>
          <t>展弘-朝熠稳健1号</t>
        </is>
      </c>
      <c r="C269" t="inlineStr">
        <is>
          <t>上海展弘投资</t>
        </is>
      </c>
      <c r="D269" t="inlineStr">
        <is>
          <t>上海展弘投资管理有限公司</t>
        </is>
      </c>
      <c r="E269" t="inlineStr">
        <is>
          <t>P1015638</t>
        </is>
      </c>
      <c r="F269" t="inlineStr">
        <is>
          <t>100亿元以上</t>
        </is>
      </c>
      <c r="G269" t="inlineStr">
        <is>
          <t>大规模</t>
        </is>
      </c>
      <c r="H269" t="inlineStr">
        <is>
          <t>本次公示未见相关记录</t>
        </is>
      </c>
      <c r="I269" t="inlineStr">
        <is>
          <t>https://gs.amac.org.cn/amac-infodisc/res/pof/manager/101000019470.html</t>
        </is>
      </c>
      <c r="J269" t="inlineStr">
        <is>
          <t>https://gs.amac.org.cn/amac-infodisc/res/pof/fund/2406041456102076.html</t>
        </is>
      </c>
      <c r="K269" t="inlineStr">
        <is>
          <t>2026-09-15</t>
        </is>
      </c>
    </row>
    <row r="270">
      <c r="A270" t="inlineStr">
        <is>
          <t>SAKV28</t>
        </is>
      </c>
      <c r="B270" t="inlineStr">
        <is>
          <t>英旷专享2号</t>
        </is>
      </c>
      <c r="C270" t="inlineStr">
        <is>
          <t>上海英旷资管</t>
        </is>
      </c>
      <c r="D270" t="inlineStr">
        <is>
          <t>英旷资产管理（上海）有限公司</t>
        </is>
      </c>
      <c r="E270" t="inlineStr">
        <is>
          <t>P1071507</t>
        </is>
      </c>
      <c r="F270" t="inlineStr">
        <is>
          <t>10-20亿元</t>
        </is>
      </c>
      <c r="G270" t="inlineStr">
        <is>
          <t>大规模</t>
        </is>
      </c>
      <c r="H270" t="inlineStr">
        <is>
          <t>本次公示未见相关记录</t>
        </is>
      </c>
      <c r="I270" t="inlineStr">
        <is>
          <t>https://gs.amac.org.cn/amac-infodisc/res/pof/manager/2009261701109105.html</t>
        </is>
      </c>
      <c r="J270" t="inlineStr">
        <is>
          <t>https://gs.amac.org.cn/amac-infodisc/res/pof/fund/2406111146106143.html</t>
        </is>
      </c>
      <c r="K270" t="inlineStr">
        <is>
          <t>2026-09-15</t>
        </is>
      </c>
    </row>
    <row r="271">
      <c r="A271" t="inlineStr">
        <is>
          <t>AKV28A</t>
        </is>
      </c>
      <c r="B271" t="inlineStr">
        <is>
          <t>英旷专享2号A类</t>
        </is>
      </c>
      <c r="C271" t="inlineStr">
        <is>
          <t>上海英旷资管</t>
        </is>
      </c>
      <c r="D271" t="inlineStr">
        <is>
          <t>英旷资产管理（上海）有限公司 英旷资产管理（上海）有限公司</t>
        </is>
      </c>
      <c r="E271" t="inlineStr">
        <is>
          <t>P1071507</t>
        </is>
      </c>
      <c r="F271" t="inlineStr">
        <is>
          <t>10-20亿元</t>
        </is>
      </c>
      <c r="G271" t="inlineStr">
        <is>
          <t>大规模</t>
        </is>
      </c>
      <c r="H271" t="inlineStr">
        <is>
          <t>本次公示未见相关记录</t>
        </is>
      </c>
      <c r="I271" t="inlineStr">
        <is>
          <t>https://gs.amac.org.cn/amac-infodisc/res/pof/manager/2009261701109105.html</t>
        </is>
      </c>
      <c r="K271" t="inlineStr">
        <is>
          <t>2026-09-15</t>
        </is>
      </c>
    </row>
    <row r="272">
      <c r="A272" t="inlineStr">
        <is>
          <t>SAKX22</t>
        </is>
      </c>
      <c r="B272" t="inlineStr">
        <is>
          <t>毅远稳健套利8号</t>
        </is>
      </c>
      <c r="C272" t="inlineStr">
        <is>
          <t>上海毅远</t>
        </is>
      </c>
      <c r="D272" t="inlineStr">
        <is>
          <t>上海毅远私募基金管理有限公司</t>
        </is>
      </c>
      <c r="E272" t="inlineStr">
        <is>
          <t>P1073858</t>
        </is>
      </c>
      <c r="F272" t="inlineStr">
        <is>
          <t>10-20亿元</t>
        </is>
      </c>
      <c r="G272" t="inlineStr">
        <is>
          <t>大规模</t>
        </is>
      </c>
      <c r="H272" t="inlineStr">
        <is>
          <t>本次公示未见相关记录</t>
        </is>
      </c>
      <c r="I272" t="inlineStr">
        <is>
          <t>https://gs.amac.org.cn/amac-infodisc/res/pof/manager/2112091706105909.html</t>
        </is>
      </c>
      <c r="J272" t="inlineStr">
        <is>
          <t>https://gs.amac.org.cn/amac-infodisc/res/pof/fund/2407181355107082.html</t>
        </is>
      </c>
      <c r="K272" t="inlineStr">
        <is>
          <t>2026-09-15</t>
        </is>
      </c>
    </row>
    <row r="273">
      <c r="A273" t="inlineStr">
        <is>
          <t>SAME58</t>
        </is>
      </c>
      <c r="B273" t="inlineStr">
        <is>
          <t>鑫翰启明贵金属套利1号</t>
        </is>
      </c>
      <c r="C273" t="inlineStr">
        <is>
          <t>北京鑫翰资管</t>
        </is>
      </c>
      <c r="D273" t="inlineStr">
        <is>
          <t>北京鑫翰资本管理有限公司</t>
        </is>
      </c>
      <c r="E273" t="inlineStr">
        <is>
          <t>P1070397</t>
        </is>
      </c>
      <c r="F273" t="inlineStr">
        <is>
          <t>0-5亿元</t>
        </is>
      </c>
      <c r="G273" t="inlineStr">
        <is>
          <t>小规模</t>
        </is>
      </c>
      <c r="H273" t="inlineStr">
        <is>
          <t>本次公示未见相关记录</t>
        </is>
      </c>
      <c r="I273" t="inlineStr">
        <is>
          <t>https://gs.amac.org.cn/amac-infodisc/res/pof/manager/1906200947105473.html</t>
        </is>
      </c>
      <c r="J273" t="inlineStr">
        <is>
          <t>https://gs.amac.org.cn/amac-infodisc/res/pof/fund/2407221752101616.html</t>
        </is>
      </c>
      <c r="K273" t="inlineStr">
        <is>
          <t>2026-09-15</t>
        </is>
      </c>
    </row>
    <row r="274">
      <c r="A274" t="inlineStr">
        <is>
          <t>SALV92</t>
        </is>
      </c>
      <c r="B274" t="inlineStr">
        <is>
          <t>朔方常青树1号</t>
        </is>
      </c>
      <c r="C274" t="inlineStr">
        <is>
          <t>青岛朔方投资</t>
        </is>
      </c>
      <c r="D274" t="inlineStr">
        <is>
          <t>青岛朔方投资管理有限公司</t>
        </is>
      </c>
      <c r="E274" t="inlineStr">
        <is>
          <t>P1071464</t>
        </is>
      </c>
      <c r="F274" t="inlineStr">
        <is>
          <t>0-5亿元</t>
        </is>
      </c>
      <c r="G274" t="inlineStr">
        <is>
          <t>小规模</t>
        </is>
      </c>
      <c r="H274" t="inlineStr">
        <is>
          <t>本次公示未见相关记录</t>
        </is>
      </c>
      <c r="I274" t="inlineStr">
        <is>
          <t>https://gs.amac.org.cn/amac-infodisc/res/pof/manager/1811281032106554.html</t>
        </is>
      </c>
      <c r="J274" t="inlineStr">
        <is>
          <t>https://gs.amac.org.cn/amac-infodisc/res/pof/fund/2407311648101116.html</t>
        </is>
      </c>
      <c r="K274" t="inlineStr">
        <is>
          <t>2026-09-15</t>
        </is>
      </c>
    </row>
    <row r="275">
      <c r="A275" t="inlineStr">
        <is>
          <t>QD546B</t>
        </is>
      </c>
      <c r="B275" t="inlineStr">
        <is>
          <t>九招真格量化套利一号B类</t>
        </is>
      </c>
      <c r="C275" t="inlineStr">
        <is>
          <t>武汉九招</t>
        </is>
      </c>
      <c r="D275" t="inlineStr">
        <is>
          <t>武汉九招私募基金管理有限公司 武汉九招私募基金管理有限公司</t>
        </is>
      </c>
      <c r="E275" t="inlineStr">
        <is>
          <t>P1074391</t>
        </is>
      </c>
      <c r="F275" t="inlineStr">
        <is>
          <t>5-10亿元</t>
        </is>
      </c>
      <c r="G275" t="inlineStr">
        <is>
          <t>大规模</t>
        </is>
      </c>
      <c r="H275" t="inlineStr">
        <is>
          <t>监管警示函</t>
        </is>
      </c>
      <c r="I275" t="inlineStr">
        <is>
          <t>https://gs.amac.org.cn/amac-infodisc/res/pof/manager/2301051740101642.html</t>
        </is>
      </c>
      <c r="K275" t="inlineStr">
        <is>
          <t>2026-09-15</t>
        </is>
      </c>
    </row>
    <row r="276">
      <c r="A276" t="inlineStr">
        <is>
          <t>09408B</t>
        </is>
      </c>
      <c r="B276" t="inlineStr">
        <is>
          <t>溋沣鸿运来星选1号B类</t>
        </is>
      </c>
      <c r="C276" t="inlineStr">
        <is>
          <t>深圳前海溋沣资管</t>
        </is>
      </c>
      <c r="D276" t="inlineStr">
        <is>
          <t>深圳前海溋沣资本管理有限公司 深圳前海溋沣资本管理有限公司</t>
        </is>
      </c>
      <c r="E276" t="inlineStr">
        <is>
          <t>P1060526</t>
        </is>
      </c>
      <c r="F276" t="inlineStr">
        <is>
          <t>0-5亿元</t>
        </is>
      </c>
      <c r="G276" t="inlineStr">
        <is>
          <t>小规模</t>
        </is>
      </c>
      <c r="H276" t="inlineStr">
        <is>
          <t>本次公示未见相关记录</t>
        </is>
      </c>
      <c r="I276" t="inlineStr">
        <is>
          <t>https://gs.amac.org.cn/amac-infodisc/res/pof/manager/1610131040102006.html</t>
        </is>
      </c>
      <c r="K276" t="inlineStr">
        <is>
          <t>2026-09-15</t>
        </is>
      </c>
    </row>
    <row r="277">
      <c r="A277" t="inlineStr">
        <is>
          <t>GM512B</t>
        </is>
      </c>
      <c r="B277" t="inlineStr">
        <is>
          <t>殊馥馥源套利1号B类</t>
        </is>
      </c>
      <c r="C277" t="inlineStr">
        <is>
          <t>上海殊馥投资</t>
        </is>
      </c>
      <c r="D277" t="inlineStr">
        <is>
          <t>上海殊馥投资管理有限公司 上海殊馥投资管理有限公司</t>
        </is>
      </c>
      <c r="E277" t="inlineStr">
        <is>
          <t>P1029642</t>
        </is>
      </c>
      <c r="F277" t="inlineStr">
        <is>
          <t>10-20亿元</t>
        </is>
      </c>
      <c r="G277" t="inlineStr">
        <is>
          <t>大规模</t>
        </is>
      </c>
      <c r="H277" t="inlineStr">
        <is>
          <t>协会提示／报送异常</t>
        </is>
      </c>
      <c r="I277" t="inlineStr">
        <is>
          <t>https://gs.amac.org.cn/amac-infodisc/res/pof/manager/101000042776.html</t>
        </is>
      </c>
      <c r="K277" t="inlineStr">
        <is>
          <t>2026-09-15</t>
        </is>
      </c>
    </row>
    <row r="278">
      <c r="A278" t="inlineStr">
        <is>
          <t>SAER53</t>
        </is>
      </c>
      <c r="B278" t="inlineStr">
        <is>
          <t>韵之盛沅</t>
        </is>
      </c>
      <c r="C278" t="inlineStr">
        <is>
          <t>北京韵之</t>
        </is>
      </c>
      <c r="D278" t="inlineStr">
        <is>
          <t>北京韵之私募基金管理有限公司</t>
        </is>
      </c>
      <c r="E278" t="inlineStr">
        <is>
          <t>P1061332</t>
        </is>
      </c>
      <c r="F278" t="inlineStr">
        <is>
          <t>5-10亿元</t>
        </is>
      </c>
      <c r="G278" t="inlineStr">
        <is>
          <t>大规模</t>
        </is>
      </c>
      <c r="H278" t="inlineStr">
        <is>
          <t>本次公示未见相关记录</t>
        </is>
      </c>
      <c r="I278" t="inlineStr">
        <is>
          <t>https://gs.amac.org.cn/amac-infodisc/res/pof/manager/1609291216100602.html</t>
        </is>
      </c>
      <c r="J278" t="inlineStr">
        <is>
          <t>https://gs.amac.org.cn/amac-infodisc/res/pof/fund/2501021745130893.html</t>
        </is>
      </c>
      <c r="K278" t="inlineStr">
        <is>
          <t>2026-09-15</t>
        </is>
      </c>
    </row>
    <row r="279">
      <c r="A279" t="inlineStr">
        <is>
          <t>SATL73</t>
        </is>
      </c>
      <c r="B279" t="inlineStr">
        <is>
          <t>智领泽临套利三号</t>
        </is>
      </c>
      <c r="C279" t="inlineStr">
        <is>
          <t>福州智领三联</t>
        </is>
      </c>
      <c r="D279" t="inlineStr">
        <is>
          <t>福州高新区智领三联私募基金管理有限公司</t>
        </is>
      </c>
      <c r="E279" t="inlineStr">
        <is>
          <t>P1033867</t>
        </is>
      </c>
      <c r="F279" t="inlineStr">
        <is>
          <t>20-50亿元</t>
        </is>
      </c>
      <c r="G279" t="inlineStr">
        <is>
          <t>大规模</t>
        </is>
      </c>
      <c r="H279" t="inlineStr">
        <is>
          <t>协会提示／报送异常</t>
        </is>
      </c>
      <c r="I279" t="inlineStr">
        <is>
          <t>https://gs.amac.org.cn/amac-infodisc/res/pof/manager/101000074295.html</t>
        </is>
      </c>
      <c r="J279" t="inlineStr">
        <is>
          <t>https://gs.amac.org.cn/amac-infodisc/res/pof/fund/2501231608106383.html</t>
        </is>
      </c>
      <c r="K279" t="inlineStr">
        <is>
          <t>2026-09-15</t>
        </is>
      </c>
    </row>
    <row r="280">
      <c r="A280" t="inlineStr">
        <is>
          <t>XW818A</t>
        </is>
      </c>
      <c r="B280" t="inlineStr">
        <is>
          <t>岳鑫遥3号A类</t>
        </is>
      </c>
      <c r="C280" t="inlineStr">
        <is>
          <t>北京岳鑫遥</t>
        </is>
      </c>
      <c r="D280" t="inlineStr">
        <is>
          <t>岳鑫遥（北京）私募基金管理有限公司 岳鑫遥（北京）私募基金管理有限公司</t>
        </is>
      </c>
      <c r="E280" t="inlineStr">
        <is>
          <t>P1073901</t>
        </is>
      </c>
      <c r="F280" t="inlineStr">
        <is>
          <t>5-10亿元</t>
        </is>
      </c>
      <c r="G280" t="inlineStr">
        <is>
          <t>大规模</t>
        </is>
      </c>
      <c r="H280" t="inlineStr">
        <is>
          <t>协会提示／报送异常</t>
        </is>
      </c>
      <c r="I280" t="inlineStr">
        <is>
          <t>https://gs.amac.org.cn/amac-infodisc/res/pof/manager/2207041830121644.html</t>
        </is>
      </c>
      <c r="K280" t="inlineStr">
        <is>
          <t>2026-09-15</t>
        </is>
      </c>
    </row>
    <row r="281">
      <c r="A281" t="inlineStr">
        <is>
          <t>QG026B</t>
        </is>
      </c>
      <c r="B281" t="inlineStr">
        <is>
          <t>惠隆金选套利1号B类</t>
        </is>
      </c>
      <c r="C281" t="inlineStr">
        <is>
          <t>北京惠隆资管</t>
        </is>
      </c>
      <c r="D281" t="inlineStr">
        <is>
          <t>北京惠隆资本管理有限责任公司 北京惠隆资本管理有限责任公司</t>
        </is>
      </c>
      <c r="E281" t="inlineStr">
        <is>
          <t>P1062865</t>
        </is>
      </c>
      <c r="F281" t="inlineStr">
        <is>
          <t>10-20亿元</t>
        </is>
      </c>
      <c r="G281" t="inlineStr">
        <is>
          <t>大规模</t>
        </is>
      </c>
      <c r="H281" t="inlineStr">
        <is>
          <t>协会提示／报送异常</t>
        </is>
      </c>
      <c r="I281" t="inlineStr">
        <is>
          <t>https://gs.amac.org.cn/amac-infodisc/res/pof/manager/1705031716108118.html</t>
        </is>
      </c>
      <c r="K281" t="inlineStr">
        <is>
          <t>2026-09-15</t>
        </is>
      </c>
    </row>
    <row r="282">
      <c r="A282" t="inlineStr">
        <is>
          <t>TW239A</t>
        </is>
      </c>
      <c r="B282" t="inlineStr">
        <is>
          <t>庄贤亨贞期权对冲A类</t>
        </is>
      </c>
      <c r="C282" t="inlineStr">
        <is>
          <t>杭州庄贤投资</t>
        </is>
      </c>
      <c r="D282" t="inlineStr">
        <is>
          <t>杭州庄贤投资管理合伙企业（有限合伙） 杭州庄贤投资管理合伙企业（有限合伙）</t>
        </is>
      </c>
      <c r="E282" t="inlineStr">
        <is>
          <t>P1063460</t>
        </is>
      </c>
      <c r="F282" t="inlineStr">
        <is>
          <t>20-50亿元</t>
        </is>
      </c>
      <c r="G282" t="inlineStr">
        <is>
          <t>大规模</t>
        </is>
      </c>
      <c r="H282" t="inlineStr">
        <is>
          <t>本次公示未见相关记录</t>
        </is>
      </c>
      <c r="I282" t="inlineStr">
        <is>
          <t>https://gs.amac.org.cn/amac-infodisc/res/pof/manager/1703280912100590.html</t>
        </is>
      </c>
      <c r="K282" t="inlineStr">
        <is>
          <t>2026-09-15</t>
        </is>
      </c>
    </row>
    <row r="283">
      <c r="A283" t="inlineStr">
        <is>
          <t>AME58B</t>
        </is>
      </c>
      <c r="B283" t="inlineStr">
        <is>
          <t>鑫翰启明贵金属套利1号B类</t>
        </is>
      </c>
      <c r="C283" t="inlineStr">
        <is>
          <t>北京鑫翰资管</t>
        </is>
      </c>
      <c r="D283" t="inlineStr">
        <is>
          <t>北京鑫翰资本管理有限公司 北京鑫翰资本管理有限公司</t>
        </is>
      </c>
      <c r="E283" t="inlineStr">
        <is>
          <t>P1070397</t>
        </is>
      </c>
      <c r="F283" t="inlineStr">
        <is>
          <t>0-5亿元</t>
        </is>
      </c>
      <c r="G283" t="inlineStr">
        <is>
          <t>小规模</t>
        </is>
      </c>
      <c r="H283" t="inlineStr">
        <is>
          <t>本次公示未见相关记录</t>
        </is>
      </c>
      <c r="I283" t="inlineStr">
        <is>
          <t>https://gs.amac.org.cn/amac-infodisc/res/pof/manager/1906200947105473.html</t>
        </is>
      </c>
      <c r="K283" t="inlineStr">
        <is>
          <t>2026-09-15</t>
        </is>
      </c>
    </row>
    <row r="284">
      <c r="A284" t="inlineStr">
        <is>
          <t>EU753A</t>
        </is>
      </c>
      <c r="B284" t="inlineStr">
        <is>
          <t>灵涛卧龙A类</t>
        </is>
      </c>
      <c r="C284" t="inlineStr">
        <is>
          <t>灵涛基金</t>
        </is>
      </c>
      <c r="D284" t="inlineStr">
        <is>
          <t>灵涛私募基金管理（上海）有限公司 灵涛私募基金管理（上海）有限公司</t>
        </is>
      </c>
      <c r="E284" t="inlineStr">
        <is>
          <t>P1024039</t>
        </is>
      </c>
      <c r="F284" t="inlineStr">
        <is>
          <t>5-10亿元</t>
        </is>
      </c>
      <c r="G284" t="inlineStr">
        <is>
          <t>大规模</t>
        </is>
      </c>
      <c r="H284" t="inlineStr">
        <is>
          <t>协会提示／报送异常</t>
        </is>
      </c>
      <c r="I284" t="inlineStr">
        <is>
          <t>https://gs.amac.org.cn/amac-infodisc/res/pof/manager/101000034805.html</t>
        </is>
      </c>
      <c r="K284" t="inlineStr">
        <is>
          <t>2026-09-15</t>
        </is>
      </c>
    </row>
    <row r="285">
      <c r="A285" t="inlineStr">
        <is>
          <t>ZV527A</t>
        </is>
      </c>
      <c r="B285" t="inlineStr">
        <is>
          <t>泰创稳增1号A类</t>
        </is>
      </c>
      <c r="C285" t="inlineStr">
        <is>
          <t>北京泰创投资</t>
        </is>
      </c>
      <c r="D285" t="inlineStr">
        <is>
          <t>北京泰创投资管理有限公司 北京泰创投资管理有限公司</t>
        </is>
      </c>
      <c r="E285" t="inlineStr">
        <is>
          <t>P1006143</t>
        </is>
      </c>
      <c r="F285" t="inlineStr">
        <is>
          <t>5-10亿元</t>
        </is>
      </c>
      <c r="G285" t="inlineStr">
        <is>
          <t>大规模</t>
        </is>
      </c>
      <c r="H285" t="inlineStr">
        <is>
          <t>本次公示未见相关记录</t>
        </is>
      </c>
      <c r="I285" t="inlineStr">
        <is>
          <t>https://gs.amac.org.cn/amac-infodisc/res/pof/manager/101000008864.html</t>
        </is>
      </c>
      <c r="K285" t="inlineStr">
        <is>
          <t>2026-09-15</t>
        </is>
      </c>
    </row>
    <row r="286">
      <c r="A286" t="inlineStr">
        <is>
          <t>SAVF65</t>
        </is>
      </c>
      <c r="B286" t="inlineStr">
        <is>
          <t>星汇天权1号</t>
        </is>
      </c>
      <c r="C286" t="inlineStr">
        <is>
          <t>上海思达星汇</t>
        </is>
      </c>
      <c r="D286" t="inlineStr">
        <is>
          <t>上海思达星汇私募基金管理有限公司</t>
        </is>
      </c>
      <c r="E286" t="inlineStr">
        <is>
          <t>P1073396</t>
        </is>
      </c>
      <c r="F286" t="inlineStr">
        <is>
          <t>20-50亿元</t>
        </is>
      </c>
      <c r="G286" t="inlineStr">
        <is>
          <t>大规模</t>
        </is>
      </c>
      <c r="H286" t="inlineStr">
        <is>
          <t>本次公示未见相关记录</t>
        </is>
      </c>
      <c r="I286" t="inlineStr">
        <is>
          <t>https://gs.amac.org.cn/amac-infodisc/res/pof/manager/2111041536100174.html</t>
        </is>
      </c>
      <c r="J286" t="inlineStr">
        <is>
          <t>https://gs.amac.org.cn/amac-infodisc/res/pof/fund/2503191736101571.html</t>
        </is>
      </c>
      <c r="K286" t="inlineStr">
        <is>
          <t>2026-09-15</t>
        </is>
      </c>
    </row>
    <row r="287">
      <c r="A287" t="inlineStr">
        <is>
          <t>SAWX37</t>
        </is>
      </c>
      <c r="B287" t="inlineStr">
        <is>
          <t>盛冠达泽众9号</t>
        </is>
      </c>
      <c r="C287" t="inlineStr">
        <is>
          <t>海南盛冠达</t>
        </is>
      </c>
      <c r="D287" t="inlineStr">
        <is>
          <t>海南盛冠达私募基金管理有限公司</t>
        </is>
      </c>
      <c r="E287" t="inlineStr">
        <is>
          <t>P1001070</t>
        </is>
      </c>
      <c r="F287" t="inlineStr">
        <is>
          <t>20-50亿元</t>
        </is>
      </c>
      <c r="G287" t="inlineStr">
        <is>
          <t>大规模</t>
        </is>
      </c>
      <c r="H287" t="inlineStr">
        <is>
          <t>本次公示未见相关记录</t>
        </is>
      </c>
      <c r="I287" t="inlineStr">
        <is>
          <t>https://gs.amac.org.cn/amac-infodisc/res/pof/manager/101000001663.html</t>
        </is>
      </c>
      <c r="J287" t="inlineStr">
        <is>
          <t>https://gs.amac.org.cn/amac-infodisc/res/pof/fund/2504171743100735.html</t>
        </is>
      </c>
      <c r="K287" t="inlineStr">
        <is>
          <t>2026-09-15</t>
        </is>
      </c>
    </row>
    <row r="288">
      <c r="A288" t="inlineStr">
        <is>
          <t>SAWM56</t>
        </is>
      </c>
      <c r="B288" t="inlineStr">
        <is>
          <t>金藏元金权一号</t>
        </is>
      </c>
      <c r="C288" t="inlineStr">
        <is>
          <t>浙江金藏元投资</t>
        </is>
      </c>
      <c r="D288" t="inlineStr">
        <is>
          <t>浙江金藏元投资管理有限公司</t>
        </is>
      </c>
      <c r="E288" t="inlineStr">
        <is>
          <t>P1033570</t>
        </is>
      </c>
      <c r="F288" t="inlineStr">
        <is>
          <t>0-5亿元</t>
        </is>
      </c>
      <c r="G288" t="inlineStr">
        <is>
          <t>小规模</t>
        </is>
      </c>
      <c r="H288" t="inlineStr">
        <is>
          <t>本次公示未见相关记录</t>
        </is>
      </c>
      <c r="I288" t="inlineStr">
        <is>
          <t>https://gs.amac.org.cn/amac-infodisc/res/pof/manager/101000046762.html</t>
        </is>
      </c>
      <c r="J288" t="inlineStr">
        <is>
          <t>https://gs.amac.org.cn/amac-infodisc/res/pof/fund/2504281741101651.html</t>
        </is>
      </c>
      <c r="K288" t="inlineStr">
        <is>
          <t>2026-09-15</t>
        </is>
      </c>
    </row>
    <row r="289">
      <c r="A289" t="inlineStr">
        <is>
          <t>AGT43B</t>
        </is>
      </c>
      <c r="B289" t="inlineStr">
        <is>
          <t>巨量边界ETF对冲1号B类</t>
        </is>
      </c>
      <c r="C289" t="inlineStr">
        <is>
          <t>北京巨量边界</t>
        </is>
      </c>
      <c r="D289" t="inlineStr">
        <is>
          <t>北京巨量边界私募基金管理有限公司 北京巨量边界私募基金管理有限公司</t>
        </is>
      </c>
      <c r="E289" t="inlineStr">
        <is>
          <t>P1072384</t>
        </is>
      </c>
      <c r="F289" t="inlineStr">
        <is>
          <t>20-50亿元</t>
        </is>
      </c>
      <c r="G289" t="inlineStr">
        <is>
          <t>大规模</t>
        </is>
      </c>
      <c r="H289" t="inlineStr">
        <is>
          <t>协会提示／报送异常</t>
        </is>
      </c>
      <c r="I289" t="inlineStr">
        <is>
          <t>https://gs.amac.org.cn/amac-infodisc/res/pof/manager/2107271706122405.html</t>
        </is>
      </c>
      <c r="K289" t="inlineStr">
        <is>
          <t>2026-09-15</t>
        </is>
      </c>
    </row>
    <row r="290">
      <c r="A290" t="inlineStr">
        <is>
          <t>SAXY28</t>
        </is>
      </c>
      <c r="B290" t="inlineStr">
        <is>
          <t>博时资本荣享增利1号</t>
        </is>
      </c>
      <c r="C290" t="inlineStr">
        <is>
          <t>博时资本</t>
        </is>
      </c>
      <c r="D290" t="inlineStr">
        <is>
          <t>珠海和谐博时资本管理有限公司 珠海和谐博时资本管理有限公司</t>
        </is>
      </c>
      <c r="E290" t="inlineStr">
        <is>
          <t>P1021705</t>
        </is>
      </c>
      <c r="F290" t="inlineStr">
        <is>
          <t>0-5亿元</t>
        </is>
      </c>
      <c r="G290" t="inlineStr">
        <is>
          <t>小规模</t>
        </is>
      </c>
      <c r="H290" t="inlineStr">
        <is>
          <t>协会提示／报送异常</t>
        </is>
      </c>
      <c r="I290" t="inlineStr">
        <is>
          <t>https://gs.amac.org.cn/amac-infodisc/res/pof/manager/101000031397.html</t>
        </is>
      </c>
      <c r="K290" t="inlineStr">
        <is>
          <t>2026-09-15</t>
        </is>
      </c>
    </row>
    <row r="291">
      <c r="A291" t="inlineStr">
        <is>
          <t>B2690A</t>
        </is>
      </c>
      <c r="B291" t="inlineStr">
        <is>
          <t>展弘优选套利运作1号A类</t>
        </is>
      </c>
      <c r="C291" t="inlineStr">
        <is>
          <t>上海展弘投资</t>
        </is>
      </c>
      <c r="D291" t="inlineStr">
        <is>
          <t>上海展弘投资管理有限公司 上海展弘投资管理有限公司</t>
        </is>
      </c>
      <c r="E291" t="inlineStr">
        <is>
          <t>P1015638</t>
        </is>
      </c>
      <c r="F291" t="inlineStr">
        <is>
          <t>100亿元以上</t>
        </is>
      </c>
      <c r="G291" t="inlineStr">
        <is>
          <t>大规模</t>
        </is>
      </c>
      <c r="H291" t="inlineStr">
        <is>
          <t>本次公示未见相关记录</t>
        </is>
      </c>
      <c r="I291" t="inlineStr">
        <is>
          <t>https://gs.amac.org.cn/amac-infodisc/res/pof/manager/101000019470.html</t>
        </is>
      </c>
      <c r="K291" t="inlineStr">
        <is>
          <t>2026-09-15</t>
        </is>
      </c>
    </row>
    <row r="292">
      <c r="A292" t="inlineStr">
        <is>
          <t>SAYU23</t>
        </is>
      </c>
      <c r="B292" t="inlineStr">
        <is>
          <t>智领泽临套利六号</t>
        </is>
      </c>
      <c r="C292" t="inlineStr">
        <is>
          <t>福州智领三联</t>
        </is>
      </c>
      <c r="D292" t="inlineStr">
        <is>
          <t>福州高新区智领三联私募基金管理有限公司</t>
        </is>
      </c>
      <c r="E292" t="inlineStr">
        <is>
          <t>P1033867</t>
        </is>
      </c>
      <c r="F292" t="inlineStr">
        <is>
          <t>20-50亿元</t>
        </is>
      </c>
      <c r="G292" t="inlineStr">
        <is>
          <t>大规模</t>
        </is>
      </c>
      <c r="H292" t="inlineStr">
        <is>
          <t>协会提示／报送异常</t>
        </is>
      </c>
      <c r="I292" t="inlineStr">
        <is>
          <t>https://gs.amac.org.cn/amac-infodisc/res/pof/manager/101000074295.html</t>
        </is>
      </c>
      <c r="J292" t="inlineStr">
        <is>
          <t>https://gs.amac.org.cn/amac-infodisc/res/pof/fund/2505301433104256.html</t>
        </is>
      </c>
      <c r="K292" t="inlineStr">
        <is>
          <t>2026-09-15</t>
        </is>
      </c>
    </row>
    <row r="293">
      <c r="A293" t="inlineStr">
        <is>
          <t>SBAF26</t>
        </is>
      </c>
      <c r="B293" t="inlineStr">
        <is>
          <t>中益仁梅香千寒</t>
        </is>
      </c>
      <c r="C293" t="inlineStr">
        <is>
          <t>日照中益仁</t>
        </is>
      </c>
      <c r="D293" t="inlineStr">
        <is>
          <t>日照中益仁私募基金管理有限公司</t>
        </is>
      </c>
      <c r="E293" t="inlineStr">
        <is>
          <t>P1069942</t>
        </is>
      </c>
      <c r="F293" t="inlineStr">
        <is>
          <t>10-20亿元</t>
        </is>
      </c>
      <c r="G293" t="inlineStr">
        <is>
          <t>大规模</t>
        </is>
      </c>
      <c r="H293" t="inlineStr">
        <is>
          <t>本次公示未见相关记录</t>
        </is>
      </c>
      <c r="I293" t="inlineStr">
        <is>
          <t>https://gs.amac.org.cn/amac-infodisc/res/pof/manager/1708291806108811.html</t>
        </is>
      </c>
      <c r="J293" t="inlineStr">
        <is>
          <t>https://gs.amac.org.cn/amac-infodisc/res/pof/fund/2506231616104006.html</t>
        </is>
      </c>
      <c r="K293" t="inlineStr">
        <is>
          <t>2026-09-15</t>
        </is>
      </c>
    </row>
    <row r="294">
      <c r="A294" t="inlineStr">
        <is>
          <t>SAZC08</t>
        </is>
      </c>
      <c r="B294" t="inlineStr">
        <is>
          <t>鑫泰禾安赢3号</t>
        </is>
      </c>
      <c r="C294" t="inlineStr">
        <is>
          <t>深圳鑫泰禾</t>
        </is>
      </c>
      <c r="D294" t="inlineStr">
        <is>
          <t>深圳鑫泰禾私募证券投资基金管理有限公司</t>
        </is>
      </c>
      <c r="E294" t="inlineStr">
        <is>
          <t>P1028974</t>
        </is>
      </c>
      <c r="F294" t="inlineStr">
        <is>
          <t>0-5亿元</t>
        </is>
      </c>
      <c r="G294" t="inlineStr">
        <is>
          <t>小规模</t>
        </is>
      </c>
      <c r="H294" t="inlineStr">
        <is>
          <t>协会提示／报送异常</t>
        </is>
      </c>
      <c r="I294" t="inlineStr">
        <is>
          <t>https://gs.amac.org.cn/amac-infodisc/res/pof/manager/101000041857.html</t>
        </is>
      </c>
      <c r="J294" t="inlineStr">
        <is>
          <t>https://gs.amac.org.cn/amac-infodisc/res/pof/fund/2506261732108978.html</t>
        </is>
      </c>
      <c r="K294" t="inlineStr">
        <is>
          <t>2026-09-15</t>
        </is>
      </c>
    </row>
    <row r="295">
      <c r="A295" t="inlineStr">
        <is>
          <t>SBAA24</t>
        </is>
      </c>
      <c r="B295" t="inlineStr">
        <is>
          <t>炽浪马拉松17号</t>
        </is>
      </c>
      <c r="C295" t="inlineStr">
        <is>
          <t>海南炽浪</t>
        </is>
      </c>
      <c r="D295" t="inlineStr">
        <is>
          <t>炽浪私募基金（海南）合伙企业（有限合伙）</t>
        </is>
      </c>
      <c r="E295" t="inlineStr">
        <is>
          <t>P1071162</t>
        </is>
      </c>
      <c r="F295" t="inlineStr">
        <is>
          <t>0-5亿元</t>
        </is>
      </c>
      <c r="G295" t="inlineStr">
        <is>
          <t>小规模</t>
        </is>
      </c>
      <c r="H295" t="inlineStr">
        <is>
          <t>协会提示／报送异常</t>
        </is>
      </c>
      <c r="I295" t="inlineStr">
        <is>
          <t>https://gs.amac.org.cn/amac-infodisc/res/pof/manager/2005090837103499.html</t>
        </is>
      </c>
      <c r="J295" t="inlineStr">
        <is>
          <t>https://gs.amac.org.cn/amac-infodisc/res/pof/fund/2506261612100007.html</t>
        </is>
      </c>
      <c r="K295" t="inlineStr">
        <is>
          <t>2026-09-15</t>
        </is>
      </c>
    </row>
    <row r="296">
      <c r="A296" t="inlineStr">
        <is>
          <t>ASB96A</t>
        </is>
      </c>
      <c r="B296" t="inlineStr">
        <is>
          <t>六妙星滚雪粒1号A类</t>
        </is>
      </c>
      <c r="C296" t="inlineStr">
        <is>
          <t>北京六妙星</t>
        </is>
      </c>
      <c r="D296" t="inlineStr">
        <is>
          <t>六妙星（北京）私募基金管理有限公司 六妙星（北京）私募基金管理有限公司</t>
        </is>
      </c>
      <c r="E296" t="inlineStr">
        <is>
          <t>P1073972</t>
        </is>
      </c>
      <c r="F296" t="inlineStr">
        <is>
          <t>20-50亿元</t>
        </is>
      </c>
      <c r="G296" t="inlineStr">
        <is>
          <t>大规模</t>
        </is>
      </c>
      <c r="H296" t="inlineStr">
        <is>
          <t>本次公示未见相关记录</t>
        </is>
      </c>
      <c r="I296" t="inlineStr">
        <is>
          <t>https://gs.amac.org.cn/amac-infodisc/res/pof/manager/2012211324102340.html</t>
        </is>
      </c>
      <c r="K296" t="inlineStr">
        <is>
          <t>2026-09-15</t>
        </is>
      </c>
    </row>
    <row r="297">
      <c r="A297" t="inlineStr">
        <is>
          <t>SBBL04</t>
        </is>
      </c>
      <c r="B297" t="inlineStr">
        <is>
          <t>瑞桐悠光一号</t>
        </is>
      </c>
      <c r="C297" t="inlineStr">
        <is>
          <t>杭州瑞桐</t>
        </is>
      </c>
      <c r="D297" t="inlineStr">
        <is>
          <t>瑞桐（杭州）私募基金管理有限公司</t>
        </is>
      </c>
      <c r="E297" t="inlineStr">
        <is>
          <t>P1069407</t>
        </is>
      </c>
      <c r="F297" t="inlineStr">
        <is>
          <t>0-5亿元</t>
        </is>
      </c>
      <c r="G297" t="inlineStr">
        <is>
          <t>小规模</t>
        </is>
      </c>
      <c r="H297" t="inlineStr">
        <is>
          <t>本次公示未见相关记录</t>
        </is>
      </c>
      <c r="I297" t="inlineStr">
        <is>
          <t>https://gs.amac.org.cn/amac-infodisc/res/pof/manager/1807030904107580.html</t>
        </is>
      </c>
      <c r="J297" t="inlineStr">
        <is>
          <t>https://gs.amac.org.cn/amac-infodisc/res/pof/fund/2507221114106658.html</t>
        </is>
      </c>
      <c r="K297" t="inlineStr">
        <is>
          <t>2026-09-15</t>
        </is>
      </c>
    </row>
    <row r="298">
      <c r="A298" t="inlineStr">
        <is>
          <t>SBBE42</t>
        </is>
      </c>
      <c r="B298" t="inlineStr">
        <is>
          <t>骏远高价值成长6号</t>
        </is>
      </c>
      <c r="C298" t="inlineStr">
        <is>
          <t>北京骏远资管</t>
        </is>
      </c>
      <c r="D298" t="inlineStr">
        <is>
          <t>北京骏远资产管理有限公司</t>
        </is>
      </c>
      <c r="E298" t="inlineStr">
        <is>
          <t>P1025397</t>
        </is>
      </c>
      <c r="F298" t="inlineStr">
        <is>
          <t>5-10亿元</t>
        </is>
      </c>
      <c r="G298" t="inlineStr">
        <is>
          <t>大规模</t>
        </is>
      </c>
      <c r="H298" t="inlineStr">
        <is>
          <t>本次公示未见相关记录</t>
        </is>
      </c>
      <c r="I298" t="inlineStr">
        <is>
          <t>https://gs.amac.org.cn/amac-infodisc/res/pof/manager/101000036043.html</t>
        </is>
      </c>
      <c r="J298" t="inlineStr">
        <is>
          <t>https://gs.amac.org.cn/amac-infodisc/res/pof/fund/2507301304102059.html</t>
        </is>
      </c>
      <c r="K298" t="inlineStr">
        <is>
          <t>2026-09-15</t>
        </is>
      </c>
    </row>
    <row r="299">
      <c r="A299" t="inlineStr">
        <is>
          <t>AWX37A</t>
        </is>
      </c>
      <c r="B299" t="inlineStr">
        <is>
          <t>盛冠达泽众9号A类</t>
        </is>
      </c>
      <c r="C299" t="inlineStr">
        <is>
          <t>海南盛冠达</t>
        </is>
      </c>
      <c r="D299" t="inlineStr">
        <is>
          <t>海南盛冠达私募基金管理有限公司 海南盛冠达私募基金管理有限公司</t>
        </is>
      </c>
      <c r="E299" t="inlineStr">
        <is>
          <t>P1001070</t>
        </is>
      </c>
      <c r="F299" t="inlineStr">
        <is>
          <t>20-50亿元</t>
        </is>
      </c>
      <c r="G299" t="inlineStr">
        <is>
          <t>大规模</t>
        </is>
      </c>
      <c r="H299" t="inlineStr">
        <is>
          <t>本次公示未见相关记录</t>
        </is>
      </c>
      <c r="I299" t="inlineStr">
        <is>
          <t>https://gs.amac.org.cn/amac-infodisc/res/pof/manager/101000001663.html</t>
        </is>
      </c>
      <c r="K299" t="inlineStr">
        <is>
          <t>2026-09-15</t>
        </is>
      </c>
    </row>
    <row r="300">
      <c r="A300" t="inlineStr">
        <is>
          <t>XU720A</t>
        </is>
      </c>
      <c r="B300" t="inlineStr">
        <is>
          <t>鸿熵天然1号A类</t>
        </is>
      </c>
      <c r="C300" t="inlineStr">
        <is>
          <t>北京鸿熵</t>
        </is>
      </c>
      <c r="D300" t="inlineStr">
        <is>
          <t>北京鸿熵私募基金管理有限公司 北京鸿熵私募基金管理有限公司</t>
        </is>
      </c>
      <c r="E300" t="inlineStr">
        <is>
          <t>P1008413</t>
        </is>
      </c>
      <c r="F300" t="inlineStr">
        <is>
          <t>0-5亿元</t>
        </is>
      </c>
      <c r="G300" t="inlineStr">
        <is>
          <t>小规模</t>
        </is>
      </c>
      <c r="H300" t="inlineStr">
        <is>
          <t>本次公示未见相关记录</t>
        </is>
      </c>
      <c r="I300" t="inlineStr">
        <is>
          <t>https://gs.amac.org.cn/amac-infodisc/res/pof/manager/101000011345.html</t>
        </is>
      </c>
      <c r="K300" t="inlineStr">
        <is>
          <t>2026-09-15</t>
        </is>
      </c>
    </row>
    <row r="301">
      <c r="A301" t="inlineStr">
        <is>
          <t>XV513A</t>
        </is>
      </c>
      <c r="B301" t="inlineStr">
        <is>
          <t>锐耐复利倍增2号A类</t>
        </is>
      </c>
      <c r="C301" t="inlineStr">
        <is>
          <t>上海锐耐</t>
        </is>
      </c>
      <c r="D301" t="inlineStr">
        <is>
          <t>上海锐耐私募基金管理有限公司 上海锐耐私募基金管理有限公司</t>
        </is>
      </c>
      <c r="E301" t="inlineStr">
        <is>
          <t>P1071795</t>
        </is>
      </c>
      <c r="F301" t="inlineStr">
        <is>
          <t>20-50亿元</t>
        </is>
      </c>
      <c r="G301" t="inlineStr">
        <is>
          <t>大规模</t>
        </is>
      </c>
      <c r="H301" t="inlineStr">
        <is>
          <t>本次公示未见相关记录</t>
        </is>
      </c>
      <c r="I301" t="inlineStr">
        <is>
          <t>https://gs.amac.org.cn/amac-infodisc/res/pof/manager/2011201413105709.html</t>
        </is>
      </c>
      <c r="K301" t="inlineStr">
        <is>
          <t>2026-09-15</t>
        </is>
      </c>
    </row>
    <row r="302">
      <c r="A302" t="inlineStr">
        <is>
          <t>ZF089D</t>
        </is>
      </c>
      <c r="B302" t="inlineStr">
        <is>
          <t>瑞倍稳聚1号D类</t>
        </is>
      </c>
      <c r="C302" t="inlineStr">
        <is>
          <t>宁波瑞倍</t>
        </is>
      </c>
      <c r="D302" t="inlineStr">
        <is>
          <t>宁波瑞倍私募基金管理有限公司 宁波瑞倍私募基金管理有限公司</t>
        </is>
      </c>
      <c r="E302" t="inlineStr">
        <is>
          <t>P1010568</t>
        </is>
      </c>
      <c r="F302" t="inlineStr">
        <is>
          <t>10-20亿元</t>
        </is>
      </c>
      <c r="G302" t="inlineStr">
        <is>
          <t>大规模</t>
        </is>
      </c>
      <c r="H302" t="inlineStr">
        <is>
          <t>本次公示未见相关记录</t>
        </is>
      </c>
      <c r="I302" t="inlineStr">
        <is>
          <t>https://gs.amac.org.cn/amac-infodisc/res/pof/manager/101000014169.html</t>
        </is>
      </c>
      <c r="K302" t="inlineStr">
        <is>
          <t>2026-09-15</t>
        </is>
      </c>
    </row>
    <row r="303">
      <c r="A303" t="inlineStr">
        <is>
          <t>ALV92A</t>
        </is>
      </c>
      <c r="B303" t="inlineStr">
        <is>
          <t>朔方常青树1号A类</t>
        </is>
      </c>
      <c r="C303" t="inlineStr">
        <is>
          <t>青岛朔方投资</t>
        </is>
      </c>
      <c r="D303" t="inlineStr">
        <is>
          <t>青岛朔方投资管理有限公司 青岛朔方投资管理有限公司</t>
        </is>
      </c>
      <c r="E303" t="inlineStr">
        <is>
          <t>P1071464</t>
        </is>
      </c>
      <c r="F303" t="inlineStr">
        <is>
          <t>0-5亿元</t>
        </is>
      </c>
      <c r="G303" t="inlineStr">
        <is>
          <t>小规模</t>
        </is>
      </c>
      <c r="H303" t="inlineStr">
        <is>
          <t>本次公示未见相关记录</t>
        </is>
      </c>
      <c r="I303" t="inlineStr">
        <is>
          <t>https://gs.amac.org.cn/amac-infodisc/res/pof/manager/1811281032106554.html</t>
        </is>
      </c>
      <c r="K303" t="inlineStr">
        <is>
          <t>2026-09-15</t>
        </is>
      </c>
    </row>
    <row r="304">
      <c r="A304" t="inlineStr">
        <is>
          <t>AVF65C</t>
        </is>
      </c>
      <c r="B304" t="inlineStr">
        <is>
          <t>星汇天权1号C类</t>
        </is>
      </c>
      <c r="C304" t="inlineStr">
        <is>
          <t>上海思达星汇</t>
        </is>
      </c>
      <c r="D304" t="inlineStr">
        <is>
          <t>上海思达星汇私募基金管理有限公司 上海思达星汇私募基金管理有限公司</t>
        </is>
      </c>
      <c r="E304" t="inlineStr">
        <is>
          <t>P1073396</t>
        </is>
      </c>
      <c r="F304" t="inlineStr">
        <is>
          <t>20-50亿元</t>
        </is>
      </c>
      <c r="G304" t="inlineStr">
        <is>
          <t>大规模</t>
        </is>
      </c>
      <c r="H304" t="inlineStr">
        <is>
          <t>本次公示未见相关记录</t>
        </is>
      </c>
      <c r="I304" t="inlineStr">
        <is>
          <t>https://gs.amac.org.cn/amac-infodisc/res/pof/manager/2111041536100174.html</t>
        </is>
      </c>
      <c r="K304" t="inlineStr">
        <is>
          <t>2026-09-15</t>
        </is>
      </c>
    </row>
    <row r="305">
      <c r="A305" t="inlineStr">
        <is>
          <t>XW399B</t>
        </is>
      </c>
      <c r="B305" t="inlineStr">
        <is>
          <t>乘舟紫荆1号B类</t>
        </is>
      </c>
      <c r="C305" t="inlineStr">
        <is>
          <t>上海乘舟投资</t>
        </is>
      </c>
      <c r="D305" t="inlineStr">
        <is>
          <t>上海乘舟投资管理有限公司 上海乘舟投资管理有限公司</t>
        </is>
      </c>
      <c r="E305" t="inlineStr">
        <is>
          <t>P1070907</t>
        </is>
      </c>
      <c r="F305" t="inlineStr">
        <is>
          <t>5-10亿元</t>
        </is>
      </c>
      <c r="G305" t="inlineStr">
        <is>
          <t>大规模</t>
        </is>
      </c>
      <c r="H305" t="inlineStr">
        <is>
          <t>本次公示未见相关记录</t>
        </is>
      </c>
      <c r="I305" t="inlineStr">
        <is>
          <t>https://gs.amac.org.cn/amac-infodisc/res/pof/manager/2003191500102072.html</t>
        </is>
      </c>
      <c r="K305" t="inlineStr">
        <is>
          <t>2026-09-15</t>
        </is>
      </c>
    </row>
    <row r="306">
      <c r="A306" t="inlineStr">
        <is>
          <t>AWM56B</t>
        </is>
      </c>
      <c r="B306" t="inlineStr">
        <is>
          <t>金藏元金权一号B类</t>
        </is>
      </c>
      <c r="C306" t="inlineStr">
        <is>
          <t>浙江金藏元投资</t>
        </is>
      </c>
      <c r="D306" t="inlineStr">
        <is>
          <t>浙江金藏元投资管理有限公司 浙江金藏元投资管理有限公司</t>
        </is>
      </c>
      <c r="E306" t="inlineStr">
        <is>
          <t>P1033570</t>
        </is>
      </c>
      <c r="F306" t="inlineStr">
        <is>
          <t>0-5亿元</t>
        </is>
      </c>
      <c r="G306" t="inlineStr">
        <is>
          <t>小规模</t>
        </is>
      </c>
      <c r="H306" t="inlineStr">
        <is>
          <t>本次公示未见相关记录</t>
        </is>
      </c>
      <c r="I306" t="inlineStr">
        <is>
          <t>https://gs.amac.org.cn/amac-infodisc/res/pof/manager/101000046762.html</t>
        </is>
      </c>
      <c r="K306" t="inlineStr">
        <is>
          <t>2026-09-15</t>
        </is>
      </c>
    </row>
    <row r="307">
      <c r="A307" t="inlineStr">
        <is>
          <t>W7191A</t>
        </is>
      </c>
      <c r="B307" t="inlineStr">
        <is>
          <t>博普稳增3号A类</t>
        </is>
      </c>
      <c r="C307" t="inlineStr">
        <is>
          <t>深圳博普科技</t>
        </is>
      </c>
      <c r="D307" t="inlineStr">
        <is>
          <t>深圳博普科技有限公司 深圳博普科技有限公司</t>
        </is>
      </c>
      <c r="E307" t="inlineStr">
        <is>
          <t>P1001724</t>
        </is>
      </c>
      <c r="F307" t="inlineStr">
        <is>
          <t>100亿元以上</t>
        </is>
      </c>
      <c r="G307" t="inlineStr">
        <is>
          <t>大规模</t>
        </is>
      </c>
      <c r="H307" t="inlineStr">
        <is>
          <t>本次公示未见相关记录</t>
        </is>
      </c>
      <c r="I307" t="inlineStr">
        <is>
          <t>https://gs.amac.org.cn/amac-infodisc/res/pof/manager/101000001136.html</t>
        </is>
      </c>
      <c r="K307" t="inlineStr">
        <is>
          <t>2026-09-15</t>
        </is>
      </c>
    </row>
    <row r="308">
      <c r="A308" t="inlineStr">
        <is>
          <t>LM995B</t>
        </is>
      </c>
      <c r="B308" t="inlineStr">
        <is>
          <t>聚亿具臻B类</t>
        </is>
      </c>
      <c r="C308" t="inlineStr">
        <is>
          <t>珠海聚亿基金</t>
        </is>
      </c>
      <c r="D308" t="inlineStr">
        <is>
          <t>珠海聚亿基金管理有限公司 珠海聚亿基金管理有限公司</t>
        </is>
      </c>
      <c r="E308" t="inlineStr">
        <is>
          <t>P1066810</t>
        </is>
      </c>
      <c r="F308" t="inlineStr">
        <is>
          <t>0-5亿元</t>
        </is>
      </c>
      <c r="G308" t="inlineStr">
        <is>
          <t>小规模</t>
        </is>
      </c>
      <c r="H308" t="inlineStr">
        <is>
          <t>本次公示未见相关记录</t>
        </is>
      </c>
      <c r="I308" t="inlineStr">
        <is>
          <t>https://gs.amac.org.cn/amac-infodisc/res/pof/manager/1706231108101144.html</t>
        </is>
      </c>
      <c r="K308" t="inlineStr">
        <is>
          <t>2026-09-15</t>
        </is>
      </c>
    </row>
    <row r="309">
      <c r="A309" t="inlineStr">
        <is>
          <t>VY984A</t>
        </is>
      </c>
      <c r="B309" t="inlineStr">
        <is>
          <t>守正卓越一号A类</t>
        </is>
      </c>
      <c r="C309" t="inlineStr">
        <is>
          <t>山东守正</t>
        </is>
      </c>
      <c r="D309" t="inlineStr">
        <is>
          <t>山东守正私募基金管理有限公司 山东守正私募基金管理有限公司</t>
        </is>
      </c>
      <c r="E309" t="inlineStr">
        <is>
          <t>P1073424</t>
        </is>
      </c>
      <c r="F309" t="inlineStr">
        <is>
          <t>0-5亿元</t>
        </is>
      </c>
      <c r="G309" t="inlineStr">
        <is>
          <t>小规模</t>
        </is>
      </c>
      <c r="H309" t="inlineStr">
        <is>
          <t>协会提示／报送异常</t>
        </is>
      </c>
      <c r="I309" t="inlineStr">
        <is>
          <t>https://gs.amac.org.cn/amac-infodisc/res/pof/manager/2111241907106834.html</t>
        </is>
      </c>
      <c r="K309" t="inlineStr">
        <is>
          <t>2026-09-15</t>
        </is>
      </c>
    </row>
    <row r="310">
      <c r="A310" t="inlineStr">
        <is>
          <t>XX404A</t>
        </is>
      </c>
      <c r="B310" t="inlineStr">
        <is>
          <t>雁丰卓衍1号A类</t>
        </is>
      </c>
      <c r="C310" t="inlineStr">
        <is>
          <t>上海雁丰投资</t>
        </is>
      </c>
      <c r="D310" t="inlineStr">
        <is>
          <t>上海雁丰投资管理有限公司 上海雁丰投资管理有限公司</t>
        </is>
      </c>
      <c r="E310" t="inlineStr">
        <is>
          <t>P1006965</t>
        </is>
      </c>
      <c r="F310" t="inlineStr">
        <is>
          <t>0-5亿元</t>
        </is>
      </c>
      <c r="G310" t="inlineStr">
        <is>
          <t>小规模</t>
        </is>
      </c>
      <c r="H310" t="inlineStr">
        <is>
          <t>协会提示／报送异常</t>
        </is>
      </c>
      <c r="I310" t="inlineStr">
        <is>
          <t>https://gs.amac.org.cn/amac-infodisc/res/pof/manager/101000007795.html</t>
        </is>
      </c>
      <c r="K310" t="inlineStr">
        <is>
          <t>2026-09-15</t>
        </is>
      </c>
    </row>
    <row r="311">
      <c r="A311" t="inlineStr">
        <is>
          <t>JA891A</t>
        </is>
      </c>
      <c r="B311" t="inlineStr">
        <is>
          <t>探针稳健一号A类</t>
        </is>
      </c>
      <c r="C311" t="inlineStr">
        <is>
          <t>上海探针投资</t>
        </is>
      </c>
      <c r="D311" t="inlineStr">
        <is>
          <t>上海探针投资有限公司 上海探针投资有限公司</t>
        </is>
      </c>
      <c r="E311" t="inlineStr">
        <is>
          <t>P1061080</t>
        </is>
      </c>
      <c r="F311" t="inlineStr">
        <is>
          <t>10-20亿元</t>
        </is>
      </c>
      <c r="G311" t="inlineStr">
        <is>
          <t>大规模</t>
        </is>
      </c>
      <c r="H311" t="inlineStr">
        <is>
          <t>本次公示未见相关记录</t>
        </is>
      </c>
      <c r="I311" t="inlineStr">
        <is>
          <t>https://gs.amac.org.cn/amac-infodisc/res/pof/manager/1611180856100664.html</t>
        </is>
      </c>
      <c r="K311" t="inlineStr">
        <is>
          <t>2026-09-15</t>
        </is>
      </c>
    </row>
    <row r="312">
      <c r="A312" t="inlineStr">
        <is>
          <t>BBE42A</t>
        </is>
      </c>
      <c r="B312" t="inlineStr">
        <is>
          <t>骏远高价值成长6号A类</t>
        </is>
      </c>
      <c r="C312" t="inlineStr">
        <is>
          <t>北京骏远资管</t>
        </is>
      </c>
      <c r="D312" t="inlineStr">
        <is>
          <t>北京骏远资产管理有限公司 北京骏远资产管理有限公司</t>
        </is>
      </c>
      <c r="E312" t="inlineStr">
        <is>
          <t>P1025397</t>
        </is>
      </c>
      <c r="F312" t="inlineStr">
        <is>
          <t>5-10亿元</t>
        </is>
      </c>
      <c r="G312" t="inlineStr">
        <is>
          <t>大规模</t>
        </is>
      </c>
      <c r="H312" t="inlineStr">
        <is>
          <t>本次公示未见相关记录</t>
        </is>
      </c>
      <c r="I312" t="inlineStr">
        <is>
          <t>https://gs.amac.org.cn/amac-infodisc/res/pof/manager/101000036043.html</t>
        </is>
      </c>
      <c r="K312" t="inlineStr">
        <is>
          <t>2026-09-15</t>
        </is>
      </c>
    </row>
    <row r="313">
      <c r="A313" t="inlineStr">
        <is>
          <t>BAF26A</t>
        </is>
      </c>
      <c r="B313" t="inlineStr">
        <is>
          <t>中益仁梅香千寒A类</t>
        </is>
      </c>
      <c r="C313" t="inlineStr">
        <is>
          <t>日照中益仁</t>
        </is>
      </c>
      <c r="D313" t="inlineStr">
        <is>
          <t>日照中益仁私募基金管理有限公司 日照中益仁私募基金管理有限公司</t>
        </is>
      </c>
      <c r="E313" t="inlineStr">
        <is>
          <t>P1069942</t>
        </is>
      </c>
      <c r="F313" t="inlineStr">
        <is>
          <t>10-20亿元</t>
        </is>
      </c>
      <c r="G313" t="inlineStr">
        <is>
          <t>大规模</t>
        </is>
      </c>
      <c r="H313" t="inlineStr">
        <is>
          <t>本次公示未见相关记录</t>
        </is>
      </c>
      <c r="I313" t="inlineStr">
        <is>
          <t>https://gs.amac.org.cn/amac-infodisc/res/pof/manager/1708291806108811.html</t>
        </is>
      </c>
      <c r="K313" t="inlineStr">
        <is>
          <t>2026-09-15</t>
        </is>
      </c>
    </row>
    <row r="314">
      <c r="A314" t="inlineStr">
        <is>
          <t>JG287A</t>
        </is>
      </c>
      <c r="B314" t="inlineStr">
        <is>
          <t>和熙新月1号A类</t>
        </is>
      </c>
      <c r="C314" t="inlineStr">
        <is>
          <t>浙江和熙资管</t>
        </is>
      </c>
      <c r="D314" t="inlineStr">
        <is>
          <t>浙江和熙资产管理有限公司 浙江和熙资产管理有限公司</t>
        </is>
      </c>
      <c r="E314" t="inlineStr">
        <is>
          <t>P1033444</t>
        </is>
      </c>
      <c r="F314" t="inlineStr">
        <is>
          <t>5-10亿元</t>
        </is>
      </c>
      <c r="G314" t="inlineStr">
        <is>
          <t>大规模</t>
        </is>
      </c>
      <c r="H314" t="inlineStr">
        <is>
          <t>协会提示／报送异常</t>
        </is>
      </c>
      <c r="I314" t="inlineStr">
        <is>
          <t>https://gs.amac.org.cn/amac-infodisc/res/pof/manager/101000072213.html</t>
        </is>
      </c>
      <c r="K314" t="inlineStr">
        <is>
          <t>2026-09-15</t>
        </is>
      </c>
    </row>
    <row r="315">
      <c r="A315" t="inlineStr">
        <is>
          <t>AEA78C</t>
        </is>
      </c>
      <c r="B315" t="inlineStr">
        <is>
          <t>量宇进取1号C类</t>
        </is>
      </c>
      <c r="C315" t="inlineStr">
        <is>
          <t>上海量宇</t>
        </is>
      </c>
      <c r="D315" t="inlineStr">
        <is>
          <t>上海量宇私募基金管理有限公司 上海量宇私募基金管理有限公司</t>
        </is>
      </c>
      <c r="E315" t="inlineStr">
        <is>
          <t>P1064318</t>
        </is>
      </c>
      <c r="F315" t="inlineStr">
        <is>
          <t>20-50亿元</t>
        </is>
      </c>
      <c r="G315" t="inlineStr">
        <is>
          <t>大规模</t>
        </is>
      </c>
      <c r="H315" t="inlineStr">
        <is>
          <t>协会提示／报送异常</t>
        </is>
      </c>
      <c r="I315" t="inlineStr">
        <is>
          <t>https://gs.amac.org.cn/amac-infodisc/res/pof/manager/1706281152106855.html</t>
        </is>
      </c>
      <c r="K315" t="inlineStr">
        <is>
          <t>2026-09-15</t>
        </is>
      </c>
    </row>
  </sheetData>
  <autoFilter ref="A1:K3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3" min="1" max="1"/>
    <col width="17" customWidth="1" style="73" min="2" max="2"/>
    <col width="12" customWidth="1" style="73" min="3" max="3"/>
    <col width="12" customWidth="1" style="73" min="4" max="4"/>
    <col width="12" customWidth="1" style="73" min="5" max="5"/>
    <col width="19" customWidth="1" style="73" min="6" max="6"/>
    <col width="12" customWidth="1" style="73" min="7" max="7"/>
    <col width="12" customWidth="1" style="73" min="8" max="8"/>
    <col width="12" customWidth="1" style="73" min="9" max="9"/>
    <col width="12" customWidth="1" style="73" min="10" max="10"/>
    <col width="42" customWidth="1" style="73" min="11" max="11"/>
  </cols>
  <sheetData>
    <row r="1">
      <c r="A1" s="94" t="inlineStr">
        <is>
          <t>序号</t>
        </is>
      </c>
      <c r="B1" s="94" t="inlineStr">
        <is>
          <t>产品名称</t>
        </is>
      </c>
      <c r="C1" s="94" t="inlineStr">
        <is>
          <t>备案号</t>
        </is>
      </c>
      <c r="D1" s="94" t="inlineStr">
        <is>
          <t>管理人</t>
        </is>
      </c>
      <c r="E1" s="94" t="inlineStr">
        <is>
          <t>管理规模区间</t>
        </is>
      </c>
      <c r="F1" s="94" t="inlineStr">
        <is>
          <t>严格总分</t>
        </is>
      </c>
      <c r="G1" s="94" t="inlineStr">
        <is>
          <t>可比总分</t>
        </is>
      </c>
      <c r="H1" s="94" t="inlineStr">
        <is>
          <t>有效权重</t>
        </is>
      </c>
      <c r="I1" s="94" t="inlineStr">
        <is>
          <t>协会风险标记</t>
        </is>
      </c>
      <c r="J1" s="94" t="inlineStr">
        <is>
          <t>规模来源</t>
        </is>
      </c>
      <c r="K1" s="94" t="inlineStr">
        <is>
          <t>管理人公示URL</t>
        </is>
      </c>
    </row>
    <row r="2">
      <c r="A2" t="n">
        <v>1</v>
      </c>
      <c r="B2" t="inlineStr">
        <is>
          <t>阶石稳健1号</t>
        </is>
      </c>
      <c r="C2" t="inlineStr">
        <is>
          <t>SATE65</t>
        </is>
      </c>
      <c r="D2" t="inlineStr">
        <is>
          <t>深圳阶石</t>
        </is>
      </c>
      <c r="E2" t="inlineStr">
        <is>
          <t>10-20亿元</t>
        </is>
      </c>
      <c r="G2" t="n">
        <v>93.68000000000001</v>
      </c>
      <c r="H2" t="n">
        <v>0.856</v>
      </c>
      <c r="I2" t="inlineStr">
        <is>
          <t>协会提示／报送异常</t>
        </is>
      </c>
      <c r="J2" t="inlineStr">
        <is>
          <t>协会公示区间</t>
        </is>
      </c>
      <c r="K2" t="inlineStr">
        <is>
          <t>https://gs.amac.org.cn/amac-infodisc/res/pof/manager/1903261812109866.html</t>
        </is>
      </c>
    </row>
    <row r="3">
      <c r="A3" t="n">
        <v>2</v>
      </c>
      <c r="B3" t="inlineStr">
        <is>
          <t>惠隆金选套利1号</t>
        </is>
      </c>
      <c r="C3" t="inlineStr">
        <is>
          <t>SQG026</t>
        </is>
      </c>
      <c r="D3" t="inlineStr">
        <is>
          <t>北京惠隆资管</t>
        </is>
      </c>
      <c r="E3" t="inlineStr">
        <is>
          <t>10-20亿元</t>
        </is>
      </c>
      <c r="G3" t="n">
        <v>93.62</v>
      </c>
      <c r="H3" t="n">
        <v>0.88</v>
      </c>
      <c r="I3" t="inlineStr">
        <is>
          <t>协会提示／报送异常</t>
        </is>
      </c>
      <c r="J3" t="inlineStr">
        <is>
          <t>协会公示区间</t>
        </is>
      </c>
      <c r="K3" t="inlineStr">
        <is>
          <t>https://gs.amac.org.cn/amac-infodisc/res/pof/manager/1705031716108118.html</t>
        </is>
      </c>
    </row>
    <row r="4">
      <c r="A4" t="n">
        <v>3</v>
      </c>
      <c r="B4" t="inlineStr">
        <is>
          <t>九招真格量化套利一号B类</t>
        </is>
      </c>
      <c r="C4" t="inlineStr">
        <is>
          <t>QD546B</t>
        </is>
      </c>
      <c r="D4" t="inlineStr">
        <is>
          <t>武汉九招</t>
        </is>
      </c>
      <c r="E4" t="inlineStr">
        <is>
          <t>5-10亿元</t>
        </is>
      </c>
      <c r="G4" t="n">
        <v>93.27</v>
      </c>
      <c r="H4" t="n">
        <v>0.655</v>
      </c>
      <c r="I4" t="inlineStr">
        <is>
          <t>监管警示函</t>
        </is>
      </c>
      <c r="J4" t="inlineStr">
        <is>
          <t>协会公示区间</t>
        </is>
      </c>
      <c r="K4" t="inlineStr">
        <is>
          <t>https://gs.amac.org.cn/amac-infodisc/res/pof/manager/2301051740101642.html</t>
        </is>
      </c>
    </row>
    <row r="5">
      <c r="A5" t="n">
        <v>4</v>
      </c>
      <c r="B5" t="inlineStr">
        <is>
          <t>惠隆金选套利1号B类</t>
        </is>
      </c>
      <c r="C5" t="inlineStr">
        <is>
          <t>QG026B</t>
        </is>
      </c>
      <c r="D5" t="inlineStr">
        <is>
          <t>北京惠隆资管</t>
        </is>
      </c>
      <c r="E5" t="inlineStr">
        <is>
          <t>10-20亿元</t>
        </is>
      </c>
      <c r="G5" t="n">
        <v>93.27</v>
      </c>
      <c r="H5" t="n">
        <v>0.835</v>
      </c>
      <c r="I5" t="inlineStr">
        <is>
          <t>协会提示／报送异常</t>
        </is>
      </c>
      <c r="J5" t="inlineStr">
        <is>
          <t>协会公示区间</t>
        </is>
      </c>
      <c r="K5" t="inlineStr">
        <is>
          <t>https://gs.amac.org.cn/amac-infodisc/res/pof/manager/1705031716108118.html</t>
        </is>
      </c>
    </row>
    <row r="6">
      <c r="A6" t="n">
        <v>5</v>
      </c>
      <c r="B6" t="inlineStr">
        <is>
          <t>智领泽临套利三号</t>
        </is>
      </c>
      <c r="C6" t="inlineStr">
        <is>
          <t>SATL73</t>
        </is>
      </c>
      <c r="D6" t="inlineStr">
        <is>
          <t>福州智领三联</t>
        </is>
      </c>
      <c r="E6" t="inlineStr">
        <is>
          <t>20-50亿元</t>
        </is>
      </c>
      <c r="G6" t="n">
        <v>92.15000000000001</v>
      </c>
      <c r="H6" t="n">
        <v>0.7</v>
      </c>
      <c r="I6" t="inlineStr">
        <is>
          <t>协会提示／报送异常</t>
        </is>
      </c>
      <c r="J6" t="inlineStr">
        <is>
          <t>协会公示区间</t>
        </is>
      </c>
      <c r="K6" t="inlineStr">
        <is>
          <t>https://gs.amac.org.cn/amac-infodisc/res/pof/manager/101000074295.html</t>
        </is>
      </c>
    </row>
    <row r="7">
      <c r="A7" t="n">
        <v>6</v>
      </c>
      <c r="B7" t="inlineStr">
        <is>
          <t>殊馥馥源套利6号</t>
        </is>
      </c>
      <c r="C7" t="inlineStr">
        <is>
          <t>SXA180</t>
        </is>
      </c>
      <c r="D7" t="inlineStr">
        <is>
          <t>上海殊馥投资</t>
        </is>
      </c>
      <c r="E7" t="inlineStr">
        <is>
          <t>10-20亿元</t>
        </is>
      </c>
      <c r="G7" t="n">
        <v>92</v>
      </c>
      <c r="H7" t="n">
        <v>0.15</v>
      </c>
      <c r="I7" t="inlineStr">
        <is>
          <t>协会提示／报送异常</t>
        </is>
      </c>
      <c r="J7" t="inlineStr">
        <is>
          <t>协会公示区间</t>
        </is>
      </c>
      <c r="K7" t="inlineStr">
        <is>
          <t>https://gs.amac.org.cn/amac-infodisc/res/pof/manager/101000042776.html</t>
        </is>
      </c>
    </row>
    <row r="8">
      <c r="A8" t="n">
        <v>7</v>
      </c>
      <c r="B8" t="inlineStr">
        <is>
          <t>裕锦量化专享1号</t>
        </is>
      </c>
      <c r="C8" t="inlineStr">
        <is>
          <t>SNE165</t>
        </is>
      </c>
      <c r="D8" t="inlineStr">
        <is>
          <t>深圳裕锦</t>
        </is>
      </c>
      <c r="E8" t="inlineStr">
        <is>
          <t>10-20亿元</t>
        </is>
      </c>
      <c r="F8" t="n">
        <v>91.43204</v>
      </c>
      <c r="G8" t="n">
        <v>91.43000000000001</v>
      </c>
      <c r="H8" t="n">
        <v>1</v>
      </c>
      <c r="I8" t="inlineStr">
        <is>
          <t>协会提示／报送异常</t>
        </is>
      </c>
      <c r="J8" t="inlineStr">
        <is>
          <t>协会公示区间</t>
        </is>
      </c>
      <c r="K8" t="inlineStr">
        <is>
          <t>https://gs.amac.org.cn/amac-infodisc/res/pof/manager/2003241828108999.html</t>
        </is>
      </c>
    </row>
    <row r="9">
      <c r="A9" t="n">
        <v>8</v>
      </c>
      <c r="B9" t="inlineStr">
        <is>
          <t>量客投资金选套利1号</t>
        </is>
      </c>
      <c r="C9" t="inlineStr">
        <is>
          <t>SNH457</t>
        </is>
      </c>
      <c r="D9" t="inlineStr">
        <is>
          <t>上海量客</t>
        </is>
      </c>
      <c r="E9" t="inlineStr">
        <is>
          <t>50-100亿元</t>
        </is>
      </c>
      <c r="F9" t="n">
        <v>90.48963000000001</v>
      </c>
      <c r="G9" t="n">
        <v>90.48999999999999</v>
      </c>
      <c r="H9" t="n">
        <v>1</v>
      </c>
      <c r="I9" t="inlineStr">
        <is>
          <t>本次公示未见相关记录</t>
        </is>
      </c>
      <c r="J9" t="inlineStr">
        <is>
          <t>协会公示区间</t>
        </is>
      </c>
      <c r="K9" t="inlineStr">
        <is>
          <t>https://gs.amac.org.cn/amac-infodisc/res/pof/manager/101000000790.html</t>
        </is>
      </c>
    </row>
    <row r="10">
      <c r="A10" t="n">
        <v>9</v>
      </c>
      <c r="B10" t="inlineStr">
        <is>
          <t>摩旗ETF套利1号</t>
        </is>
      </c>
      <c r="C10" t="inlineStr">
        <is>
          <t>STR466</t>
        </is>
      </c>
      <c r="D10" t="inlineStr">
        <is>
          <t>上海摩旗投资</t>
        </is>
      </c>
      <c r="E10" t="inlineStr">
        <is>
          <t>10-20亿元</t>
        </is>
      </c>
      <c r="G10" t="n">
        <v>89.73999999999999</v>
      </c>
      <c r="H10" t="n">
        <v>0.88</v>
      </c>
      <c r="I10" t="inlineStr">
        <is>
          <t>本次公示未见相关记录</t>
        </is>
      </c>
      <c r="J10" t="inlineStr">
        <is>
          <t>协会公示区间</t>
        </is>
      </c>
      <c r="K10" t="inlineStr">
        <is>
          <t>https://gs.amac.org.cn/amac-infodisc/res/pof/manager/101000000297.html</t>
        </is>
      </c>
    </row>
    <row r="11">
      <c r="A11" t="n">
        <v>10</v>
      </c>
      <c r="B11" t="inlineStr">
        <is>
          <t>智领泽临套利六号</t>
        </is>
      </c>
      <c r="C11" t="inlineStr">
        <is>
          <t>SAYU23</t>
        </is>
      </c>
      <c r="D11" t="inlineStr">
        <is>
          <t>福州智领三联</t>
        </is>
      </c>
      <c r="E11" t="inlineStr">
        <is>
          <t>20-50亿元</t>
        </is>
      </c>
      <c r="G11" t="n">
        <v>88.79000000000001</v>
      </c>
      <c r="H11" t="n">
        <v>0.174</v>
      </c>
      <c r="I11" t="inlineStr">
        <is>
          <t>协会提示／报送异常</t>
        </is>
      </c>
      <c r="J11" t="inlineStr">
        <is>
          <t>协会公示区间</t>
        </is>
      </c>
      <c r="K11" t="inlineStr">
        <is>
          <t>https://gs.amac.org.cn/amac-infodisc/res/pof/manager/101000074295.html</t>
        </is>
      </c>
    </row>
    <row r="12">
      <c r="A12" t="n">
        <v>11</v>
      </c>
      <c r="B12" t="inlineStr">
        <is>
          <t>岳鑫遥4号</t>
        </is>
      </c>
      <c r="C12" t="inlineStr">
        <is>
          <t>SXT179</t>
        </is>
      </c>
      <c r="D12" t="inlineStr">
        <is>
          <t>北京岳鑫遥</t>
        </is>
      </c>
      <c r="E12" t="inlineStr">
        <is>
          <t>5-10亿元</t>
        </is>
      </c>
      <c r="G12" t="n">
        <v>88</v>
      </c>
      <c r="H12" t="n">
        <v>0.15</v>
      </c>
      <c r="I12" t="inlineStr">
        <is>
          <t>协会提示／报送异常</t>
        </is>
      </c>
      <c r="J12" t="inlineStr">
        <is>
          <t>协会公示区间</t>
        </is>
      </c>
      <c r="K12" t="inlineStr">
        <is>
          <t>https://gs.amac.org.cn/amac-infodisc/res/pof/manager/2207041830121644.html</t>
        </is>
      </c>
    </row>
    <row r="13">
      <c r="A13" t="n">
        <v>12</v>
      </c>
      <c r="B13" t="inlineStr">
        <is>
          <t>灵涛卧龙</t>
        </is>
      </c>
      <c r="C13" t="inlineStr">
        <is>
          <t>SEU753</t>
        </is>
      </c>
      <c r="D13" t="inlineStr">
        <is>
          <t>灵涛基金</t>
        </is>
      </c>
      <c r="E13" t="inlineStr">
        <is>
          <t>5-10亿元</t>
        </is>
      </c>
      <c r="G13" t="n">
        <v>88</v>
      </c>
      <c r="H13" t="n">
        <v>0.15</v>
      </c>
      <c r="I13" t="inlineStr">
        <is>
          <t>协会提示／报送异常</t>
        </is>
      </c>
      <c r="J13" t="inlineStr">
        <is>
          <t>协会公示区间</t>
        </is>
      </c>
      <c r="K13" t="inlineStr">
        <is>
          <t>https://gs.amac.org.cn/amac-infodisc/res/pof/manager/101000034805.html</t>
        </is>
      </c>
    </row>
    <row r="14">
      <c r="A14" t="n">
        <v>13</v>
      </c>
      <c r="B14" t="inlineStr">
        <is>
          <t>兆祥祥瑞套利1号</t>
        </is>
      </c>
      <c r="C14" t="inlineStr">
        <is>
          <t>SXJ965</t>
        </is>
      </c>
      <c r="D14" t="inlineStr">
        <is>
          <t>青岛兆祥资管</t>
        </is>
      </c>
      <c r="E14" t="inlineStr">
        <is>
          <t>5-10亿元</t>
        </is>
      </c>
      <c r="G14" t="n">
        <v>88</v>
      </c>
      <c r="H14" t="n">
        <v>0.15</v>
      </c>
      <c r="I14" t="inlineStr">
        <is>
          <t>本次公示未见相关记录</t>
        </is>
      </c>
      <c r="J14" t="inlineStr">
        <is>
          <t>协会公示区间</t>
        </is>
      </c>
      <c r="K14" t="inlineStr">
        <is>
          <t>https://gs.amac.org.cn/amac-infodisc/res/pof/manager/101000018153.html</t>
        </is>
      </c>
    </row>
    <row r="15">
      <c r="A15" t="n">
        <v>14</v>
      </c>
      <c r="B15" t="inlineStr">
        <is>
          <t>乾元光辉岁月稳进32号</t>
        </is>
      </c>
      <c r="C15" t="inlineStr">
        <is>
          <t>SB7615</t>
        </is>
      </c>
      <c r="D15" t="inlineStr">
        <is>
          <t>深圳乾元资始</t>
        </is>
      </c>
      <c r="E15" t="inlineStr">
        <is>
          <t>5-10亿元</t>
        </is>
      </c>
      <c r="G15" t="n">
        <v>88</v>
      </c>
      <c r="H15" t="n">
        <v>0.15</v>
      </c>
      <c r="I15" t="inlineStr">
        <is>
          <t>协会提示／报送异常</t>
        </is>
      </c>
      <c r="J15" t="inlineStr">
        <is>
          <t>协会公示区间</t>
        </is>
      </c>
      <c r="K15" t="inlineStr">
        <is>
          <t>https://gs.amac.org.cn/amac-infodisc/res/pof/manager/101000031013.html</t>
        </is>
      </c>
    </row>
    <row r="16">
      <c r="A16" t="n">
        <v>15</v>
      </c>
      <c r="B16" t="inlineStr">
        <is>
          <t>阶石稳健9号</t>
        </is>
      </c>
      <c r="C16" t="inlineStr">
        <is>
          <t>SAZW60</t>
        </is>
      </c>
      <c r="D16" t="inlineStr">
        <is>
          <t>深圳阶石</t>
        </is>
      </c>
      <c r="E16" t="inlineStr">
        <is>
          <t>10-20亿元</t>
        </is>
      </c>
      <c r="G16" t="n">
        <v>87.84</v>
      </c>
      <c r="H16" t="n">
        <v>0.724</v>
      </c>
      <c r="I16" t="inlineStr">
        <is>
          <t>协会提示／报送异常</t>
        </is>
      </c>
      <c r="J16" t="inlineStr">
        <is>
          <t>协会公示区间</t>
        </is>
      </c>
      <c r="K16" t="inlineStr">
        <is>
          <t>https://gs.amac.org.cn/amac-infodisc/res/pof/manager/1903261812109866.html</t>
        </is>
      </c>
    </row>
    <row r="17">
      <c r="A17" t="n">
        <v>16</v>
      </c>
      <c r="B17" t="inlineStr">
        <is>
          <t>爱凡哲九号</t>
        </is>
      </c>
      <c r="C17" t="inlineStr">
        <is>
          <t>SJA112</t>
        </is>
      </c>
      <c r="D17" t="inlineStr">
        <is>
          <t>爱凡哲投资</t>
        </is>
      </c>
      <c r="E17" t="inlineStr">
        <is>
          <t>20-50亿元</t>
        </is>
      </c>
      <c r="F17" t="n">
        <v>87.41978999999999</v>
      </c>
      <c r="G17" t="n">
        <v>87.42</v>
      </c>
      <c r="H17" t="n">
        <v>1</v>
      </c>
      <c r="I17" t="inlineStr">
        <is>
          <t>本次公示未见相关记录</t>
        </is>
      </c>
      <c r="J17" t="inlineStr">
        <is>
          <t>协会公示区间</t>
        </is>
      </c>
      <c r="K17" t="inlineStr">
        <is>
          <t>https://gs.amac.org.cn/amac-infodisc/res/pof/manager/1709181131101311.html</t>
        </is>
      </c>
    </row>
    <row r="18">
      <c r="A18" t="n">
        <v>17</v>
      </c>
      <c r="B18" t="inlineStr">
        <is>
          <t>巨量边界ETF对冲1号B类</t>
        </is>
      </c>
      <c r="C18" t="inlineStr">
        <is>
          <t>AGT43B</t>
        </is>
      </c>
      <c r="D18" t="inlineStr">
        <is>
          <t>北京巨量边界</t>
        </is>
      </c>
      <c r="E18" t="inlineStr">
        <is>
          <t>20-50亿元</t>
        </is>
      </c>
      <c r="G18" t="n">
        <v>87.40000000000001</v>
      </c>
      <c r="H18" t="n">
        <v>0.655</v>
      </c>
      <c r="I18" t="inlineStr">
        <is>
          <t>协会提示／报送异常</t>
        </is>
      </c>
      <c r="J18" t="inlineStr">
        <is>
          <t>协会公示区间</t>
        </is>
      </c>
      <c r="K18" t="inlineStr">
        <is>
          <t>https://gs.amac.org.cn/amac-infodisc/res/pof/manager/2107271706122405.html</t>
        </is>
      </c>
    </row>
    <row r="19">
      <c r="A19" t="n">
        <v>18</v>
      </c>
      <c r="B19" t="inlineStr">
        <is>
          <t>博普安兴私享一号</t>
        </is>
      </c>
      <c r="C19" t="inlineStr">
        <is>
          <t>SAHS76</t>
        </is>
      </c>
      <c r="D19" t="inlineStr">
        <is>
          <t>深圳前海博普资管</t>
        </is>
      </c>
      <c r="E19" t="inlineStr">
        <is>
          <t>50-100亿元</t>
        </is>
      </c>
      <c r="G19" t="n">
        <v>87</v>
      </c>
      <c r="H19" t="n">
        <v>0.15</v>
      </c>
      <c r="I19" t="inlineStr">
        <is>
          <t>本次公示未见相关记录</t>
        </is>
      </c>
      <c r="J19" t="inlineStr">
        <is>
          <t>协会公示区间</t>
        </is>
      </c>
      <c r="K19" t="inlineStr">
        <is>
          <t>https://gs.amac.org.cn/amac-infodisc/res/pof/manager/1709041706102598.html</t>
        </is>
      </c>
    </row>
    <row r="20">
      <c r="A20" t="n">
        <v>19</v>
      </c>
      <c r="B20" t="inlineStr">
        <is>
          <t>平凡凡响二号</t>
        </is>
      </c>
      <c r="C20" t="inlineStr">
        <is>
          <t>SZU727</t>
        </is>
      </c>
      <c r="D20" t="inlineStr">
        <is>
          <t>北京平凡</t>
        </is>
      </c>
      <c r="E20" t="inlineStr">
        <is>
          <t>50-100亿元</t>
        </is>
      </c>
      <c r="F20" t="n">
        <v>86.98484999999999</v>
      </c>
      <c r="G20" t="n">
        <v>86.98</v>
      </c>
      <c r="H20" t="n">
        <v>1</v>
      </c>
      <c r="I20" t="inlineStr">
        <is>
          <t>本次公示未见相关记录</t>
        </is>
      </c>
      <c r="J20" t="inlineStr">
        <is>
          <t>协会公示区间</t>
        </is>
      </c>
      <c r="K20" t="inlineStr">
        <is>
          <t>https://gs.amac.org.cn/amac-infodisc/res/pof/manager/101000030286.html</t>
        </is>
      </c>
    </row>
    <row r="21">
      <c r="A21" t="n">
        <v>20</v>
      </c>
      <c r="B21" t="inlineStr">
        <is>
          <t>奶酪鑫鑫宝二号</t>
        </is>
      </c>
      <c r="C21" t="inlineStr">
        <is>
          <t>SB2838</t>
        </is>
      </c>
      <c r="D21" t="inlineStr">
        <is>
          <t>广东奶酪</t>
        </is>
      </c>
      <c r="E21" t="inlineStr">
        <is>
          <t>10-20亿元</t>
        </is>
      </c>
      <c r="G21" t="n">
        <v>86.95999999999999</v>
      </c>
      <c r="H21" t="n">
        <v>0.7</v>
      </c>
      <c r="I21" t="inlineStr">
        <is>
          <t>本次公示未见相关记录</t>
        </is>
      </c>
      <c r="J21" t="inlineStr">
        <is>
          <t>协会公示区间</t>
        </is>
      </c>
      <c r="K21" t="inlineStr">
        <is>
          <t>https://gs.amac.org.cn/amac-infodisc/res/pof/manager/101000045017.html</t>
        </is>
      </c>
    </row>
    <row r="22">
      <c r="A22" t="n">
        <v>21</v>
      </c>
      <c r="B22" t="inlineStr">
        <is>
          <t>鹿秀统计套利1号</t>
        </is>
      </c>
      <c r="C22" t="inlineStr">
        <is>
          <t>SJJ138</t>
        </is>
      </c>
      <c r="D22" t="inlineStr">
        <is>
          <t>青岛鹿秀投资</t>
        </is>
      </c>
      <c r="E22" t="inlineStr">
        <is>
          <t>50-100亿元</t>
        </is>
      </c>
      <c r="F22" t="n">
        <v>86.25875000000001</v>
      </c>
      <c r="G22" t="n">
        <v>86.26000000000001</v>
      </c>
      <c r="H22" t="n">
        <v>1</v>
      </c>
      <c r="I22" t="inlineStr">
        <is>
          <t>协会提示／报送异常</t>
        </is>
      </c>
      <c r="J22" t="inlineStr">
        <is>
          <t>协会公示区间</t>
        </is>
      </c>
      <c r="K22" t="inlineStr">
        <is>
          <t>https://gs.amac.org.cn/amac-infodisc/res/pof/manager/1612231708101923.html</t>
        </is>
      </c>
    </row>
    <row r="23">
      <c r="A23" t="n">
        <v>22</v>
      </c>
      <c r="B23" t="inlineStr">
        <is>
          <t>英旷专享2号</t>
        </is>
      </c>
      <c r="C23" t="inlineStr">
        <is>
          <t>SAKV28</t>
        </is>
      </c>
      <c r="D23" t="inlineStr">
        <is>
          <t>上海英旷资管</t>
        </is>
      </c>
      <c r="E23" t="inlineStr">
        <is>
          <t>10-20亿元</t>
        </is>
      </c>
      <c r="G23" t="n">
        <v>86.12</v>
      </c>
      <c r="H23" t="n">
        <v>0.7</v>
      </c>
      <c r="I23" t="inlineStr">
        <is>
          <t>本次公示未见相关记录</t>
        </is>
      </c>
      <c r="J23" t="inlineStr">
        <is>
          <t>协会公示区间</t>
        </is>
      </c>
      <c r="K23" t="inlineStr">
        <is>
          <t>https://gs.amac.org.cn/amac-infodisc/res/pof/manager/2009261701109105.html</t>
        </is>
      </c>
    </row>
    <row r="24">
      <c r="A24" t="n">
        <v>23</v>
      </c>
      <c r="B24" t="inlineStr">
        <is>
          <t>英旷专享2号A类</t>
        </is>
      </c>
      <c r="C24" t="inlineStr">
        <is>
          <t>AKV28A</t>
        </is>
      </c>
      <c r="D24" t="inlineStr">
        <is>
          <t>上海英旷资管</t>
        </is>
      </c>
      <c r="E24" t="inlineStr">
        <is>
          <t>10-20亿元</t>
        </is>
      </c>
      <c r="G24" t="n">
        <v>85.69</v>
      </c>
      <c r="H24" t="n">
        <v>0.655</v>
      </c>
      <c r="I24" t="inlineStr">
        <is>
          <t>本次公示未见相关记录</t>
        </is>
      </c>
      <c r="J24" t="inlineStr">
        <is>
          <t>协会公示区间</t>
        </is>
      </c>
      <c r="K24" t="inlineStr">
        <is>
          <t>https://gs.amac.org.cn/amac-infodisc/res/pof/manager/2009261701109105.html</t>
        </is>
      </c>
    </row>
    <row r="25">
      <c r="A25" t="n">
        <v>24</v>
      </c>
      <c r="B25" t="inlineStr">
        <is>
          <t>江岳联接54期</t>
        </is>
      </c>
      <c r="C25" t="inlineStr">
        <is>
          <t>SZJ846</t>
        </is>
      </c>
      <c r="D25" t="inlineStr">
        <is>
          <t>西安江岳</t>
        </is>
      </c>
      <c r="E25" t="inlineStr">
        <is>
          <t>10-20亿元</t>
        </is>
      </c>
      <c r="F25" t="n">
        <v>85.2886</v>
      </c>
      <c r="G25" t="n">
        <v>85.29000000000001</v>
      </c>
      <c r="H25" t="n">
        <v>1</v>
      </c>
      <c r="I25" t="inlineStr">
        <is>
          <t>本次公示未见相关记录</t>
        </is>
      </c>
      <c r="J25" t="inlineStr">
        <is>
          <t>协会公示区间</t>
        </is>
      </c>
      <c r="K25" t="inlineStr">
        <is>
          <t>https://gs.amac.org.cn/amac-infodisc/res/pof/manager/1703241729101117.html</t>
        </is>
      </c>
    </row>
    <row r="26">
      <c r="A26" t="n">
        <v>25</v>
      </c>
      <c r="B26" t="inlineStr">
        <is>
          <t>九招真格量化套利一号</t>
        </is>
      </c>
      <c r="C26" t="inlineStr">
        <is>
          <t>SQD546</t>
        </is>
      </c>
      <c r="D26" t="inlineStr">
        <is>
          <t>武汉九招</t>
        </is>
      </c>
      <c r="E26" t="inlineStr">
        <is>
          <t>5-10亿元</t>
        </is>
      </c>
      <c r="F26" t="n">
        <v>85.06663</v>
      </c>
      <c r="G26" t="n">
        <v>85.06999999999999</v>
      </c>
      <c r="H26" t="n">
        <v>1</v>
      </c>
      <c r="I26" t="inlineStr">
        <is>
          <t>监管警示函</t>
        </is>
      </c>
      <c r="J26" t="inlineStr">
        <is>
          <t>协会公示区间</t>
        </is>
      </c>
      <c r="K26" t="inlineStr">
        <is>
          <t>https://gs.amac.org.cn/amac-infodisc/res/pof/manager/2301051740101642.html</t>
        </is>
      </c>
    </row>
    <row r="27">
      <c r="A27" t="n">
        <v>26</v>
      </c>
      <c r="B27" t="inlineStr">
        <is>
          <t>平凡浩睿</t>
        </is>
      </c>
      <c r="C27" t="inlineStr">
        <is>
          <t>SJS890</t>
        </is>
      </c>
      <c r="D27" t="inlineStr">
        <is>
          <t>北京平凡</t>
        </is>
      </c>
      <c r="E27" t="inlineStr">
        <is>
          <t>50-100亿元</t>
        </is>
      </c>
      <c r="F27" t="n">
        <v>85.02428</v>
      </c>
      <c r="G27" t="n">
        <v>85.02</v>
      </c>
      <c r="H27" t="n">
        <v>1</v>
      </c>
      <c r="I27" t="inlineStr">
        <is>
          <t>本次公示未见相关记录</t>
        </is>
      </c>
      <c r="J27" t="inlineStr">
        <is>
          <t>协会公示区间</t>
        </is>
      </c>
      <c r="K27" t="inlineStr">
        <is>
          <t>https://gs.amac.org.cn/amac-infodisc/res/pof/manager/101000030286.html</t>
        </is>
      </c>
    </row>
    <row r="28">
      <c r="A28" t="n">
        <v>27</v>
      </c>
      <c r="B28" t="inlineStr">
        <is>
          <t>慕途稳健2号</t>
        </is>
      </c>
      <c r="C28" t="inlineStr">
        <is>
          <t>SXW938</t>
        </is>
      </c>
      <c r="D28" t="inlineStr">
        <is>
          <t>慕途基金</t>
        </is>
      </c>
      <c r="E28" t="inlineStr">
        <is>
          <t>10-20亿元</t>
        </is>
      </c>
      <c r="G28" t="n">
        <v>84.63</v>
      </c>
      <c r="H28" t="n">
        <v>0.856</v>
      </c>
      <c r="I28" t="inlineStr">
        <is>
          <t>本次公示未见相关记录</t>
        </is>
      </c>
      <c r="J28" t="inlineStr">
        <is>
          <t>协会公示区间</t>
        </is>
      </c>
      <c r="K28" t="inlineStr">
        <is>
          <t>https://gs.amac.org.cn/amac-infodisc/res/pof/manager/2106221238106983.html</t>
        </is>
      </c>
    </row>
    <row r="29">
      <c r="A29" t="n">
        <v>28</v>
      </c>
      <c r="B29" t="inlineStr">
        <is>
          <t>殊馥馥源套利1号B类</t>
        </is>
      </c>
      <c r="C29" t="inlineStr">
        <is>
          <t>GM512B</t>
        </is>
      </c>
      <c r="D29" t="inlineStr">
        <is>
          <t>上海殊馥投资</t>
        </is>
      </c>
      <c r="E29" t="inlineStr">
        <is>
          <t>10-20亿元</t>
        </is>
      </c>
      <c r="G29" t="n">
        <v>83.41</v>
      </c>
      <c r="H29" t="n">
        <v>0.655</v>
      </c>
      <c r="I29" t="inlineStr">
        <is>
          <t>协会提示／报送异常</t>
        </is>
      </c>
      <c r="J29" t="inlineStr">
        <is>
          <t>协会公示区间</t>
        </is>
      </c>
      <c r="K29" t="inlineStr">
        <is>
          <t>https://gs.amac.org.cn/amac-infodisc/res/pof/manager/101000042776.html</t>
        </is>
      </c>
    </row>
    <row r="30">
      <c r="A30" t="n">
        <v>29</v>
      </c>
      <c r="B30" t="inlineStr">
        <is>
          <t>奶酪平价套利稳健一号</t>
        </is>
      </c>
      <c r="C30" t="inlineStr">
        <is>
          <t>SAAS17</t>
        </is>
      </c>
      <c r="D30" t="inlineStr">
        <is>
          <t>广东奶酪</t>
        </is>
      </c>
      <c r="E30" t="inlineStr">
        <is>
          <t>10-20亿元</t>
        </is>
      </c>
      <c r="F30" t="n">
        <v>83.2843</v>
      </c>
      <c r="G30" t="n">
        <v>83.28</v>
      </c>
      <c r="H30" t="n">
        <v>1</v>
      </c>
      <c r="I30" t="inlineStr">
        <is>
          <t>本次公示未见相关记录</t>
        </is>
      </c>
      <c r="J30" t="inlineStr">
        <is>
          <t>协会公示区间</t>
        </is>
      </c>
      <c r="K30" t="inlineStr">
        <is>
          <t>https://gs.amac.org.cn/amac-infodisc/res/pof/manager/101000045017.html</t>
        </is>
      </c>
    </row>
    <row r="31">
      <c r="A31" t="n">
        <v>30</v>
      </c>
      <c r="B31" t="inlineStr">
        <is>
          <t>兆祥祥瑞套利1号B类</t>
        </is>
      </c>
      <c r="C31" t="inlineStr">
        <is>
          <t>XJ965B</t>
        </is>
      </c>
      <c r="D31" t="inlineStr">
        <is>
          <t>青岛兆祥资管</t>
        </is>
      </c>
      <c r="E31" t="inlineStr">
        <is>
          <t>5-10亿元</t>
        </is>
      </c>
      <c r="G31" t="n">
        <v>82.86</v>
      </c>
      <c r="H31" t="n">
        <v>0.105</v>
      </c>
      <c r="I31" t="inlineStr">
        <is>
          <t>本次公示未见相关记录</t>
        </is>
      </c>
      <c r="J31" t="inlineStr">
        <is>
          <t>协会公示区间</t>
        </is>
      </c>
      <c r="K31" t="inlineStr">
        <is>
          <t>https://gs.amac.org.cn/amac-infodisc/res/pof/manager/101000018153.html</t>
        </is>
      </c>
    </row>
    <row r="32">
      <c r="A32" t="n">
        <v>31</v>
      </c>
      <c r="B32" t="inlineStr">
        <is>
          <t>慕途商品套利1号</t>
        </is>
      </c>
      <c r="C32" t="inlineStr">
        <is>
          <t>SAHX36</t>
        </is>
      </c>
      <c r="D32" t="inlineStr">
        <is>
          <t>慕途基金</t>
        </is>
      </c>
      <c r="E32" t="inlineStr">
        <is>
          <t>10-20亿元</t>
        </is>
      </c>
      <c r="G32" t="n">
        <v>82.56999999999999</v>
      </c>
      <c r="H32" t="n">
        <v>0.7</v>
      </c>
      <c r="I32" t="inlineStr">
        <is>
          <t>本次公示未见相关记录</t>
        </is>
      </c>
      <c r="J32" t="inlineStr">
        <is>
          <t>协会公示区间</t>
        </is>
      </c>
      <c r="K32" t="inlineStr">
        <is>
          <t>https://gs.amac.org.cn/amac-infodisc/res/pof/manager/2106221238106983.html</t>
        </is>
      </c>
    </row>
    <row r="33">
      <c r="A33" t="n">
        <v>32</v>
      </c>
      <c r="B33" t="inlineStr">
        <is>
          <t>鸣熙资产-招享套利1号</t>
        </is>
      </c>
      <c r="C33" t="inlineStr">
        <is>
          <t>SJZ381</t>
        </is>
      </c>
      <c r="D33" t="inlineStr">
        <is>
          <t>鸣熙资本</t>
        </is>
      </c>
      <c r="E33" t="inlineStr">
        <is>
          <t>100亿元以上</t>
        </is>
      </c>
      <c r="G33" t="n">
        <v>82.03</v>
      </c>
      <c r="H33" t="n">
        <v>0.856</v>
      </c>
      <c r="I33" t="inlineStr">
        <is>
          <t>本次公示未见相关记录</t>
        </is>
      </c>
      <c r="J33" t="inlineStr">
        <is>
          <t>协会公示区间</t>
        </is>
      </c>
      <c r="K33" t="inlineStr">
        <is>
          <t>https://gs.amac.org.cn/amac-infodisc/res/pof/manager/101000039347.html</t>
        </is>
      </c>
    </row>
    <row r="34">
      <c r="A34" t="n">
        <v>33</v>
      </c>
      <c r="B34" t="inlineStr">
        <is>
          <t>博润小牛3号</t>
        </is>
      </c>
      <c r="C34" t="inlineStr">
        <is>
          <t>STV728</t>
        </is>
      </c>
      <c r="D34" t="inlineStr">
        <is>
          <t>北京博润银泰投资</t>
        </is>
      </c>
      <c r="E34" t="inlineStr">
        <is>
          <t>100亿元以上</t>
        </is>
      </c>
      <c r="F34" t="n">
        <v>81.99845999999999</v>
      </c>
      <c r="G34" t="n">
        <v>82</v>
      </c>
      <c r="H34" t="n">
        <v>1</v>
      </c>
      <c r="I34" t="inlineStr">
        <is>
          <t>本次公示未见相关记录</t>
        </is>
      </c>
      <c r="J34" t="inlineStr">
        <is>
          <t>协会公示区间</t>
        </is>
      </c>
      <c r="K34" t="inlineStr">
        <is>
          <t>https://gs.amac.org.cn/amac-infodisc/res/pof/manager/101000005082.html</t>
        </is>
      </c>
    </row>
    <row r="35">
      <c r="A35" t="n">
        <v>34</v>
      </c>
      <c r="B35" t="inlineStr">
        <is>
          <t>博普安兴私享一号A类</t>
        </is>
      </c>
      <c r="C35" t="inlineStr">
        <is>
          <t>AHS76A</t>
        </is>
      </c>
      <c r="D35" t="inlineStr">
        <is>
          <t>深圳前海博普资管</t>
        </is>
      </c>
      <c r="E35" t="inlineStr">
        <is>
          <t>50-100亿元</t>
        </is>
      </c>
      <c r="G35" t="n">
        <v>81.43000000000001</v>
      </c>
      <c r="H35" t="n">
        <v>0.105</v>
      </c>
      <c r="I35" t="inlineStr">
        <is>
          <t>本次公示未见相关记录</t>
        </is>
      </c>
      <c r="J35" t="inlineStr">
        <is>
          <t>协会公示区间</t>
        </is>
      </c>
      <c r="K35" t="inlineStr">
        <is>
          <t>https://gs.amac.org.cn/amac-infodisc/res/pof/manager/1709041706102598.html</t>
        </is>
      </c>
    </row>
    <row r="36">
      <c r="A36" t="n">
        <v>35</v>
      </c>
      <c r="B36" t="inlineStr">
        <is>
          <t>博普安兴私享一号B类</t>
        </is>
      </c>
      <c r="C36" t="inlineStr">
        <is>
          <t>AHS76B</t>
        </is>
      </c>
      <c r="D36" t="inlineStr">
        <is>
          <t>深圳前海博普资管</t>
        </is>
      </c>
      <c r="E36" t="inlineStr">
        <is>
          <t>50-100亿元</t>
        </is>
      </c>
      <c r="G36" t="n">
        <v>81</v>
      </c>
      <c r="H36" t="n">
        <v>0.655</v>
      </c>
      <c r="I36" t="inlineStr">
        <is>
          <t>本次公示未见相关记录</t>
        </is>
      </c>
      <c r="J36" t="inlineStr">
        <is>
          <t>协会公示区间</t>
        </is>
      </c>
      <c r="K36" t="inlineStr">
        <is>
          <t>https://gs.amac.org.cn/amac-infodisc/res/pof/manager/1709041706102598.html</t>
        </is>
      </c>
    </row>
    <row r="37">
      <c r="A37" t="n">
        <v>36</v>
      </c>
      <c r="B37" t="inlineStr">
        <is>
          <t>殊馥兴义7号</t>
        </is>
      </c>
      <c r="C37" t="inlineStr">
        <is>
          <t>SXT610</t>
        </is>
      </c>
      <c r="D37" t="inlineStr">
        <is>
          <t>上海殊馥投资</t>
        </is>
      </c>
      <c r="E37" t="inlineStr">
        <is>
          <t>10-20亿元</t>
        </is>
      </c>
      <c r="G37" t="n">
        <v>80.98999999999999</v>
      </c>
      <c r="H37" t="n">
        <v>0.88</v>
      </c>
      <c r="I37" t="inlineStr">
        <is>
          <t>协会提示／报送异常</t>
        </is>
      </c>
      <c r="J37" t="inlineStr">
        <is>
          <t>协会公示区间</t>
        </is>
      </c>
      <c r="K37" t="inlineStr">
        <is>
          <t>https://gs.amac.org.cn/amac-infodisc/res/pof/manager/101000042776.html</t>
        </is>
      </c>
    </row>
    <row r="38">
      <c r="A38" t="n">
        <v>37</v>
      </c>
      <c r="B38" t="inlineStr">
        <is>
          <t>博普安兴私享一号C类</t>
        </is>
      </c>
      <c r="C38" t="inlineStr">
        <is>
          <t>AHS76C</t>
        </is>
      </c>
      <c r="D38" t="inlineStr">
        <is>
          <t>深圳前海博普资管</t>
        </is>
      </c>
      <c r="E38" t="inlineStr">
        <is>
          <t>50-100亿元</t>
        </is>
      </c>
      <c r="G38" t="n">
        <v>80.54000000000001</v>
      </c>
      <c r="H38" t="n">
        <v>0.655</v>
      </c>
      <c r="I38" t="inlineStr">
        <is>
          <t>本次公示未见相关记录</t>
        </is>
      </c>
      <c r="J38" t="inlineStr">
        <is>
          <t>协会公示区间</t>
        </is>
      </c>
      <c r="K38" t="inlineStr">
        <is>
          <t>https://gs.amac.org.cn/amac-infodisc/res/pof/manager/1709041706102598.html</t>
        </is>
      </c>
    </row>
    <row r="39">
      <c r="A39" t="n">
        <v>38</v>
      </c>
      <c r="B39" t="inlineStr">
        <is>
          <t>鋆晟狮王套利</t>
        </is>
      </c>
      <c r="C39" t="inlineStr">
        <is>
          <t>SGS754</t>
        </is>
      </c>
      <c r="D39" t="inlineStr">
        <is>
          <t>上海鋆晟投资</t>
        </is>
      </c>
      <c r="E39" t="inlineStr">
        <is>
          <t>5-10亿元</t>
        </is>
      </c>
      <c r="F39" t="n">
        <v>80.53384</v>
      </c>
      <c r="G39" t="n">
        <v>80.53</v>
      </c>
      <c r="H39" t="n">
        <v>1</v>
      </c>
      <c r="I39" t="inlineStr">
        <is>
          <t>本次公示未见相关记录</t>
        </is>
      </c>
      <c r="J39" t="inlineStr">
        <is>
          <t>协会公示区间</t>
        </is>
      </c>
      <c r="K39" t="inlineStr">
        <is>
          <t>https://gs.amac.org.cn/amac-infodisc/res/pof/manager/101000039679.html</t>
        </is>
      </c>
    </row>
    <row r="40">
      <c r="A40" t="n">
        <v>39</v>
      </c>
      <c r="B40" t="inlineStr">
        <is>
          <t>中益仁梅香千寒A类</t>
        </is>
      </c>
      <c r="C40" t="inlineStr">
        <is>
          <t>BAF26A</t>
        </is>
      </c>
      <c r="D40" t="inlineStr">
        <is>
          <t>日照中益仁</t>
        </is>
      </c>
      <c r="E40" t="inlineStr">
        <is>
          <t>10-20亿元</t>
        </is>
      </c>
      <c r="G40" t="n">
        <v>80.23</v>
      </c>
      <c r="H40" t="n">
        <v>0.129</v>
      </c>
      <c r="I40" t="inlineStr">
        <is>
          <t>本次公示未见相关记录</t>
        </is>
      </c>
      <c r="J40" t="inlineStr">
        <is>
          <t>协会公示区间</t>
        </is>
      </c>
      <c r="K40" t="inlineStr">
        <is>
          <t>https://gs.amac.org.cn/amac-infodisc/res/pof/manager/1708291806108811.html</t>
        </is>
      </c>
    </row>
    <row r="41">
      <c r="A41" t="n">
        <v>40</v>
      </c>
      <c r="B41" t="inlineStr">
        <is>
          <t>广联宏稳健2号</t>
        </is>
      </c>
      <c r="C41" t="inlineStr">
        <is>
          <t>SATV20</t>
        </is>
      </c>
      <c r="D41" t="inlineStr">
        <is>
          <t>海南广联宏</t>
        </is>
      </c>
      <c r="E41" t="inlineStr">
        <is>
          <t>5-10亿元</t>
        </is>
      </c>
      <c r="G41" t="n">
        <v>80.2</v>
      </c>
      <c r="H41" t="n">
        <v>0.7</v>
      </c>
      <c r="I41" t="inlineStr">
        <is>
          <t>协会提示／报送异常</t>
        </is>
      </c>
      <c r="J41" t="inlineStr">
        <is>
          <t>协会公示区间</t>
        </is>
      </c>
      <c r="K41" t="inlineStr">
        <is>
          <t>https://gs.amac.org.cn/amac-infodisc/res/pof/manager/2109061042100364.html</t>
        </is>
      </c>
    </row>
    <row r="42">
      <c r="A42" t="n">
        <v>41</v>
      </c>
      <c r="B42" t="inlineStr">
        <is>
          <t>致同稳健成长1期</t>
        </is>
      </c>
      <c r="C42" t="inlineStr">
        <is>
          <t>SEP459</t>
        </is>
      </c>
      <c r="D42" t="inlineStr">
        <is>
          <t>上海致同投资</t>
        </is>
      </c>
      <c r="E42" t="inlineStr">
        <is>
          <t>20-50亿元</t>
        </is>
      </c>
      <c r="G42" t="n">
        <v>79.81999999999999</v>
      </c>
      <c r="H42" t="n">
        <v>0.88</v>
      </c>
      <c r="I42" t="inlineStr">
        <is>
          <t>监管警示函</t>
        </is>
      </c>
      <c r="J42" t="inlineStr">
        <is>
          <t>协会公示区间</t>
        </is>
      </c>
      <c r="K42" t="inlineStr">
        <is>
          <t>https://gs.amac.org.cn/amac-infodisc/res/pof/manager/101000004339.html</t>
        </is>
      </c>
    </row>
    <row r="43">
      <c r="A43" t="n">
        <v>42</v>
      </c>
      <c r="B43" t="inlineStr">
        <is>
          <t>龙帆恒盛稳固9号</t>
        </is>
      </c>
      <c r="C43" t="inlineStr">
        <is>
          <t>SSX605</t>
        </is>
      </c>
      <c r="D43" t="inlineStr">
        <is>
          <t>厦门龙帆资管</t>
        </is>
      </c>
      <c r="E43" t="inlineStr">
        <is>
          <t>5-10亿元</t>
        </is>
      </c>
      <c r="F43" t="n">
        <v>79.81223</v>
      </c>
      <c r="G43" t="n">
        <v>79.81</v>
      </c>
      <c r="H43" t="n">
        <v>1</v>
      </c>
      <c r="I43" t="inlineStr">
        <is>
          <t>本次公示未见相关记录</t>
        </is>
      </c>
      <c r="J43" t="inlineStr">
        <is>
          <t>协会公示区间</t>
        </is>
      </c>
      <c r="K43" t="inlineStr">
        <is>
          <t>https://gs.amac.org.cn/amac-infodisc/res/pof/manager/1611020850101525.html</t>
        </is>
      </c>
    </row>
    <row r="44">
      <c r="A44" t="n">
        <v>43</v>
      </c>
      <c r="B44" t="inlineStr">
        <is>
          <t>辰元优选稳健</t>
        </is>
      </c>
      <c r="C44" t="inlineStr">
        <is>
          <t>SZH690</t>
        </is>
      </c>
      <c r="D44" t="inlineStr">
        <is>
          <t>广东辰元</t>
        </is>
      </c>
      <c r="E44" t="inlineStr">
        <is>
          <t>20-50亿元</t>
        </is>
      </c>
      <c r="G44" t="n">
        <v>79.38</v>
      </c>
      <c r="H44" t="n">
        <v>0.88</v>
      </c>
      <c r="I44" t="inlineStr">
        <is>
          <t>本次公示未见相关记录</t>
        </is>
      </c>
      <c r="J44" t="inlineStr">
        <is>
          <t>协会公示区间</t>
        </is>
      </c>
      <c r="K44" t="inlineStr">
        <is>
          <t>https://gs.amac.org.cn/amac-infodisc/res/pof/manager/2209261520106658.html</t>
        </is>
      </c>
    </row>
    <row r="45">
      <c r="A45" t="n">
        <v>44</v>
      </c>
      <c r="B45" t="inlineStr">
        <is>
          <t>爱凡哲AH多空1号</t>
        </is>
      </c>
      <c r="C45" t="inlineStr">
        <is>
          <t>SVM785</t>
        </is>
      </c>
      <c r="D45" t="inlineStr">
        <is>
          <t>爱凡哲投资</t>
        </is>
      </c>
      <c r="E45" t="inlineStr">
        <is>
          <t>20-50亿元</t>
        </is>
      </c>
      <c r="F45" t="n">
        <v>79.08964</v>
      </c>
      <c r="G45" t="n">
        <v>79.09</v>
      </c>
      <c r="H45" t="n">
        <v>1</v>
      </c>
      <c r="I45" t="inlineStr">
        <is>
          <t>本次公示未见相关记录</t>
        </is>
      </c>
      <c r="J45" t="inlineStr">
        <is>
          <t>协会公示区间</t>
        </is>
      </c>
      <c r="K45" t="inlineStr">
        <is>
          <t>https://gs.amac.org.cn/amac-infodisc/res/pof/manager/1709181131101311.html</t>
        </is>
      </c>
    </row>
    <row r="46">
      <c r="A46" t="n">
        <v>45</v>
      </c>
      <c r="B46" t="inlineStr">
        <is>
          <t>平凡悟鑫</t>
        </is>
      </c>
      <c r="C46" t="inlineStr">
        <is>
          <t>SJ2870</t>
        </is>
      </c>
      <c r="D46" t="inlineStr">
        <is>
          <t>北京平凡</t>
        </is>
      </c>
      <c r="E46" t="inlineStr">
        <is>
          <t>50-100亿元</t>
        </is>
      </c>
      <c r="G46" t="n">
        <v>79</v>
      </c>
      <c r="H46" t="n">
        <v>0.88</v>
      </c>
      <c r="I46" t="inlineStr">
        <is>
          <t>本次公示未见相关记录</t>
        </is>
      </c>
      <c r="J46" t="inlineStr">
        <is>
          <t>协会公示区间</t>
        </is>
      </c>
      <c r="K46" t="inlineStr">
        <is>
          <t>https://gs.amac.org.cn/amac-infodisc/res/pof/manager/101000030286.html</t>
        </is>
      </c>
    </row>
    <row r="47">
      <c r="A47" t="n">
        <v>46</v>
      </c>
      <c r="B47" t="inlineStr">
        <is>
          <t>滨风屹禾7号</t>
        </is>
      </c>
      <c r="C47" t="inlineStr">
        <is>
          <t>SARF55</t>
        </is>
      </c>
      <c r="D47" t="inlineStr">
        <is>
          <t>鹰潭滨风投资</t>
        </is>
      </c>
      <c r="E47" t="inlineStr">
        <is>
          <t>5-10亿元</t>
        </is>
      </c>
      <c r="G47" t="n">
        <v>79</v>
      </c>
      <c r="H47" t="n">
        <v>0.15</v>
      </c>
      <c r="I47" t="inlineStr">
        <is>
          <t>本次公示未见相关记录</t>
        </is>
      </c>
      <c r="J47" t="inlineStr">
        <is>
          <t>协会公示区间</t>
        </is>
      </c>
      <c r="K47" t="inlineStr">
        <is>
          <t>https://gs.amac.org.cn/amac-infodisc/res/pof/manager/1801301704109241.html</t>
        </is>
      </c>
    </row>
    <row r="48">
      <c r="A48" t="n">
        <v>47</v>
      </c>
      <c r="B48" t="inlineStr">
        <is>
          <t>辰元稳健2号</t>
        </is>
      </c>
      <c r="C48" t="inlineStr">
        <is>
          <t>SZJ724</t>
        </is>
      </c>
      <c r="D48" t="inlineStr">
        <is>
          <t>广东辰元</t>
        </is>
      </c>
      <c r="E48" t="inlineStr">
        <is>
          <t>20-50亿元</t>
        </is>
      </c>
      <c r="F48" t="n">
        <v>78.66024</v>
      </c>
      <c r="G48" t="n">
        <v>78.66</v>
      </c>
      <c r="H48" t="n">
        <v>1</v>
      </c>
      <c r="I48" t="inlineStr">
        <is>
          <t>本次公示未见相关记录</t>
        </is>
      </c>
      <c r="J48" t="inlineStr">
        <is>
          <t>协会公示区间</t>
        </is>
      </c>
      <c r="K48" t="inlineStr">
        <is>
          <t>https://gs.amac.org.cn/amac-infodisc/res/pof/manager/2209261520106658.html</t>
        </is>
      </c>
    </row>
    <row r="49">
      <c r="A49" t="n">
        <v>48</v>
      </c>
      <c r="B49" t="inlineStr">
        <is>
          <t>宽辅优享1号</t>
        </is>
      </c>
      <c r="C49" t="inlineStr">
        <is>
          <t>SAKB02</t>
        </is>
      </c>
      <c r="D49" t="inlineStr">
        <is>
          <t>海南宽辅</t>
        </is>
      </c>
      <c r="E49" t="inlineStr">
        <is>
          <t>10-20亿元</t>
        </is>
      </c>
      <c r="G49" t="n">
        <v>78.31999999999999</v>
      </c>
      <c r="H49" t="n">
        <v>0.7</v>
      </c>
      <c r="I49" t="inlineStr">
        <is>
          <t>协会提示／报送异常</t>
        </is>
      </c>
      <c r="J49" t="inlineStr">
        <is>
          <t>协会公示区间</t>
        </is>
      </c>
      <c r="K49" t="inlineStr">
        <is>
          <t>https://gs.amac.org.cn/amac-infodisc/res/pof/manager/2302271449102202.html</t>
        </is>
      </c>
    </row>
    <row r="50">
      <c r="A50" t="n">
        <v>49</v>
      </c>
      <c r="B50" t="inlineStr">
        <is>
          <t>金和和善对冲5号</t>
        </is>
      </c>
      <c r="C50" t="inlineStr">
        <is>
          <t>SZX748</t>
        </is>
      </c>
      <c r="D50" t="inlineStr">
        <is>
          <t>上海金和晟</t>
        </is>
      </c>
      <c r="E50" t="inlineStr">
        <is>
          <t>20-50亿元</t>
        </is>
      </c>
      <c r="G50" t="n">
        <v>77.29000000000001</v>
      </c>
      <c r="H50" t="n">
        <v>0.88</v>
      </c>
      <c r="I50" t="inlineStr">
        <is>
          <t>本次公示未见相关记录</t>
        </is>
      </c>
      <c r="J50" t="inlineStr">
        <is>
          <t>协会公示区间</t>
        </is>
      </c>
      <c r="K50" t="inlineStr">
        <is>
          <t>https://gs.amac.org.cn/amac-infodisc/res/pof/manager/2010280957108370.html</t>
        </is>
      </c>
    </row>
    <row r="51">
      <c r="A51" t="n">
        <v>50</v>
      </c>
      <c r="B51" t="inlineStr">
        <is>
          <t>瑞倍稳聚1号</t>
        </is>
      </c>
      <c r="C51" t="inlineStr">
        <is>
          <t>SZF089</t>
        </is>
      </c>
      <c r="D51" t="inlineStr">
        <is>
          <t>宁波瑞倍</t>
        </is>
      </c>
      <c r="E51" t="inlineStr">
        <is>
          <t>10-20亿元</t>
        </is>
      </c>
      <c r="G51" t="n">
        <v>76.69</v>
      </c>
      <c r="H51" t="n">
        <v>0.7</v>
      </c>
      <c r="I51" t="inlineStr">
        <is>
          <t>本次公示未见相关记录</t>
        </is>
      </c>
      <c r="J51" t="inlineStr">
        <is>
          <t>协会公示区间</t>
        </is>
      </c>
      <c r="K51" t="inlineStr">
        <is>
          <t>https://gs.amac.org.cn/amac-infodisc/res/pof/manager/101000014169.html</t>
        </is>
      </c>
    </row>
    <row r="52">
      <c r="A52" t="n">
        <v>51</v>
      </c>
      <c r="B52" t="inlineStr">
        <is>
          <t>金和金诚5号</t>
        </is>
      </c>
      <c r="C52" t="inlineStr">
        <is>
          <t>SVZ035</t>
        </is>
      </c>
      <c r="D52" t="inlineStr">
        <is>
          <t>上海金和晟</t>
        </is>
      </c>
      <c r="E52" t="inlineStr">
        <is>
          <t>20-50亿元</t>
        </is>
      </c>
      <c r="G52" t="n">
        <v>76.51000000000001</v>
      </c>
      <c r="H52" t="n">
        <v>0.88</v>
      </c>
      <c r="I52" t="inlineStr">
        <is>
          <t>本次公示未见相关记录</t>
        </is>
      </c>
      <c r="J52" t="inlineStr">
        <is>
          <t>协会公示区间</t>
        </is>
      </c>
      <c r="K52" t="inlineStr">
        <is>
          <t>https://gs.amac.org.cn/amac-infodisc/res/pof/manager/2010280957108370.html</t>
        </is>
      </c>
    </row>
    <row r="53">
      <c r="A53" t="n">
        <v>52</v>
      </c>
      <c r="B53" t="inlineStr">
        <is>
          <t>庄贤亨贞期权对冲</t>
        </is>
      </c>
      <c r="C53" t="inlineStr">
        <is>
          <t>STW239</t>
        </is>
      </c>
      <c r="D53" t="inlineStr">
        <is>
          <t>杭州庄贤投资</t>
        </is>
      </c>
      <c r="E53" t="inlineStr">
        <is>
          <t>20-50亿元</t>
        </is>
      </c>
      <c r="F53" t="n">
        <v>76.43907</v>
      </c>
      <c r="G53" t="n">
        <v>76.44</v>
      </c>
      <c r="H53" t="n">
        <v>1</v>
      </c>
      <c r="I53" t="inlineStr">
        <is>
          <t>本次公示未见相关记录</t>
        </is>
      </c>
      <c r="J53" t="inlineStr">
        <is>
          <t>协会公示区间</t>
        </is>
      </c>
      <c r="K53" t="inlineStr">
        <is>
          <t>https://gs.amac.org.cn/amac-infodisc/res/pof/manager/1703280912100590.html</t>
        </is>
      </c>
    </row>
    <row r="54">
      <c r="A54" t="n">
        <v>53</v>
      </c>
      <c r="B54" t="inlineStr">
        <is>
          <t>在赢利贞一号</t>
        </is>
      </c>
      <c r="C54" t="inlineStr">
        <is>
          <t>SAGE45</t>
        </is>
      </c>
      <c r="D54" t="inlineStr">
        <is>
          <t>浙江在赢</t>
        </is>
      </c>
      <c r="E54" t="inlineStr">
        <is>
          <t>5-10亿元</t>
        </is>
      </c>
      <c r="G54" t="n">
        <v>75.98999999999999</v>
      </c>
      <c r="H54" t="n">
        <v>0.7</v>
      </c>
      <c r="I54" t="inlineStr">
        <is>
          <t>本次公示未见相关记录</t>
        </is>
      </c>
      <c r="J54" t="inlineStr">
        <is>
          <t>协会公示区间</t>
        </is>
      </c>
      <c r="K54" t="inlineStr">
        <is>
          <t>https://gs.amac.org.cn/amac-infodisc/res/pof/manager/101000009803.html</t>
        </is>
      </c>
    </row>
    <row r="55">
      <c r="A55" t="n">
        <v>54</v>
      </c>
      <c r="B55" t="inlineStr">
        <is>
          <t>殊馥兴义6号</t>
        </is>
      </c>
      <c r="C55" t="inlineStr">
        <is>
          <t>SXQ267</t>
        </is>
      </c>
      <c r="D55" t="inlineStr">
        <is>
          <t>上海殊馥投资</t>
        </is>
      </c>
      <c r="E55" t="inlineStr">
        <is>
          <t>10-20亿元</t>
        </is>
      </c>
      <c r="G55" t="n">
        <v>75.77</v>
      </c>
      <c r="H55" t="n">
        <v>0.88</v>
      </c>
      <c r="I55" t="inlineStr">
        <is>
          <t>协会提示／报送异常</t>
        </is>
      </c>
      <c r="J55" t="inlineStr">
        <is>
          <t>协会公示区间</t>
        </is>
      </c>
      <c r="K55" t="inlineStr">
        <is>
          <t>https://gs.amac.org.cn/amac-infodisc/res/pof/manager/101000042776.html</t>
        </is>
      </c>
    </row>
    <row r="56">
      <c r="A56" t="n">
        <v>55</v>
      </c>
      <c r="B56" t="inlineStr">
        <is>
          <t>博普稳增3号A类</t>
        </is>
      </c>
      <c r="C56" t="inlineStr">
        <is>
          <t>W7191A</t>
        </is>
      </c>
      <c r="D56" t="inlineStr">
        <is>
          <t>深圳博普科技</t>
        </is>
      </c>
      <c r="E56" t="inlineStr">
        <is>
          <t>100亿元以上</t>
        </is>
      </c>
      <c r="G56" t="n">
        <v>75.45</v>
      </c>
      <c r="H56" t="n">
        <v>0.955</v>
      </c>
      <c r="I56" t="inlineStr">
        <is>
          <t>本次公示未见相关记录</t>
        </is>
      </c>
      <c r="J56" t="inlineStr">
        <is>
          <t>协会公示区间</t>
        </is>
      </c>
      <c r="K56" t="inlineStr">
        <is>
          <t>https://gs.amac.org.cn/amac-infodisc/res/pof/manager/101000001136.html</t>
        </is>
      </c>
    </row>
    <row r="57">
      <c r="A57" t="n">
        <v>56</v>
      </c>
      <c r="B57" t="inlineStr">
        <is>
          <t>庄贤亨贞期权对冲A类</t>
        </is>
      </c>
      <c r="C57" t="inlineStr">
        <is>
          <t>TW239A</t>
        </is>
      </c>
      <c r="D57" t="inlineStr">
        <is>
          <t>杭州庄贤投资</t>
        </is>
      </c>
      <c r="E57" t="inlineStr">
        <is>
          <t>20-50亿元</t>
        </is>
      </c>
      <c r="G57" t="n">
        <v>75.33</v>
      </c>
      <c r="H57" t="n">
        <v>0.955</v>
      </c>
      <c r="I57" t="inlineStr">
        <is>
          <t>本次公示未见相关记录</t>
        </is>
      </c>
      <c r="J57" t="inlineStr">
        <is>
          <t>协会公示区间</t>
        </is>
      </c>
      <c r="K57" t="inlineStr">
        <is>
          <t>https://gs.amac.org.cn/amac-infodisc/res/pof/manager/1703280912100590.html</t>
        </is>
      </c>
    </row>
    <row r="58">
      <c r="A58" t="n">
        <v>57</v>
      </c>
      <c r="B58" t="inlineStr">
        <is>
          <t>慕途盈川1号</t>
        </is>
      </c>
      <c r="C58" t="inlineStr">
        <is>
          <t>SAQQ67</t>
        </is>
      </c>
      <c r="D58" t="inlineStr">
        <is>
          <t>慕途基金</t>
        </is>
      </c>
      <c r="E58" t="inlineStr">
        <is>
          <t>10-20亿元</t>
        </is>
      </c>
      <c r="G58" t="n">
        <v>75.15000000000001</v>
      </c>
      <c r="H58" t="n">
        <v>0.7</v>
      </c>
      <c r="I58" t="inlineStr">
        <is>
          <t>本次公示未见相关记录</t>
        </is>
      </c>
      <c r="J58" t="inlineStr">
        <is>
          <t>协会公示区间</t>
        </is>
      </c>
      <c r="K58" t="inlineStr">
        <is>
          <t>https://gs.amac.org.cn/amac-infodisc/res/pof/manager/2106221238106983.html</t>
        </is>
      </c>
    </row>
    <row r="59">
      <c r="A59" t="n">
        <v>58</v>
      </c>
      <c r="B59" t="inlineStr">
        <is>
          <t>殊馥兴义2号</t>
        </is>
      </c>
      <c r="C59" t="inlineStr">
        <is>
          <t>SGH592</t>
        </is>
      </c>
      <c r="D59" t="inlineStr">
        <is>
          <t>上海殊馥投资</t>
        </is>
      </c>
      <c r="E59" t="inlineStr">
        <is>
          <t>10-20亿元</t>
        </is>
      </c>
      <c r="G59" t="n">
        <v>75.12</v>
      </c>
      <c r="H59" t="n">
        <v>0.88</v>
      </c>
      <c r="I59" t="inlineStr">
        <is>
          <t>协会提示／报送异常</t>
        </is>
      </c>
      <c r="J59" t="inlineStr">
        <is>
          <t>协会公示区间</t>
        </is>
      </c>
      <c r="K59" t="inlineStr">
        <is>
          <t>https://gs.amac.org.cn/amac-infodisc/res/pof/manager/101000042776.html</t>
        </is>
      </c>
    </row>
    <row r="60">
      <c r="A60" t="n">
        <v>59</v>
      </c>
      <c r="B60" t="inlineStr">
        <is>
          <t>瑞倍稳聚1号D类</t>
        </is>
      </c>
      <c r="C60" t="inlineStr">
        <is>
          <t>ZF089D</t>
        </is>
      </c>
      <c r="D60" t="inlineStr">
        <is>
          <t>宁波瑞倍</t>
        </is>
      </c>
      <c r="E60" t="inlineStr">
        <is>
          <t>10-20亿元</t>
        </is>
      </c>
      <c r="G60" t="n">
        <v>74.77</v>
      </c>
      <c r="H60" t="n">
        <v>0.655</v>
      </c>
      <c r="I60" t="inlineStr">
        <is>
          <t>本次公示未见相关记录</t>
        </is>
      </c>
      <c r="J60" t="inlineStr">
        <is>
          <t>协会公示区间</t>
        </is>
      </c>
      <c r="K60" t="inlineStr">
        <is>
          <t>https://gs.amac.org.cn/amac-infodisc/res/pof/manager/101000014169.html</t>
        </is>
      </c>
    </row>
    <row r="61">
      <c r="A61" t="n">
        <v>60</v>
      </c>
      <c r="B61" t="inlineStr">
        <is>
          <t>博普稳增3号</t>
        </is>
      </c>
      <c r="C61" t="inlineStr">
        <is>
          <t>SW7191</t>
        </is>
      </c>
      <c r="D61" t="inlineStr">
        <is>
          <t>深圳博普科技</t>
        </is>
      </c>
      <c r="E61" t="inlineStr">
        <is>
          <t>100亿元以上</t>
        </is>
      </c>
      <c r="F61" t="n">
        <v>74.39078000000001</v>
      </c>
      <c r="G61" t="n">
        <v>74.39</v>
      </c>
      <c r="H61" t="n">
        <v>1</v>
      </c>
      <c r="I61" t="inlineStr">
        <is>
          <t>本次公示未见相关记录</t>
        </is>
      </c>
      <c r="J61" t="inlineStr">
        <is>
          <t>协会公示区间</t>
        </is>
      </c>
      <c r="K61" t="inlineStr">
        <is>
          <t>https://gs.amac.org.cn/amac-infodisc/res/pof/manager/101000001136.html</t>
        </is>
      </c>
    </row>
    <row r="62">
      <c r="A62" t="n">
        <v>61</v>
      </c>
      <c r="B62" t="inlineStr">
        <is>
          <t>泽盈毅明1号</t>
        </is>
      </c>
      <c r="C62" t="inlineStr">
        <is>
          <t>STP012</t>
        </is>
      </c>
      <c r="D62" t="inlineStr">
        <is>
          <t>青岛泽盈资管</t>
        </is>
      </c>
      <c r="E62" t="inlineStr">
        <is>
          <t>10-20亿元</t>
        </is>
      </c>
      <c r="F62" t="n">
        <v>74.22994</v>
      </c>
      <c r="G62" t="n">
        <v>74.23</v>
      </c>
      <c r="H62" t="n">
        <v>1</v>
      </c>
      <c r="I62" t="inlineStr">
        <is>
          <t>协会提示／报送异常</t>
        </is>
      </c>
      <c r="J62" t="inlineStr">
        <is>
          <t>协会公示区间</t>
        </is>
      </c>
      <c r="K62" t="inlineStr">
        <is>
          <t>https://gs.amac.org.cn/amac-infodisc/res/pof/manager/1710271352104113.html</t>
        </is>
      </c>
    </row>
    <row r="63">
      <c r="A63" t="n">
        <v>62</v>
      </c>
      <c r="B63" t="inlineStr">
        <is>
          <t>博普日添月益</t>
        </is>
      </c>
      <c r="C63" t="inlineStr">
        <is>
          <t>SJW903</t>
        </is>
      </c>
      <c r="D63" t="inlineStr">
        <is>
          <t>深圳前海博普资管</t>
        </is>
      </c>
      <c r="E63" t="inlineStr">
        <is>
          <t>50-100亿元</t>
        </is>
      </c>
      <c r="F63" t="n">
        <v>74.05345</v>
      </c>
      <c r="G63" t="n">
        <v>74.05</v>
      </c>
      <c r="H63" t="n">
        <v>1</v>
      </c>
      <c r="I63" t="inlineStr">
        <is>
          <t>本次公示未见相关记录</t>
        </is>
      </c>
      <c r="J63" t="inlineStr">
        <is>
          <t>协会公示区间</t>
        </is>
      </c>
      <c r="K63" t="inlineStr">
        <is>
          <t>https://gs.amac.org.cn/amac-infodisc/res/pof/manager/1709041706102598.html</t>
        </is>
      </c>
    </row>
    <row r="64">
      <c r="A64" t="n">
        <v>63</v>
      </c>
      <c r="B64" t="inlineStr">
        <is>
          <t>中益仁东染千顷</t>
        </is>
      </c>
      <c r="C64" t="inlineStr">
        <is>
          <t>SXK740</t>
        </is>
      </c>
      <c r="D64" t="inlineStr">
        <is>
          <t>日照中益仁</t>
        </is>
      </c>
      <c r="E64" t="inlineStr">
        <is>
          <t>10-20亿元</t>
        </is>
      </c>
      <c r="G64" t="n">
        <v>73.66</v>
      </c>
      <c r="H64" t="n">
        <v>0.88</v>
      </c>
      <c r="I64" t="inlineStr">
        <is>
          <t>本次公示未见相关记录</t>
        </is>
      </c>
      <c r="J64" t="inlineStr">
        <is>
          <t>协会公示区间</t>
        </is>
      </c>
      <c r="K64" t="inlineStr">
        <is>
          <t>https://gs.amac.org.cn/amac-infodisc/res/pof/manager/1708291806108811.html</t>
        </is>
      </c>
    </row>
    <row r="65">
      <c r="A65" t="n">
        <v>64</v>
      </c>
      <c r="B65" t="inlineStr">
        <is>
          <t>橡杉量化套利十号</t>
        </is>
      </c>
      <c r="C65" t="inlineStr">
        <is>
          <t>SLY435</t>
        </is>
      </c>
      <c r="D65" t="inlineStr">
        <is>
          <t>上海橡杉资管</t>
        </is>
      </c>
      <c r="E65" t="inlineStr">
        <is>
          <t>5-10亿元</t>
        </is>
      </c>
      <c r="G65" t="n">
        <v>73.53</v>
      </c>
      <c r="H65" t="n">
        <v>0.88</v>
      </c>
      <c r="I65" t="inlineStr">
        <is>
          <t>本次公示未见相关记录</t>
        </is>
      </c>
      <c r="J65" t="inlineStr">
        <is>
          <t>协会公示区间</t>
        </is>
      </c>
      <c r="K65" t="inlineStr">
        <is>
          <t>https://gs.amac.org.cn/amac-infodisc/res/pof/manager/1609080127100430.html</t>
        </is>
      </c>
    </row>
    <row r="66">
      <c r="A66" t="n">
        <v>65</v>
      </c>
      <c r="B66" t="inlineStr">
        <is>
          <t>杨湜套利1号</t>
        </is>
      </c>
      <c r="C66" t="inlineStr">
        <is>
          <t>SB6565</t>
        </is>
      </c>
      <c r="D66" t="inlineStr">
        <is>
          <t>上海杨湜投资</t>
        </is>
      </c>
      <c r="E66" t="inlineStr">
        <is>
          <t>10-20亿元</t>
        </is>
      </c>
      <c r="F66" t="n">
        <v>72.95766</v>
      </c>
      <c r="G66" t="n">
        <v>72.95999999999999</v>
      </c>
      <c r="H66" t="n">
        <v>1</v>
      </c>
      <c r="I66" t="inlineStr">
        <is>
          <t>本次公示未见相关记录</t>
        </is>
      </c>
      <c r="J66" t="inlineStr">
        <is>
          <t>协会公示区间</t>
        </is>
      </c>
      <c r="K66" t="inlineStr">
        <is>
          <t>https://gs.amac.org.cn/amac-infodisc/res/pof/manager/101000070776.html</t>
        </is>
      </c>
    </row>
    <row r="67">
      <c r="A67" t="n">
        <v>66</v>
      </c>
      <c r="B67" t="inlineStr">
        <is>
          <t>博普日添月益A类</t>
        </is>
      </c>
      <c r="C67" t="inlineStr">
        <is>
          <t>JW903A</t>
        </is>
      </c>
      <c r="D67" t="inlineStr">
        <is>
          <t>深圳前海博普资管</t>
        </is>
      </c>
      <c r="E67" t="inlineStr">
        <is>
          <t>50-100亿元</t>
        </is>
      </c>
      <c r="G67" t="n">
        <v>72.92</v>
      </c>
      <c r="H67" t="n">
        <v>0.955</v>
      </c>
      <c r="I67" t="inlineStr">
        <is>
          <t>本次公示未见相关记录</t>
        </is>
      </c>
      <c r="J67" t="inlineStr">
        <is>
          <t>协会公示区间</t>
        </is>
      </c>
      <c r="K67" t="inlineStr">
        <is>
          <t>https://gs.amac.org.cn/amac-infodisc/res/pof/manager/1709041706102598.html</t>
        </is>
      </c>
    </row>
    <row r="68">
      <c r="A68" t="n">
        <v>67</v>
      </c>
      <c r="B68" t="inlineStr">
        <is>
          <t>盛冠达泽众9号</t>
        </is>
      </c>
      <c r="C68" t="inlineStr">
        <is>
          <t>SAWX37</t>
        </is>
      </c>
      <c r="D68" t="inlineStr">
        <is>
          <t>海南盛冠达</t>
        </is>
      </c>
      <c r="E68" t="inlineStr">
        <is>
          <t>20-50亿元</t>
        </is>
      </c>
      <c r="G68" t="n">
        <v>72.56</v>
      </c>
      <c r="H68" t="n">
        <v>0.724</v>
      </c>
      <c r="I68" t="inlineStr">
        <is>
          <t>本次公示未见相关记录</t>
        </is>
      </c>
      <c r="J68" t="inlineStr">
        <is>
          <t>协会公示区间</t>
        </is>
      </c>
      <c r="K68" t="inlineStr">
        <is>
          <t>https://gs.amac.org.cn/amac-infodisc/res/pof/manager/101000001663.html</t>
        </is>
      </c>
    </row>
    <row r="69">
      <c r="A69" t="n">
        <v>68</v>
      </c>
      <c r="B69" t="inlineStr">
        <is>
          <t>九招真格量化商品套利一号</t>
        </is>
      </c>
      <c r="C69" t="inlineStr">
        <is>
          <t>STK200</t>
        </is>
      </c>
      <c r="D69" t="inlineStr">
        <is>
          <t>武汉九招</t>
        </is>
      </c>
      <c r="E69" t="inlineStr">
        <is>
          <t>5-10亿元</t>
        </is>
      </c>
      <c r="F69" t="n">
        <v>72.13105</v>
      </c>
      <c r="G69" t="n">
        <v>72.13</v>
      </c>
      <c r="H69" t="n">
        <v>1</v>
      </c>
      <c r="I69" t="inlineStr">
        <is>
          <t>监管警示函</t>
        </is>
      </c>
      <c r="J69" t="inlineStr">
        <is>
          <t>协会公示区间</t>
        </is>
      </c>
      <c r="K69" t="inlineStr">
        <is>
          <t>https://gs.amac.org.cn/amac-infodisc/res/pof/manager/2301051740101642.html</t>
        </is>
      </c>
    </row>
    <row r="70">
      <c r="A70" t="n">
        <v>69</v>
      </c>
      <c r="B70" t="inlineStr">
        <is>
          <t>致同添利套利多策略三期</t>
        </is>
      </c>
      <c r="C70" t="inlineStr">
        <is>
          <t>STY632</t>
        </is>
      </c>
      <c r="D70" t="inlineStr">
        <is>
          <t>上海致同投资</t>
        </is>
      </c>
      <c r="E70" t="inlineStr">
        <is>
          <t>20-50亿元</t>
        </is>
      </c>
      <c r="G70" t="n">
        <v>72.12</v>
      </c>
      <c r="H70" t="n">
        <v>0.88</v>
      </c>
      <c r="I70" t="inlineStr">
        <is>
          <t>监管警示函</t>
        </is>
      </c>
      <c r="J70" t="inlineStr">
        <is>
          <t>协会公示区间</t>
        </is>
      </c>
      <c r="K70" t="inlineStr">
        <is>
          <t>https://gs.amac.org.cn/amac-infodisc/res/pof/manager/101000004339.html</t>
        </is>
      </c>
    </row>
    <row r="71">
      <c r="A71" t="n">
        <v>70</v>
      </c>
      <c r="B71" t="inlineStr">
        <is>
          <t>俊丹湾谷二号</t>
        </is>
      </c>
      <c r="C71" t="inlineStr">
        <is>
          <t>SLQ627</t>
        </is>
      </c>
      <c r="D71" t="inlineStr">
        <is>
          <t>上海俊丹</t>
        </is>
      </c>
      <c r="E71" t="inlineStr">
        <is>
          <t>10-20亿元</t>
        </is>
      </c>
      <c r="G71" t="n">
        <v>72</v>
      </c>
      <c r="H71" t="n">
        <v>0.88</v>
      </c>
      <c r="I71" t="inlineStr">
        <is>
          <t>本次公示未见相关记录</t>
        </is>
      </c>
      <c r="J71" t="inlineStr">
        <is>
          <t>协会公示区间</t>
        </is>
      </c>
      <c r="K71" t="inlineStr">
        <is>
          <t>https://gs.amac.org.cn/amac-infodisc/res/pof/manager/1907181104109037.html</t>
        </is>
      </c>
    </row>
    <row r="72">
      <c r="A72" t="n">
        <v>71</v>
      </c>
      <c r="B72" t="inlineStr">
        <is>
          <t>博益安盈精英1号</t>
        </is>
      </c>
      <c r="C72" t="inlineStr">
        <is>
          <t>SL9566</t>
        </is>
      </c>
      <c r="D72" t="inlineStr">
        <is>
          <t>深圳博益安盈</t>
        </is>
      </c>
      <c r="E72" t="inlineStr">
        <is>
          <t>5-10亿元</t>
        </is>
      </c>
      <c r="G72" t="n">
        <v>71.95999999999999</v>
      </c>
      <c r="H72" t="n">
        <v>0.88</v>
      </c>
      <c r="I72" t="inlineStr">
        <is>
          <t>本次公示未见相关记录</t>
        </is>
      </c>
      <c r="J72" t="inlineStr">
        <is>
          <t>协会公示区间</t>
        </is>
      </c>
      <c r="K72" t="inlineStr">
        <is>
          <t>https://gs.amac.org.cn/amac-infodisc/res/pof/manager/101000052138.html</t>
        </is>
      </c>
    </row>
    <row r="73">
      <c r="A73" t="n">
        <v>72</v>
      </c>
      <c r="B73" t="inlineStr">
        <is>
          <t>致同稳盈对冲</t>
        </is>
      </c>
      <c r="C73" t="inlineStr">
        <is>
          <t>SS8645</t>
        </is>
      </c>
      <c r="D73" t="inlineStr">
        <is>
          <t>上海致同投资</t>
        </is>
      </c>
      <c r="E73" t="inlineStr">
        <is>
          <t>20-50亿元</t>
        </is>
      </c>
      <c r="G73" t="n">
        <v>71.18000000000001</v>
      </c>
      <c r="H73" t="n">
        <v>0.88</v>
      </c>
      <c r="I73" t="inlineStr">
        <is>
          <t>监管警示函</t>
        </is>
      </c>
      <c r="J73" t="inlineStr">
        <is>
          <t>协会公示区间</t>
        </is>
      </c>
      <c r="K73" t="inlineStr">
        <is>
          <t>https://gs.amac.org.cn/amac-infodisc/res/pof/manager/101000004339.html</t>
        </is>
      </c>
    </row>
    <row r="74">
      <c r="A74" t="n">
        <v>73</v>
      </c>
      <c r="B74" t="inlineStr">
        <is>
          <t>盛冠达泽众9号A类</t>
        </is>
      </c>
      <c r="C74" t="inlineStr">
        <is>
          <t>AWX37A</t>
        </is>
      </c>
      <c r="D74" t="inlineStr">
        <is>
          <t>海南盛冠达</t>
        </is>
      </c>
      <c r="E74" t="inlineStr">
        <is>
          <t>20-50亿元</t>
        </is>
      </c>
      <c r="G74" t="n">
        <v>70.84</v>
      </c>
      <c r="H74" t="n">
        <v>0.679</v>
      </c>
      <c r="I74" t="inlineStr">
        <is>
          <t>本次公示未见相关记录</t>
        </is>
      </c>
      <c r="J74" t="inlineStr">
        <is>
          <t>协会公示区间</t>
        </is>
      </c>
      <c r="K74" t="inlineStr">
        <is>
          <t>https://gs.amac.org.cn/amac-infodisc/res/pof/manager/101000001663.html</t>
        </is>
      </c>
    </row>
    <row r="75">
      <c r="A75" t="n">
        <v>74</v>
      </c>
      <c r="B75" t="inlineStr">
        <is>
          <t>致同添利套利多策略三期A类</t>
        </is>
      </c>
      <c r="C75" t="inlineStr">
        <is>
          <t>TY632A</t>
        </is>
      </c>
      <c r="D75" t="inlineStr">
        <is>
          <t>上海致同投资</t>
        </is>
      </c>
      <c r="E75" t="inlineStr">
        <is>
          <t>20-50亿元</t>
        </is>
      </c>
      <c r="G75" t="n">
        <v>70.72</v>
      </c>
      <c r="H75" t="n">
        <v>0.835</v>
      </c>
      <c r="I75" t="inlineStr">
        <is>
          <t>监管警示函</t>
        </is>
      </c>
      <c r="J75" t="inlineStr">
        <is>
          <t>协会公示区间</t>
        </is>
      </c>
      <c r="K75" t="inlineStr">
        <is>
          <t>https://gs.amac.org.cn/amac-infodisc/res/pof/manager/101000004339.html</t>
        </is>
      </c>
    </row>
    <row r="76">
      <c r="A76" t="n">
        <v>75</v>
      </c>
      <c r="B76" t="inlineStr">
        <is>
          <t>慕途基本面量化2号</t>
        </is>
      </c>
      <c r="C76" t="inlineStr">
        <is>
          <t>SB9576</t>
        </is>
      </c>
      <c r="D76" t="inlineStr">
        <is>
          <t>慕途基金</t>
        </is>
      </c>
      <c r="E76" t="inlineStr">
        <is>
          <t>10-20亿元</t>
        </is>
      </c>
      <c r="G76" t="n">
        <v>70.56999999999999</v>
      </c>
      <c r="H76" t="n">
        <v>0.88</v>
      </c>
      <c r="I76" t="inlineStr">
        <is>
          <t>本次公示未见相关记录</t>
        </is>
      </c>
      <c r="J76" t="inlineStr">
        <is>
          <t>协会公示区间</t>
        </is>
      </c>
      <c r="K76" t="inlineStr">
        <is>
          <t>https://gs.amac.org.cn/amac-infodisc/res/pof/manager/2106221238106983.html</t>
        </is>
      </c>
    </row>
    <row r="77">
      <c r="A77" t="n">
        <v>76</v>
      </c>
      <c r="B77" t="inlineStr">
        <is>
          <t>奶酪鑫鑫宝九号</t>
        </is>
      </c>
      <c r="C77" t="inlineStr">
        <is>
          <t>SACM90</t>
        </is>
      </c>
      <c r="D77" t="inlineStr">
        <is>
          <t>广东奶酪</t>
        </is>
      </c>
      <c r="E77" t="inlineStr">
        <is>
          <t>10-20亿元</t>
        </is>
      </c>
      <c r="G77" t="n">
        <v>70.41</v>
      </c>
      <c r="H77" t="n">
        <v>0.27</v>
      </c>
      <c r="I77" t="inlineStr">
        <is>
          <t>本次公示未见相关记录</t>
        </is>
      </c>
      <c r="J77" t="inlineStr">
        <is>
          <t>协会公示区间</t>
        </is>
      </c>
      <c r="K77" t="inlineStr">
        <is>
          <t>https://gs.amac.org.cn/amac-infodisc/res/pof/manager/101000045017.html</t>
        </is>
      </c>
    </row>
    <row r="78">
      <c r="A78" t="n">
        <v>77</v>
      </c>
      <c r="B78" t="inlineStr">
        <is>
          <t>博益安盈精英1号A类</t>
        </is>
      </c>
      <c r="C78" t="inlineStr">
        <is>
          <t>L9566A</t>
        </is>
      </c>
      <c r="D78" t="inlineStr">
        <is>
          <t>深圳博益安盈</t>
        </is>
      </c>
      <c r="E78" t="inlineStr">
        <is>
          <t>5-10亿元</t>
        </is>
      </c>
      <c r="G78" t="n">
        <v>70.31999999999999</v>
      </c>
      <c r="H78" t="n">
        <v>0.655</v>
      </c>
      <c r="I78" t="inlineStr">
        <is>
          <t>本次公示未见相关记录</t>
        </is>
      </c>
      <c r="J78" t="inlineStr">
        <is>
          <t>协会公示区间</t>
        </is>
      </c>
      <c r="K78" t="inlineStr">
        <is>
          <t>https://gs.amac.org.cn/amac-infodisc/res/pof/manager/101000052138.html</t>
        </is>
      </c>
    </row>
    <row r="79">
      <c r="A79" t="n">
        <v>78</v>
      </c>
      <c r="B79" t="inlineStr">
        <is>
          <t>恒如套利三号</t>
        </is>
      </c>
      <c r="C79" t="inlineStr">
        <is>
          <t>SGQ731</t>
        </is>
      </c>
      <c r="D79" t="inlineStr">
        <is>
          <t>上海恒如投资</t>
        </is>
      </c>
      <c r="E79" t="inlineStr">
        <is>
          <t>5-10亿元</t>
        </is>
      </c>
      <c r="F79" t="n">
        <v>70.11400999999999</v>
      </c>
      <c r="G79" t="n">
        <v>70.11</v>
      </c>
      <c r="H79" t="n">
        <v>1</v>
      </c>
      <c r="I79" t="inlineStr">
        <is>
          <t>协会提示／报送异常</t>
        </is>
      </c>
      <c r="J79" t="inlineStr">
        <is>
          <t>协会公示区间</t>
        </is>
      </c>
      <c r="K79" t="inlineStr">
        <is>
          <t>https://gs.amac.org.cn/amac-infodisc/res/pof/manager/101000001221.html</t>
        </is>
      </c>
    </row>
    <row r="80">
      <c r="A80" t="n">
        <v>79</v>
      </c>
      <c r="B80" t="inlineStr">
        <is>
          <t>博普跨市场1号A类</t>
        </is>
      </c>
      <c r="C80" t="inlineStr">
        <is>
          <t>N5169A</t>
        </is>
      </c>
      <c r="D80" t="inlineStr">
        <is>
          <t>深圳博普科技</t>
        </is>
      </c>
      <c r="E80" t="inlineStr">
        <is>
          <t>100亿元以上</t>
        </is>
      </c>
      <c r="G80" t="n">
        <v>70.03</v>
      </c>
      <c r="H80" t="n">
        <v>0.955</v>
      </c>
      <c r="I80" t="inlineStr">
        <is>
          <t>本次公示未见相关记录</t>
        </is>
      </c>
      <c r="J80" t="inlineStr">
        <is>
          <t>协会公示区间</t>
        </is>
      </c>
      <c r="K80" t="inlineStr">
        <is>
          <t>https://gs.amac.org.cn/amac-infodisc/res/pof/manager/101000001136.html</t>
        </is>
      </c>
    </row>
    <row r="81">
      <c r="A81" t="n">
        <v>80</v>
      </c>
      <c r="B81" t="inlineStr">
        <is>
          <t>木莲安澜1号A类</t>
        </is>
      </c>
      <c r="C81" t="inlineStr">
        <is>
          <t>ATL22A</t>
        </is>
      </c>
      <c r="D81" t="inlineStr">
        <is>
          <t>深圳木莲</t>
        </is>
      </c>
      <c r="E81" t="inlineStr">
        <is>
          <t>5-10亿元</t>
        </is>
      </c>
      <c r="G81" t="n">
        <v>70</v>
      </c>
      <c r="H81" t="n">
        <v>0.105</v>
      </c>
      <c r="I81" t="inlineStr">
        <is>
          <t>协会提示／报送异常</t>
        </is>
      </c>
      <c r="J81" t="inlineStr">
        <is>
          <t>协会公示区间</t>
        </is>
      </c>
      <c r="K81" t="inlineStr">
        <is>
          <t>https://gs.amac.org.cn/amac-infodisc/res/pof/manager/101000023487.html</t>
        </is>
      </c>
    </row>
    <row r="82">
      <c r="A82" t="n">
        <v>81</v>
      </c>
      <c r="B82" t="inlineStr">
        <is>
          <t>鋆晟衡泰进取1号B类</t>
        </is>
      </c>
      <c r="C82" t="inlineStr">
        <is>
          <t>B4982B</t>
        </is>
      </c>
      <c r="D82" t="inlineStr">
        <is>
          <t>上海鋆晟投资</t>
        </is>
      </c>
      <c r="E82" t="inlineStr">
        <is>
          <t>5-10亿元</t>
        </is>
      </c>
      <c r="G82" t="n">
        <v>70</v>
      </c>
      <c r="H82" t="n">
        <v>0.105</v>
      </c>
      <c r="I82" t="inlineStr">
        <is>
          <t>本次公示未见相关记录</t>
        </is>
      </c>
      <c r="J82" t="inlineStr">
        <is>
          <t>协会公示区间</t>
        </is>
      </c>
      <c r="K82" t="inlineStr">
        <is>
          <t>https://gs.amac.org.cn/amac-infodisc/res/pof/manager/101000039679.html</t>
        </is>
      </c>
    </row>
    <row r="83">
      <c r="A83" t="n">
        <v>82</v>
      </c>
      <c r="B83" t="inlineStr">
        <is>
          <t>致同云峰A</t>
        </is>
      </c>
      <c r="C83" t="inlineStr">
        <is>
          <t>SNB380</t>
        </is>
      </c>
      <c r="D83" t="inlineStr">
        <is>
          <t>上海致同投资</t>
        </is>
      </c>
      <c r="E83" t="inlineStr">
        <is>
          <t>20-50亿元</t>
        </is>
      </c>
      <c r="G83" t="n">
        <v>69.59999999999999</v>
      </c>
      <c r="H83" t="n">
        <v>0.88</v>
      </c>
      <c r="I83" t="inlineStr">
        <is>
          <t>监管警示函</t>
        </is>
      </c>
      <c r="J83" t="inlineStr">
        <is>
          <t>协会公示区间</t>
        </is>
      </c>
      <c r="K83" t="inlineStr">
        <is>
          <t>https://gs.amac.org.cn/amac-infodisc/res/pof/manager/101000004339.html</t>
        </is>
      </c>
    </row>
    <row r="84">
      <c r="A84" t="n">
        <v>83</v>
      </c>
      <c r="B84" t="inlineStr">
        <is>
          <t>广联宏丰利1号</t>
        </is>
      </c>
      <c r="C84" t="inlineStr">
        <is>
          <t>SAGN89</t>
        </is>
      </c>
      <c r="D84" t="inlineStr">
        <is>
          <t>海南广联宏</t>
        </is>
      </c>
      <c r="E84" t="inlineStr">
        <is>
          <t>5-10亿元</t>
        </is>
      </c>
      <c r="G84" t="n">
        <v>69.29000000000001</v>
      </c>
      <c r="H84" t="n">
        <v>0.7</v>
      </c>
      <c r="I84" t="inlineStr">
        <is>
          <t>协会提示／报送异常</t>
        </is>
      </c>
      <c r="J84" t="inlineStr">
        <is>
          <t>协会公示区间</t>
        </is>
      </c>
      <c r="K84" t="inlineStr">
        <is>
          <t>https://gs.amac.org.cn/amac-infodisc/res/pof/manager/2109061042100364.html</t>
        </is>
      </c>
    </row>
    <row r="85">
      <c r="A85" t="n">
        <v>84</v>
      </c>
      <c r="B85" t="inlineStr">
        <is>
          <t>巨量边界ETF对冲1号</t>
        </is>
      </c>
      <c r="C85" t="inlineStr">
        <is>
          <t>SAGT43</t>
        </is>
      </c>
      <c r="D85" t="inlineStr">
        <is>
          <t>北京巨量边界</t>
        </is>
      </c>
      <c r="E85" t="inlineStr">
        <is>
          <t>20-50亿元</t>
        </is>
      </c>
      <c r="G85" t="n">
        <v>69.28</v>
      </c>
      <c r="H85" t="n">
        <v>0.7</v>
      </c>
      <c r="I85" t="inlineStr">
        <is>
          <t>协会提示／报送异常</t>
        </is>
      </c>
      <c r="J85" t="inlineStr">
        <is>
          <t>协会公示区间</t>
        </is>
      </c>
      <c r="K85" t="inlineStr">
        <is>
          <t>https://gs.amac.org.cn/amac-infodisc/res/pof/manager/2107271706122405.html</t>
        </is>
      </c>
    </row>
    <row r="86">
      <c r="A86" t="n">
        <v>85</v>
      </c>
      <c r="B86" t="inlineStr">
        <is>
          <t>慕途基本面量化1号</t>
        </is>
      </c>
      <c r="C86" t="inlineStr">
        <is>
          <t>SVW787</t>
        </is>
      </c>
      <c r="D86" t="inlineStr">
        <is>
          <t>慕途基金</t>
        </is>
      </c>
      <c r="E86" t="inlineStr">
        <is>
          <t>10-20亿元</t>
        </is>
      </c>
      <c r="G86" t="n">
        <v>69.27</v>
      </c>
      <c r="H86" t="n">
        <v>0.88</v>
      </c>
      <c r="I86" t="inlineStr">
        <is>
          <t>本次公示未见相关记录</t>
        </is>
      </c>
      <c r="J86" t="inlineStr">
        <is>
          <t>协会公示区间</t>
        </is>
      </c>
      <c r="K86" t="inlineStr">
        <is>
          <t>https://gs.amac.org.cn/amac-infodisc/res/pof/manager/2106221238106983.html</t>
        </is>
      </c>
    </row>
    <row r="87">
      <c r="A87" t="n">
        <v>86</v>
      </c>
      <c r="B87" t="inlineStr">
        <is>
          <t>致同云峰AA类</t>
        </is>
      </c>
      <c r="C87" t="inlineStr">
        <is>
          <t>NB380A</t>
        </is>
      </c>
      <c r="D87" t="inlineStr">
        <is>
          <t>上海致同投资</t>
        </is>
      </c>
      <c r="E87" t="inlineStr">
        <is>
          <t>20-50亿元</t>
        </is>
      </c>
      <c r="G87" t="n">
        <v>69.13</v>
      </c>
      <c r="H87" t="n">
        <v>0.835</v>
      </c>
      <c r="I87" t="inlineStr">
        <is>
          <t>监管警示函</t>
        </is>
      </c>
      <c r="J87" t="inlineStr">
        <is>
          <t>协会公示区间</t>
        </is>
      </c>
      <c r="K87" t="inlineStr">
        <is>
          <t>https://gs.amac.org.cn/amac-infodisc/res/pof/manager/101000004339.html</t>
        </is>
      </c>
    </row>
    <row r="88">
      <c r="A88" t="n">
        <v>87</v>
      </c>
      <c r="B88" t="inlineStr">
        <is>
          <t>殊馥馥源套利1号</t>
        </is>
      </c>
      <c r="C88" t="inlineStr">
        <is>
          <t>SGM512</t>
        </is>
      </c>
      <c r="D88" t="inlineStr">
        <is>
          <t>上海殊馥投资</t>
        </is>
      </c>
      <c r="E88" t="inlineStr">
        <is>
          <t>10-20亿元</t>
        </is>
      </c>
      <c r="F88" t="n">
        <v>69.11573</v>
      </c>
      <c r="G88" t="n">
        <v>69.12</v>
      </c>
      <c r="H88" t="n">
        <v>1</v>
      </c>
      <c r="I88" t="inlineStr">
        <is>
          <t>协会提示／报送异常</t>
        </is>
      </c>
      <c r="J88" t="inlineStr">
        <is>
          <t>协会公示区间</t>
        </is>
      </c>
      <c r="K88" t="inlineStr">
        <is>
          <t>https://gs.amac.org.cn/amac-infodisc/res/pof/manager/101000042776.html</t>
        </is>
      </c>
    </row>
    <row r="89">
      <c r="A89" t="n">
        <v>88</v>
      </c>
      <c r="B89" t="inlineStr">
        <is>
          <t>博普跨市场1号</t>
        </is>
      </c>
      <c r="C89" t="inlineStr">
        <is>
          <t>SN5169</t>
        </is>
      </c>
      <c r="D89" t="inlineStr">
        <is>
          <t>深圳博普科技</t>
        </is>
      </c>
      <c r="E89" t="inlineStr">
        <is>
          <t>100亿元以上</t>
        </is>
      </c>
      <c r="F89" t="n">
        <v>68.83605</v>
      </c>
      <c r="G89" t="n">
        <v>68.84</v>
      </c>
      <c r="H89" t="n">
        <v>1</v>
      </c>
      <c r="I89" t="inlineStr">
        <is>
          <t>本次公示未见相关记录</t>
        </is>
      </c>
      <c r="J89" t="inlineStr">
        <is>
          <t>协会公示区间</t>
        </is>
      </c>
      <c r="K89" t="inlineStr">
        <is>
          <t>https://gs.amac.org.cn/amac-infodisc/res/pof/manager/101000001136.html</t>
        </is>
      </c>
    </row>
    <row r="90">
      <c r="A90" t="n">
        <v>89</v>
      </c>
      <c r="B90" t="inlineStr">
        <is>
          <t>鋆晟衡泰进取1号</t>
        </is>
      </c>
      <c r="C90" t="inlineStr">
        <is>
          <t>SB4982</t>
        </is>
      </c>
      <c r="D90" t="inlineStr">
        <is>
          <t>上海鋆晟投资</t>
        </is>
      </c>
      <c r="E90" t="inlineStr">
        <is>
          <t>5-10亿元</t>
        </is>
      </c>
      <c r="G90" t="n">
        <v>68.83</v>
      </c>
      <c r="H90" t="n">
        <v>0.7</v>
      </c>
      <c r="I90" t="inlineStr">
        <is>
          <t>本次公示未见相关记录</t>
        </is>
      </c>
      <c r="J90" t="inlineStr">
        <is>
          <t>协会公示区间</t>
        </is>
      </c>
      <c r="K90" t="inlineStr">
        <is>
          <t>https://gs.amac.org.cn/amac-infodisc/res/pof/manager/101000039679.html</t>
        </is>
      </c>
    </row>
    <row r="91">
      <c r="A91" t="n">
        <v>90</v>
      </c>
      <c r="B91" t="inlineStr">
        <is>
          <t>泰创稳增1号</t>
        </is>
      </c>
      <c r="C91" t="inlineStr">
        <is>
          <t>SZV527</t>
        </is>
      </c>
      <c r="D91" t="inlineStr">
        <is>
          <t>北京泰创投资</t>
        </is>
      </c>
      <c r="E91" t="inlineStr">
        <is>
          <t>5-10亿元</t>
        </is>
      </c>
      <c r="F91" t="n">
        <v>68.35574</v>
      </c>
      <c r="G91" t="n">
        <v>68.36</v>
      </c>
      <c r="H91" t="n">
        <v>1</v>
      </c>
      <c r="I91" t="inlineStr">
        <is>
          <t>本次公示未见相关记录</t>
        </is>
      </c>
      <c r="J91" t="inlineStr">
        <is>
          <t>协会公示区间</t>
        </is>
      </c>
      <c r="K91" t="inlineStr">
        <is>
          <t>https://gs.amac.org.cn/amac-infodisc/res/pof/manager/101000008864.html</t>
        </is>
      </c>
    </row>
    <row r="92">
      <c r="A92" t="n">
        <v>91</v>
      </c>
      <c r="B92" t="inlineStr">
        <is>
          <t>金和至信稳健13号</t>
        </is>
      </c>
      <c r="C92" t="inlineStr">
        <is>
          <t>SAAP55</t>
        </is>
      </c>
      <c r="D92" t="inlineStr">
        <is>
          <t>上海金和晟</t>
        </is>
      </c>
      <c r="E92" t="inlineStr">
        <is>
          <t>20-50亿元</t>
        </is>
      </c>
      <c r="G92" t="n">
        <v>67.31999999999999</v>
      </c>
      <c r="H92" t="n">
        <v>0.7</v>
      </c>
      <c r="I92" t="inlineStr">
        <is>
          <t>本次公示未见相关记录</t>
        </is>
      </c>
      <c r="J92" t="inlineStr">
        <is>
          <t>协会公示区间</t>
        </is>
      </c>
      <c r="K92" t="inlineStr">
        <is>
          <t>https://gs.amac.org.cn/amac-infodisc/res/pof/manager/2010280957108370.html</t>
        </is>
      </c>
    </row>
    <row r="93">
      <c r="A93" t="n">
        <v>92</v>
      </c>
      <c r="B93" t="inlineStr">
        <is>
          <t>展弘-朝熠稳健1号</t>
        </is>
      </c>
      <c r="C93" t="inlineStr">
        <is>
          <t>SABF69</t>
        </is>
      </c>
      <c r="D93" t="inlineStr">
        <is>
          <t>上海展弘投资</t>
        </is>
      </c>
      <c r="E93" t="inlineStr">
        <is>
          <t>100亿元以上</t>
        </is>
      </c>
      <c r="G93" t="n">
        <v>67.13</v>
      </c>
      <c r="H93" t="n">
        <v>0.7</v>
      </c>
      <c r="I93" t="inlineStr">
        <is>
          <t>本次公示未见相关记录</t>
        </is>
      </c>
      <c r="J93" t="inlineStr">
        <is>
          <t>协会公示区间</t>
        </is>
      </c>
      <c r="K93" t="inlineStr">
        <is>
          <t>https://gs.amac.org.cn/amac-infodisc/res/pof/manager/101000019470.html</t>
        </is>
      </c>
    </row>
    <row r="94">
      <c r="A94" t="n">
        <v>93</v>
      </c>
      <c r="B94" t="inlineStr">
        <is>
          <t>谊恒滴海一号</t>
        </is>
      </c>
      <c r="C94" t="inlineStr">
        <is>
          <t>SXL701</t>
        </is>
      </c>
      <c r="D94" t="inlineStr">
        <is>
          <t>上海滴海</t>
        </is>
      </c>
      <c r="E94" t="inlineStr">
        <is>
          <t>5-10亿元</t>
        </is>
      </c>
      <c r="G94" t="n">
        <v>66.95999999999999</v>
      </c>
      <c r="H94" t="n">
        <v>0.88</v>
      </c>
      <c r="I94" t="inlineStr">
        <is>
          <t>协会提示／报送异常</t>
        </is>
      </c>
      <c r="J94" t="inlineStr">
        <is>
          <t>协会公示区间</t>
        </is>
      </c>
      <c r="K94" t="inlineStr">
        <is>
          <t>https://gs.amac.org.cn/amac-infodisc/res/pof/manager/101000018343.html</t>
        </is>
      </c>
    </row>
    <row r="95">
      <c r="A95" t="n">
        <v>94</v>
      </c>
      <c r="B95" t="inlineStr">
        <is>
          <t>泰创稳增1号A类</t>
        </is>
      </c>
      <c r="C95" t="inlineStr">
        <is>
          <t>ZV527A</t>
        </is>
      </c>
      <c r="D95" t="inlineStr">
        <is>
          <t>北京泰创投资</t>
        </is>
      </c>
      <c r="E95" t="inlineStr">
        <is>
          <t>5-10亿元</t>
        </is>
      </c>
      <c r="G95" t="n">
        <v>66.73999999999999</v>
      </c>
      <c r="H95" t="n">
        <v>0.655</v>
      </c>
      <c r="I95" t="inlineStr">
        <is>
          <t>本次公示未见相关记录</t>
        </is>
      </c>
      <c r="J95" t="inlineStr">
        <is>
          <t>协会公示区间</t>
        </is>
      </c>
      <c r="K95" t="inlineStr">
        <is>
          <t>https://gs.amac.org.cn/amac-infodisc/res/pof/manager/101000008864.html</t>
        </is>
      </c>
    </row>
    <row r="96">
      <c r="A96" t="n">
        <v>95</v>
      </c>
      <c r="B96" t="inlineStr">
        <is>
          <t>犇牛稳进3号</t>
        </is>
      </c>
      <c r="C96" t="inlineStr">
        <is>
          <t>SNE543</t>
        </is>
      </c>
      <c r="D96" t="inlineStr">
        <is>
          <t>上海犇牛</t>
        </is>
      </c>
      <c r="E96" t="inlineStr">
        <is>
          <t>10-20亿元</t>
        </is>
      </c>
      <c r="F96" t="n">
        <v>65.8098</v>
      </c>
      <c r="G96" t="n">
        <v>65.81</v>
      </c>
      <c r="H96" t="n">
        <v>1</v>
      </c>
      <c r="I96" t="inlineStr">
        <is>
          <t>协会提示／报送异常</t>
        </is>
      </c>
      <c r="J96" t="inlineStr">
        <is>
          <t>协会公示区间</t>
        </is>
      </c>
      <c r="K96" t="inlineStr">
        <is>
          <t>https://gs.amac.org.cn/amac-infodisc/res/pof/manager/101000013203.html</t>
        </is>
      </c>
    </row>
    <row r="97">
      <c r="A97" t="n">
        <v>96</v>
      </c>
      <c r="B97" t="inlineStr">
        <is>
          <t>元康投资-稳健添利1号</t>
        </is>
      </c>
      <c r="C97" t="inlineStr">
        <is>
          <t>SNF469</t>
        </is>
      </c>
      <c r="D97" t="inlineStr">
        <is>
          <t>上海元康投资</t>
        </is>
      </c>
      <c r="E97" t="inlineStr">
        <is>
          <t>5-10亿元</t>
        </is>
      </c>
      <c r="F97" t="n">
        <v>65.57249</v>
      </c>
      <c r="G97" t="n">
        <v>65.56999999999999</v>
      </c>
      <c r="H97" t="n">
        <v>1</v>
      </c>
      <c r="I97" t="inlineStr">
        <is>
          <t>协会提示／报送异常</t>
        </is>
      </c>
      <c r="J97" t="inlineStr">
        <is>
          <t>协会公示区间</t>
        </is>
      </c>
      <c r="K97" t="inlineStr">
        <is>
          <t>https://gs.amac.org.cn/amac-infodisc/res/pof/manager/101000012102.html</t>
        </is>
      </c>
    </row>
    <row r="98">
      <c r="A98" t="n">
        <v>97</v>
      </c>
      <c r="B98" t="inlineStr">
        <is>
          <t>思益行稳致远1号</t>
        </is>
      </c>
      <c r="C98" t="inlineStr">
        <is>
          <t>SZC556</t>
        </is>
      </c>
      <c r="D98" t="inlineStr">
        <is>
          <t>海南思益</t>
        </is>
      </c>
      <c r="E98" t="inlineStr">
        <is>
          <t>10-20亿元</t>
        </is>
      </c>
      <c r="F98" t="n">
        <v>65.47608</v>
      </c>
      <c r="G98" t="n">
        <v>65.48</v>
      </c>
      <c r="H98" t="n">
        <v>1</v>
      </c>
      <c r="I98" t="inlineStr">
        <is>
          <t>本次公示未见相关记录</t>
        </is>
      </c>
      <c r="J98" t="inlineStr">
        <is>
          <t>协会公示区间</t>
        </is>
      </c>
      <c r="K98" t="inlineStr">
        <is>
          <t>https://gs.amac.org.cn/amac-infodisc/res/pof/manager/2204271712106058.html</t>
        </is>
      </c>
    </row>
    <row r="99">
      <c r="A99" t="n">
        <v>98</v>
      </c>
      <c r="B99" t="inlineStr">
        <is>
          <t>博润易量稳健1号</t>
        </is>
      </c>
      <c r="C99" t="inlineStr">
        <is>
          <t>SXL913</t>
        </is>
      </c>
      <c r="D99" t="inlineStr">
        <is>
          <t>北京博润银泰投资</t>
        </is>
      </c>
      <c r="E99" t="inlineStr">
        <is>
          <t>100亿元以上</t>
        </is>
      </c>
      <c r="G99" t="n">
        <v>65.33</v>
      </c>
      <c r="H99" t="n">
        <v>0.88</v>
      </c>
      <c r="I99" t="inlineStr">
        <is>
          <t>本次公示未见相关记录</t>
        </is>
      </c>
      <c r="J99" t="inlineStr">
        <is>
          <t>协会公示区间</t>
        </is>
      </c>
      <c r="K99" t="inlineStr">
        <is>
          <t>https://gs.amac.org.cn/amac-infodisc/res/pof/manager/101000005082.html</t>
        </is>
      </c>
    </row>
    <row r="100">
      <c r="A100" t="n">
        <v>99</v>
      </c>
      <c r="B100" t="inlineStr">
        <is>
          <t>盛泉恒元多策略量化对冲2号基金</t>
        </is>
      </c>
      <c r="C100" t="inlineStr">
        <is>
          <t>S67533</t>
        </is>
      </c>
      <c r="D100" t="inlineStr">
        <is>
          <t>南京盛泉恒元投资</t>
        </is>
      </c>
      <c r="E100" t="inlineStr">
        <is>
          <t>100亿元以上</t>
        </is>
      </c>
      <c r="F100" t="n">
        <v>65.32052</v>
      </c>
      <c r="G100" t="n">
        <v>65.31999999999999</v>
      </c>
      <c r="H100" t="n">
        <v>1</v>
      </c>
      <c r="I100" t="inlineStr">
        <is>
          <t>本次公示未见相关记录</t>
        </is>
      </c>
      <c r="J100" t="inlineStr">
        <is>
          <t>协会公示区间</t>
        </is>
      </c>
      <c r="K100" t="inlineStr">
        <is>
          <t>https://gs.amac.org.cn/amac-infodisc/res/pof/manager/101000008304.html</t>
        </is>
      </c>
    </row>
    <row r="101">
      <c r="A101" t="n">
        <v>100</v>
      </c>
      <c r="B101" t="inlineStr">
        <is>
          <t>东宏启航稳健1号</t>
        </is>
      </c>
      <c r="C101" t="inlineStr">
        <is>
          <t>SAAE31</t>
        </is>
      </c>
      <c r="D101" t="inlineStr">
        <is>
          <t>北京东宏世家资管</t>
        </is>
      </c>
      <c r="E101" t="inlineStr">
        <is>
          <t>5-10亿元</t>
        </is>
      </c>
      <c r="F101" t="n">
        <v>64.58108</v>
      </c>
      <c r="G101" t="n">
        <v>64.58</v>
      </c>
      <c r="H101" t="n">
        <v>1</v>
      </c>
      <c r="I101" t="inlineStr">
        <is>
          <t>本次公示未见相关记录</t>
        </is>
      </c>
      <c r="J101" t="inlineStr">
        <is>
          <t>协会公示区间</t>
        </is>
      </c>
      <c r="K101" t="inlineStr">
        <is>
          <t>https://gs.amac.org.cn/amac-infodisc/res/pof/manager/101000028582.html</t>
        </is>
      </c>
    </row>
    <row r="102">
      <c r="A102" t="n">
        <v>101</v>
      </c>
      <c r="B102" t="inlineStr">
        <is>
          <t>汇富联合日盈12号</t>
        </is>
      </c>
      <c r="C102" t="inlineStr">
        <is>
          <t>SVQ519</t>
        </is>
      </c>
      <c r="D102" t="inlineStr">
        <is>
          <t>深圳前海汇富联合</t>
        </is>
      </c>
      <c r="E102" t="inlineStr">
        <is>
          <t>20-50亿元</t>
        </is>
      </c>
      <c r="F102" t="n">
        <v>64.14578</v>
      </c>
      <c r="G102" t="n">
        <v>64.15000000000001</v>
      </c>
      <c r="H102" t="n">
        <v>1</v>
      </c>
      <c r="I102" t="inlineStr">
        <is>
          <t>本次公示未见相关记录</t>
        </is>
      </c>
      <c r="J102" t="inlineStr">
        <is>
          <t>协会公示区间</t>
        </is>
      </c>
      <c r="K102" t="inlineStr">
        <is>
          <t>https://gs.amac.org.cn/amac-infodisc/res/pof/manager/101000012095.html</t>
        </is>
      </c>
    </row>
    <row r="103">
      <c r="A103" t="n">
        <v>102</v>
      </c>
      <c r="B103" t="inlineStr">
        <is>
          <t>晨翰11号</t>
        </is>
      </c>
      <c r="C103" t="inlineStr">
        <is>
          <t>SVT598</t>
        </is>
      </c>
      <c r="D103" t="inlineStr">
        <is>
          <t>晋江晨翰</t>
        </is>
      </c>
      <c r="E103" t="inlineStr">
        <is>
          <t>5-10亿元</t>
        </is>
      </c>
      <c r="F103" t="n">
        <v>63.83406</v>
      </c>
      <c r="G103" t="n">
        <v>63.83</v>
      </c>
      <c r="H103" t="n">
        <v>1</v>
      </c>
      <c r="I103" t="inlineStr">
        <is>
          <t>本次公示未见相关记录</t>
        </is>
      </c>
      <c r="J103" t="inlineStr">
        <is>
          <t>协会公示区间</t>
        </is>
      </c>
      <c r="K103" t="inlineStr">
        <is>
          <t>https://gs.amac.org.cn/amac-infodisc/res/pof/manager/2002211754119480.html</t>
        </is>
      </c>
    </row>
    <row r="104">
      <c r="A104" t="n">
        <v>103</v>
      </c>
      <c r="B104" t="inlineStr">
        <is>
          <t>星汇天权1号</t>
        </is>
      </c>
      <c r="C104" t="inlineStr">
        <is>
          <t>SAVF65</t>
        </is>
      </c>
      <c r="D104" t="inlineStr">
        <is>
          <t>上海思达星汇</t>
        </is>
      </c>
      <c r="E104" t="inlineStr">
        <is>
          <t>20-50亿元</t>
        </is>
      </c>
      <c r="G104" t="n">
        <v>62.58</v>
      </c>
      <c r="H104" t="n">
        <v>0.7</v>
      </c>
      <c r="I104" t="inlineStr">
        <is>
          <t>本次公示未见相关记录</t>
        </is>
      </c>
      <c r="J104" t="inlineStr">
        <is>
          <t>协会公示区间</t>
        </is>
      </c>
      <c r="K104" t="inlineStr">
        <is>
          <t>https://gs.amac.org.cn/amac-infodisc/res/pof/manager/2111041536100174.html</t>
        </is>
      </c>
    </row>
    <row r="105">
      <c r="A105" t="n">
        <v>104</v>
      </c>
      <c r="B105" t="inlineStr">
        <is>
          <t>泰创稳健三号</t>
        </is>
      </c>
      <c r="C105" t="inlineStr">
        <is>
          <t>SZD744</t>
        </is>
      </c>
      <c r="D105" t="inlineStr">
        <is>
          <t>北京泰创投资</t>
        </is>
      </c>
      <c r="E105" t="inlineStr">
        <is>
          <t>5-10亿元</t>
        </is>
      </c>
      <c r="F105" t="n">
        <v>62.17231</v>
      </c>
      <c r="G105" t="n">
        <v>62.17</v>
      </c>
      <c r="H105" t="n">
        <v>1</v>
      </c>
      <c r="I105" t="inlineStr">
        <is>
          <t>本次公示未见相关记录</t>
        </is>
      </c>
      <c r="J105" t="inlineStr">
        <is>
          <t>协会公示区间</t>
        </is>
      </c>
      <c r="K105" t="inlineStr">
        <is>
          <t>https://gs.amac.org.cn/amac-infodisc/res/pof/manager/101000008864.html</t>
        </is>
      </c>
    </row>
    <row r="106">
      <c r="A106" t="n">
        <v>105</v>
      </c>
      <c r="B106" t="inlineStr">
        <is>
          <t>兆信期权中性2号A类</t>
        </is>
      </c>
      <c r="C106" t="inlineStr">
        <is>
          <t>TB977A</t>
        </is>
      </c>
      <c r="D106" t="inlineStr">
        <is>
          <t>江苏兆信</t>
        </is>
      </c>
      <c r="E106" t="inlineStr">
        <is>
          <t>20-50亿元</t>
        </is>
      </c>
      <c r="G106" t="n">
        <v>61.43</v>
      </c>
      <c r="H106" t="n">
        <v>0.955</v>
      </c>
      <c r="I106" t="inlineStr">
        <is>
          <t>本次公示未见相关记录</t>
        </is>
      </c>
      <c r="J106" t="inlineStr">
        <is>
          <t>协会公示区间</t>
        </is>
      </c>
      <c r="K106" t="inlineStr">
        <is>
          <t>https://gs.amac.org.cn/amac-infodisc/res/pof/manager/101000002312.html</t>
        </is>
      </c>
    </row>
    <row r="107">
      <c r="A107" t="n">
        <v>106</v>
      </c>
      <c r="B107" t="inlineStr">
        <is>
          <t>龙帆恒盛稳固8号</t>
        </is>
      </c>
      <c r="C107" t="inlineStr">
        <is>
          <t>SSU654</t>
        </is>
      </c>
      <c r="D107" t="inlineStr">
        <is>
          <t>厦门龙帆资管</t>
        </is>
      </c>
      <c r="E107" t="inlineStr">
        <is>
          <t>5-10亿元</t>
        </is>
      </c>
      <c r="F107" t="n">
        <v>61.29309</v>
      </c>
      <c r="G107" t="n">
        <v>61.29</v>
      </c>
      <c r="H107" t="n">
        <v>1</v>
      </c>
      <c r="I107" t="inlineStr">
        <is>
          <t>本次公示未见相关记录</t>
        </is>
      </c>
      <c r="J107" t="inlineStr">
        <is>
          <t>协会公示区间</t>
        </is>
      </c>
      <c r="K107" t="inlineStr">
        <is>
          <t>https://gs.amac.org.cn/amac-infodisc/res/pof/manager/1611020850101525.html</t>
        </is>
      </c>
    </row>
    <row r="108">
      <c r="A108" t="n">
        <v>107</v>
      </c>
      <c r="B108" t="inlineStr">
        <is>
          <t>方普安享二号</t>
        </is>
      </c>
      <c r="C108" t="inlineStr">
        <is>
          <t>SXY895</t>
        </is>
      </c>
      <c r="D108" t="inlineStr">
        <is>
          <t>珠海横琴方普</t>
        </is>
      </c>
      <c r="E108" t="inlineStr">
        <is>
          <t>10-20亿元</t>
        </is>
      </c>
      <c r="G108" t="n">
        <v>61.15</v>
      </c>
      <c r="H108" t="n">
        <v>0.7</v>
      </c>
      <c r="I108" t="inlineStr">
        <is>
          <t>协会提示／报送异常</t>
        </is>
      </c>
      <c r="J108" t="inlineStr">
        <is>
          <t>协会公示区间</t>
        </is>
      </c>
      <c r="K108" t="inlineStr">
        <is>
          <t>https://gs.amac.org.cn/amac-infodisc/res/pof/manager/1804051826107605.html</t>
        </is>
      </c>
    </row>
    <row r="109">
      <c r="A109" t="n">
        <v>108</v>
      </c>
      <c r="B109" t="inlineStr">
        <is>
          <t>博普量化对冲6号</t>
        </is>
      </c>
      <c r="C109" t="inlineStr">
        <is>
          <t>SEE891</t>
        </is>
      </c>
      <c r="D109" t="inlineStr">
        <is>
          <t>深圳前海博普资管</t>
        </is>
      </c>
      <c r="E109" t="inlineStr">
        <is>
          <t>50-100亿元</t>
        </is>
      </c>
      <c r="G109" t="n">
        <v>60.78</v>
      </c>
      <c r="H109" t="n">
        <v>0.7</v>
      </c>
      <c r="I109" t="inlineStr">
        <is>
          <t>本次公示未见相关记录</t>
        </is>
      </c>
      <c r="J109" t="inlineStr">
        <is>
          <t>协会公示区间</t>
        </is>
      </c>
      <c r="K109" t="inlineStr">
        <is>
          <t>https://gs.amac.org.cn/amac-infodisc/res/pof/manager/1709041706102598.html</t>
        </is>
      </c>
    </row>
    <row r="110">
      <c r="A110" t="n">
        <v>109</v>
      </c>
      <c r="B110" t="inlineStr">
        <is>
          <t>盛泉恒元量化套利11号</t>
        </is>
      </c>
      <c r="C110" t="inlineStr">
        <is>
          <t>SEX315</t>
        </is>
      </c>
      <c r="D110" t="inlineStr">
        <is>
          <t>南京盛泉恒元投资</t>
        </is>
      </c>
      <c r="E110" t="inlineStr">
        <is>
          <t>100亿元以上</t>
        </is>
      </c>
      <c r="F110" t="n">
        <v>60.61831</v>
      </c>
      <c r="G110" t="n">
        <v>60.62</v>
      </c>
      <c r="H110" t="n">
        <v>1</v>
      </c>
      <c r="I110" t="inlineStr">
        <is>
          <t>本次公示未见相关记录</t>
        </is>
      </c>
      <c r="J110" t="inlineStr">
        <is>
          <t>协会公示区间</t>
        </is>
      </c>
      <c r="K110" t="inlineStr">
        <is>
          <t>https://gs.amac.org.cn/amac-infodisc/res/pof/manager/101000008304.html</t>
        </is>
      </c>
    </row>
    <row r="111">
      <c r="A111" t="n">
        <v>110</v>
      </c>
      <c r="B111" t="inlineStr">
        <is>
          <t>辉毅4号</t>
        </is>
      </c>
      <c r="C111" t="inlineStr">
        <is>
          <t>SM4445</t>
        </is>
      </c>
      <c r="D111" t="inlineStr">
        <is>
          <t>上海申毅投资</t>
        </is>
      </c>
      <c r="E111" t="inlineStr">
        <is>
          <t>100亿元以上</t>
        </is>
      </c>
      <c r="F111" t="n">
        <v>60.51337</v>
      </c>
      <c r="G111" t="n">
        <v>60.51</v>
      </c>
      <c r="H111" t="n">
        <v>1</v>
      </c>
      <c r="I111" t="inlineStr">
        <is>
          <t>本次公示未见相关记录</t>
        </is>
      </c>
      <c r="J111" t="inlineStr">
        <is>
          <t>协会公示区间</t>
        </is>
      </c>
      <c r="K111" t="inlineStr">
        <is>
          <t>https://gs.amac.org.cn/amac-infodisc/res/pof/manager/101000000870.html</t>
        </is>
      </c>
    </row>
    <row r="112">
      <c r="A112" t="n">
        <v>111</v>
      </c>
      <c r="B112" t="inlineStr">
        <is>
          <t>鹿秀驯鹿二号</t>
        </is>
      </c>
      <c r="C112" t="inlineStr">
        <is>
          <t>SGF269</t>
        </is>
      </c>
      <c r="D112" t="inlineStr">
        <is>
          <t>青岛鹿秀投资</t>
        </is>
      </c>
      <c r="E112" t="inlineStr">
        <is>
          <t>50-100亿元</t>
        </is>
      </c>
      <c r="F112" t="n">
        <v>60.26515</v>
      </c>
      <c r="G112" t="n">
        <v>60.27</v>
      </c>
      <c r="H112" t="n">
        <v>1</v>
      </c>
      <c r="I112" t="inlineStr">
        <is>
          <t>协会提示／报送异常</t>
        </is>
      </c>
      <c r="J112" t="inlineStr">
        <is>
          <t>协会公示区间</t>
        </is>
      </c>
      <c r="K112" t="inlineStr">
        <is>
          <t>https://gs.amac.org.cn/amac-infodisc/res/pof/manager/1612231708101923.html</t>
        </is>
      </c>
    </row>
    <row r="113">
      <c r="A113" t="n">
        <v>112</v>
      </c>
      <c r="B113" t="inlineStr">
        <is>
          <t>殊馥兴义8号</t>
        </is>
      </c>
      <c r="C113" t="inlineStr">
        <is>
          <t>SZA394</t>
        </is>
      </c>
      <c r="D113" t="inlineStr">
        <is>
          <t>上海殊馥投资</t>
        </is>
      </c>
      <c r="E113" t="inlineStr">
        <is>
          <t>10-20亿元</t>
        </is>
      </c>
      <c r="F113" t="n">
        <v>60.1136</v>
      </c>
      <c r="G113" t="n">
        <v>60.11</v>
      </c>
      <c r="H113" t="n">
        <v>1</v>
      </c>
      <c r="I113" t="inlineStr">
        <is>
          <t>协会提示／报送异常</t>
        </is>
      </c>
      <c r="J113" t="inlineStr">
        <is>
          <t>协会公示区间</t>
        </is>
      </c>
      <c r="K113" t="inlineStr">
        <is>
          <t>https://gs.amac.org.cn/amac-infodisc/res/pof/manager/101000042776.html</t>
        </is>
      </c>
    </row>
    <row r="114">
      <c r="A114" t="n">
        <v>113</v>
      </c>
      <c r="B114" t="inlineStr">
        <is>
          <t>盛冠达稳享量化套利</t>
        </is>
      </c>
      <c r="C114" t="inlineStr">
        <is>
          <t>SAUA99</t>
        </is>
      </c>
      <c r="D114" t="inlineStr">
        <is>
          <t>海南盛冠达</t>
        </is>
      </c>
      <c r="E114" t="inlineStr">
        <is>
          <t>20-50亿元</t>
        </is>
      </c>
      <c r="G114" t="n">
        <v>60.07</v>
      </c>
      <c r="H114" t="n">
        <v>0.724</v>
      </c>
      <c r="I114" t="inlineStr">
        <is>
          <t>本次公示未见相关记录</t>
        </is>
      </c>
      <c r="J114" t="inlineStr">
        <is>
          <t>协会公示区间</t>
        </is>
      </c>
      <c r="K114" t="inlineStr">
        <is>
          <t>https://gs.amac.org.cn/amac-infodisc/res/pof/manager/101000001663.html</t>
        </is>
      </c>
    </row>
    <row r="115">
      <c r="A115" t="n">
        <v>114</v>
      </c>
      <c r="B115" t="inlineStr">
        <is>
          <t>晨翰6号</t>
        </is>
      </c>
      <c r="C115" t="inlineStr">
        <is>
          <t>STS460</t>
        </is>
      </c>
      <c r="D115" t="inlineStr">
        <is>
          <t>晋江晨翰</t>
        </is>
      </c>
      <c r="E115" t="inlineStr">
        <is>
          <t>5-10亿元</t>
        </is>
      </c>
      <c r="G115" t="n">
        <v>59.96</v>
      </c>
      <c r="H115" t="n">
        <v>0.88</v>
      </c>
      <c r="I115" t="inlineStr">
        <is>
          <t>本次公示未见相关记录</t>
        </is>
      </c>
      <c r="J115" t="inlineStr">
        <is>
          <t>协会公示区间</t>
        </is>
      </c>
      <c r="K115" t="inlineStr">
        <is>
          <t>https://gs.amac.org.cn/amac-infodisc/res/pof/manager/2002211754119480.html</t>
        </is>
      </c>
    </row>
    <row r="116">
      <c r="A116" t="n">
        <v>115</v>
      </c>
      <c r="B116" t="inlineStr">
        <is>
          <t>盛泉恒元量化套利12号专项</t>
        </is>
      </c>
      <c r="C116" t="inlineStr">
        <is>
          <t>SEE184</t>
        </is>
      </c>
      <c r="D116" t="inlineStr">
        <is>
          <t>南京盛泉恒元投资</t>
        </is>
      </c>
      <c r="E116" t="inlineStr">
        <is>
          <t>100亿元以上</t>
        </is>
      </c>
      <c r="F116" t="n">
        <v>59.86791</v>
      </c>
      <c r="G116" t="n">
        <v>59.87</v>
      </c>
      <c r="H116" t="n">
        <v>1</v>
      </c>
      <c r="I116" t="inlineStr">
        <is>
          <t>本次公示未见相关记录</t>
        </is>
      </c>
      <c r="J116" t="inlineStr">
        <is>
          <t>协会公示区间</t>
        </is>
      </c>
      <c r="K116" t="inlineStr">
        <is>
          <t>https://gs.amac.org.cn/amac-infodisc/res/pof/manager/101000008304.html</t>
        </is>
      </c>
    </row>
    <row r="117">
      <c r="A117" t="n">
        <v>116</v>
      </c>
      <c r="B117" t="inlineStr">
        <is>
          <t>交叉智能-量化增强2号</t>
        </is>
      </c>
      <c r="C117" t="inlineStr">
        <is>
          <t>SZD351</t>
        </is>
      </c>
      <c r="D117" t="inlineStr">
        <is>
          <t>北京交叉智能</t>
        </is>
      </c>
      <c r="E117" t="inlineStr">
        <is>
          <t>5-10亿元</t>
        </is>
      </c>
      <c r="F117" t="n">
        <v>59.70387</v>
      </c>
      <c r="G117" t="n">
        <v>59.7</v>
      </c>
      <c r="H117" t="n">
        <v>1</v>
      </c>
      <c r="I117" t="inlineStr">
        <is>
          <t>本次公示未见相关记录</t>
        </is>
      </c>
      <c r="J117" t="inlineStr">
        <is>
          <t>协会公示区间</t>
        </is>
      </c>
      <c r="K117" t="inlineStr">
        <is>
          <t>https://gs.amac.org.cn/amac-infodisc/res/pof/manager/2108121438108586.html</t>
        </is>
      </c>
    </row>
    <row r="118">
      <c r="A118" t="n">
        <v>117</v>
      </c>
      <c r="B118" t="inlineStr">
        <is>
          <t>盛泉恒元量化套利27号</t>
        </is>
      </c>
      <c r="C118" t="inlineStr">
        <is>
          <t>SJY718</t>
        </is>
      </c>
      <c r="D118" t="inlineStr">
        <is>
          <t>南京盛泉恒元投资</t>
        </is>
      </c>
      <c r="E118" t="inlineStr">
        <is>
          <t>100亿元以上</t>
        </is>
      </c>
      <c r="F118" t="n">
        <v>59.69595</v>
      </c>
      <c r="G118" t="n">
        <v>59.7</v>
      </c>
      <c r="H118" t="n">
        <v>1</v>
      </c>
      <c r="I118" t="inlineStr">
        <is>
          <t>本次公示未见相关记录</t>
        </is>
      </c>
      <c r="J118" t="inlineStr">
        <is>
          <t>协会公示区间</t>
        </is>
      </c>
      <c r="K118" t="inlineStr">
        <is>
          <t>https://gs.amac.org.cn/amac-infodisc/res/pof/manager/101000008304.html</t>
        </is>
      </c>
    </row>
    <row r="119">
      <c r="A119" t="n">
        <v>118</v>
      </c>
      <c r="B119" t="inlineStr">
        <is>
          <t>兆信股指期货期权套利1号A类</t>
        </is>
      </c>
      <c r="C119" t="inlineStr">
        <is>
          <t>XN023A</t>
        </is>
      </c>
      <c r="D119" t="inlineStr">
        <is>
          <t>江苏兆信</t>
        </is>
      </c>
      <c r="E119" t="inlineStr">
        <is>
          <t>20-50亿元</t>
        </is>
      </c>
      <c r="G119" t="n">
        <v>59.43</v>
      </c>
      <c r="H119" t="n">
        <v>0.955</v>
      </c>
      <c r="I119" t="inlineStr">
        <is>
          <t>本次公示未见相关记录</t>
        </is>
      </c>
      <c r="J119" t="inlineStr">
        <is>
          <t>协会公示区间</t>
        </is>
      </c>
      <c r="K119" t="inlineStr">
        <is>
          <t>https://gs.amac.org.cn/amac-infodisc/res/pof/manager/101000002312.html</t>
        </is>
      </c>
    </row>
    <row r="120">
      <c r="A120" t="n">
        <v>119</v>
      </c>
      <c r="B120" t="inlineStr">
        <is>
          <t>星汇天权1号C类</t>
        </is>
      </c>
      <c r="C120" t="inlineStr">
        <is>
          <t>AVF65C</t>
        </is>
      </c>
      <c r="D120" t="inlineStr">
        <is>
          <t>上海思达星汇</t>
        </is>
      </c>
      <c r="E120" t="inlineStr">
        <is>
          <t>20-50亿元</t>
        </is>
      </c>
      <c r="G120" t="n">
        <v>58.88</v>
      </c>
      <c r="H120" t="n">
        <v>0.655</v>
      </c>
      <c r="I120" t="inlineStr">
        <is>
          <t>本次公示未见相关记录</t>
        </is>
      </c>
      <c r="J120" t="inlineStr">
        <is>
          <t>协会公示区间</t>
        </is>
      </c>
      <c r="K120" t="inlineStr">
        <is>
          <t>https://gs.amac.org.cn/amac-infodisc/res/pof/manager/2111041536100174.html</t>
        </is>
      </c>
    </row>
    <row r="121">
      <c r="A121" t="n">
        <v>120</v>
      </c>
      <c r="B121" t="inlineStr">
        <is>
          <t>中益仁梅香千寒</t>
        </is>
      </c>
      <c r="C121" t="inlineStr">
        <is>
          <t>SBAF26</t>
        </is>
      </c>
      <c r="D121" t="inlineStr">
        <is>
          <t>日照中益仁</t>
        </is>
      </c>
      <c r="E121" t="inlineStr">
        <is>
          <t>10-20亿元</t>
        </is>
      </c>
      <c r="G121" t="n">
        <v>58.81</v>
      </c>
      <c r="H121" t="n">
        <v>0.724</v>
      </c>
      <c r="I121" t="inlineStr">
        <is>
          <t>本次公示未见相关记录</t>
        </is>
      </c>
      <c r="J121" t="inlineStr">
        <is>
          <t>协会公示区间</t>
        </is>
      </c>
      <c r="K121" t="inlineStr">
        <is>
          <t>https://gs.amac.org.cn/amac-infodisc/res/pof/manager/1708291806108811.html</t>
        </is>
      </c>
    </row>
    <row r="122">
      <c r="A122" t="n">
        <v>121</v>
      </c>
      <c r="B122" t="inlineStr">
        <is>
          <t>广联宏长青树2号</t>
        </is>
      </c>
      <c r="C122" t="inlineStr">
        <is>
          <t>SAEJ83</t>
        </is>
      </c>
      <c r="D122" t="inlineStr">
        <is>
          <t>海南广联宏</t>
        </is>
      </c>
      <c r="E122" t="inlineStr">
        <is>
          <t>5-10亿元</t>
        </is>
      </c>
      <c r="G122" t="n">
        <v>58.79</v>
      </c>
      <c r="H122" t="n">
        <v>0.7</v>
      </c>
      <c r="I122" t="inlineStr">
        <is>
          <t>协会提示／报送异常</t>
        </is>
      </c>
      <c r="J122" t="inlineStr">
        <is>
          <t>协会公示区间</t>
        </is>
      </c>
      <c r="K122" t="inlineStr">
        <is>
          <t>https://gs.amac.org.cn/amac-infodisc/res/pof/manager/2109061042100364.html</t>
        </is>
      </c>
    </row>
    <row r="123">
      <c r="A123" t="n">
        <v>122</v>
      </c>
      <c r="B123" t="inlineStr">
        <is>
          <t>兆信股指期货期权套利1号</t>
        </is>
      </c>
      <c r="C123" t="inlineStr">
        <is>
          <t>SXN023</t>
        </is>
      </c>
      <c r="D123" t="inlineStr">
        <is>
          <t>江苏兆信</t>
        </is>
      </c>
      <c r="E123" t="inlineStr">
        <is>
          <t>20-50亿元</t>
        </is>
      </c>
      <c r="G123" t="n">
        <v>58.79</v>
      </c>
      <c r="H123" t="n">
        <v>0.88</v>
      </c>
      <c r="I123" t="inlineStr">
        <is>
          <t>本次公示未见相关记录</t>
        </is>
      </c>
      <c r="J123" t="inlineStr">
        <is>
          <t>协会公示区间</t>
        </is>
      </c>
      <c r="K123" t="inlineStr">
        <is>
          <t>https://gs.amac.org.cn/amac-infodisc/res/pof/manager/101000002312.html</t>
        </is>
      </c>
    </row>
    <row r="124">
      <c r="A124" t="n">
        <v>123</v>
      </c>
      <c r="B124" t="inlineStr">
        <is>
          <t>悬铃C号9期</t>
        </is>
      </c>
      <c r="C124" t="inlineStr">
        <is>
          <t>SVH343</t>
        </is>
      </c>
      <c r="D124" t="inlineStr">
        <is>
          <t>上海悬铃</t>
        </is>
      </c>
      <c r="E124" t="inlineStr">
        <is>
          <t>20-50亿元</t>
        </is>
      </c>
      <c r="F124" t="n">
        <v>58.54641</v>
      </c>
      <c r="G124" t="n">
        <v>58.55</v>
      </c>
      <c r="H124" t="n">
        <v>1</v>
      </c>
      <c r="I124" t="inlineStr">
        <is>
          <t>本次公示未见相关记录</t>
        </is>
      </c>
      <c r="J124" t="inlineStr">
        <is>
          <t>协会公示区间</t>
        </is>
      </c>
      <c r="K124" t="inlineStr">
        <is>
          <t>https://gs.amac.org.cn/amac-infodisc/res/pof/manager/1701161209103763.html</t>
        </is>
      </c>
    </row>
    <row r="125">
      <c r="A125" t="n">
        <v>124</v>
      </c>
      <c r="B125" t="inlineStr">
        <is>
          <t>宣夜投资涓流二号</t>
        </is>
      </c>
      <c r="C125" t="inlineStr">
        <is>
          <t>SQL764</t>
        </is>
      </c>
      <c r="D125" t="inlineStr">
        <is>
          <t>上海宣夜投资</t>
        </is>
      </c>
      <c r="E125" t="inlineStr">
        <is>
          <t>20-50亿元</t>
        </is>
      </c>
      <c r="G125" t="n">
        <v>58.41</v>
      </c>
      <c r="H125" t="n">
        <v>0.88</v>
      </c>
      <c r="I125" t="inlineStr">
        <is>
          <t>协会提示／报送异常</t>
        </is>
      </c>
      <c r="J125" t="inlineStr">
        <is>
          <t>协会公示区间</t>
        </is>
      </c>
      <c r="K125" t="inlineStr">
        <is>
          <t>https://gs.amac.org.cn/amac-infodisc/res/pof/manager/1609130947110564.html</t>
        </is>
      </c>
    </row>
    <row r="126">
      <c r="A126" t="n">
        <v>125</v>
      </c>
      <c r="B126" t="inlineStr">
        <is>
          <t>鹿秀驯鹿10号</t>
        </is>
      </c>
      <c r="C126" t="inlineStr">
        <is>
          <t>SNK594</t>
        </is>
      </c>
      <c r="D126" t="inlineStr">
        <is>
          <t>青岛鹿秀投资</t>
        </is>
      </c>
      <c r="E126" t="inlineStr">
        <is>
          <t>50-100亿元</t>
        </is>
      </c>
      <c r="G126" t="n">
        <v>58.06</v>
      </c>
      <c r="H126" t="n">
        <v>0.88</v>
      </c>
      <c r="I126" t="inlineStr">
        <is>
          <t>协会提示／报送异常</t>
        </is>
      </c>
      <c r="J126" t="inlineStr">
        <is>
          <t>协会公示区间</t>
        </is>
      </c>
      <c r="K126" t="inlineStr">
        <is>
          <t>https://gs.amac.org.cn/amac-infodisc/res/pof/manager/1612231708101923.html</t>
        </is>
      </c>
    </row>
    <row r="127">
      <c r="A127" t="n">
        <v>126</v>
      </c>
      <c r="B127" t="inlineStr">
        <is>
          <t>盛冠达试金石3号</t>
        </is>
      </c>
      <c r="C127" t="inlineStr">
        <is>
          <t>SW1709</t>
        </is>
      </c>
      <c r="D127" t="inlineStr">
        <is>
          <t>海南盛冠达</t>
        </is>
      </c>
      <c r="E127" t="inlineStr">
        <is>
          <t>20-50亿元</t>
        </is>
      </c>
      <c r="F127" t="n">
        <v>58.0371</v>
      </c>
      <c r="G127" t="n">
        <v>58.04</v>
      </c>
      <c r="H127" t="n">
        <v>1</v>
      </c>
      <c r="I127" t="inlineStr">
        <is>
          <t>本次公示未见相关记录</t>
        </is>
      </c>
      <c r="J127" t="inlineStr">
        <is>
          <t>协会公示区间</t>
        </is>
      </c>
      <c r="K127" t="inlineStr">
        <is>
          <t>https://gs.amac.org.cn/amac-infodisc/res/pof/manager/101000001663.html</t>
        </is>
      </c>
    </row>
    <row r="128">
      <c r="A128" t="n">
        <v>127</v>
      </c>
      <c r="B128" t="inlineStr">
        <is>
          <t>盛泉恒元量化套利31号</t>
        </is>
      </c>
      <c r="C128" t="inlineStr">
        <is>
          <t>SLM933</t>
        </is>
      </c>
      <c r="D128" t="inlineStr">
        <is>
          <t>南京盛泉恒元投资</t>
        </is>
      </c>
      <c r="E128" t="inlineStr">
        <is>
          <t>100亿元以上</t>
        </is>
      </c>
      <c r="F128" t="n">
        <v>57.79139</v>
      </c>
      <c r="G128" t="n">
        <v>57.79</v>
      </c>
      <c r="H128" t="n">
        <v>1</v>
      </c>
      <c r="I128" t="inlineStr">
        <is>
          <t>本次公示未见相关记录</t>
        </is>
      </c>
      <c r="J128" t="inlineStr">
        <is>
          <t>协会公示区间</t>
        </is>
      </c>
      <c r="K128" t="inlineStr">
        <is>
          <t>https://gs.amac.org.cn/amac-infodisc/res/pof/manager/101000008304.html</t>
        </is>
      </c>
    </row>
    <row r="129">
      <c r="A129" t="n">
        <v>128</v>
      </c>
      <c r="B129" t="inlineStr">
        <is>
          <t>盛冠达量化套利6号</t>
        </is>
      </c>
      <c r="C129" t="inlineStr">
        <is>
          <t>SJZ209</t>
        </is>
      </c>
      <c r="D129" t="inlineStr">
        <is>
          <t>海南盛冠达</t>
        </is>
      </c>
      <c r="E129" t="inlineStr">
        <is>
          <t>20-50亿元</t>
        </is>
      </c>
      <c r="F129" t="n">
        <v>57.3373</v>
      </c>
      <c r="G129" t="n">
        <v>57.34</v>
      </c>
      <c r="H129" t="n">
        <v>1</v>
      </c>
      <c r="I129" t="inlineStr">
        <is>
          <t>本次公示未见相关记录</t>
        </is>
      </c>
      <c r="J129" t="inlineStr">
        <is>
          <t>协会公示区间</t>
        </is>
      </c>
      <c r="K129" t="inlineStr">
        <is>
          <t>https://gs.amac.org.cn/amac-infodisc/res/pof/manager/101000001663.html</t>
        </is>
      </c>
    </row>
    <row r="130">
      <c r="A130" t="n">
        <v>129</v>
      </c>
      <c r="B130" t="inlineStr">
        <is>
          <t>嘉和传承如期而至二期A类</t>
        </is>
      </c>
      <c r="C130" t="inlineStr">
        <is>
          <t>AYU55A</t>
        </is>
      </c>
      <c r="D130" t="inlineStr">
        <is>
          <t>上海嘉和传承</t>
        </is>
      </c>
      <c r="E130" t="inlineStr">
        <is>
          <t>5-10亿元</t>
        </is>
      </c>
      <c r="G130" t="n">
        <v>57.17</v>
      </c>
      <c r="H130" t="n">
        <v>0.679</v>
      </c>
      <c r="I130" t="inlineStr">
        <is>
          <t>本次公示未见相关记录</t>
        </is>
      </c>
      <c r="J130" t="inlineStr">
        <is>
          <t>协会公示区间</t>
        </is>
      </c>
      <c r="K130" t="inlineStr">
        <is>
          <t>https://gs.amac.org.cn/amac-infodisc/res/pof/manager/2203031405108672.html</t>
        </is>
      </c>
    </row>
    <row r="131">
      <c r="A131" t="n">
        <v>130</v>
      </c>
      <c r="B131" t="inlineStr">
        <is>
          <t>岳鑫遥1号</t>
        </is>
      </c>
      <c r="C131" t="inlineStr">
        <is>
          <t>SXJ331</t>
        </is>
      </c>
      <c r="D131" t="inlineStr">
        <is>
          <t>北京岳鑫遥</t>
        </is>
      </c>
      <c r="E131" t="inlineStr">
        <is>
          <t>5-10亿元</t>
        </is>
      </c>
      <c r="G131" t="n">
        <v>56.56</v>
      </c>
      <c r="H131" t="n">
        <v>0.88</v>
      </c>
      <c r="I131" t="inlineStr">
        <is>
          <t>协会提示／报送异常</t>
        </is>
      </c>
      <c r="J131" t="inlineStr">
        <is>
          <t>协会公示区间</t>
        </is>
      </c>
      <c r="K131" t="inlineStr">
        <is>
          <t>https://gs.amac.org.cn/amac-infodisc/res/pof/manager/2207041830121644.html</t>
        </is>
      </c>
    </row>
    <row r="132">
      <c r="A132" t="n">
        <v>131</v>
      </c>
      <c r="B132" t="inlineStr">
        <is>
          <t>锐耐复利倍增2号</t>
        </is>
      </c>
      <c r="C132" t="inlineStr">
        <is>
          <t>SXV513</t>
        </is>
      </c>
      <c r="D132" t="inlineStr">
        <is>
          <t>上海锐耐</t>
        </is>
      </c>
      <c r="E132" t="inlineStr">
        <is>
          <t>20-50亿元</t>
        </is>
      </c>
      <c r="G132" t="n">
        <v>55.9</v>
      </c>
      <c r="H132" t="n">
        <v>0.88</v>
      </c>
      <c r="I132" t="inlineStr">
        <is>
          <t>本次公示未见相关记录</t>
        </is>
      </c>
      <c r="J132" t="inlineStr">
        <is>
          <t>协会公示区间</t>
        </is>
      </c>
      <c r="K132" t="inlineStr">
        <is>
          <t>https://gs.amac.org.cn/amac-infodisc/res/pof/manager/2011201413105709.html</t>
        </is>
      </c>
    </row>
    <row r="133">
      <c r="A133" t="n">
        <v>132</v>
      </c>
      <c r="B133" t="inlineStr">
        <is>
          <t>金和至信稳健12号</t>
        </is>
      </c>
      <c r="C133" t="inlineStr">
        <is>
          <t>SB5534</t>
        </is>
      </c>
      <c r="D133" t="inlineStr">
        <is>
          <t>上海金和晟</t>
        </is>
      </c>
      <c r="E133" t="inlineStr">
        <is>
          <t>20-50亿元</t>
        </is>
      </c>
      <c r="F133" t="n">
        <v>54.73075</v>
      </c>
      <c r="G133" t="n">
        <v>54.73</v>
      </c>
      <c r="H133" t="n">
        <v>1</v>
      </c>
      <c r="I133" t="inlineStr">
        <is>
          <t>本次公示未见相关记录</t>
        </is>
      </c>
      <c r="J133" t="inlineStr">
        <is>
          <t>协会公示区间</t>
        </is>
      </c>
      <c r="K133" t="inlineStr">
        <is>
          <t>https://gs.amac.org.cn/amac-infodisc/res/pof/manager/2010280957108370.html</t>
        </is>
      </c>
    </row>
    <row r="134">
      <c r="A134" t="n">
        <v>133</v>
      </c>
      <c r="B134" t="inlineStr">
        <is>
          <t>展弘优选套利运作1号A类</t>
        </is>
      </c>
      <c r="C134" t="inlineStr">
        <is>
          <t>B2690A</t>
        </is>
      </c>
      <c r="D134" t="inlineStr">
        <is>
          <t>上海展弘投资</t>
        </is>
      </c>
      <c r="E134" t="inlineStr">
        <is>
          <t>100亿元以上</t>
        </is>
      </c>
      <c r="G134" t="n">
        <v>54.64</v>
      </c>
      <c r="H134" t="n">
        <v>0.955</v>
      </c>
      <c r="I134" t="inlineStr">
        <is>
          <t>本次公示未见相关记录</t>
        </is>
      </c>
      <c r="J134" t="inlineStr">
        <is>
          <t>协会公示区间</t>
        </is>
      </c>
      <c r="K134" t="inlineStr">
        <is>
          <t>https://gs.amac.org.cn/amac-infodisc/res/pof/manager/101000019470.html</t>
        </is>
      </c>
    </row>
    <row r="135">
      <c r="A135" t="n">
        <v>134</v>
      </c>
      <c r="B135" t="inlineStr">
        <is>
          <t>鹿秀驯鹿20号</t>
        </is>
      </c>
      <c r="C135" t="inlineStr">
        <is>
          <t>SNQ397</t>
        </is>
      </c>
      <c r="D135" t="inlineStr">
        <is>
          <t>青岛鹿秀投资</t>
        </is>
      </c>
      <c r="E135" t="inlineStr">
        <is>
          <t>50-100亿元</t>
        </is>
      </c>
      <c r="F135" t="n">
        <v>54.47277</v>
      </c>
      <c r="G135" t="n">
        <v>54.47</v>
      </c>
      <c r="H135" t="n">
        <v>1</v>
      </c>
      <c r="I135" t="inlineStr">
        <is>
          <t>协会提示／报送异常</t>
        </is>
      </c>
      <c r="J135" t="inlineStr">
        <is>
          <t>协会公示区间</t>
        </is>
      </c>
      <c r="K135" t="inlineStr">
        <is>
          <t>https://gs.amac.org.cn/amac-infodisc/res/pof/manager/1612231708101923.html</t>
        </is>
      </c>
    </row>
    <row r="136">
      <c r="A136" t="n">
        <v>135</v>
      </c>
      <c r="B136" t="inlineStr">
        <is>
          <t>银万财派恒星套利1号</t>
        </is>
      </c>
      <c r="C136" t="inlineStr">
        <is>
          <t>SB7490</t>
        </is>
      </c>
      <c r="D136" t="inlineStr">
        <is>
          <t>浙江银万</t>
        </is>
      </c>
      <c r="E136" t="inlineStr">
        <is>
          <t>20-50亿元</t>
        </is>
      </c>
      <c r="F136" t="n">
        <v>54.20696</v>
      </c>
      <c r="G136" t="n">
        <v>54.21</v>
      </c>
      <c r="H136" t="n">
        <v>1</v>
      </c>
      <c r="I136" t="inlineStr">
        <is>
          <t>监管警示函</t>
        </is>
      </c>
      <c r="J136" t="inlineStr">
        <is>
          <t>协会公示区间</t>
        </is>
      </c>
      <c r="K136" t="inlineStr">
        <is>
          <t>https://gs.amac.org.cn/amac-infodisc/res/pof/manager/101000005988.html</t>
        </is>
      </c>
    </row>
    <row r="137">
      <c r="A137" t="n">
        <v>136</v>
      </c>
      <c r="B137" t="inlineStr">
        <is>
          <t>平凡笃行君享</t>
        </is>
      </c>
      <c r="C137" t="inlineStr">
        <is>
          <t>SQD327</t>
        </is>
      </c>
      <c r="D137" t="inlineStr">
        <is>
          <t>北京平凡</t>
        </is>
      </c>
      <c r="E137" t="inlineStr">
        <is>
          <t>50-100亿元</t>
        </is>
      </c>
      <c r="G137" t="n">
        <v>54.03</v>
      </c>
      <c r="H137" t="n">
        <v>0.88</v>
      </c>
      <c r="I137" t="inlineStr">
        <is>
          <t>本次公示未见相关记录</t>
        </is>
      </c>
      <c r="J137" t="inlineStr">
        <is>
          <t>协会公示区间</t>
        </is>
      </c>
      <c r="K137" t="inlineStr">
        <is>
          <t>https://gs.amac.org.cn/amac-infodisc/res/pof/manager/101000030286.html</t>
        </is>
      </c>
    </row>
    <row r="138">
      <c r="A138" t="n">
        <v>137</v>
      </c>
      <c r="B138" t="inlineStr">
        <is>
          <t>嘉和传承精研二期</t>
        </is>
      </c>
      <c r="C138" t="inlineStr">
        <is>
          <t>STD929</t>
        </is>
      </c>
      <c r="D138" t="inlineStr">
        <is>
          <t>上海嘉和传承</t>
        </is>
      </c>
      <c r="E138" t="inlineStr">
        <is>
          <t>5-10亿元</t>
        </is>
      </c>
      <c r="G138" t="n">
        <v>53.67</v>
      </c>
      <c r="H138" t="n">
        <v>0.88</v>
      </c>
      <c r="I138" t="inlineStr">
        <is>
          <t>本次公示未见相关记录</t>
        </is>
      </c>
      <c r="J138" t="inlineStr">
        <is>
          <t>协会公示区间</t>
        </is>
      </c>
      <c r="K138" t="inlineStr">
        <is>
          <t>https://gs.amac.org.cn/amac-infodisc/res/pof/manager/2203031405108672.html</t>
        </is>
      </c>
    </row>
    <row r="139">
      <c r="A139" t="n">
        <v>138</v>
      </c>
      <c r="B139" t="inlineStr">
        <is>
          <t>六妙星彩云归低波2号</t>
        </is>
      </c>
      <c r="C139" t="inlineStr">
        <is>
          <t>SBAQ94</t>
        </is>
      </c>
      <c r="D139" t="inlineStr">
        <is>
          <t>北京六妙星</t>
        </is>
      </c>
      <c r="E139" t="inlineStr">
        <is>
          <t>20-50亿元</t>
        </is>
      </c>
      <c r="G139" t="n">
        <v>53.02</v>
      </c>
      <c r="H139" t="n">
        <v>0.724</v>
      </c>
      <c r="I139" t="inlineStr">
        <is>
          <t>本次公示未见相关记录</t>
        </is>
      </c>
      <c r="J139" t="inlineStr">
        <is>
          <t>协会公示区间</t>
        </is>
      </c>
      <c r="K139" t="inlineStr">
        <is>
          <t>https://gs.amac.org.cn/amac-infodisc/res/pof/manager/2012211324102340.html</t>
        </is>
      </c>
    </row>
    <row r="140">
      <c r="A140" t="n">
        <v>139</v>
      </c>
      <c r="B140" t="inlineStr">
        <is>
          <t>申毅格物22号</t>
        </is>
      </c>
      <c r="C140" t="inlineStr">
        <is>
          <t>SLD523</t>
        </is>
      </c>
      <c r="D140" t="inlineStr">
        <is>
          <t>上海申毅投资</t>
        </is>
      </c>
      <c r="E140" t="inlineStr">
        <is>
          <t>100亿元以上</t>
        </is>
      </c>
      <c r="F140" t="n">
        <v>52.4193</v>
      </c>
      <c r="G140" t="n">
        <v>52.42</v>
      </c>
      <c r="H140" t="n">
        <v>1</v>
      </c>
      <c r="I140" t="inlineStr">
        <is>
          <t>本次公示未见相关记录</t>
        </is>
      </c>
      <c r="J140" t="inlineStr">
        <is>
          <t>协会公示区间</t>
        </is>
      </c>
      <c r="K140" t="inlineStr">
        <is>
          <t>https://gs.amac.org.cn/amac-infodisc/res/pof/manager/101000000870.html</t>
        </is>
      </c>
    </row>
    <row r="141">
      <c r="A141" t="n">
        <v>140</v>
      </c>
      <c r="B141" t="inlineStr">
        <is>
          <t>申毅多策略量化7号</t>
        </is>
      </c>
      <c r="C141" t="inlineStr">
        <is>
          <t>S35707</t>
        </is>
      </c>
      <c r="D141" t="inlineStr">
        <is>
          <t>上海申毅投资</t>
        </is>
      </c>
      <c r="E141" t="inlineStr">
        <is>
          <t>100亿元以上</t>
        </is>
      </c>
      <c r="F141" t="n">
        <v>52.21825</v>
      </c>
      <c r="G141" t="n">
        <v>52.22</v>
      </c>
      <c r="H141" t="n">
        <v>1</v>
      </c>
      <c r="I141" t="inlineStr">
        <is>
          <t>本次公示未见相关记录</t>
        </is>
      </c>
      <c r="J141" t="inlineStr">
        <is>
          <t>协会公示区间</t>
        </is>
      </c>
      <c r="K141" t="inlineStr">
        <is>
          <t>https://gs.amac.org.cn/amac-infodisc/res/pof/manager/101000000870.html</t>
        </is>
      </c>
    </row>
    <row r="142">
      <c r="A142" t="n">
        <v>141</v>
      </c>
      <c r="B142" t="inlineStr">
        <is>
          <t>六妙星滚雪粒1号</t>
        </is>
      </c>
      <c r="C142" t="inlineStr">
        <is>
          <t>SASB96</t>
        </is>
      </c>
      <c r="D142" t="inlineStr">
        <is>
          <t>北京六妙星</t>
        </is>
      </c>
      <c r="E142" t="inlineStr">
        <is>
          <t>20-50亿元</t>
        </is>
      </c>
      <c r="G142" t="n">
        <v>51.75</v>
      </c>
      <c r="H142" t="n">
        <v>0.7</v>
      </c>
      <c r="I142" t="inlineStr">
        <is>
          <t>本次公示未见相关记录</t>
        </is>
      </c>
      <c r="J142" t="inlineStr">
        <is>
          <t>协会公示区间</t>
        </is>
      </c>
      <c r="K142" t="inlineStr">
        <is>
          <t>https://gs.amac.org.cn/amac-infodisc/res/pof/manager/2012211324102340.html</t>
        </is>
      </c>
    </row>
    <row r="143">
      <c r="A143" t="n">
        <v>142</v>
      </c>
      <c r="B143" t="inlineStr">
        <is>
          <t>嘉和传承精研倍赢一期</t>
        </is>
      </c>
      <c r="C143" t="inlineStr">
        <is>
          <t>SACJ77</t>
        </is>
      </c>
      <c r="D143" t="inlineStr">
        <is>
          <t>上海嘉和传承</t>
        </is>
      </c>
      <c r="E143" t="inlineStr">
        <is>
          <t>5-10亿元</t>
        </is>
      </c>
      <c r="G143" t="n">
        <v>50.96</v>
      </c>
      <c r="H143" t="n">
        <v>0.7</v>
      </c>
      <c r="I143" t="inlineStr">
        <is>
          <t>本次公示未见相关记录</t>
        </is>
      </c>
      <c r="J143" t="inlineStr">
        <is>
          <t>协会公示区间</t>
        </is>
      </c>
      <c r="K143" t="inlineStr">
        <is>
          <t>https://gs.amac.org.cn/amac-infodisc/res/pof/manager/2203031405108672.html</t>
        </is>
      </c>
    </row>
    <row r="144">
      <c r="A144" t="n">
        <v>143</v>
      </c>
      <c r="B144" t="inlineStr">
        <is>
          <t>荣熙商品1号</t>
        </is>
      </c>
      <c r="C144" t="inlineStr">
        <is>
          <t>SQS292</t>
        </is>
      </c>
      <c r="D144" t="inlineStr">
        <is>
          <t>上海荣熙</t>
        </is>
      </c>
      <c r="E144" t="inlineStr">
        <is>
          <t>5-10亿元</t>
        </is>
      </c>
      <c r="F144" t="n">
        <v>50.89438</v>
      </c>
      <c r="G144" t="n">
        <v>50.89</v>
      </c>
      <c r="H144" t="n">
        <v>1</v>
      </c>
      <c r="I144" t="inlineStr">
        <is>
          <t>本次公示未见相关记录</t>
        </is>
      </c>
      <c r="J144" t="inlineStr">
        <is>
          <t>协会公示区间</t>
        </is>
      </c>
      <c r="K144" t="inlineStr">
        <is>
          <t>https://gs.amac.org.cn/amac-infodisc/res/pof/manager/101000027208.html</t>
        </is>
      </c>
    </row>
    <row r="145">
      <c r="A145" t="n">
        <v>144</v>
      </c>
      <c r="B145" t="inlineStr">
        <is>
          <t>奶酪善水六号</t>
        </is>
      </c>
      <c r="C145" t="inlineStr">
        <is>
          <t>SAHN66</t>
        </is>
      </c>
      <c r="D145" t="inlineStr">
        <is>
          <t>广东奶酪</t>
        </is>
      </c>
      <c r="E145" t="inlineStr">
        <is>
          <t>10-20亿元</t>
        </is>
      </c>
      <c r="G145" t="n">
        <v>50.79</v>
      </c>
      <c r="H145" t="n">
        <v>0.7</v>
      </c>
      <c r="I145" t="inlineStr">
        <is>
          <t>本次公示未见相关记录</t>
        </is>
      </c>
      <c r="J145" t="inlineStr">
        <is>
          <t>协会公示区间</t>
        </is>
      </c>
      <c r="K145" t="inlineStr">
        <is>
          <t>https://gs.amac.org.cn/amac-infodisc/res/pof/manager/101000045017.html</t>
        </is>
      </c>
    </row>
    <row r="146">
      <c r="A146" t="n">
        <v>145</v>
      </c>
      <c r="B146" t="inlineStr">
        <is>
          <t>宏翼高频1号</t>
        </is>
      </c>
      <c r="C146" t="inlineStr">
        <is>
          <t>SQA623</t>
        </is>
      </c>
      <c r="D146" t="inlineStr">
        <is>
          <t>上海宏翼</t>
        </is>
      </c>
      <c r="E146" t="inlineStr">
        <is>
          <t>5-10亿元</t>
        </is>
      </c>
      <c r="G146" t="n">
        <v>50.78</v>
      </c>
      <c r="H146" t="n">
        <v>0.88</v>
      </c>
      <c r="I146" t="inlineStr">
        <is>
          <t>本次公示未见相关记录</t>
        </is>
      </c>
      <c r="J146" t="inlineStr">
        <is>
          <t>协会公示区间</t>
        </is>
      </c>
      <c r="K146" t="inlineStr">
        <is>
          <t>https://gs.amac.org.cn/amac-infodisc/res/pof/manager/2008271406105036.html</t>
        </is>
      </c>
    </row>
    <row r="147">
      <c r="A147" t="n">
        <v>146</v>
      </c>
      <c r="B147" t="inlineStr">
        <is>
          <t>呈瑞复合策略1号</t>
        </is>
      </c>
      <c r="C147" t="inlineStr">
        <is>
          <t>STK755</t>
        </is>
      </c>
      <c r="D147" t="inlineStr">
        <is>
          <t>上海呈瑞投资</t>
        </is>
      </c>
      <c r="E147" t="inlineStr">
        <is>
          <t>50-100亿元</t>
        </is>
      </c>
      <c r="F147" t="n">
        <v>49.98314</v>
      </c>
      <c r="G147" t="n">
        <v>49.98</v>
      </c>
      <c r="H147" t="n">
        <v>1</v>
      </c>
      <c r="I147" t="inlineStr">
        <is>
          <t>监管责令改正</t>
        </is>
      </c>
      <c r="J147" t="inlineStr">
        <is>
          <t>协会公示区间</t>
        </is>
      </c>
      <c r="K147" t="inlineStr">
        <is>
          <t>https://gs.amac.org.cn/amac-infodisc/res/pof/manager/101000000860.html</t>
        </is>
      </c>
    </row>
    <row r="148">
      <c r="A148" t="n">
        <v>147</v>
      </c>
      <c r="B148" t="inlineStr">
        <is>
          <t>砚博乘风量化14号</t>
        </is>
      </c>
      <c r="C148" t="inlineStr">
        <is>
          <t>SZN225</t>
        </is>
      </c>
      <c r="D148" t="inlineStr">
        <is>
          <t>深圳前海砚博乘风资管</t>
        </is>
      </c>
      <c r="E148" t="inlineStr">
        <is>
          <t>10-20亿元</t>
        </is>
      </c>
      <c r="F148" t="n">
        <v>49.75982</v>
      </c>
      <c r="G148" t="n">
        <v>49.76</v>
      </c>
      <c r="H148" t="n">
        <v>1</v>
      </c>
      <c r="I148" t="inlineStr">
        <is>
          <t>协会提示／报送异常</t>
        </is>
      </c>
      <c r="J148" t="inlineStr">
        <is>
          <t>协会公示区间</t>
        </is>
      </c>
      <c r="K148" t="inlineStr">
        <is>
          <t>https://gs.amac.org.cn/amac-infodisc/res/pof/manager/101000062862.html</t>
        </is>
      </c>
    </row>
    <row r="149">
      <c r="A149" t="n">
        <v>148</v>
      </c>
      <c r="B149" t="inlineStr">
        <is>
          <t>汉盛浩远1号</t>
        </is>
      </c>
      <c r="C149" t="inlineStr">
        <is>
          <t>SXE156</t>
        </is>
      </c>
      <c r="D149" t="inlineStr">
        <is>
          <t>上海汉鸿</t>
        </is>
      </c>
      <c r="E149" t="inlineStr">
        <is>
          <t>10-20亿元</t>
        </is>
      </c>
      <c r="F149" t="n">
        <v>49.65681</v>
      </c>
      <c r="G149" t="n">
        <v>49.66</v>
      </c>
      <c r="H149" t="n">
        <v>1</v>
      </c>
      <c r="I149" t="inlineStr">
        <is>
          <t>本次公示未见相关记录</t>
        </is>
      </c>
      <c r="J149" t="inlineStr">
        <is>
          <t>协会公示区间</t>
        </is>
      </c>
      <c r="K149" t="inlineStr">
        <is>
          <t>https://gs.amac.org.cn/amac-infodisc/res/pof/manager/2108171651109816.html</t>
        </is>
      </c>
    </row>
    <row r="150">
      <c r="A150" t="n">
        <v>149</v>
      </c>
      <c r="B150" t="inlineStr">
        <is>
          <t>九木套利1号</t>
        </is>
      </c>
      <c r="C150" t="inlineStr">
        <is>
          <t>SAXN78</t>
        </is>
      </c>
      <c r="D150" t="inlineStr">
        <is>
          <t>深圳九木</t>
        </is>
      </c>
      <c r="E150" t="inlineStr">
        <is>
          <t>10-20亿元</t>
        </is>
      </c>
      <c r="G150" t="n">
        <v>49.59</v>
      </c>
      <c r="H150" t="n">
        <v>0.724</v>
      </c>
      <c r="I150" t="inlineStr">
        <is>
          <t>本次公示未见相关记录</t>
        </is>
      </c>
      <c r="J150" t="inlineStr">
        <is>
          <t>协会公示区间</t>
        </is>
      </c>
      <c r="K150" t="inlineStr">
        <is>
          <t>https://gs.amac.org.cn/amac-infodisc/res/pof/manager/2502261446106414.html</t>
        </is>
      </c>
    </row>
    <row r="151">
      <c r="A151" t="n">
        <v>150</v>
      </c>
      <c r="B151" t="inlineStr">
        <is>
          <t>六妙星滚雪粒1号A类</t>
        </is>
      </c>
      <c r="C151" t="inlineStr">
        <is>
          <t>ASB96A</t>
        </is>
      </c>
      <c r="D151" t="inlineStr">
        <is>
          <t>北京六妙星</t>
        </is>
      </c>
      <c r="E151" t="inlineStr">
        <is>
          <t>20-50亿元</t>
        </is>
      </c>
      <c r="G151" t="n">
        <v>48.11</v>
      </c>
      <c r="H151" t="n">
        <v>0.655</v>
      </c>
      <c r="I151" t="inlineStr">
        <is>
          <t>本次公示未见相关记录</t>
        </is>
      </c>
      <c r="J151" t="inlineStr">
        <is>
          <t>协会公示区间</t>
        </is>
      </c>
      <c r="K151" t="inlineStr">
        <is>
          <t>https://gs.amac.org.cn/amac-infodisc/res/pof/manager/2012211324102340.html</t>
        </is>
      </c>
    </row>
    <row r="152">
      <c r="A152" t="n">
        <v>151</v>
      </c>
      <c r="B152" t="inlineStr">
        <is>
          <t>唐龙量化对冲99号</t>
        </is>
      </c>
      <c r="C152" t="inlineStr">
        <is>
          <t>SJQ683</t>
        </is>
      </c>
      <c r="D152" t="inlineStr">
        <is>
          <t>福建平潭唐龙资管</t>
        </is>
      </c>
      <c r="E152" t="inlineStr">
        <is>
          <t>5-10亿元</t>
        </is>
      </c>
      <c r="F152" t="n">
        <v>47.79695</v>
      </c>
      <c r="G152" t="n">
        <v>47.8</v>
      </c>
      <c r="H152" t="n">
        <v>1</v>
      </c>
      <c r="I152" t="inlineStr">
        <is>
          <t>本次公示未见相关记录</t>
        </is>
      </c>
      <c r="J152" t="inlineStr">
        <is>
          <t>协会公示区间</t>
        </is>
      </c>
      <c r="K152" t="inlineStr">
        <is>
          <t>https://gs.amac.org.cn/amac-infodisc/res/pof/manager/1708091719102142.html</t>
        </is>
      </c>
    </row>
    <row r="153">
      <c r="A153" t="n">
        <v>152</v>
      </c>
      <c r="B153" t="inlineStr">
        <is>
          <t>博牛转债策略2号</t>
        </is>
      </c>
      <c r="C153" t="inlineStr">
        <is>
          <t>SVY871</t>
        </is>
      </c>
      <c r="D153" t="inlineStr">
        <is>
          <t>广州博牛</t>
        </is>
      </c>
      <c r="E153" t="inlineStr">
        <is>
          <t>5-10亿元</t>
        </is>
      </c>
      <c r="G153" t="n">
        <v>47.79</v>
      </c>
      <c r="H153" t="n">
        <v>0.88</v>
      </c>
      <c r="I153" t="inlineStr">
        <is>
          <t>协会提示／报送异常</t>
        </is>
      </c>
      <c r="J153" t="inlineStr">
        <is>
          <t>协会公示区间</t>
        </is>
      </c>
      <c r="K153" t="inlineStr">
        <is>
          <t>https://gs.amac.org.cn/amac-infodisc/res/pof/manager/1801020956105866.html</t>
        </is>
      </c>
    </row>
    <row r="154">
      <c r="A154" t="n">
        <v>153</v>
      </c>
      <c r="B154" t="inlineStr">
        <is>
          <t>嘉和传承精研倍赢一期A类</t>
        </is>
      </c>
      <c r="C154" t="inlineStr">
        <is>
          <t>ACJ77A</t>
        </is>
      </c>
      <c r="D154" t="inlineStr">
        <is>
          <t>上海嘉和传承</t>
        </is>
      </c>
      <c r="E154" t="inlineStr">
        <is>
          <t>5-10亿元</t>
        </is>
      </c>
      <c r="G154" t="n">
        <v>47.65</v>
      </c>
      <c r="H154" t="n">
        <v>0.655</v>
      </c>
      <c r="I154" t="inlineStr">
        <is>
          <t>本次公示未见相关记录</t>
        </is>
      </c>
      <c r="J154" t="inlineStr">
        <is>
          <t>协会公示区间</t>
        </is>
      </c>
      <c r="K154" t="inlineStr">
        <is>
          <t>https://gs.amac.org.cn/amac-infodisc/res/pof/manager/2203031405108672.html</t>
        </is>
      </c>
    </row>
    <row r="155">
      <c r="A155" t="n">
        <v>154</v>
      </c>
      <c r="B155" t="inlineStr">
        <is>
          <t>涌涵农本一号</t>
        </is>
      </c>
      <c r="C155" t="inlineStr">
        <is>
          <t>SAWA30</t>
        </is>
      </c>
      <c r="D155" t="inlineStr">
        <is>
          <t>上海涌涵</t>
        </is>
      </c>
      <c r="E155" t="inlineStr">
        <is>
          <t>10-20亿元</t>
        </is>
      </c>
      <c r="G155" t="n">
        <v>46.73</v>
      </c>
      <c r="H155" t="n">
        <v>0.724</v>
      </c>
      <c r="I155" t="inlineStr">
        <is>
          <t>本次公示未见相关记录</t>
        </is>
      </c>
      <c r="J155" t="inlineStr">
        <is>
          <t>协会公示区间</t>
        </is>
      </c>
      <c r="K155" t="inlineStr">
        <is>
          <t>https://gs.amac.org.cn/amac-infodisc/res/pof/manager/2108301436104889.html</t>
        </is>
      </c>
    </row>
    <row r="156">
      <c r="A156" t="n">
        <v>155</v>
      </c>
      <c r="B156" t="inlineStr">
        <is>
          <t>乘舟紫荆1号</t>
        </is>
      </c>
      <c r="C156" t="inlineStr">
        <is>
          <t>SXW399</t>
        </is>
      </c>
      <c r="D156" t="inlineStr">
        <is>
          <t>上海乘舟投资</t>
        </is>
      </c>
      <c r="E156" t="inlineStr">
        <is>
          <t>5-10亿元</t>
        </is>
      </c>
      <c r="G156" t="n">
        <v>45.25</v>
      </c>
      <c r="H156" t="n">
        <v>0.88</v>
      </c>
      <c r="I156" t="inlineStr">
        <is>
          <t>本次公示未见相关记录</t>
        </is>
      </c>
      <c r="J156" t="inlineStr">
        <is>
          <t>协会公示区间</t>
        </is>
      </c>
      <c r="K156" t="inlineStr">
        <is>
          <t>https://gs.amac.org.cn/amac-infodisc/res/pof/manager/2003191500102072.html</t>
        </is>
      </c>
    </row>
    <row r="157">
      <c r="A157" t="n">
        <v>156</v>
      </c>
      <c r="B157" t="inlineStr">
        <is>
          <t>灵涛卧龙A类</t>
        </is>
      </c>
      <c r="C157" t="inlineStr">
        <is>
          <t>EU753A</t>
        </is>
      </c>
      <c r="D157" t="inlineStr">
        <is>
          <t>灵涛基金</t>
        </is>
      </c>
      <c r="E157" t="inlineStr">
        <is>
          <t>5-10亿元</t>
        </is>
      </c>
      <c r="G157" t="n">
        <v>45.01</v>
      </c>
      <c r="H157" t="n">
        <v>0.655</v>
      </c>
      <c r="I157" t="inlineStr">
        <is>
          <t>协会提示／报送异常</t>
        </is>
      </c>
      <c r="J157" t="inlineStr">
        <is>
          <t>协会公示区间</t>
        </is>
      </c>
      <c r="K157" t="inlineStr">
        <is>
          <t>https://gs.amac.org.cn/amac-infodisc/res/pof/manager/101000034805.html</t>
        </is>
      </c>
    </row>
    <row r="158">
      <c r="A158" t="n">
        <v>157</v>
      </c>
      <c r="B158" t="inlineStr">
        <is>
          <t>简文长风1号</t>
        </is>
      </c>
      <c r="C158" t="inlineStr">
        <is>
          <t>SAFF81</t>
        </is>
      </c>
      <c r="D158" t="inlineStr">
        <is>
          <t>上海简文</t>
        </is>
      </c>
      <c r="E158" t="inlineStr">
        <is>
          <t>10-20亿元</t>
        </is>
      </c>
      <c r="G158" t="n">
        <v>44.24</v>
      </c>
      <c r="H158" t="n">
        <v>0.7</v>
      </c>
      <c r="I158" t="inlineStr">
        <is>
          <t>本次公示未见相关记录</t>
        </is>
      </c>
      <c r="J158" t="inlineStr">
        <is>
          <t>协会公示区间</t>
        </is>
      </c>
      <c r="K158" t="inlineStr">
        <is>
          <t>https://gs.amac.org.cn/amac-infodisc/res/pof/manager/101000033419.html</t>
        </is>
      </c>
    </row>
    <row r="159">
      <c r="A159" t="n">
        <v>158</v>
      </c>
      <c r="B159" t="inlineStr">
        <is>
          <t>悬铃君享CTA2号</t>
        </is>
      </c>
      <c r="C159" t="inlineStr">
        <is>
          <t>SZF199</t>
        </is>
      </c>
      <c r="D159" t="inlineStr">
        <is>
          <t>上海悬铃</t>
        </is>
      </c>
      <c r="E159" t="inlineStr">
        <is>
          <t>20-50亿元</t>
        </is>
      </c>
      <c r="F159" t="n">
        <v>44.02734</v>
      </c>
      <c r="G159" t="n">
        <v>44.03</v>
      </c>
      <c r="H159" t="n">
        <v>1</v>
      </c>
      <c r="I159" t="inlineStr">
        <is>
          <t>本次公示未见相关记录</t>
        </is>
      </c>
      <c r="J159" t="inlineStr">
        <is>
          <t>协会公示区间</t>
        </is>
      </c>
      <c r="K159" t="inlineStr">
        <is>
          <t>https://gs.amac.org.cn/amac-infodisc/res/pof/manager/1701161209103763.html</t>
        </is>
      </c>
    </row>
    <row r="160">
      <c r="A160" t="n">
        <v>159</v>
      </c>
      <c r="B160" t="inlineStr">
        <is>
          <t>骏远高价值成长6号</t>
        </is>
      </c>
      <c r="C160" t="inlineStr">
        <is>
          <t>SBBE42</t>
        </is>
      </c>
      <c r="D160" t="inlineStr">
        <is>
          <t>北京骏远资管</t>
        </is>
      </c>
      <c r="E160" t="inlineStr">
        <is>
          <t>5-10亿元</t>
        </is>
      </c>
      <c r="G160" t="n">
        <v>43.77</v>
      </c>
      <c r="H160" t="n">
        <v>0.724</v>
      </c>
      <c r="I160" t="inlineStr">
        <is>
          <t>本次公示未见相关记录</t>
        </is>
      </c>
      <c r="J160" t="inlineStr">
        <is>
          <t>协会公示区间</t>
        </is>
      </c>
      <c r="K160" t="inlineStr">
        <is>
          <t>https://gs.amac.org.cn/amac-infodisc/res/pof/manager/101000036043.html</t>
        </is>
      </c>
    </row>
    <row r="161">
      <c r="A161" t="n">
        <v>160</v>
      </c>
      <c r="B161" t="inlineStr">
        <is>
          <t>乘舟紫荆1号B类</t>
        </is>
      </c>
      <c r="C161" t="inlineStr">
        <is>
          <t>XW399B</t>
        </is>
      </c>
      <c r="D161" t="inlineStr">
        <is>
          <t>上海乘舟投资</t>
        </is>
      </c>
      <c r="E161" t="inlineStr">
        <is>
          <t>5-10亿元</t>
        </is>
      </c>
      <c r="G161" t="n">
        <v>43.57</v>
      </c>
      <c r="H161" t="n">
        <v>0.835</v>
      </c>
      <c r="I161" t="inlineStr">
        <is>
          <t>本次公示未见相关记录</t>
        </is>
      </c>
      <c r="J161" t="inlineStr">
        <is>
          <t>协会公示区间</t>
        </is>
      </c>
      <c r="K161" t="inlineStr">
        <is>
          <t>https://gs.amac.org.cn/amac-infodisc/res/pof/manager/2003191500102072.html</t>
        </is>
      </c>
    </row>
    <row r="162">
      <c r="A162" t="n">
        <v>161</v>
      </c>
      <c r="B162" t="inlineStr">
        <is>
          <t>嘉和传承精研倍赢二期A类</t>
        </is>
      </c>
      <c r="C162" t="inlineStr">
        <is>
          <t>AJV57A</t>
        </is>
      </c>
      <c r="D162" t="inlineStr">
        <is>
          <t>上海嘉和传承</t>
        </is>
      </c>
      <c r="E162" t="inlineStr">
        <is>
          <t>5-10亿元</t>
        </is>
      </c>
      <c r="G162" t="n">
        <v>43.51</v>
      </c>
      <c r="H162" t="n">
        <v>0.655</v>
      </c>
      <c r="I162" t="inlineStr">
        <is>
          <t>本次公示未见相关记录</t>
        </is>
      </c>
      <c r="J162" t="inlineStr">
        <is>
          <t>协会公示区间</t>
        </is>
      </c>
      <c r="K162" t="inlineStr">
        <is>
          <t>https://gs.amac.org.cn/amac-infodisc/res/pof/manager/2203031405108672.html</t>
        </is>
      </c>
    </row>
    <row r="163">
      <c r="A163" t="n">
        <v>162</v>
      </c>
      <c r="B163" t="inlineStr">
        <is>
          <t>博普量化对冲6号A类</t>
        </is>
      </c>
      <c r="C163" t="inlineStr">
        <is>
          <t>EE891A</t>
        </is>
      </c>
      <c r="D163" t="inlineStr">
        <is>
          <t>深圳前海博普资管</t>
        </is>
      </c>
      <c r="E163" t="inlineStr">
        <is>
          <t>50-100亿元</t>
        </is>
      </c>
      <c r="G163" t="n">
        <v>43.29</v>
      </c>
      <c r="H163" t="n">
        <v>0.955</v>
      </c>
      <c r="I163" t="inlineStr">
        <is>
          <t>本次公示未见相关记录</t>
        </is>
      </c>
      <c r="J163" t="inlineStr">
        <is>
          <t>协会公示区间</t>
        </is>
      </c>
      <c r="K163" t="inlineStr">
        <is>
          <t>https://gs.amac.org.cn/amac-infodisc/res/pof/manager/1709041706102598.html</t>
        </is>
      </c>
    </row>
    <row r="164">
      <c r="A164" t="n">
        <v>163</v>
      </c>
      <c r="B164" t="inlineStr">
        <is>
          <t>锐耐复利倍增2号A类</t>
        </is>
      </c>
      <c r="C164" t="inlineStr">
        <is>
          <t>XV513A</t>
        </is>
      </c>
      <c r="D164" t="inlineStr">
        <is>
          <t>上海锐耐</t>
        </is>
      </c>
      <c r="E164" t="inlineStr">
        <is>
          <t>20-50亿元</t>
        </is>
      </c>
      <c r="G164" t="n">
        <v>43.27</v>
      </c>
      <c r="H164" t="n">
        <v>0.655</v>
      </c>
      <c r="I164" t="inlineStr">
        <is>
          <t>本次公示未见相关记录</t>
        </is>
      </c>
      <c r="J164" t="inlineStr">
        <is>
          <t>协会公示区间</t>
        </is>
      </c>
      <c r="K164" t="inlineStr">
        <is>
          <t>https://gs.amac.org.cn/amac-infodisc/res/pof/manager/2011201413105709.html</t>
        </is>
      </c>
    </row>
    <row r="165">
      <c r="A165" t="n">
        <v>164</v>
      </c>
      <c r="B165" t="inlineStr">
        <is>
          <t>远澜翠柏1号</t>
        </is>
      </c>
      <c r="C165" t="inlineStr">
        <is>
          <t>SS9088</t>
        </is>
      </c>
      <c r="D165" t="inlineStr">
        <is>
          <t>上海远澜</t>
        </is>
      </c>
      <c r="E165" t="inlineStr">
        <is>
          <t>100亿元以上</t>
        </is>
      </c>
      <c r="F165" t="n">
        <v>42.97578</v>
      </c>
      <c r="G165" t="n">
        <v>42.98</v>
      </c>
      <c r="H165" t="n">
        <v>1</v>
      </c>
      <c r="I165" t="inlineStr">
        <is>
          <t>本次公示未见相关记录</t>
        </is>
      </c>
      <c r="J165" t="inlineStr">
        <is>
          <t>协会公示区间</t>
        </is>
      </c>
      <c r="K165" t="inlineStr">
        <is>
          <t>https://gs.amac.org.cn/amac-infodisc/res/pof/manager/101000022626.html</t>
        </is>
      </c>
    </row>
    <row r="166">
      <c r="A166" t="n">
        <v>165</v>
      </c>
      <c r="B166" t="inlineStr">
        <is>
          <t>和熙新月1号</t>
        </is>
      </c>
      <c r="C166" t="inlineStr">
        <is>
          <t>SJG287</t>
        </is>
      </c>
      <c r="D166" t="inlineStr">
        <is>
          <t>浙江和熙资管</t>
        </is>
      </c>
      <c r="E166" t="inlineStr">
        <is>
          <t>5-10亿元</t>
        </is>
      </c>
      <c r="G166" t="n">
        <v>41.98</v>
      </c>
      <c r="H166" t="n">
        <v>0.88</v>
      </c>
      <c r="I166" t="inlineStr">
        <is>
          <t>协会提示／报送异常</t>
        </is>
      </c>
      <c r="J166" t="inlineStr">
        <is>
          <t>协会公示区间</t>
        </is>
      </c>
      <c r="K166" t="inlineStr">
        <is>
          <t>https://gs.amac.org.cn/amac-infodisc/res/pof/manager/101000072213.html</t>
        </is>
      </c>
    </row>
    <row r="167">
      <c r="A167" t="n">
        <v>166</v>
      </c>
      <c r="B167" t="inlineStr">
        <is>
          <t>悬铃成长1号</t>
        </is>
      </c>
      <c r="C167" t="inlineStr">
        <is>
          <t>STP551</t>
        </is>
      </c>
      <c r="D167" t="inlineStr">
        <is>
          <t>上海悬铃</t>
        </is>
      </c>
      <c r="E167" t="inlineStr">
        <is>
          <t>20-50亿元</t>
        </is>
      </c>
      <c r="F167" t="n">
        <v>41.60919</v>
      </c>
      <c r="G167" t="n">
        <v>41.61</v>
      </c>
      <c r="H167" t="n">
        <v>1</v>
      </c>
      <c r="I167" t="inlineStr">
        <is>
          <t>本次公示未见相关记录</t>
        </is>
      </c>
      <c r="J167" t="inlineStr">
        <is>
          <t>协会公示区间</t>
        </is>
      </c>
      <c r="K167" t="inlineStr">
        <is>
          <t>https://gs.amac.org.cn/amac-infodisc/res/pof/manager/1701161209103763.html</t>
        </is>
      </c>
    </row>
    <row r="168">
      <c r="A168" t="n">
        <v>167</v>
      </c>
      <c r="B168" t="inlineStr">
        <is>
          <t>凡德量化八号</t>
        </is>
      </c>
      <c r="C168" t="inlineStr">
        <is>
          <t>SJS811</t>
        </is>
      </c>
      <c r="D168" t="inlineStr">
        <is>
          <t>广东凡德投资</t>
        </is>
      </c>
      <c r="E168" t="inlineStr">
        <is>
          <t>5-10亿元</t>
        </is>
      </c>
      <c r="G168" t="n">
        <v>41.53</v>
      </c>
      <c r="H168" t="n">
        <v>0.88</v>
      </c>
      <c r="I168" t="inlineStr">
        <is>
          <t>本次公示未见相关记录</t>
        </is>
      </c>
      <c r="J168" t="inlineStr">
        <is>
          <t>协会公示区间</t>
        </is>
      </c>
      <c r="K168" t="inlineStr">
        <is>
          <t>https://gs.amac.org.cn/amac-infodisc/res/pof/manager/101000000695.html</t>
        </is>
      </c>
    </row>
    <row r="169">
      <c r="A169" t="n">
        <v>168</v>
      </c>
      <c r="B169" t="inlineStr">
        <is>
          <t>悬铃尊享CTA8号</t>
        </is>
      </c>
      <c r="C169" t="inlineStr">
        <is>
          <t>STW103</t>
        </is>
      </c>
      <c r="D169" t="inlineStr">
        <is>
          <t>上海悬铃</t>
        </is>
      </c>
      <c r="E169" t="inlineStr">
        <is>
          <t>20-50亿元</t>
        </is>
      </c>
      <c r="F169" t="n">
        <v>41.2422</v>
      </c>
      <c r="G169" t="n">
        <v>41.24</v>
      </c>
      <c r="H169" t="n">
        <v>1</v>
      </c>
      <c r="I169" t="inlineStr">
        <is>
          <t>本次公示未见相关记录</t>
        </is>
      </c>
      <c r="J169" t="inlineStr">
        <is>
          <t>协会公示区间</t>
        </is>
      </c>
      <c r="K169" t="inlineStr">
        <is>
          <t>https://gs.amac.org.cn/amac-infodisc/res/pof/manager/1701161209103763.html</t>
        </is>
      </c>
    </row>
    <row r="170">
      <c r="A170" t="n">
        <v>169</v>
      </c>
      <c r="B170" t="inlineStr">
        <is>
          <t>远澜冬青跨境套利1号</t>
        </is>
      </c>
      <c r="C170" t="inlineStr">
        <is>
          <t>SAHU42</t>
        </is>
      </c>
      <c r="D170" t="inlineStr">
        <is>
          <t>上海远澜</t>
        </is>
      </c>
      <c r="E170" t="inlineStr">
        <is>
          <t>100亿元以上</t>
        </is>
      </c>
      <c r="G170" t="n">
        <v>41.09</v>
      </c>
      <c r="H170" t="n">
        <v>0.7</v>
      </c>
      <c r="I170" t="inlineStr">
        <is>
          <t>本次公示未见相关记录</t>
        </is>
      </c>
      <c r="J170" t="inlineStr">
        <is>
          <t>协会公示区间</t>
        </is>
      </c>
      <c r="K170" t="inlineStr">
        <is>
          <t>https://gs.amac.org.cn/amac-infodisc/res/pof/manager/101000022626.html</t>
        </is>
      </c>
    </row>
    <row r="171">
      <c r="A171" t="n">
        <v>170</v>
      </c>
      <c r="B171" t="inlineStr">
        <is>
          <t>慧衍锐智3号A类</t>
        </is>
      </c>
      <c r="C171" t="inlineStr">
        <is>
          <t>AGE96A</t>
        </is>
      </c>
      <c r="D171" t="inlineStr">
        <is>
          <t>上海慧衍</t>
        </is>
      </c>
      <c r="E171" t="inlineStr">
        <is>
          <t>10-20亿元</t>
        </is>
      </c>
      <c r="G171" t="n">
        <v>40.13</v>
      </c>
      <c r="H171" t="n">
        <v>0.655</v>
      </c>
      <c r="I171" t="inlineStr">
        <is>
          <t>本次公示未见相关记录</t>
        </is>
      </c>
      <c r="J171" t="inlineStr">
        <is>
          <t>协会公示区间</t>
        </is>
      </c>
      <c r="K171" t="inlineStr">
        <is>
          <t>https://gs.amac.org.cn/amac-infodisc/res/pof/manager/2103171746100111.html</t>
        </is>
      </c>
    </row>
    <row r="172">
      <c r="A172" t="n">
        <v>171</v>
      </c>
      <c r="B172" t="inlineStr">
        <is>
          <t>鹿秀呦呦1号</t>
        </is>
      </c>
      <c r="C172" t="inlineStr">
        <is>
          <t>SVY067</t>
        </is>
      </c>
      <c r="D172" t="inlineStr">
        <is>
          <t>青岛鹿秀投资</t>
        </is>
      </c>
      <c r="E172" t="inlineStr">
        <is>
          <t>50-100亿元</t>
        </is>
      </c>
      <c r="F172" t="n">
        <v>40.07381</v>
      </c>
      <c r="G172" t="n">
        <v>40.07</v>
      </c>
      <c r="H172" t="n">
        <v>1</v>
      </c>
      <c r="I172" t="inlineStr">
        <is>
          <t>协会提示／报送异常</t>
        </is>
      </c>
      <c r="J172" t="inlineStr">
        <is>
          <t>协会公示区间</t>
        </is>
      </c>
      <c r="K172" t="inlineStr">
        <is>
          <t>https://gs.amac.org.cn/amac-infodisc/res/pof/manager/1612231708101923.html</t>
        </is>
      </c>
    </row>
    <row r="173">
      <c r="A173" t="n">
        <v>172</v>
      </c>
      <c r="B173" t="inlineStr">
        <is>
          <t>骏远高价值成长6号A类</t>
        </is>
      </c>
      <c r="C173" t="inlineStr">
        <is>
          <t>BBE42A</t>
        </is>
      </c>
      <c r="D173" t="inlineStr">
        <is>
          <t>北京骏远资管</t>
        </is>
      </c>
      <c r="E173" t="inlineStr">
        <is>
          <t>5-10亿元</t>
        </is>
      </c>
      <c r="G173" t="n">
        <v>40.04</v>
      </c>
      <c r="H173" t="n">
        <v>0.679</v>
      </c>
      <c r="I173" t="inlineStr">
        <is>
          <t>本次公示未见相关记录</t>
        </is>
      </c>
      <c r="J173" t="inlineStr">
        <is>
          <t>协会公示区间</t>
        </is>
      </c>
      <c r="K173" t="inlineStr">
        <is>
          <t>https://gs.amac.org.cn/amac-infodisc/res/pof/manager/101000036043.html</t>
        </is>
      </c>
    </row>
    <row r="174">
      <c r="A174" t="n">
        <v>173</v>
      </c>
      <c r="B174" t="inlineStr">
        <is>
          <t>恒立卓越1号</t>
        </is>
      </c>
      <c r="C174" t="inlineStr">
        <is>
          <t>SZF893</t>
        </is>
      </c>
      <c r="D174" t="inlineStr">
        <is>
          <t>海南恒立</t>
        </is>
      </c>
      <c r="E174" t="inlineStr">
        <is>
          <t>5-10亿元</t>
        </is>
      </c>
      <c r="G174" t="n">
        <v>39.64</v>
      </c>
      <c r="H174" t="n">
        <v>0.88</v>
      </c>
      <c r="I174" t="inlineStr">
        <is>
          <t>协会提示／报送异常</t>
        </is>
      </c>
      <c r="J174" t="inlineStr">
        <is>
          <t>协会公示区间</t>
        </is>
      </c>
      <c r="K174" t="inlineStr">
        <is>
          <t>https://gs.amac.org.cn/amac-infodisc/res/pof/manager/2204132153103555.html</t>
        </is>
      </c>
    </row>
    <row r="175">
      <c r="A175" t="n">
        <v>174</v>
      </c>
      <c r="B175" t="inlineStr">
        <is>
          <t>和熙新月1号A类</t>
        </is>
      </c>
      <c r="C175" t="inlineStr">
        <is>
          <t>JG287A</t>
        </is>
      </c>
      <c r="D175" t="inlineStr">
        <is>
          <t>浙江和熙资管</t>
        </is>
      </c>
      <c r="E175" t="inlineStr">
        <is>
          <t>5-10亿元</t>
        </is>
      </c>
      <c r="G175" t="n">
        <v>39.33</v>
      </c>
      <c r="H175" t="n">
        <v>0.835</v>
      </c>
      <c r="I175" t="inlineStr">
        <is>
          <t>协会提示／报送异常</t>
        </is>
      </c>
      <c r="J175" t="inlineStr">
        <is>
          <t>协会公示区间</t>
        </is>
      </c>
      <c r="K175" t="inlineStr">
        <is>
          <t>https://gs.amac.org.cn/amac-infodisc/res/pof/manager/101000072213.html</t>
        </is>
      </c>
    </row>
    <row r="176">
      <c r="A176" t="n">
        <v>175</v>
      </c>
      <c r="B176" t="inlineStr">
        <is>
          <t>悬铃稳健1号</t>
        </is>
      </c>
      <c r="C176" t="inlineStr">
        <is>
          <t>SVB806</t>
        </is>
      </c>
      <c r="D176" t="inlineStr">
        <is>
          <t>上海悬铃</t>
        </is>
      </c>
      <c r="E176" t="inlineStr">
        <is>
          <t>20-50亿元</t>
        </is>
      </c>
      <c r="F176" t="n">
        <v>39.28325</v>
      </c>
      <c r="G176" t="n">
        <v>39.28</v>
      </c>
      <c r="H176" t="n">
        <v>1</v>
      </c>
      <c r="I176" t="inlineStr">
        <is>
          <t>本次公示未见相关记录</t>
        </is>
      </c>
      <c r="J176" t="inlineStr">
        <is>
          <t>协会公示区间</t>
        </is>
      </c>
      <c r="K176" t="inlineStr">
        <is>
          <t>https://gs.amac.org.cn/amac-infodisc/res/pof/manager/1701161209103763.html</t>
        </is>
      </c>
    </row>
    <row r="177">
      <c r="A177" t="n">
        <v>176</v>
      </c>
      <c r="B177" t="inlineStr">
        <is>
          <t>木莲安澜1号</t>
        </is>
      </c>
      <c r="C177" t="inlineStr">
        <is>
          <t>SATL22</t>
        </is>
      </c>
      <c r="D177" t="inlineStr">
        <is>
          <t>深圳木莲</t>
        </is>
      </c>
      <c r="E177" t="inlineStr">
        <is>
          <t>5-10亿元</t>
        </is>
      </c>
      <c r="G177" t="n">
        <v>38.8</v>
      </c>
      <c r="H177" t="n">
        <v>0.7</v>
      </c>
      <c r="I177" t="inlineStr">
        <is>
          <t>协会提示／报送异常</t>
        </is>
      </c>
      <c r="J177" t="inlineStr">
        <is>
          <t>协会公示区间</t>
        </is>
      </c>
      <c r="K177" t="inlineStr">
        <is>
          <t>https://gs.amac.org.cn/amac-infodisc/res/pof/manager/101000023487.html</t>
        </is>
      </c>
    </row>
    <row r="178">
      <c r="A178" t="n">
        <v>177</v>
      </c>
      <c r="B178" t="inlineStr">
        <is>
          <t>巨量边界周周开2号</t>
        </is>
      </c>
      <c r="C178" t="inlineStr">
        <is>
          <t>SAHY15</t>
        </is>
      </c>
      <c r="D178" t="inlineStr">
        <is>
          <t>北京巨量边界</t>
        </is>
      </c>
      <c r="E178" t="inlineStr">
        <is>
          <t>20-50亿元</t>
        </is>
      </c>
      <c r="G178" t="n">
        <v>38.79</v>
      </c>
      <c r="H178" t="n">
        <v>0.7</v>
      </c>
      <c r="I178" t="inlineStr">
        <is>
          <t>协会提示／报送异常</t>
        </is>
      </c>
      <c r="J178" t="inlineStr">
        <is>
          <t>协会公示区间</t>
        </is>
      </c>
      <c r="K178" t="inlineStr">
        <is>
          <t>https://gs.amac.org.cn/amac-infodisc/res/pof/manager/2107271706122405.html</t>
        </is>
      </c>
    </row>
    <row r="179">
      <c r="A179" t="n">
        <v>178</v>
      </c>
      <c r="B179" t="inlineStr">
        <is>
          <t>毅远稳健套利16号</t>
        </is>
      </c>
      <c r="C179" t="inlineStr">
        <is>
          <t>SAQK03</t>
        </is>
      </c>
      <c r="D179" t="inlineStr">
        <is>
          <t>上海毅远</t>
        </is>
      </c>
      <c r="E179" t="inlineStr">
        <is>
          <t>10-20亿元</t>
        </is>
      </c>
      <c r="G179" t="n">
        <v>38.53</v>
      </c>
      <c r="H179" t="n">
        <v>0.7</v>
      </c>
      <c r="I179" t="inlineStr">
        <is>
          <t>本次公示未见相关记录</t>
        </is>
      </c>
      <c r="J179" t="inlineStr">
        <is>
          <t>协会公示区间</t>
        </is>
      </c>
      <c r="K179" t="inlineStr">
        <is>
          <t>https://gs.amac.org.cn/amac-infodisc/res/pof/manager/2112091706105909.html</t>
        </is>
      </c>
    </row>
    <row r="180">
      <c r="A180" t="n">
        <v>179</v>
      </c>
      <c r="B180" t="inlineStr">
        <is>
          <t>探针稳健一号A类</t>
        </is>
      </c>
      <c r="C180" t="inlineStr">
        <is>
          <t>JA891A</t>
        </is>
      </c>
      <c r="D180" t="inlineStr">
        <is>
          <t>上海探针投资</t>
        </is>
      </c>
      <c r="E180" t="inlineStr">
        <is>
          <t>10-20亿元</t>
        </is>
      </c>
      <c r="G180" t="n">
        <v>38.22</v>
      </c>
      <c r="H180" t="n">
        <v>0.655</v>
      </c>
      <c r="I180" t="inlineStr">
        <is>
          <t>本次公示未见相关记录</t>
        </is>
      </c>
      <c r="J180" t="inlineStr">
        <is>
          <t>协会公示区间</t>
        </is>
      </c>
      <c r="K180" t="inlineStr">
        <is>
          <t>https://gs.amac.org.cn/amac-infodisc/res/pof/manager/1611180856100664.html</t>
        </is>
      </c>
    </row>
    <row r="181">
      <c r="A181" t="n">
        <v>180</v>
      </c>
      <c r="B181" t="inlineStr">
        <is>
          <t>多打粮磬晟</t>
        </is>
      </c>
      <c r="C181" t="inlineStr">
        <is>
          <t>SNF235</t>
        </is>
      </c>
      <c r="D181" t="inlineStr">
        <is>
          <t>上海磬晟</t>
        </is>
      </c>
      <c r="E181" t="inlineStr">
        <is>
          <t>5-10亿元</t>
        </is>
      </c>
      <c r="F181" t="n">
        <v>37.42241</v>
      </c>
      <c r="G181" t="n">
        <v>37.42</v>
      </c>
      <c r="H181" t="n">
        <v>1</v>
      </c>
      <c r="I181" t="inlineStr">
        <is>
          <t>本次公示未见相关记录</t>
        </is>
      </c>
      <c r="J181" t="inlineStr">
        <is>
          <t>协会公示区间</t>
        </is>
      </c>
      <c r="K181" t="inlineStr">
        <is>
          <t>https://gs.amac.org.cn/amac-infodisc/res/pof/manager/1612231709103386.html</t>
        </is>
      </c>
    </row>
    <row r="182">
      <c r="A182" t="n">
        <v>181</v>
      </c>
      <c r="B182" t="inlineStr">
        <is>
          <t>华睿东方世家进取6号</t>
        </is>
      </c>
      <c r="C182" t="inlineStr">
        <is>
          <t>SAJD40</t>
        </is>
      </c>
      <c r="D182" t="inlineStr">
        <is>
          <t>天津华睿千和资管</t>
        </is>
      </c>
      <c r="E182" t="inlineStr">
        <is>
          <t>5-10亿元</t>
        </is>
      </c>
      <c r="G182" t="n">
        <v>36.88</v>
      </c>
      <c r="H182" t="n">
        <v>0.7</v>
      </c>
      <c r="I182" t="inlineStr">
        <is>
          <t>监管警示函</t>
        </is>
      </c>
      <c r="J182" t="inlineStr">
        <is>
          <t>协会公示区间</t>
        </is>
      </c>
      <c r="K182" t="inlineStr">
        <is>
          <t>https://gs.amac.org.cn/amac-infodisc/res/pof/manager/101000023136.html</t>
        </is>
      </c>
    </row>
    <row r="183">
      <c r="A183" t="n">
        <v>182</v>
      </c>
      <c r="B183" t="inlineStr">
        <is>
          <t>悬铃C号2期</t>
        </is>
      </c>
      <c r="C183" t="inlineStr">
        <is>
          <t>SGH303</t>
        </is>
      </c>
      <c r="D183" t="inlineStr">
        <is>
          <t>上海悬铃</t>
        </is>
      </c>
      <c r="E183" t="inlineStr">
        <is>
          <t>20-50亿元</t>
        </is>
      </c>
      <c r="F183" t="n">
        <v>36.26627</v>
      </c>
      <c r="G183" t="n">
        <v>36.27</v>
      </c>
      <c r="H183" t="n">
        <v>1</v>
      </c>
      <c r="I183" t="inlineStr">
        <is>
          <t>本次公示未见相关记录</t>
        </is>
      </c>
      <c r="J183" t="inlineStr">
        <is>
          <t>协会公示区间</t>
        </is>
      </c>
      <c r="K183" t="inlineStr">
        <is>
          <t>https://gs.amac.org.cn/amac-infodisc/res/pof/manager/1701161209103763.html</t>
        </is>
      </c>
    </row>
    <row r="184">
      <c r="A184" t="n">
        <v>183</v>
      </c>
      <c r="B184" t="inlineStr">
        <is>
          <t>东玛多策略稳健1号</t>
        </is>
      </c>
      <c r="C184" t="inlineStr">
        <is>
          <t>SVG441</t>
        </is>
      </c>
      <c r="D184" t="inlineStr">
        <is>
          <t>宁波东玛</t>
        </is>
      </c>
      <c r="E184" t="inlineStr">
        <is>
          <t>5-10亿元</t>
        </is>
      </c>
      <c r="G184" t="n">
        <v>36.18</v>
      </c>
      <c r="H184" t="n">
        <v>0.88</v>
      </c>
      <c r="I184" t="inlineStr">
        <is>
          <t>本次公示未见相关记录</t>
        </is>
      </c>
      <c r="J184" t="inlineStr">
        <is>
          <t>协会公示区间</t>
        </is>
      </c>
      <c r="K184" t="inlineStr">
        <is>
          <t>https://gs.amac.org.cn/amac-infodisc/res/pof/manager/2110261036100964.html</t>
        </is>
      </c>
    </row>
    <row r="185">
      <c r="A185" t="n">
        <v>184</v>
      </c>
      <c r="B185" t="inlineStr">
        <is>
          <t>磬晟启晟1号</t>
        </is>
      </c>
      <c r="C185" t="inlineStr">
        <is>
          <t>SCB058</t>
        </is>
      </c>
      <c r="D185" t="inlineStr">
        <is>
          <t>上海磬晟</t>
        </is>
      </c>
      <c r="E185" t="inlineStr">
        <is>
          <t>5-10亿元</t>
        </is>
      </c>
      <c r="F185" t="n">
        <v>35.18277</v>
      </c>
      <c r="G185" t="n">
        <v>35.18</v>
      </c>
      <c r="H185" t="n">
        <v>1</v>
      </c>
      <c r="I185" t="inlineStr">
        <is>
          <t>本次公示未见相关记录</t>
        </is>
      </c>
      <c r="J185" t="inlineStr">
        <is>
          <t>协会公示区间</t>
        </is>
      </c>
      <c r="K185" t="inlineStr">
        <is>
          <t>https://gs.amac.org.cn/amac-infodisc/res/pof/manager/1612231709103386.html</t>
        </is>
      </c>
    </row>
    <row r="186">
      <c r="A186" t="n">
        <v>185</v>
      </c>
      <c r="B186" t="inlineStr">
        <is>
          <t>岳鑫遥3号</t>
        </is>
      </c>
      <c r="C186" t="inlineStr">
        <is>
          <t>SXW818</t>
        </is>
      </c>
      <c r="D186" t="inlineStr">
        <is>
          <t>北京岳鑫遥</t>
        </is>
      </c>
      <c r="E186" t="inlineStr">
        <is>
          <t>5-10亿元</t>
        </is>
      </c>
      <c r="G186" t="n">
        <v>34.83</v>
      </c>
      <c r="H186" t="n">
        <v>0.88</v>
      </c>
      <c r="I186" t="inlineStr">
        <is>
          <t>协会提示／报送异常</t>
        </is>
      </c>
      <c r="J186" t="inlineStr">
        <is>
          <t>协会公示区间</t>
        </is>
      </c>
      <c r="K186" t="inlineStr">
        <is>
          <t>https://gs.amac.org.cn/amac-infodisc/res/pof/manager/2207041830121644.html</t>
        </is>
      </c>
    </row>
    <row r="187">
      <c r="A187" t="n">
        <v>186</v>
      </c>
      <c r="B187" t="inlineStr">
        <is>
          <t>岳鑫遥3号A类</t>
        </is>
      </c>
      <c r="C187" t="inlineStr">
        <is>
          <t>XW818A</t>
        </is>
      </c>
      <c r="D187" t="inlineStr">
        <is>
          <t>北京岳鑫遥</t>
        </is>
      </c>
      <c r="E187" t="inlineStr">
        <is>
          <t>5-10亿元</t>
        </is>
      </c>
      <c r="G187" t="n">
        <v>31.32</v>
      </c>
      <c r="H187" t="n">
        <v>0.835</v>
      </c>
      <c r="I187" t="inlineStr">
        <is>
          <t>协会提示／报送异常</t>
        </is>
      </c>
      <c r="J187" t="inlineStr">
        <is>
          <t>协会公示区间</t>
        </is>
      </c>
      <c r="K187" t="inlineStr">
        <is>
          <t>https://gs.amac.org.cn/amac-infodisc/res/pof/manager/2207041830121644.html</t>
        </is>
      </c>
    </row>
    <row r="188">
      <c r="A188" t="n">
        <v>187</v>
      </c>
      <c r="B188" t="inlineStr">
        <is>
          <t>悬铃瑞享C号1期</t>
        </is>
      </c>
      <c r="C188" t="inlineStr">
        <is>
          <t>SZF187</t>
        </is>
      </c>
      <c r="D188" t="inlineStr">
        <is>
          <t>上海悬铃</t>
        </is>
      </c>
      <c r="E188" t="inlineStr">
        <is>
          <t>20-50亿元</t>
        </is>
      </c>
      <c r="F188" t="n">
        <v>30.71304</v>
      </c>
      <c r="G188" t="n">
        <v>30.71</v>
      </c>
      <c r="H188" t="n">
        <v>1</v>
      </c>
      <c r="I188" t="inlineStr">
        <is>
          <t>本次公示未见相关记录</t>
        </is>
      </c>
      <c r="J188" t="inlineStr">
        <is>
          <t>协会公示区间</t>
        </is>
      </c>
      <c r="K188" t="inlineStr">
        <is>
          <t>https://gs.amac.org.cn/amac-infodisc/res/pof/manager/1701161209103763.html</t>
        </is>
      </c>
    </row>
    <row r="189">
      <c r="A189" t="n">
        <v>188</v>
      </c>
      <c r="B189" t="inlineStr">
        <is>
          <t>启元高粱2号</t>
        </is>
      </c>
      <c r="C189" t="inlineStr">
        <is>
          <t>SZW093</t>
        </is>
      </c>
      <c r="D189" t="inlineStr">
        <is>
          <t>温州启元资管</t>
        </is>
      </c>
      <c r="E189" t="inlineStr">
        <is>
          <t>20-50亿元</t>
        </is>
      </c>
      <c r="G189" t="n">
        <v>29.75</v>
      </c>
      <c r="H189" t="n">
        <v>0.7</v>
      </c>
      <c r="I189" t="inlineStr">
        <is>
          <t>监管警示函</t>
        </is>
      </c>
      <c r="J189" t="inlineStr">
        <is>
          <t>协会公示区间</t>
        </is>
      </c>
      <c r="K189" t="inlineStr">
        <is>
          <t>https://gs.amac.org.cn/amac-infodisc/res/pof/manager/101000016432.html</t>
        </is>
      </c>
    </row>
    <row r="190">
      <c r="A190" t="n">
        <v>189</v>
      </c>
      <c r="B190" t="inlineStr">
        <is>
          <t>量宇进取1号</t>
        </is>
      </c>
      <c r="C190" t="inlineStr">
        <is>
          <t>SAEA78</t>
        </is>
      </c>
      <c r="D190" t="inlineStr">
        <is>
          <t>上海量宇</t>
        </is>
      </c>
      <c r="E190" t="inlineStr">
        <is>
          <t>20-50亿元</t>
        </is>
      </c>
      <c r="G190" t="n">
        <v>29.53</v>
      </c>
      <c r="H190" t="n">
        <v>0.7</v>
      </c>
      <c r="I190" t="inlineStr">
        <is>
          <t>协会提示／报送异常</t>
        </is>
      </c>
      <c r="J190" t="inlineStr">
        <is>
          <t>协会公示区间</t>
        </is>
      </c>
      <c r="K190" t="inlineStr">
        <is>
          <t>https://gs.amac.org.cn/amac-infodisc/res/pof/manager/1706281152106855.html</t>
        </is>
      </c>
    </row>
    <row r="191">
      <c r="A191" t="n">
        <v>190</v>
      </c>
      <c r="B191" t="inlineStr">
        <is>
          <t>泰创稳健二号</t>
        </is>
      </c>
      <c r="C191" t="inlineStr">
        <is>
          <t>SXP356</t>
        </is>
      </c>
      <c r="D191" t="inlineStr">
        <is>
          <t>北京泰创投资</t>
        </is>
      </c>
      <c r="E191" t="inlineStr">
        <is>
          <t>5-10亿元</t>
        </is>
      </c>
      <c r="F191" t="n">
        <v>29.4128</v>
      </c>
      <c r="G191" t="n">
        <v>29.41</v>
      </c>
      <c r="H191" t="n">
        <v>1</v>
      </c>
      <c r="I191" t="inlineStr">
        <is>
          <t>本次公示未见相关记录</t>
        </is>
      </c>
      <c r="J191" t="inlineStr">
        <is>
          <t>协会公示区间</t>
        </is>
      </c>
      <c r="K191" t="inlineStr">
        <is>
          <t>https://gs.amac.org.cn/amac-infodisc/res/pof/manager/101000008864.html</t>
        </is>
      </c>
    </row>
    <row r="192">
      <c r="A192" t="n">
        <v>191</v>
      </c>
      <c r="B192" t="inlineStr">
        <is>
          <t>韵之嘉益</t>
        </is>
      </c>
      <c r="C192" t="inlineStr">
        <is>
          <t>SB1775</t>
        </is>
      </c>
      <c r="D192" t="inlineStr">
        <is>
          <t>北京韵之</t>
        </is>
      </c>
      <c r="E192" t="inlineStr">
        <is>
          <t>5-10亿元</t>
        </is>
      </c>
      <c r="F192" t="n">
        <v>28.50189</v>
      </c>
      <c r="G192" t="n">
        <v>28.5</v>
      </c>
      <c r="H192" t="n">
        <v>1</v>
      </c>
      <c r="I192" t="inlineStr">
        <is>
          <t>本次公示未见相关记录</t>
        </is>
      </c>
      <c r="J192" t="inlineStr">
        <is>
          <t>协会公示区间</t>
        </is>
      </c>
      <c r="K192" t="inlineStr">
        <is>
          <t>https://gs.amac.org.cn/amac-infodisc/res/pof/manager/1609291216100602.html</t>
        </is>
      </c>
    </row>
    <row r="193">
      <c r="A193" t="n">
        <v>192</v>
      </c>
      <c r="B193" t="inlineStr">
        <is>
          <t>韵之盛沅</t>
        </is>
      </c>
      <c r="C193" t="inlineStr">
        <is>
          <t>SAER53</t>
        </is>
      </c>
      <c r="D193" t="inlineStr">
        <is>
          <t>北京韵之</t>
        </is>
      </c>
      <c r="E193" t="inlineStr">
        <is>
          <t>5-10亿元</t>
        </is>
      </c>
      <c r="G193" t="n">
        <v>28.41</v>
      </c>
      <c r="H193" t="n">
        <v>0.7</v>
      </c>
      <c r="I193" t="inlineStr">
        <is>
          <t>本次公示未见相关记录</t>
        </is>
      </c>
      <c r="J193" t="inlineStr">
        <is>
          <t>协会公示区间</t>
        </is>
      </c>
      <c r="K193" t="inlineStr">
        <is>
          <t>https://gs.amac.org.cn/amac-infodisc/res/pof/manager/1609291216100602.html</t>
        </is>
      </c>
    </row>
    <row r="194">
      <c r="A194" t="n">
        <v>193</v>
      </c>
      <c r="B194" t="inlineStr">
        <is>
          <t>毅远稳健套利8号</t>
        </is>
      </c>
      <c r="C194" t="inlineStr">
        <is>
          <t>SAKX22</t>
        </is>
      </c>
      <c r="D194" t="inlineStr">
        <is>
          <t>上海毅远</t>
        </is>
      </c>
      <c r="E194" t="inlineStr">
        <is>
          <t>10-20亿元</t>
        </is>
      </c>
      <c r="G194" t="n">
        <v>27.89</v>
      </c>
      <c r="H194" t="n">
        <v>0.7</v>
      </c>
      <c r="I194" t="inlineStr">
        <is>
          <t>本次公示未见相关记录</t>
        </is>
      </c>
      <c r="J194" t="inlineStr">
        <is>
          <t>协会公示区间</t>
        </is>
      </c>
      <c r="K194" t="inlineStr">
        <is>
          <t>https://gs.amac.org.cn/amac-infodisc/res/pof/manager/2112091706105909.html</t>
        </is>
      </c>
    </row>
    <row r="195">
      <c r="A195" t="n">
        <v>194</v>
      </c>
      <c r="B195" t="inlineStr">
        <is>
          <t>晨乐佳享3号</t>
        </is>
      </c>
      <c r="C195" t="inlineStr">
        <is>
          <t>SEX105</t>
        </is>
      </c>
      <c r="D195" t="inlineStr">
        <is>
          <t>北京晨乐资管</t>
        </is>
      </c>
      <c r="E195" t="inlineStr">
        <is>
          <t>5-10亿元</t>
        </is>
      </c>
      <c r="F195" t="n">
        <v>27.38269</v>
      </c>
      <c r="G195" t="n">
        <v>27.38</v>
      </c>
      <c r="H195" t="n">
        <v>1</v>
      </c>
      <c r="I195" t="inlineStr">
        <is>
          <t>协会提示／报送异常</t>
        </is>
      </c>
      <c r="J195" t="inlineStr">
        <is>
          <t>协会公示区间</t>
        </is>
      </c>
      <c r="K195" t="inlineStr">
        <is>
          <t>https://gs.amac.org.cn/amac-infodisc/res/pof/manager/1701061825106751.html</t>
        </is>
      </c>
    </row>
    <row r="196">
      <c r="A196" t="n">
        <v>195</v>
      </c>
      <c r="B196" t="inlineStr">
        <is>
          <t>毅远稳健套利3号</t>
        </is>
      </c>
      <c r="C196" t="inlineStr">
        <is>
          <t>SAGG20</t>
        </is>
      </c>
      <c r="D196" t="inlineStr">
        <is>
          <t>上海毅远</t>
        </is>
      </c>
      <c r="E196" t="inlineStr">
        <is>
          <t>10-20亿元</t>
        </is>
      </c>
      <c r="G196" t="n">
        <v>24.7</v>
      </c>
      <c r="H196" t="n">
        <v>0.7</v>
      </c>
      <c r="I196" t="inlineStr">
        <is>
          <t>本次公示未见相关记录</t>
        </is>
      </c>
      <c r="J196" t="inlineStr">
        <is>
          <t>协会公示区间</t>
        </is>
      </c>
      <c r="K196" t="inlineStr">
        <is>
          <t>https://gs.amac.org.cn/amac-infodisc/res/pof/manager/2112091706105909.html</t>
        </is>
      </c>
    </row>
    <row r="197">
      <c r="A197" t="n">
        <v>196</v>
      </c>
      <c r="B197" t="inlineStr">
        <is>
          <t>鹿秀驯鹿5号</t>
        </is>
      </c>
      <c r="C197" t="inlineStr">
        <is>
          <t>SLN352</t>
        </is>
      </c>
      <c r="D197" t="inlineStr">
        <is>
          <t>青岛鹿秀投资</t>
        </is>
      </c>
      <c r="E197" t="inlineStr">
        <is>
          <t>50-100亿元</t>
        </is>
      </c>
      <c r="F197" t="n">
        <v>23.78623</v>
      </c>
      <c r="G197" t="n">
        <v>23.79</v>
      </c>
      <c r="H197" t="n">
        <v>1</v>
      </c>
      <c r="I197" t="inlineStr">
        <is>
          <t>协会提示／报送异常</t>
        </is>
      </c>
      <c r="J197" t="inlineStr">
        <is>
          <t>协会公示区间</t>
        </is>
      </c>
      <c r="K197" t="inlineStr">
        <is>
          <t>https://gs.amac.org.cn/amac-infodisc/res/pof/manager/1612231708101923.html</t>
        </is>
      </c>
    </row>
    <row r="198">
      <c r="A198" t="n">
        <v>197</v>
      </c>
      <c r="B198" t="inlineStr">
        <is>
          <t>量宇进取1号C类</t>
        </is>
      </c>
      <c r="C198" t="inlineStr">
        <is>
          <t>AEA78C</t>
        </is>
      </c>
      <c r="D198" t="inlineStr">
        <is>
          <t>上海量宇</t>
        </is>
      </c>
      <c r="E198" t="inlineStr">
        <is>
          <t>20-50亿元</t>
        </is>
      </c>
      <c r="G198" t="n">
        <v>22.85</v>
      </c>
      <c r="H198" t="n">
        <v>0.655</v>
      </c>
      <c r="I198" t="inlineStr">
        <is>
          <t>协会提示／报送异常</t>
        </is>
      </c>
      <c r="J198" t="inlineStr">
        <is>
          <t>协会公示区间</t>
        </is>
      </c>
      <c r="K198" t="inlineStr">
        <is>
          <t>https://gs.amac.org.cn/amac-infodisc/res/pof/manager/1706281152106855.html</t>
        </is>
      </c>
    </row>
    <row r="199">
      <c r="A199" t="n">
        <v>198</v>
      </c>
      <c r="B199" t="inlineStr">
        <is>
          <t>洮利11号1期</t>
        </is>
      </c>
      <c r="C199" t="inlineStr">
        <is>
          <t>SNS371</t>
        </is>
      </c>
      <c r="D199" t="inlineStr">
        <is>
          <t>上海洮利</t>
        </is>
      </c>
      <c r="E199" t="inlineStr">
        <is>
          <t>5-10亿元</t>
        </is>
      </c>
      <c r="F199" t="n">
        <v>20.94416</v>
      </c>
      <c r="G199" t="n">
        <v>20.94</v>
      </c>
      <c r="H199" t="n">
        <v>1</v>
      </c>
      <c r="I199" t="inlineStr">
        <is>
          <t>本次公示未见相关记录</t>
        </is>
      </c>
      <c r="J199" t="inlineStr">
        <is>
          <t>协会公示区间</t>
        </is>
      </c>
      <c r="K199" t="inlineStr">
        <is>
          <t>https://gs.amac.org.cn/amac-infodisc/res/pof/manager/1905071402101724.html</t>
        </is>
      </c>
    </row>
  </sheetData>
  <autoFilter ref="A1:K1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3" min="1" max="1"/>
    <col width="16" customWidth="1" style="73" min="2" max="2"/>
    <col width="12" customWidth="1" style="73" min="3" max="3"/>
    <col width="12" customWidth="1" style="73" min="4" max="4"/>
    <col width="12" customWidth="1" style="73" min="5" max="5"/>
    <col width="20" customWidth="1" style="73" min="6" max="6"/>
    <col width="12" customWidth="1" style="73" min="7" max="7"/>
    <col width="12" customWidth="1" style="73" min="8" max="8"/>
    <col width="12" customWidth="1" style="73" min="9" max="9"/>
    <col width="12" customWidth="1" style="73" min="10" max="10"/>
    <col width="42" customWidth="1" style="73" min="11" max="11"/>
  </cols>
  <sheetData>
    <row r="1">
      <c r="A1" s="94" t="inlineStr">
        <is>
          <t>序号</t>
        </is>
      </c>
      <c r="B1" s="94" t="inlineStr">
        <is>
          <t>产品名称</t>
        </is>
      </c>
      <c r="C1" s="94" t="inlineStr">
        <is>
          <t>备案号</t>
        </is>
      </c>
      <c r="D1" s="94" t="inlineStr">
        <is>
          <t>管理人</t>
        </is>
      </c>
      <c r="E1" s="94" t="inlineStr">
        <is>
          <t>管理规模区间</t>
        </is>
      </c>
      <c r="F1" s="94" t="inlineStr">
        <is>
          <t>严格总分</t>
        </is>
      </c>
      <c r="G1" s="94" t="inlineStr">
        <is>
          <t>可比总分</t>
        </is>
      </c>
      <c r="H1" s="94" t="inlineStr">
        <is>
          <t>有效权重</t>
        </is>
      </c>
      <c r="I1" s="94" t="inlineStr">
        <is>
          <t>协会风险标记</t>
        </is>
      </c>
      <c r="J1" s="94" t="inlineStr">
        <is>
          <t>规模来源</t>
        </is>
      </c>
      <c r="K1" s="94" t="inlineStr">
        <is>
          <t>管理人公示URL</t>
        </is>
      </c>
    </row>
    <row r="2">
      <c r="A2" t="n">
        <v>1</v>
      </c>
      <c r="B2" t="inlineStr">
        <is>
          <t>放牛人5号</t>
        </is>
      </c>
      <c r="C2" t="inlineStr">
        <is>
          <t>SVH487</t>
        </is>
      </c>
      <c r="D2" t="inlineStr">
        <is>
          <t>上海放牛人</t>
        </is>
      </c>
      <c r="E2" t="inlineStr">
        <is>
          <t>0-5亿元</t>
        </is>
      </c>
      <c r="F2" t="n">
        <v>92.24171</v>
      </c>
      <c r="G2" t="n">
        <v>92.23999999999999</v>
      </c>
      <c r="H2" t="n">
        <v>1</v>
      </c>
      <c r="I2" t="inlineStr">
        <is>
          <t>本次公示未见相关记录</t>
        </is>
      </c>
      <c r="J2" t="inlineStr">
        <is>
          <t>协会公示区间</t>
        </is>
      </c>
      <c r="K2" t="inlineStr">
        <is>
          <t>https://gs.amac.org.cn/amac-infodisc/res/pof/manager/2104292125100136.html</t>
        </is>
      </c>
    </row>
    <row r="3">
      <c r="A3" t="n">
        <v>2</v>
      </c>
      <c r="B3" t="inlineStr">
        <is>
          <t>祁腾蜂赢1号</t>
        </is>
      </c>
      <c r="C3" t="inlineStr">
        <is>
          <t>SEV580</t>
        </is>
      </c>
      <c r="D3" t="inlineStr">
        <is>
          <t>宁波祁腾投资</t>
        </is>
      </c>
      <c r="E3" t="inlineStr">
        <is>
          <t>0-5亿元</t>
        </is>
      </c>
      <c r="F3" t="n">
        <v>90.62011076923076</v>
      </c>
      <c r="G3" t="n">
        <v>90.62</v>
      </c>
      <c r="H3" t="n">
        <v>1</v>
      </c>
      <c r="I3" t="inlineStr">
        <is>
          <t>协会提示／报送异常</t>
        </is>
      </c>
      <c r="J3" t="inlineStr">
        <is>
          <t>协会公示区间</t>
        </is>
      </c>
      <c r="K3" t="inlineStr">
        <is>
          <t>https://gs.amac.org.cn/amac-infodisc/res/pof/manager/1809041559102185.html</t>
        </is>
      </c>
    </row>
    <row r="4">
      <c r="A4" t="n">
        <v>3</v>
      </c>
      <c r="B4" t="inlineStr">
        <is>
          <t>烁菓量化复合套利2号</t>
        </is>
      </c>
      <c r="C4" t="inlineStr">
        <is>
          <t>SZB527</t>
        </is>
      </c>
      <c r="D4" t="inlineStr">
        <is>
          <t>福州烁菓</t>
        </is>
      </c>
      <c r="E4" t="inlineStr">
        <is>
          <t>0-5亿元</t>
        </is>
      </c>
      <c r="F4" t="n">
        <v>89.47605</v>
      </c>
      <c r="G4" t="n">
        <v>89.48</v>
      </c>
      <c r="H4" t="n">
        <v>1</v>
      </c>
      <c r="I4" t="inlineStr">
        <is>
          <t>协会提示／报送异常</t>
        </is>
      </c>
      <c r="J4" t="inlineStr">
        <is>
          <t>协会公示区间</t>
        </is>
      </c>
      <c r="K4" t="inlineStr">
        <is>
          <t>https://gs.amac.org.cn/amac-infodisc/res/pof/manager/101000027571.html</t>
        </is>
      </c>
    </row>
    <row r="5">
      <c r="A5" t="n">
        <v>4</v>
      </c>
      <c r="B5" t="inlineStr">
        <is>
          <t>世宽若水尘心3号</t>
        </is>
      </c>
      <c r="C5" t="inlineStr">
        <is>
          <t>SXT730</t>
        </is>
      </c>
      <c r="D5" t="inlineStr">
        <is>
          <t>厦门世宽</t>
        </is>
      </c>
      <c r="E5" t="inlineStr">
        <is>
          <t>0-5亿元</t>
        </is>
      </c>
      <c r="G5" t="n">
        <v>89.06999999999999</v>
      </c>
      <c r="H5" t="n">
        <v>0.9399999999999999</v>
      </c>
      <c r="I5" t="inlineStr">
        <is>
          <t>本次公示未见相关记录</t>
        </is>
      </c>
      <c r="J5" t="inlineStr">
        <is>
          <t>协会公示区间</t>
        </is>
      </c>
      <c r="K5" t="inlineStr">
        <is>
          <t>https://gs.amac.org.cn/amac-infodisc/res/pof/manager/101000026000.html</t>
        </is>
      </c>
    </row>
    <row r="6">
      <c r="A6" t="n">
        <v>5</v>
      </c>
      <c r="B6" t="inlineStr">
        <is>
          <t>朔方常青树1号</t>
        </is>
      </c>
      <c r="C6" t="inlineStr">
        <is>
          <t>SALV92</t>
        </is>
      </c>
      <c r="D6" t="inlineStr">
        <is>
          <t>青岛朔方投资</t>
        </is>
      </c>
      <c r="E6" t="inlineStr">
        <is>
          <t>0-5亿元</t>
        </is>
      </c>
      <c r="G6" t="n">
        <v>85.09</v>
      </c>
      <c r="H6" t="n">
        <v>0.7</v>
      </c>
      <c r="I6" t="inlineStr">
        <is>
          <t>本次公示未见相关记录</t>
        </is>
      </c>
      <c r="J6" t="inlineStr">
        <is>
          <t>协会公示区间</t>
        </is>
      </c>
      <c r="K6" t="inlineStr">
        <is>
          <t>https://gs.amac.org.cn/amac-infodisc/res/pof/manager/1811281032106554.html</t>
        </is>
      </c>
    </row>
    <row r="7">
      <c r="A7" t="n">
        <v>6</v>
      </c>
      <c r="B7" t="inlineStr">
        <is>
          <t>钧誉厚德量化对冲11号</t>
        </is>
      </c>
      <c r="C7" t="inlineStr">
        <is>
          <t>SQN453</t>
        </is>
      </c>
      <c r="D7" t="inlineStr">
        <is>
          <t>珠海钧誉资管</t>
        </is>
      </c>
      <c r="E7" t="inlineStr">
        <is>
          <t>0-5亿元</t>
        </is>
      </c>
      <c r="G7" t="n">
        <v>85.01000000000001</v>
      </c>
      <c r="H7" t="n">
        <v>0.82</v>
      </c>
      <c r="I7" t="inlineStr">
        <is>
          <t>本次公示未见相关记录</t>
        </is>
      </c>
      <c r="J7" t="inlineStr">
        <is>
          <t>协会公示区间</t>
        </is>
      </c>
      <c r="K7" t="inlineStr">
        <is>
          <t>https://gs.amac.org.cn/amac-infodisc/res/pof/manager/1801241613109731.html</t>
        </is>
      </c>
    </row>
    <row r="8">
      <c r="A8" t="n">
        <v>7</v>
      </c>
      <c r="B8" t="inlineStr">
        <is>
          <t>擎丰1号3期</t>
        </is>
      </c>
      <c r="C8" t="inlineStr">
        <is>
          <t>SXK911</t>
        </is>
      </c>
      <c r="D8" t="inlineStr">
        <is>
          <t>上海擎丰</t>
        </is>
      </c>
      <c r="E8" t="inlineStr">
        <is>
          <t>0-5亿元</t>
        </is>
      </c>
      <c r="F8" t="n">
        <v>84.55911999999999</v>
      </c>
      <c r="G8" t="n">
        <v>84.56</v>
      </c>
      <c r="H8" t="n">
        <v>1</v>
      </c>
      <c r="I8" t="inlineStr">
        <is>
          <t>协会提示／报送异常</t>
        </is>
      </c>
      <c r="J8" t="inlineStr">
        <is>
          <t>协会公示区间</t>
        </is>
      </c>
      <c r="K8" t="inlineStr">
        <is>
          <t>https://gs.amac.org.cn/amac-infodisc/res/pof/manager/1707071820104466.html</t>
        </is>
      </c>
    </row>
    <row r="9">
      <c r="A9" t="n">
        <v>8</v>
      </c>
      <c r="B9" t="inlineStr">
        <is>
          <t>以利安得利混合1号</t>
        </is>
      </c>
      <c r="C9" t="inlineStr">
        <is>
          <t>SVJ912</t>
        </is>
      </c>
      <c r="D9" t="inlineStr">
        <is>
          <t>河南以利</t>
        </is>
      </c>
      <c r="E9" t="inlineStr">
        <is>
          <t>0-5亿元</t>
        </is>
      </c>
      <c r="F9" t="n">
        <v>84.30128999999999</v>
      </c>
      <c r="G9" t="n">
        <v>84.3</v>
      </c>
      <c r="H9" t="n">
        <v>1</v>
      </c>
      <c r="I9" t="inlineStr">
        <is>
          <t>本次公示未见相关记录</t>
        </is>
      </c>
      <c r="J9" t="inlineStr">
        <is>
          <t>协会公示区间</t>
        </is>
      </c>
      <c r="K9" t="inlineStr">
        <is>
          <t>https://gs.amac.org.cn/amac-infodisc/res/pof/manager/101000009955.html</t>
        </is>
      </c>
    </row>
    <row r="10">
      <c r="A10" t="n">
        <v>9</v>
      </c>
      <c r="B10" t="inlineStr">
        <is>
          <t>安合融信匠人匠心7号</t>
        </is>
      </c>
      <c r="C10" t="inlineStr">
        <is>
          <t>SZN919</t>
        </is>
      </c>
      <c r="D10" t="inlineStr">
        <is>
          <t>青岛安合融信</t>
        </is>
      </c>
      <c r="E10" t="inlineStr">
        <is>
          <t>0-5亿元</t>
        </is>
      </c>
      <c r="G10" t="n">
        <v>84</v>
      </c>
      <c r="H10" t="n">
        <v>0.15</v>
      </c>
      <c r="I10" t="inlineStr">
        <is>
          <t>本次公示未见相关记录</t>
        </is>
      </c>
      <c r="J10" t="inlineStr">
        <is>
          <t>协会公示区间</t>
        </is>
      </c>
      <c r="K10" t="inlineStr">
        <is>
          <t>https://gs.amac.org.cn/amac-infodisc/res/pof/manager/2108161405106293.html</t>
        </is>
      </c>
    </row>
    <row r="11">
      <c r="A11" t="n">
        <v>10</v>
      </c>
      <c r="B11" t="inlineStr">
        <is>
          <t>安合融信匠人匠心10号</t>
        </is>
      </c>
      <c r="C11" t="inlineStr">
        <is>
          <t>SB9656</t>
        </is>
      </c>
      <c r="D11" t="inlineStr">
        <is>
          <t>青岛安合融信</t>
        </is>
      </c>
      <c r="E11" t="inlineStr">
        <is>
          <t>0-5亿元</t>
        </is>
      </c>
      <c r="G11" t="n">
        <v>84</v>
      </c>
      <c r="H11" t="n">
        <v>0.15</v>
      </c>
      <c r="I11" t="inlineStr">
        <is>
          <t>本次公示未见相关记录</t>
        </is>
      </c>
      <c r="J11" t="inlineStr">
        <is>
          <t>协会公示区间</t>
        </is>
      </c>
      <c r="K11" t="inlineStr">
        <is>
          <t>https://gs.amac.org.cn/amac-infodisc/res/pof/manager/2108161405106293.html</t>
        </is>
      </c>
    </row>
    <row r="12">
      <c r="A12" t="n">
        <v>11</v>
      </c>
      <c r="B12" t="inlineStr">
        <is>
          <t>巨博华多元策略1号</t>
        </is>
      </c>
      <c r="C12" t="inlineStr">
        <is>
          <t>SQW105</t>
        </is>
      </c>
      <c r="D12" t="inlineStr">
        <is>
          <t>深圳巨博华</t>
        </is>
      </c>
      <c r="E12" t="inlineStr">
        <is>
          <t>0-5亿元</t>
        </is>
      </c>
      <c r="G12" t="n">
        <v>84</v>
      </c>
      <c r="H12" t="n">
        <v>0.15</v>
      </c>
      <c r="I12" t="inlineStr">
        <is>
          <t>本次公示未见相关记录</t>
        </is>
      </c>
      <c r="J12" t="inlineStr">
        <is>
          <t>协会公示区间</t>
        </is>
      </c>
      <c r="K12" t="inlineStr">
        <is>
          <t>https://gs.amac.org.cn/amac-infodisc/res/pof/manager/101000024658.html</t>
        </is>
      </c>
    </row>
    <row r="13">
      <c r="A13" t="n">
        <v>12</v>
      </c>
      <c r="B13" t="inlineStr">
        <is>
          <t>华实行远1号</t>
        </is>
      </c>
      <c r="C13" t="inlineStr">
        <is>
          <t>SXK867</t>
        </is>
      </c>
      <c r="D13" t="inlineStr">
        <is>
          <t>青岛华实</t>
        </is>
      </c>
      <c r="E13" t="inlineStr">
        <is>
          <t>0-5亿元</t>
        </is>
      </c>
      <c r="G13" t="n">
        <v>84</v>
      </c>
      <c r="H13" t="n">
        <v>0.15</v>
      </c>
      <c r="I13" t="inlineStr">
        <is>
          <t>协会提示／报送异常</t>
        </is>
      </c>
      <c r="J13" t="inlineStr">
        <is>
          <t>协会公示区间</t>
        </is>
      </c>
      <c r="K13" t="inlineStr">
        <is>
          <t>https://gs.amac.org.cn/amac-infodisc/res/pof/manager/1706261652108175.html</t>
        </is>
      </c>
    </row>
    <row r="14">
      <c r="A14" t="n">
        <v>13</v>
      </c>
      <c r="B14" t="inlineStr">
        <is>
          <t>世宽若水尘心1号</t>
        </is>
      </c>
      <c r="C14" t="inlineStr">
        <is>
          <t>SXT731</t>
        </is>
      </c>
      <c r="D14" t="inlineStr">
        <is>
          <t>厦门世宽</t>
        </is>
      </c>
      <c r="E14" t="inlineStr">
        <is>
          <t>0-5亿元</t>
        </is>
      </c>
      <c r="G14" t="n">
        <v>84</v>
      </c>
      <c r="H14" t="n">
        <v>0.15</v>
      </c>
      <c r="I14" t="inlineStr">
        <is>
          <t>本次公示未见相关记录</t>
        </is>
      </c>
      <c r="J14" t="inlineStr">
        <is>
          <t>协会公示区间</t>
        </is>
      </c>
      <c r="K14" t="inlineStr">
        <is>
          <t>https://gs.amac.org.cn/amac-infodisc/res/pof/manager/101000026000.html</t>
        </is>
      </c>
    </row>
    <row r="15">
      <c r="A15" t="n">
        <v>14</v>
      </c>
      <c r="B15" t="inlineStr">
        <is>
          <t>珞瑜阳明1号</t>
        </is>
      </c>
      <c r="C15" t="inlineStr">
        <is>
          <t>SB4100</t>
        </is>
      </c>
      <c r="D15" t="inlineStr">
        <is>
          <t>深圳珞瑜</t>
        </is>
      </c>
      <c r="E15" t="inlineStr">
        <is>
          <t>0-5亿元</t>
        </is>
      </c>
      <c r="G15" t="n">
        <v>84</v>
      </c>
      <c r="H15" t="n">
        <v>0.15</v>
      </c>
      <c r="I15" t="inlineStr">
        <is>
          <t>本次公示未见相关记录</t>
        </is>
      </c>
      <c r="J15" t="inlineStr">
        <is>
          <t>协会公示区间</t>
        </is>
      </c>
      <c r="K15" t="inlineStr">
        <is>
          <t>https://gs.amac.org.cn/amac-infodisc/res/pof/manager/101000029973.html</t>
        </is>
      </c>
    </row>
    <row r="16">
      <c r="A16" t="n">
        <v>15</v>
      </c>
      <c r="B16" t="inlineStr">
        <is>
          <t>东方富银命运1号</t>
        </is>
      </c>
      <c r="C16" t="inlineStr">
        <is>
          <t>SEG244</t>
        </is>
      </c>
      <c r="D16" t="inlineStr">
        <is>
          <t>深圳东方富银投资</t>
        </is>
      </c>
      <c r="E16" t="inlineStr">
        <is>
          <t>0-5亿元</t>
        </is>
      </c>
      <c r="G16" t="n">
        <v>84</v>
      </c>
      <c r="H16" t="n">
        <v>0.15</v>
      </c>
      <c r="I16" t="inlineStr">
        <is>
          <t>本次公示未见相关记录</t>
        </is>
      </c>
      <c r="J16" t="inlineStr">
        <is>
          <t>协会公示区间</t>
        </is>
      </c>
      <c r="K16" t="inlineStr">
        <is>
          <t>https://gs.amac.org.cn/amac-infodisc/res/pof/manager/1803121751101388.html</t>
        </is>
      </c>
    </row>
    <row r="17">
      <c r="A17" t="n">
        <v>16</v>
      </c>
      <c r="B17" t="inlineStr">
        <is>
          <t>权舆金品1号</t>
        </is>
      </c>
      <c r="C17" t="inlineStr">
        <is>
          <t>SZJ896</t>
        </is>
      </c>
      <c r="D17" t="inlineStr">
        <is>
          <t>上海权舆</t>
        </is>
      </c>
      <c r="E17" t="inlineStr">
        <is>
          <t>0-5亿元</t>
        </is>
      </c>
      <c r="G17" t="n">
        <v>84</v>
      </c>
      <c r="H17" t="n">
        <v>0.15</v>
      </c>
      <c r="I17" t="inlineStr">
        <is>
          <t>本次公示未见相关记录</t>
        </is>
      </c>
      <c r="J17" t="inlineStr">
        <is>
          <t>协会公示区间</t>
        </is>
      </c>
      <c r="K17" t="inlineStr">
        <is>
          <t>https://gs.amac.org.cn/amac-infodisc/res/pof/manager/2112210913109327.html</t>
        </is>
      </c>
    </row>
    <row r="18">
      <c r="A18" t="n">
        <v>17</v>
      </c>
      <c r="B18" t="inlineStr">
        <is>
          <t>永泉奇点17号混合投资</t>
        </is>
      </c>
      <c r="C18" t="inlineStr">
        <is>
          <t>SNG016</t>
        </is>
      </c>
      <c r="D18" t="inlineStr">
        <is>
          <t>宁波永泉</t>
        </is>
      </c>
      <c r="E18" t="inlineStr">
        <is>
          <t>0-5亿元</t>
        </is>
      </c>
      <c r="F18" t="n">
        <v>82.56094</v>
      </c>
      <c r="G18" t="n">
        <v>82.56</v>
      </c>
      <c r="H18" t="n">
        <v>1</v>
      </c>
      <c r="I18" t="inlineStr">
        <is>
          <t>协会提示／报送异常</t>
        </is>
      </c>
      <c r="J18" t="inlineStr">
        <is>
          <t>协会公示区间</t>
        </is>
      </c>
      <c r="K18" t="inlineStr">
        <is>
          <t>https://gs.amac.org.cn/amac-infodisc/res/pof/manager/101000016974.html</t>
        </is>
      </c>
    </row>
    <row r="19">
      <c r="A19" t="n">
        <v>18</v>
      </c>
      <c r="B19" t="inlineStr">
        <is>
          <t>朔方常青树1号A类</t>
        </is>
      </c>
      <c r="C19" t="inlineStr">
        <is>
          <t>ALV92A</t>
        </is>
      </c>
      <c r="D19" t="inlineStr">
        <is>
          <t>青岛朔方投资</t>
        </is>
      </c>
      <c r="E19" t="inlineStr">
        <is>
          <t>0-5亿元</t>
        </is>
      </c>
      <c r="G19" t="n">
        <v>82.05</v>
      </c>
      <c r="H19" t="n">
        <v>0.655</v>
      </c>
      <c r="I19" t="inlineStr">
        <is>
          <t>本次公示未见相关记录</t>
        </is>
      </c>
      <c r="J19" t="inlineStr">
        <is>
          <t>协会公示区间</t>
        </is>
      </c>
      <c r="K19" t="inlineStr">
        <is>
          <t>https://gs.amac.org.cn/amac-infodisc/res/pof/manager/1811281032106554.html</t>
        </is>
      </c>
    </row>
    <row r="20">
      <c r="A20" t="n">
        <v>19</v>
      </c>
      <c r="B20" t="inlineStr">
        <is>
          <t>擎丰1号</t>
        </is>
      </c>
      <c r="C20" t="inlineStr">
        <is>
          <t>SCS637</t>
        </is>
      </c>
      <c r="D20" t="inlineStr">
        <is>
          <t>上海擎丰</t>
        </is>
      </c>
      <c r="E20" t="inlineStr">
        <is>
          <t>0-5亿元</t>
        </is>
      </c>
      <c r="G20" t="n">
        <v>82.02</v>
      </c>
      <c r="H20" t="n">
        <v>0.88</v>
      </c>
      <c r="I20" t="inlineStr">
        <is>
          <t>协会提示／报送异常</t>
        </is>
      </c>
      <c r="J20" t="inlineStr">
        <is>
          <t>协会公示区间</t>
        </is>
      </c>
      <c r="K20" t="inlineStr">
        <is>
          <t>https://gs.amac.org.cn/amac-infodisc/res/pof/manager/1707071820104466.html</t>
        </is>
      </c>
    </row>
    <row r="21">
      <c r="A21" t="n">
        <v>20</v>
      </c>
      <c r="B21" t="inlineStr">
        <is>
          <t>永泉奇点1号混合投资</t>
        </is>
      </c>
      <c r="C21" t="inlineStr">
        <is>
          <t>SGM299</t>
        </is>
      </c>
      <c r="D21" t="inlineStr">
        <is>
          <t>宁波永泉</t>
        </is>
      </c>
      <c r="E21" t="inlineStr">
        <is>
          <t>0-5亿元</t>
        </is>
      </c>
      <c r="F21" t="n">
        <v>81.60146</v>
      </c>
      <c r="G21" t="n">
        <v>81.59999999999999</v>
      </c>
      <c r="H21" t="n">
        <v>1</v>
      </c>
      <c r="I21" t="inlineStr">
        <is>
          <t>协会提示／报送异常</t>
        </is>
      </c>
      <c r="J21" t="inlineStr">
        <is>
          <t>协会公示区间</t>
        </is>
      </c>
      <c r="K21" t="inlineStr">
        <is>
          <t>https://gs.amac.org.cn/amac-infodisc/res/pof/manager/101000016974.html</t>
        </is>
      </c>
    </row>
    <row r="22">
      <c r="A22" t="n">
        <v>21</v>
      </c>
      <c r="B22" t="inlineStr">
        <is>
          <t>世宽若水尘心2号B类</t>
        </is>
      </c>
      <c r="C22" t="inlineStr">
        <is>
          <t>XX769B</t>
        </is>
      </c>
      <c r="D22" t="inlineStr">
        <is>
          <t>厦门世宽</t>
        </is>
      </c>
      <c r="E22" t="inlineStr">
        <is>
          <t>0-5亿元</t>
        </is>
      </c>
      <c r="G22" t="n">
        <v>80.55</v>
      </c>
      <c r="H22" t="n">
        <v>0.655</v>
      </c>
      <c r="I22" t="inlineStr">
        <is>
          <t>本次公示未见相关记录</t>
        </is>
      </c>
      <c r="J22" t="inlineStr">
        <is>
          <t>协会公示区间</t>
        </is>
      </c>
      <c r="K22" t="inlineStr">
        <is>
          <t>https://gs.amac.org.cn/amac-infodisc/res/pof/manager/101000026000.html</t>
        </is>
      </c>
    </row>
    <row r="23">
      <c r="A23" t="n">
        <v>22</v>
      </c>
      <c r="B23" t="inlineStr">
        <is>
          <t>久游投资4号</t>
        </is>
      </c>
      <c r="C23" t="inlineStr">
        <is>
          <t>STB214</t>
        </is>
      </c>
      <c r="D23" t="inlineStr">
        <is>
          <t>深圳久游</t>
        </is>
      </c>
      <c r="E23" t="inlineStr">
        <is>
          <t>0-5亿元</t>
        </is>
      </c>
      <c r="F23" t="n">
        <v>80.48072000000001</v>
      </c>
      <c r="G23" t="n">
        <v>80.48</v>
      </c>
      <c r="H23" t="n">
        <v>1</v>
      </c>
      <c r="I23" t="inlineStr">
        <is>
          <t>协会提示／报送异常</t>
        </is>
      </c>
      <c r="J23" t="inlineStr">
        <is>
          <t>协会公示区间</t>
        </is>
      </c>
      <c r="K23" t="inlineStr">
        <is>
          <t>https://gs.amac.org.cn/amac-infodisc/res/pof/manager/2108310949105248.html</t>
        </is>
      </c>
    </row>
    <row r="24">
      <c r="A24" t="n">
        <v>23</v>
      </c>
      <c r="B24" t="inlineStr">
        <is>
          <t>永泉奇点2号混合投资</t>
        </is>
      </c>
      <c r="C24" t="inlineStr">
        <is>
          <t>SJB356</t>
        </is>
      </c>
      <c r="D24" t="inlineStr">
        <is>
          <t>宁波永泉</t>
        </is>
      </c>
      <c r="E24" t="inlineStr">
        <is>
          <t>0-5亿元</t>
        </is>
      </c>
      <c r="F24" t="n">
        <v>79.52414999999999</v>
      </c>
      <c r="G24" t="n">
        <v>79.52</v>
      </c>
      <c r="H24" t="n">
        <v>1</v>
      </c>
      <c r="I24" t="inlineStr">
        <is>
          <t>协会提示／报送异常</t>
        </is>
      </c>
      <c r="J24" t="inlineStr">
        <is>
          <t>协会公示区间</t>
        </is>
      </c>
      <c r="K24" t="inlineStr">
        <is>
          <t>https://gs.amac.org.cn/amac-infodisc/res/pof/manager/101000016974.html</t>
        </is>
      </c>
    </row>
    <row r="25">
      <c r="A25" t="n">
        <v>24</v>
      </c>
      <c r="B25" t="inlineStr">
        <is>
          <t>景鹏稳进1号</t>
        </is>
      </c>
      <c r="C25" t="inlineStr">
        <is>
          <t>SSX278</t>
        </is>
      </c>
      <c r="D25" t="inlineStr">
        <is>
          <t>上海景鹏</t>
        </is>
      </c>
      <c r="E25" t="inlineStr">
        <is>
          <t>0-5亿元</t>
        </is>
      </c>
      <c r="F25" t="n">
        <v>79.01832</v>
      </c>
      <c r="G25" t="n">
        <v>79.02</v>
      </c>
      <c r="H25" t="n">
        <v>1</v>
      </c>
      <c r="I25" t="inlineStr">
        <is>
          <t>本次公示未见相关记录</t>
        </is>
      </c>
      <c r="J25" t="inlineStr">
        <is>
          <t>协会公示区间</t>
        </is>
      </c>
      <c r="K25" t="inlineStr">
        <is>
          <t>https://gs.amac.org.cn/amac-infodisc/res/pof/manager/2107201407107524.html</t>
        </is>
      </c>
    </row>
    <row r="26">
      <c r="A26" t="n">
        <v>25</v>
      </c>
      <c r="B26" t="inlineStr">
        <is>
          <t>汇艾稳健3号</t>
        </is>
      </c>
      <c r="C26" t="inlineStr">
        <is>
          <t>SR8584</t>
        </is>
      </c>
      <c r="D26" t="inlineStr">
        <is>
          <t>上海汇艾资管</t>
        </is>
      </c>
      <c r="E26" t="inlineStr">
        <is>
          <t>0-5亿元</t>
        </is>
      </c>
      <c r="F26" t="n">
        <v>78.91329999999999</v>
      </c>
      <c r="G26" t="n">
        <v>78.91</v>
      </c>
      <c r="H26" t="n">
        <v>1</v>
      </c>
      <c r="I26" t="inlineStr">
        <is>
          <t>本次公示未见相关记录</t>
        </is>
      </c>
      <c r="J26" t="inlineStr">
        <is>
          <t>协会公示区间</t>
        </is>
      </c>
      <c r="K26" t="inlineStr">
        <is>
          <t>https://gs.amac.org.cn/amac-infodisc/res/pof/manager/101000016385.html</t>
        </is>
      </c>
    </row>
    <row r="27">
      <c r="A27" t="n">
        <v>26</v>
      </c>
      <c r="B27" t="inlineStr">
        <is>
          <t>巨熊金龙二号</t>
        </is>
      </c>
      <c r="C27" t="inlineStr">
        <is>
          <t>SAVL62</t>
        </is>
      </c>
      <c r="D27" t="inlineStr">
        <is>
          <t>深圳巨熊</t>
        </is>
      </c>
      <c r="E27" t="inlineStr">
        <is>
          <t>0-5亿元</t>
        </is>
      </c>
      <c r="G27" t="n">
        <v>78.45</v>
      </c>
      <c r="H27" t="n">
        <v>0.174</v>
      </c>
      <c r="I27" t="inlineStr">
        <is>
          <t>本次公示未见相关记录</t>
        </is>
      </c>
      <c r="J27" t="inlineStr">
        <is>
          <t>协会公示区间</t>
        </is>
      </c>
      <c r="K27" t="inlineStr">
        <is>
          <t>https://gs.amac.org.cn/amac-infodisc/res/pof/manager/1704191039103562.html</t>
        </is>
      </c>
    </row>
    <row r="28">
      <c r="A28" t="n">
        <v>27</v>
      </c>
      <c r="B28" t="inlineStr">
        <is>
          <t>鑫泰禾安赢3号</t>
        </is>
      </c>
      <c r="C28" t="inlineStr">
        <is>
          <t>SAZC08</t>
        </is>
      </c>
      <c r="D28" t="inlineStr">
        <is>
          <t>深圳鑫泰禾</t>
        </is>
      </c>
      <c r="E28" t="inlineStr">
        <is>
          <t>0-5亿元</t>
        </is>
      </c>
      <c r="G28" t="n">
        <v>78.45</v>
      </c>
      <c r="H28" t="n">
        <v>0.174</v>
      </c>
      <c r="I28" t="inlineStr">
        <is>
          <t>协会提示／报送异常</t>
        </is>
      </c>
      <c r="J28" t="inlineStr">
        <is>
          <t>协会公示区间</t>
        </is>
      </c>
      <c r="K28" t="inlineStr">
        <is>
          <t>https://gs.amac.org.cn/amac-infodisc/res/pof/manager/101000041857.html</t>
        </is>
      </c>
    </row>
    <row r="29">
      <c r="A29" t="n">
        <v>28</v>
      </c>
      <c r="B29" t="inlineStr">
        <is>
          <t>时间稳健1号B类</t>
        </is>
      </c>
      <c r="C29" t="inlineStr">
        <is>
          <t>ZM840B</t>
        </is>
      </c>
      <c r="D29" t="inlineStr">
        <is>
          <t>青岛时间</t>
        </is>
      </c>
      <c r="E29" t="inlineStr">
        <is>
          <t>0-5亿元</t>
        </is>
      </c>
      <c r="G29" t="n">
        <v>77.14</v>
      </c>
      <c r="H29" t="n">
        <v>0.105</v>
      </c>
      <c r="I29" t="inlineStr">
        <is>
          <t>本次公示未见相关记录</t>
        </is>
      </c>
      <c r="J29" t="inlineStr">
        <is>
          <t>协会公示区间</t>
        </is>
      </c>
      <c r="K29" t="inlineStr">
        <is>
          <t>https://gs.amac.org.cn/amac-infodisc/res/pof/manager/2007291034107765.html</t>
        </is>
      </c>
    </row>
    <row r="30">
      <c r="A30" t="n">
        <v>29</v>
      </c>
      <c r="B30" t="inlineStr">
        <is>
          <t>聚亿具臻B类</t>
        </is>
      </c>
      <c r="C30" t="inlineStr">
        <is>
          <t>LM995B</t>
        </is>
      </c>
      <c r="D30" t="inlineStr">
        <is>
          <t>珠海聚亿基金</t>
        </is>
      </c>
      <c r="E30" t="inlineStr">
        <is>
          <t>0-5亿元</t>
        </is>
      </c>
      <c r="G30" t="n">
        <v>77.11</v>
      </c>
      <c r="H30" t="n">
        <v>0.655</v>
      </c>
      <c r="I30" t="inlineStr">
        <is>
          <t>本次公示未见相关记录</t>
        </is>
      </c>
      <c r="J30" t="inlineStr">
        <is>
          <t>协会公示区间</t>
        </is>
      </c>
      <c r="K30" t="inlineStr">
        <is>
          <t>https://gs.amac.org.cn/amac-infodisc/res/pof/manager/1706231108101144.html</t>
        </is>
      </c>
    </row>
    <row r="31">
      <c r="A31" t="n">
        <v>30</v>
      </c>
      <c r="B31" t="inlineStr">
        <is>
          <t>钧誉酬勤量化3号</t>
        </is>
      </c>
      <c r="C31" t="inlineStr">
        <is>
          <t>SVP121</t>
        </is>
      </c>
      <c r="D31" t="inlineStr">
        <is>
          <t>珠海钧誉资管</t>
        </is>
      </c>
      <c r="E31" t="inlineStr">
        <is>
          <t>0-5亿元</t>
        </is>
      </c>
      <c r="F31" t="n">
        <v>75.74778000000001</v>
      </c>
      <c r="G31" t="n">
        <v>75.75</v>
      </c>
      <c r="H31" t="n">
        <v>1</v>
      </c>
      <c r="I31" t="inlineStr">
        <is>
          <t>本次公示未见相关记录</t>
        </is>
      </c>
      <c r="J31" t="inlineStr">
        <is>
          <t>协会公示区间</t>
        </is>
      </c>
      <c r="K31" t="inlineStr">
        <is>
          <t>https://gs.amac.org.cn/amac-infodisc/res/pof/manager/1801241613109731.html</t>
        </is>
      </c>
    </row>
    <row r="32">
      <c r="A32" t="n">
        <v>31</v>
      </c>
      <c r="B32" t="inlineStr">
        <is>
          <t>雁丰卓衍1号A类</t>
        </is>
      </c>
      <c r="C32" t="inlineStr">
        <is>
          <t>XX404A</t>
        </is>
      </c>
      <c r="D32" t="inlineStr">
        <is>
          <t>上海雁丰投资</t>
        </is>
      </c>
      <c r="E32" t="inlineStr">
        <is>
          <t>0-5亿元</t>
        </is>
      </c>
      <c r="G32" t="n">
        <v>75.06</v>
      </c>
      <c r="H32" t="n">
        <v>0.655</v>
      </c>
      <c r="I32" t="inlineStr">
        <is>
          <t>协会提示／报送异常</t>
        </is>
      </c>
      <c r="J32" t="inlineStr">
        <is>
          <t>协会公示区间</t>
        </is>
      </c>
      <c r="K32" t="inlineStr">
        <is>
          <t>https://gs.amac.org.cn/amac-infodisc/res/pof/manager/101000007795.html</t>
        </is>
      </c>
    </row>
    <row r="33">
      <c r="A33" t="n">
        <v>32</v>
      </c>
      <c r="B33" t="inlineStr">
        <is>
          <t>佳泽信享5号A类</t>
        </is>
      </c>
      <c r="C33" t="inlineStr">
        <is>
          <t>ZC395A</t>
        </is>
      </c>
      <c r="D33" t="inlineStr">
        <is>
          <t>海南佳泽</t>
        </is>
      </c>
      <c r="E33" t="inlineStr">
        <is>
          <t>0-5亿元</t>
        </is>
      </c>
      <c r="G33" t="n">
        <v>75.01000000000001</v>
      </c>
      <c r="H33" t="n">
        <v>0.955</v>
      </c>
      <c r="I33" t="inlineStr">
        <is>
          <t>协会提示／报送异常</t>
        </is>
      </c>
      <c r="J33" t="inlineStr">
        <is>
          <t>协会公示区间</t>
        </is>
      </c>
      <c r="K33" t="inlineStr">
        <is>
          <t>https://gs.amac.org.cn/amac-infodisc/res/pof/manager/2202171443109430.html</t>
        </is>
      </c>
    </row>
    <row r="34">
      <c r="A34" t="n">
        <v>33</v>
      </c>
      <c r="B34" t="inlineStr">
        <is>
          <t>赢起隆华1期</t>
        </is>
      </c>
      <c r="C34" t="inlineStr">
        <is>
          <t>SZC360</t>
        </is>
      </c>
      <c r="D34" t="inlineStr">
        <is>
          <t>上海赢起</t>
        </is>
      </c>
      <c r="E34" t="inlineStr">
        <is>
          <t>0-5亿元</t>
        </is>
      </c>
      <c r="F34" t="n">
        <v>73.00662</v>
      </c>
      <c r="G34" t="n">
        <v>73.01000000000001</v>
      </c>
      <c r="H34" t="n">
        <v>1</v>
      </c>
      <c r="I34" t="inlineStr">
        <is>
          <t>协会提示／报送异常</t>
        </is>
      </c>
      <c r="J34" t="inlineStr">
        <is>
          <t>协会公示区间</t>
        </is>
      </c>
      <c r="K34" t="inlineStr">
        <is>
          <t>https://gs.amac.org.cn/amac-infodisc/res/pof/manager/1611081535100767.html</t>
        </is>
      </c>
    </row>
    <row r="35">
      <c r="A35" t="n">
        <v>34</v>
      </c>
      <c r="B35" t="inlineStr">
        <is>
          <t>聚亿具臻</t>
        </is>
      </c>
      <c r="C35" t="inlineStr">
        <is>
          <t>SLM995</t>
        </is>
      </c>
      <c r="D35" t="inlineStr">
        <is>
          <t>珠海聚亿基金</t>
        </is>
      </c>
      <c r="E35" t="inlineStr">
        <is>
          <t>0-5亿元</t>
        </is>
      </c>
      <c r="F35" t="n">
        <v>72.92479999999999</v>
      </c>
      <c r="G35" t="n">
        <v>72.92</v>
      </c>
      <c r="H35" t="n">
        <v>1</v>
      </c>
      <c r="I35" t="inlineStr">
        <is>
          <t>本次公示未见相关记录</t>
        </is>
      </c>
      <c r="J35" t="inlineStr">
        <is>
          <t>协会公示区间</t>
        </is>
      </c>
      <c r="K35" t="inlineStr">
        <is>
          <t>https://gs.amac.org.cn/amac-infodisc/res/pof/manager/1706231108101144.html</t>
        </is>
      </c>
    </row>
    <row r="36">
      <c r="A36" t="n">
        <v>35</v>
      </c>
      <c r="B36" t="inlineStr">
        <is>
          <t>翎涵容克套利二号</t>
        </is>
      </c>
      <c r="C36" t="inlineStr">
        <is>
          <t>SAFY84</t>
        </is>
      </c>
      <c r="D36" t="inlineStr">
        <is>
          <t>上海翎涵</t>
        </is>
      </c>
      <c r="E36" t="inlineStr">
        <is>
          <t>0-5亿元</t>
        </is>
      </c>
      <c r="G36" t="n">
        <v>72.75</v>
      </c>
      <c r="H36" t="n">
        <v>0.7</v>
      </c>
      <c r="I36" t="inlineStr">
        <is>
          <t>协会提示／报送异常</t>
        </is>
      </c>
      <c r="J36" t="inlineStr">
        <is>
          <t>协会公示区间</t>
        </is>
      </c>
      <c r="K36" t="inlineStr">
        <is>
          <t>https://gs.amac.org.cn/amac-infodisc/res/pof/manager/2204201120100789.html</t>
        </is>
      </c>
    </row>
    <row r="37">
      <c r="A37" t="n">
        <v>36</v>
      </c>
      <c r="B37" t="inlineStr">
        <is>
          <t>博弈树金选套利2号</t>
        </is>
      </c>
      <c r="C37" t="inlineStr">
        <is>
          <t>SXR086</t>
        </is>
      </c>
      <c r="D37" t="inlineStr">
        <is>
          <t>广东丰煜</t>
        </is>
      </c>
      <c r="E37" t="inlineStr">
        <is>
          <t>0-5亿元</t>
        </is>
      </c>
      <c r="G37" t="n">
        <v>72.34</v>
      </c>
      <c r="H37" t="n">
        <v>0.88</v>
      </c>
      <c r="I37" t="inlineStr">
        <is>
          <t>本次公示未见相关记录</t>
        </is>
      </c>
      <c r="J37" t="inlineStr">
        <is>
          <t>协会公示区间</t>
        </is>
      </c>
      <c r="K37" t="inlineStr">
        <is>
          <t>https://gs.amac.org.cn/amac-infodisc/res/pof/manager/101000015767.html</t>
        </is>
      </c>
    </row>
    <row r="38">
      <c r="A38" t="n">
        <v>37</v>
      </c>
      <c r="B38" t="inlineStr">
        <is>
          <t>永泉奇点18号混合投资</t>
        </is>
      </c>
      <c r="C38" t="inlineStr">
        <is>
          <t>SNK980</t>
        </is>
      </c>
      <c r="D38" t="inlineStr">
        <is>
          <t>宁波永泉</t>
        </is>
      </c>
      <c r="E38" t="inlineStr">
        <is>
          <t>0-5亿元</t>
        </is>
      </c>
      <c r="F38" t="n">
        <v>71.85436</v>
      </c>
      <c r="G38" t="n">
        <v>71.84999999999999</v>
      </c>
      <c r="H38" t="n">
        <v>1</v>
      </c>
      <c r="I38" t="inlineStr">
        <is>
          <t>协会提示／报送异常</t>
        </is>
      </c>
      <c r="J38" t="inlineStr">
        <is>
          <t>协会公示区间</t>
        </is>
      </c>
      <c r="K38" t="inlineStr">
        <is>
          <t>https://gs.amac.org.cn/amac-infodisc/res/pof/manager/101000016974.html</t>
        </is>
      </c>
    </row>
    <row r="39">
      <c r="A39" t="n">
        <v>38</v>
      </c>
      <c r="B39" t="inlineStr">
        <is>
          <t>佳泽信享5号B类</t>
        </is>
      </c>
      <c r="C39" t="inlineStr">
        <is>
          <t>ZC395B</t>
        </is>
      </c>
      <c r="D39" t="inlineStr">
        <is>
          <t>海南佳泽</t>
        </is>
      </c>
      <c r="E39" t="inlineStr">
        <is>
          <t>0-5亿元</t>
        </is>
      </c>
      <c r="G39" t="n">
        <v>71.44</v>
      </c>
      <c r="H39" t="n">
        <v>0.955</v>
      </c>
      <c r="I39" t="inlineStr">
        <is>
          <t>协会提示／报送异常</t>
        </is>
      </c>
      <c r="J39" t="inlineStr">
        <is>
          <t>协会公示区间</t>
        </is>
      </c>
      <c r="K39" t="inlineStr">
        <is>
          <t>https://gs.amac.org.cn/amac-infodisc/res/pof/manager/2202171443109430.html</t>
        </is>
      </c>
    </row>
    <row r="40">
      <c r="A40" t="n">
        <v>39</v>
      </c>
      <c r="B40" t="inlineStr">
        <is>
          <t>东方富银宏观量化1号</t>
        </is>
      </c>
      <c r="C40" t="inlineStr">
        <is>
          <t>SXA890</t>
        </is>
      </c>
      <c r="D40" t="inlineStr">
        <is>
          <t>深圳东方富银投资</t>
        </is>
      </c>
      <c r="E40" t="inlineStr">
        <is>
          <t>0-5亿元</t>
        </is>
      </c>
      <c r="F40" t="n">
        <v>71.04948999999999</v>
      </c>
      <c r="G40" t="n">
        <v>71.05</v>
      </c>
      <c r="H40" t="n">
        <v>1</v>
      </c>
      <c r="I40" t="inlineStr">
        <is>
          <t>本次公示未见相关记录</t>
        </is>
      </c>
      <c r="J40" t="inlineStr">
        <is>
          <t>协会公示区间</t>
        </is>
      </c>
      <c r="K40" t="inlineStr">
        <is>
          <t>https://gs.amac.org.cn/amac-infodisc/res/pof/manager/1803121751101388.html</t>
        </is>
      </c>
    </row>
    <row r="41">
      <c r="A41" t="n">
        <v>40</v>
      </c>
      <c r="B41" t="inlineStr">
        <is>
          <t>银杏善利3号</t>
        </is>
      </c>
      <c r="C41" t="inlineStr">
        <is>
          <t>SXN943</t>
        </is>
      </c>
      <c r="D41" t="inlineStr">
        <is>
          <t>上海银杏</t>
        </is>
      </c>
      <c r="E41" t="inlineStr">
        <is>
          <t>0-5亿元</t>
        </is>
      </c>
      <c r="F41" t="n">
        <v>70.74557</v>
      </c>
      <c r="G41" t="n">
        <v>70.75</v>
      </c>
      <c r="H41" t="n">
        <v>1</v>
      </c>
      <c r="I41" t="inlineStr">
        <is>
          <t>本次公示未见相关记录</t>
        </is>
      </c>
      <c r="J41" t="inlineStr">
        <is>
          <t>协会公示区间</t>
        </is>
      </c>
      <c r="K41" t="inlineStr">
        <is>
          <t>https://gs.amac.org.cn/amac-infodisc/res/pof/manager/2105100905108445.html</t>
        </is>
      </c>
    </row>
    <row r="42">
      <c r="A42" t="n">
        <v>41</v>
      </c>
      <c r="B42" t="inlineStr">
        <is>
          <t>佳泽信享5号</t>
        </is>
      </c>
      <c r="C42" t="inlineStr">
        <is>
          <t>SZC395</t>
        </is>
      </c>
      <c r="D42" t="inlineStr">
        <is>
          <t>海南佳泽</t>
        </is>
      </c>
      <c r="E42" t="inlineStr">
        <is>
          <t>0-5亿元</t>
        </is>
      </c>
      <c r="F42" t="n">
        <v>70.19225</v>
      </c>
      <c r="G42" t="n">
        <v>70.19</v>
      </c>
      <c r="H42" t="n">
        <v>1</v>
      </c>
      <c r="I42" t="inlineStr">
        <is>
          <t>协会提示／报送异常</t>
        </is>
      </c>
      <c r="J42" t="inlineStr">
        <is>
          <t>协会公示区间</t>
        </is>
      </c>
      <c r="K42" t="inlineStr">
        <is>
          <t>https://gs.amac.org.cn/amac-infodisc/res/pof/manager/2202171443109430.html</t>
        </is>
      </c>
    </row>
    <row r="43">
      <c r="A43" t="n">
        <v>42</v>
      </c>
      <c r="B43" t="inlineStr">
        <is>
          <t>杉阳云杉混合1号</t>
        </is>
      </c>
      <c r="C43" t="inlineStr">
        <is>
          <t>SLA063</t>
        </is>
      </c>
      <c r="D43" t="inlineStr">
        <is>
          <t>上海杉阳</t>
        </is>
      </c>
      <c r="E43" t="inlineStr">
        <is>
          <t>0-5亿元</t>
        </is>
      </c>
      <c r="F43" t="n">
        <v>69.22302999999999</v>
      </c>
      <c r="G43" t="n">
        <v>69.22</v>
      </c>
      <c r="H43" t="n">
        <v>1</v>
      </c>
      <c r="I43" t="inlineStr">
        <is>
          <t>本次公示未见相关记录</t>
        </is>
      </c>
      <c r="J43" t="inlineStr">
        <is>
          <t>协会公示区间</t>
        </is>
      </c>
      <c r="K43" t="inlineStr">
        <is>
          <t>https://gs.amac.org.cn/amac-infodisc/res/pof/manager/2001061547104837.html</t>
        </is>
      </c>
    </row>
    <row r="44">
      <c r="A44" t="n">
        <v>43</v>
      </c>
      <c r="B44" t="inlineStr">
        <is>
          <t>鸿儒灵活配置2期</t>
        </is>
      </c>
      <c r="C44" t="inlineStr">
        <is>
          <t>SB5918</t>
        </is>
      </c>
      <c r="D44" t="inlineStr">
        <is>
          <t>上海鸿儒投资</t>
        </is>
      </c>
      <c r="E44" t="inlineStr">
        <is>
          <t>0-5亿元</t>
        </is>
      </c>
      <c r="F44" t="n">
        <v>68.35271</v>
      </c>
      <c r="G44" t="n">
        <v>68.34999999999999</v>
      </c>
      <c r="H44" t="n">
        <v>1</v>
      </c>
      <c r="I44" t="inlineStr">
        <is>
          <t>协会提示／报送异常</t>
        </is>
      </c>
      <c r="J44" t="inlineStr">
        <is>
          <t>协会公示区间</t>
        </is>
      </c>
      <c r="K44" t="inlineStr">
        <is>
          <t>https://gs.amac.org.cn/amac-infodisc/res/pof/manager/1912121722101881.html</t>
        </is>
      </c>
    </row>
    <row r="45">
      <c r="A45" t="n">
        <v>44</v>
      </c>
      <c r="B45" t="inlineStr">
        <is>
          <t>根鸟利恩稳健套利二号</t>
        </is>
      </c>
      <c r="C45" t="inlineStr">
        <is>
          <t>SARN68</t>
        </is>
      </c>
      <c r="D45" t="inlineStr">
        <is>
          <t>上海利恩</t>
        </is>
      </c>
      <c r="E45" t="inlineStr">
        <is>
          <t>0-5亿元</t>
        </is>
      </c>
      <c r="G45" t="n">
        <v>67.34</v>
      </c>
      <c r="H45" t="n">
        <v>0.7</v>
      </c>
      <c r="I45" t="inlineStr">
        <is>
          <t>协会提示／报送异常</t>
        </is>
      </c>
      <c r="J45" t="inlineStr">
        <is>
          <t>协会公示区间</t>
        </is>
      </c>
      <c r="K45" t="inlineStr">
        <is>
          <t>https://gs.amac.org.cn/amac-infodisc/res/pof/manager/101000031741.html</t>
        </is>
      </c>
    </row>
    <row r="46">
      <c r="A46" t="n">
        <v>45</v>
      </c>
      <c r="B46" t="inlineStr">
        <is>
          <t>溋沣鸿运来星选1号</t>
        </is>
      </c>
      <c r="C46" t="inlineStr">
        <is>
          <t>S09408</t>
        </is>
      </c>
      <c r="D46" t="inlineStr">
        <is>
          <t>深圳前海溋沣资管</t>
        </is>
      </c>
      <c r="E46" t="inlineStr">
        <is>
          <t>0-5亿元</t>
        </is>
      </c>
      <c r="F46" t="n">
        <v>66.73005999999999</v>
      </c>
      <c r="G46" t="n">
        <v>66.73</v>
      </c>
      <c r="H46" t="n">
        <v>1</v>
      </c>
      <c r="I46" t="inlineStr">
        <is>
          <t>本次公示未见相关记录</t>
        </is>
      </c>
      <c r="J46" t="inlineStr">
        <is>
          <t>协会公示区间</t>
        </is>
      </c>
      <c r="K46" t="inlineStr">
        <is>
          <t>https://gs.amac.org.cn/amac-infodisc/res/pof/manager/1610131040102006.html</t>
        </is>
      </c>
    </row>
    <row r="47">
      <c r="A47" t="n">
        <v>46</v>
      </c>
      <c r="B47" t="inlineStr">
        <is>
          <t>起源天择稳健1号</t>
        </is>
      </c>
      <c r="C47" t="inlineStr">
        <is>
          <t>SVJ267</t>
        </is>
      </c>
      <c r="D47" t="inlineStr">
        <is>
          <t>海南起源</t>
        </is>
      </c>
      <c r="E47" t="inlineStr">
        <is>
          <t>0-5亿元</t>
        </is>
      </c>
      <c r="G47" t="n">
        <v>66.31999999999999</v>
      </c>
      <c r="H47" t="n">
        <v>0.88</v>
      </c>
      <c r="I47" t="inlineStr">
        <is>
          <t>协会提示／报送异常</t>
        </is>
      </c>
      <c r="J47" t="inlineStr">
        <is>
          <t>协会公示区间</t>
        </is>
      </c>
      <c r="K47" t="inlineStr">
        <is>
          <t>https://gs.amac.org.cn/amac-infodisc/res/pof/manager/2109301707118145.html</t>
        </is>
      </c>
    </row>
    <row r="48">
      <c r="A48" t="n">
        <v>47</v>
      </c>
      <c r="B48" t="inlineStr">
        <is>
          <t>雁丰卓衍1号</t>
        </is>
      </c>
      <c r="C48" t="inlineStr">
        <is>
          <t>SXX404</t>
        </is>
      </c>
      <c r="D48" t="inlineStr">
        <is>
          <t>上海雁丰投资</t>
        </is>
      </c>
      <c r="E48" t="inlineStr">
        <is>
          <t>0-5亿元</t>
        </is>
      </c>
      <c r="F48" t="n">
        <v>65.82637</v>
      </c>
      <c r="G48" t="n">
        <v>65.83</v>
      </c>
      <c r="H48" t="n">
        <v>1</v>
      </c>
      <c r="I48" t="inlineStr">
        <is>
          <t>协会提示／报送异常</t>
        </is>
      </c>
      <c r="J48" t="inlineStr">
        <is>
          <t>协会公示区间</t>
        </is>
      </c>
      <c r="K48" t="inlineStr">
        <is>
          <t>https://gs.amac.org.cn/amac-infodisc/res/pof/manager/101000007795.html</t>
        </is>
      </c>
    </row>
    <row r="49">
      <c r="A49" t="n">
        <v>48</v>
      </c>
      <c r="B49" t="inlineStr">
        <is>
          <t>杉阳云杉混合1号A类</t>
        </is>
      </c>
      <c r="C49" t="inlineStr">
        <is>
          <t>LA063A</t>
        </is>
      </c>
      <c r="D49" t="inlineStr">
        <is>
          <t>上海杉阳</t>
        </is>
      </c>
      <c r="E49" t="inlineStr">
        <is>
          <t>0-5亿元</t>
        </is>
      </c>
      <c r="G49" t="n">
        <v>65.01000000000001</v>
      </c>
      <c r="H49" t="n">
        <v>0.955</v>
      </c>
      <c r="I49" t="inlineStr">
        <is>
          <t>本次公示未见相关记录</t>
        </is>
      </c>
      <c r="J49" t="inlineStr">
        <is>
          <t>协会公示区间</t>
        </is>
      </c>
      <c r="K49" t="inlineStr">
        <is>
          <t>https://gs.amac.org.cn/amac-infodisc/res/pof/manager/2001061547104837.html</t>
        </is>
      </c>
    </row>
    <row r="50">
      <c r="A50" t="n">
        <v>49</v>
      </c>
      <c r="B50" t="inlineStr">
        <is>
          <t>时间稳健1号</t>
        </is>
      </c>
      <c r="C50" t="inlineStr">
        <is>
          <t>SZM840</t>
        </is>
      </c>
      <c r="D50" t="inlineStr">
        <is>
          <t>青岛时间</t>
        </is>
      </c>
      <c r="E50" t="inlineStr">
        <is>
          <t>0-5亿元</t>
        </is>
      </c>
      <c r="F50" t="n">
        <v>64.51027999999999</v>
      </c>
      <c r="G50" t="n">
        <v>64.51000000000001</v>
      </c>
      <c r="H50" t="n">
        <v>1</v>
      </c>
      <c r="I50" t="inlineStr">
        <is>
          <t>本次公示未见相关记录</t>
        </is>
      </c>
      <c r="J50" t="inlineStr">
        <is>
          <t>协会公示区间</t>
        </is>
      </c>
      <c r="K50" t="inlineStr">
        <is>
          <t>https://gs.amac.org.cn/amac-infodisc/res/pof/manager/2007291034107765.html</t>
        </is>
      </c>
    </row>
    <row r="51">
      <c r="A51" t="n">
        <v>50</v>
      </c>
      <c r="B51" t="inlineStr">
        <is>
          <t>唐德幽兰量化套利一号A类</t>
        </is>
      </c>
      <c r="C51" t="inlineStr">
        <is>
          <t>AHM04A</t>
        </is>
      </c>
      <c r="D51" t="inlineStr">
        <is>
          <t>深圳唐德</t>
        </is>
      </c>
      <c r="E51" t="inlineStr">
        <is>
          <t>0-5亿元</t>
        </is>
      </c>
      <c r="G51" t="n">
        <v>64.45999999999999</v>
      </c>
      <c r="H51" t="n">
        <v>0.655</v>
      </c>
      <c r="I51" t="inlineStr">
        <is>
          <t>本次公示未见相关记录</t>
        </is>
      </c>
      <c r="J51" t="inlineStr">
        <is>
          <t>协会公示区间</t>
        </is>
      </c>
      <c r="K51" t="inlineStr">
        <is>
          <t>https://gs.amac.org.cn/amac-infodisc/res/pof/manager/101000038100.html</t>
        </is>
      </c>
    </row>
    <row r="52">
      <c r="A52" t="n">
        <v>51</v>
      </c>
      <c r="B52" t="inlineStr">
        <is>
          <t>溋沣鸿运来星选1号B类</t>
        </is>
      </c>
      <c r="C52" t="inlineStr">
        <is>
          <t>09408B</t>
        </is>
      </c>
      <c r="D52" t="inlineStr">
        <is>
          <t>深圳前海溋沣资管</t>
        </is>
      </c>
      <c r="E52" t="inlineStr">
        <is>
          <t>0-5亿元</t>
        </is>
      </c>
      <c r="G52" t="n">
        <v>63.24</v>
      </c>
      <c r="H52" t="n">
        <v>0.955</v>
      </c>
      <c r="I52" t="inlineStr">
        <is>
          <t>本次公示未见相关记录</t>
        </is>
      </c>
      <c r="J52" t="inlineStr">
        <is>
          <t>协会公示区间</t>
        </is>
      </c>
      <c r="K52" t="inlineStr">
        <is>
          <t>https://gs.amac.org.cn/amac-infodisc/res/pof/manager/1610131040102006.html</t>
        </is>
      </c>
    </row>
    <row r="53">
      <c r="A53" t="n">
        <v>52</v>
      </c>
      <c r="B53" t="inlineStr">
        <is>
          <t>守正卓越一号</t>
        </is>
      </c>
      <c r="C53" t="inlineStr">
        <is>
          <t>SVY984</t>
        </is>
      </c>
      <c r="D53" t="inlineStr">
        <is>
          <t>山东守正</t>
        </is>
      </c>
      <c r="E53" t="inlineStr">
        <is>
          <t>0-5亿元</t>
        </is>
      </c>
      <c r="F53" t="n">
        <v>62.13488</v>
      </c>
      <c r="G53" t="n">
        <v>62.13</v>
      </c>
      <c r="H53" t="n">
        <v>1</v>
      </c>
      <c r="I53" t="inlineStr">
        <is>
          <t>协会提示／报送异常</t>
        </is>
      </c>
      <c r="J53" t="inlineStr">
        <is>
          <t>协会公示区间</t>
        </is>
      </c>
      <c r="K53" t="inlineStr">
        <is>
          <t>https://gs.amac.org.cn/amac-infodisc/res/pof/manager/2111241907106834.html</t>
        </is>
      </c>
    </row>
    <row r="54">
      <c r="A54" t="n">
        <v>53</v>
      </c>
      <c r="B54" t="inlineStr">
        <is>
          <t>纵帆禾裕一号</t>
        </is>
      </c>
      <c r="C54" t="inlineStr">
        <is>
          <t>SARX48</t>
        </is>
      </c>
      <c r="D54" t="inlineStr">
        <is>
          <t>海南纵帆</t>
        </is>
      </c>
      <c r="E54" t="inlineStr">
        <is>
          <t>0-5亿元</t>
        </is>
      </c>
      <c r="G54" t="n">
        <v>61.13</v>
      </c>
      <c r="H54" t="n">
        <v>0.7</v>
      </c>
      <c r="I54" t="inlineStr">
        <is>
          <t>协会提示／报送异常</t>
        </is>
      </c>
      <c r="J54" t="inlineStr">
        <is>
          <t>协会公示区间</t>
        </is>
      </c>
      <c r="K54" t="inlineStr">
        <is>
          <t>https://gs.amac.org.cn/amac-infodisc/res/pof/manager/2010291454105615.html</t>
        </is>
      </c>
    </row>
    <row r="55">
      <c r="A55" t="n">
        <v>54</v>
      </c>
      <c r="B55" t="inlineStr">
        <is>
          <t>铭杉量化稳健5号</t>
        </is>
      </c>
      <c r="C55" t="inlineStr">
        <is>
          <t>SLT573</t>
        </is>
      </c>
      <c r="D55" t="inlineStr">
        <is>
          <t>上海铭杉投资</t>
        </is>
      </c>
      <c r="E55" t="inlineStr">
        <is>
          <t>0-5亿元</t>
        </is>
      </c>
      <c r="G55" t="n">
        <v>60.72</v>
      </c>
      <c r="H55" t="n">
        <v>0.88</v>
      </c>
      <c r="I55" t="inlineStr">
        <is>
          <t>本次公示未见相关记录</t>
        </is>
      </c>
      <c r="J55" t="inlineStr">
        <is>
          <t>协会公示区间</t>
        </is>
      </c>
      <c r="K55" t="inlineStr">
        <is>
          <t>https://gs.amac.org.cn/amac-infodisc/res/pof/manager/1708301158107602.html</t>
        </is>
      </c>
    </row>
    <row r="56">
      <c r="A56" t="n">
        <v>55</v>
      </c>
      <c r="B56" t="inlineStr">
        <is>
          <t>唐德幽兰量化套利一号</t>
        </is>
      </c>
      <c r="C56" t="inlineStr">
        <is>
          <t>SAHM04</t>
        </is>
      </c>
      <c r="D56" t="inlineStr">
        <is>
          <t>深圳唐德</t>
        </is>
      </c>
      <c r="E56" t="inlineStr">
        <is>
          <t>0-5亿元</t>
        </is>
      </c>
      <c r="G56" t="n">
        <v>60.57</v>
      </c>
      <c r="H56" t="n">
        <v>0.7</v>
      </c>
      <c r="I56" t="inlineStr">
        <is>
          <t>本次公示未见相关记录</t>
        </is>
      </c>
      <c r="J56" t="inlineStr">
        <is>
          <t>协会公示区间</t>
        </is>
      </c>
      <c r="K56" t="inlineStr">
        <is>
          <t>https://gs.amac.org.cn/amac-infodisc/res/pof/manager/101000038100.html</t>
        </is>
      </c>
    </row>
    <row r="57">
      <c r="A57" t="n">
        <v>56</v>
      </c>
      <c r="B57" t="inlineStr">
        <is>
          <t>守正卓越一号A类</t>
        </is>
      </c>
      <c r="C57" t="inlineStr">
        <is>
          <t>VY984A</t>
        </is>
      </c>
      <c r="D57" t="inlineStr">
        <is>
          <t>山东守正</t>
        </is>
      </c>
      <c r="E57" t="inlineStr">
        <is>
          <t>0-5亿元</t>
        </is>
      </c>
      <c r="G57" t="n">
        <v>60.43</v>
      </c>
      <c r="H57" t="n">
        <v>0.955</v>
      </c>
      <c r="I57" t="inlineStr">
        <is>
          <t>协会提示／报送异常</t>
        </is>
      </c>
      <c r="J57" t="inlineStr">
        <is>
          <t>协会公示区间</t>
        </is>
      </c>
      <c r="K57" t="inlineStr">
        <is>
          <t>https://gs.amac.org.cn/amac-infodisc/res/pof/manager/2111241907106834.html</t>
        </is>
      </c>
    </row>
    <row r="58">
      <c r="A58" t="n">
        <v>57</v>
      </c>
      <c r="B58" t="inlineStr">
        <is>
          <t>野牛稳进2号</t>
        </is>
      </c>
      <c r="C58" t="inlineStr">
        <is>
          <t>SAFW30</t>
        </is>
      </c>
      <c r="D58" t="inlineStr">
        <is>
          <t>福建野牛资管</t>
        </is>
      </c>
      <c r="E58" t="inlineStr">
        <is>
          <t>0-5亿元</t>
        </is>
      </c>
      <c r="G58" t="n">
        <v>57.76</v>
      </c>
      <c r="H58" t="n">
        <v>0.7</v>
      </c>
      <c r="I58" t="inlineStr">
        <is>
          <t>本次公示未见相关记录</t>
        </is>
      </c>
      <c r="J58" t="inlineStr">
        <is>
          <t>协会公示区间</t>
        </is>
      </c>
      <c r="K58" t="inlineStr">
        <is>
          <t>https://gs.amac.org.cn/amac-infodisc/res/pof/manager/101000032872.html</t>
        </is>
      </c>
    </row>
    <row r="59">
      <c r="A59" t="n">
        <v>58</v>
      </c>
      <c r="B59" t="inlineStr">
        <is>
          <t>龙智福星</t>
        </is>
      </c>
      <c r="C59" t="inlineStr">
        <is>
          <t>SALD19</t>
        </is>
      </c>
      <c r="D59" t="inlineStr">
        <is>
          <t>广州龙智投资</t>
        </is>
      </c>
      <c r="E59" t="inlineStr">
        <is>
          <t>0-5亿元</t>
        </is>
      </c>
      <c r="G59" t="n">
        <v>57.54</v>
      </c>
      <c r="H59" t="n">
        <v>0.7</v>
      </c>
      <c r="I59" t="inlineStr">
        <is>
          <t>协会提示／报送异常</t>
        </is>
      </c>
      <c r="J59" t="inlineStr">
        <is>
          <t>协会公示区间</t>
        </is>
      </c>
      <c r="K59" t="inlineStr">
        <is>
          <t>https://gs.amac.org.cn/amac-infodisc/res/pof/manager/1704141230109314.html</t>
        </is>
      </c>
    </row>
    <row r="60">
      <c r="A60" t="n">
        <v>59</v>
      </c>
      <c r="B60" t="inlineStr">
        <is>
          <t>杭州探融-锦鲤智能量化3号</t>
        </is>
      </c>
      <c r="C60" t="inlineStr">
        <is>
          <t>SQC001</t>
        </is>
      </c>
      <c r="D60" t="inlineStr">
        <is>
          <t>杭州探融投资</t>
        </is>
      </c>
      <c r="E60" t="inlineStr">
        <is>
          <t>0-5亿元</t>
        </is>
      </c>
      <c r="F60" t="n">
        <v>56.46451</v>
      </c>
      <c r="G60" t="n">
        <v>56.46</v>
      </c>
      <c r="H60" t="n">
        <v>1</v>
      </c>
      <c r="I60" t="inlineStr">
        <is>
          <t>本次公示未见相关记录</t>
        </is>
      </c>
      <c r="J60" t="inlineStr">
        <is>
          <t>协会公示区间</t>
        </is>
      </c>
      <c r="K60" t="inlineStr">
        <is>
          <t>https://gs.amac.org.cn/amac-infodisc/res/pof/manager/101000049159.html</t>
        </is>
      </c>
    </row>
    <row r="61">
      <c r="A61" t="n">
        <v>60</v>
      </c>
      <c r="B61" t="inlineStr">
        <is>
          <t>金藏元金权一号</t>
        </is>
      </c>
      <c r="C61" t="inlineStr">
        <is>
          <t>SAWM56</t>
        </is>
      </c>
      <c r="D61" t="inlineStr">
        <is>
          <t>浙江金藏元投资</t>
        </is>
      </c>
      <c r="E61" t="inlineStr">
        <is>
          <t>0-5亿元</t>
        </is>
      </c>
      <c r="G61" t="n">
        <v>56.3</v>
      </c>
      <c r="H61" t="n">
        <v>0.724</v>
      </c>
      <c r="I61" t="inlineStr">
        <is>
          <t>本次公示未见相关记录</t>
        </is>
      </c>
      <c r="J61" t="inlineStr">
        <is>
          <t>协会公示区间</t>
        </is>
      </c>
      <c r="K61" t="inlineStr">
        <is>
          <t>https://gs.amac.org.cn/amac-infodisc/res/pof/manager/101000046762.html</t>
        </is>
      </c>
    </row>
    <row r="62">
      <c r="A62" t="n">
        <v>61</v>
      </c>
      <c r="B62" t="inlineStr">
        <is>
          <t>炽浪衍复9号</t>
        </is>
      </c>
      <c r="C62" t="inlineStr">
        <is>
          <t>SXH337</t>
        </is>
      </c>
      <c r="D62" t="inlineStr">
        <is>
          <t>海南炽浪</t>
        </is>
      </c>
      <c r="E62" t="inlineStr">
        <is>
          <t>0-5亿元</t>
        </is>
      </c>
      <c r="F62" t="n">
        <v>56.25938</v>
      </c>
      <c r="G62" t="n">
        <v>56.26</v>
      </c>
      <c r="H62" t="n">
        <v>1</v>
      </c>
      <c r="I62" t="inlineStr">
        <is>
          <t>协会提示／报送异常</t>
        </is>
      </c>
      <c r="J62" t="inlineStr">
        <is>
          <t>协会公示区间</t>
        </is>
      </c>
      <c r="K62" t="inlineStr">
        <is>
          <t>https://gs.amac.org.cn/amac-infodisc/res/pof/manager/2005090837103499.html</t>
        </is>
      </c>
    </row>
    <row r="63">
      <c r="A63" t="n">
        <v>62</v>
      </c>
      <c r="B63" t="inlineStr">
        <is>
          <t>炽浪马拉松17号</t>
        </is>
      </c>
      <c r="C63" t="inlineStr">
        <is>
          <t>SBAA24</t>
        </is>
      </c>
      <c r="D63" t="inlineStr">
        <is>
          <t>海南炽浪</t>
        </is>
      </c>
      <c r="E63" t="inlineStr">
        <is>
          <t>0-5亿元</t>
        </is>
      </c>
      <c r="G63" t="n">
        <v>55.24</v>
      </c>
      <c r="H63" t="n">
        <v>0.724</v>
      </c>
      <c r="I63" t="inlineStr">
        <is>
          <t>协会提示／报送异常</t>
        </is>
      </c>
      <c r="J63" t="inlineStr">
        <is>
          <t>协会公示区间</t>
        </is>
      </c>
      <c r="K63" t="inlineStr">
        <is>
          <t>https://gs.amac.org.cn/amac-infodisc/res/pof/manager/2005090837103499.html</t>
        </is>
      </c>
    </row>
    <row r="64">
      <c r="A64" t="n">
        <v>63</v>
      </c>
      <c r="B64" t="inlineStr">
        <is>
          <t>蒙森斯道特恒星三号</t>
        </is>
      </c>
      <c r="C64" t="inlineStr">
        <is>
          <t>SJM626</t>
        </is>
      </c>
      <c r="D64" t="inlineStr">
        <is>
          <t>上海蒙森投资</t>
        </is>
      </c>
      <c r="E64" t="inlineStr">
        <is>
          <t>0-5亿元</t>
        </is>
      </c>
      <c r="F64" t="n">
        <v>55.02824</v>
      </c>
      <c r="G64" t="n">
        <v>55.03</v>
      </c>
      <c r="H64" t="n">
        <v>1</v>
      </c>
      <c r="I64" t="inlineStr">
        <is>
          <t>监管警示函</t>
        </is>
      </c>
      <c r="J64" t="inlineStr">
        <is>
          <t>协会公示区间</t>
        </is>
      </c>
      <c r="K64" t="inlineStr">
        <is>
          <t>https://gs.amac.org.cn/amac-infodisc/res/pof/manager/101000010726.html</t>
        </is>
      </c>
    </row>
    <row r="65">
      <c r="A65" t="n">
        <v>64</v>
      </c>
      <c r="B65" t="inlineStr">
        <is>
          <t>鑫泰禾汇投1号</t>
        </is>
      </c>
      <c r="C65" t="inlineStr">
        <is>
          <t>SZP735</t>
        </is>
      </c>
      <c r="D65" t="inlineStr">
        <is>
          <t>深圳鑫泰禾</t>
        </is>
      </c>
      <c r="E65" t="inlineStr">
        <is>
          <t>0-5亿元</t>
        </is>
      </c>
      <c r="F65" t="n">
        <v>54.89754</v>
      </c>
      <c r="G65" t="n">
        <v>54.9</v>
      </c>
      <c r="H65" t="n">
        <v>1</v>
      </c>
      <c r="I65" t="inlineStr">
        <is>
          <t>协会提示／报送异常</t>
        </is>
      </c>
      <c r="J65" t="inlineStr">
        <is>
          <t>协会公示区间</t>
        </is>
      </c>
      <c r="K65" t="inlineStr">
        <is>
          <t>https://gs.amac.org.cn/amac-infodisc/res/pof/manager/101000041857.html</t>
        </is>
      </c>
    </row>
    <row r="66">
      <c r="A66" t="n">
        <v>65</v>
      </c>
      <c r="B66" t="inlineStr">
        <is>
          <t>鑫翰启明复合策略三期</t>
        </is>
      </c>
      <c r="C66" t="inlineStr">
        <is>
          <t>SZR346</t>
        </is>
      </c>
      <c r="D66" t="inlineStr">
        <is>
          <t>北京鑫翰资管</t>
        </is>
      </c>
      <c r="E66" t="inlineStr">
        <is>
          <t>0-5亿元</t>
        </is>
      </c>
      <c r="F66" t="n">
        <v>54.70095</v>
      </c>
      <c r="G66" t="n">
        <v>54.7</v>
      </c>
      <c r="H66" t="n">
        <v>1</v>
      </c>
      <c r="I66" t="inlineStr">
        <is>
          <t>本次公示未见相关记录</t>
        </is>
      </c>
      <c r="J66" t="inlineStr">
        <is>
          <t>协会公示区间</t>
        </is>
      </c>
      <c r="K66" t="inlineStr">
        <is>
          <t>https://gs.amac.org.cn/amac-infodisc/res/pof/manager/1906200947105473.html</t>
        </is>
      </c>
    </row>
    <row r="67">
      <c r="A67" t="n">
        <v>66</v>
      </c>
      <c r="B67" t="inlineStr">
        <is>
          <t>若谷凌云一号</t>
        </is>
      </c>
      <c r="C67" t="inlineStr">
        <is>
          <t>SVQ802</t>
        </is>
      </c>
      <c r="D67" t="inlineStr">
        <is>
          <t>海南若谷</t>
        </is>
      </c>
      <c r="E67" t="inlineStr">
        <is>
          <t>0-5亿元</t>
        </is>
      </c>
      <c r="G67" t="n">
        <v>54</v>
      </c>
      <c r="H67" t="n">
        <v>0.15</v>
      </c>
      <c r="I67" t="inlineStr">
        <is>
          <t>协会提示／报送异常</t>
        </is>
      </c>
      <c r="J67" t="inlineStr">
        <is>
          <t>协会公示区间</t>
        </is>
      </c>
      <c r="K67" t="inlineStr">
        <is>
          <t>https://gs.amac.org.cn/amac-infodisc/res/pof/manager/2106151358101928.html</t>
        </is>
      </c>
    </row>
    <row r="68">
      <c r="A68" t="n">
        <v>67</v>
      </c>
      <c r="B68" t="inlineStr">
        <is>
          <t>本利达利磐一号</t>
        </is>
      </c>
      <c r="C68" t="inlineStr">
        <is>
          <t>SJF426</t>
        </is>
      </c>
      <c r="D68" t="inlineStr">
        <is>
          <t>深圳本利达资管</t>
        </is>
      </c>
      <c r="E68" t="inlineStr">
        <is>
          <t>0-5亿元</t>
        </is>
      </c>
      <c r="F68" t="n">
        <v>53.69649</v>
      </c>
      <c r="G68" t="n">
        <v>53.7</v>
      </c>
      <c r="H68" t="n">
        <v>1</v>
      </c>
      <c r="I68" t="inlineStr">
        <is>
          <t>本次公示未见相关记录</t>
        </is>
      </c>
      <c r="J68" t="inlineStr">
        <is>
          <t>协会公示区间</t>
        </is>
      </c>
      <c r="K68" t="inlineStr">
        <is>
          <t>https://gs.amac.org.cn/amac-infodisc/res/pof/manager/101000028552.html</t>
        </is>
      </c>
    </row>
    <row r="69">
      <c r="A69" t="n">
        <v>68</v>
      </c>
      <c r="B69" t="inlineStr">
        <is>
          <t>金藏元金权一号B类</t>
        </is>
      </c>
      <c r="C69" t="inlineStr">
        <is>
          <t>AWM56B</t>
        </is>
      </c>
      <c r="D69" t="inlineStr">
        <is>
          <t>浙江金藏元投资</t>
        </is>
      </c>
      <c r="E69" t="inlineStr">
        <is>
          <t>0-5亿元</t>
        </is>
      </c>
      <c r="G69" t="n">
        <v>53.41</v>
      </c>
      <c r="H69" t="n">
        <v>0.679</v>
      </c>
      <c r="I69" t="inlineStr">
        <is>
          <t>本次公示未见相关记录</t>
        </is>
      </c>
      <c r="J69" t="inlineStr">
        <is>
          <t>协会公示区间</t>
        </is>
      </c>
      <c r="K69" t="inlineStr">
        <is>
          <t>https://gs.amac.org.cn/amac-infodisc/res/pof/manager/101000046762.html</t>
        </is>
      </c>
    </row>
    <row r="70">
      <c r="A70" t="n">
        <v>69</v>
      </c>
      <c r="B70" t="inlineStr">
        <is>
          <t>纵帆禾裕三号</t>
        </is>
      </c>
      <c r="C70" t="inlineStr">
        <is>
          <t>SBDG79</t>
        </is>
      </c>
      <c r="D70" t="inlineStr">
        <is>
          <t>海南纵帆</t>
        </is>
      </c>
      <c r="E70" t="inlineStr">
        <is>
          <t>0-5亿元</t>
        </is>
      </c>
      <c r="G70" t="n">
        <v>52.47</v>
      </c>
      <c r="H70" t="n">
        <v>0.724</v>
      </c>
      <c r="I70" t="inlineStr">
        <is>
          <t>协会提示／报送异常</t>
        </is>
      </c>
      <c r="J70" t="inlineStr">
        <is>
          <t>协会公示区间</t>
        </is>
      </c>
      <c r="K70" t="inlineStr">
        <is>
          <t>https://gs.amac.org.cn/amac-infodisc/res/pof/manager/2010291454105615.html</t>
        </is>
      </c>
    </row>
    <row r="71">
      <c r="A71" t="n">
        <v>70</v>
      </c>
      <c r="B71" t="inlineStr">
        <is>
          <t>系数CTA套利五号</t>
        </is>
      </c>
      <c r="C71" t="inlineStr">
        <is>
          <t>SXT086</t>
        </is>
      </c>
      <c r="D71" t="inlineStr">
        <is>
          <t>上海系数投资</t>
        </is>
      </c>
      <c r="E71" t="inlineStr">
        <is>
          <t>0-5亿元</t>
        </is>
      </c>
      <c r="G71" t="n">
        <v>52.47</v>
      </c>
      <c r="H71" t="n">
        <v>0.88</v>
      </c>
      <c r="I71" t="inlineStr">
        <is>
          <t>本次公示未见相关记录</t>
        </is>
      </c>
      <c r="J71" t="inlineStr">
        <is>
          <t>协会公示区间</t>
        </is>
      </c>
      <c r="K71" t="inlineStr">
        <is>
          <t>https://gs.amac.org.cn/amac-infodisc/res/pof/manager/101000000497.html</t>
        </is>
      </c>
    </row>
    <row r="72">
      <c r="A72" t="n">
        <v>71</v>
      </c>
      <c r="B72" t="inlineStr">
        <is>
          <t>百奕传家一号</t>
        </is>
      </c>
      <c r="C72" t="inlineStr">
        <is>
          <t>SJS027</t>
        </is>
      </c>
      <c r="D72" t="inlineStr">
        <is>
          <t>上海百奕投资</t>
        </is>
      </c>
      <c r="E72" t="inlineStr">
        <is>
          <t>0-5亿元</t>
        </is>
      </c>
      <c r="F72" t="n">
        <v>52.16051</v>
      </c>
      <c r="G72" t="n">
        <v>52.16</v>
      </c>
      <c r="H72" t="n">
        <v>1</v>
      </c>
      <c r="I72" t="inlineStr">
        <is>
          <t>本次公示未见相关记录</t>
        </is>
      </c>
      <c r="J72" t="inlineStr">
        <is>
          <t>协会公示区间</t>
        </is>
      </c>
      <c r="K72" t="inlineStr">
        <is>
          <t>https://gs.amac.org.cn/amac-infodisc/res/pof/manager/101000019935.html</t>
        </is>
      </c>
    </row>
    <row r="73">
      <c r="A73" t="n">
        <v>72</v>
      </c>
      <c r="B73" t="inlineStr">
        <is>
          <t>新时代智能量化3号</t>
        </is>
      </c>
      <c r="C73" t="inlineStr">
        <is>
          <t>SEM001</t>
        </is>
      </c>
      <c r="D73" t="inlineStr">
        <is>
          <t>杭州探融投资</t>
        </is>
      </c>
      <c r="E73" t="inlineStr">
        <is>
          <t>0-5亿元</t>
        </is>
      </c>
      <c r="G73" t="n">
        <v>51.8</v>
      </c>
      <c r="H73" t="n">
        <v>0.88</v>
      </c>
      <c r="I73" t="inlineStr">
        <is>
          <t>本次公示未见相关记录</t>
        </is>
      </c>
      <c r="J73" t="inlineStr">
        <is>
          <t>协会公示区间</t>
        </is>
      </c>
      <c r="K73" t="inlineStr">
        <is>
          <t>https://gs.amac.org.cn/amac-infodisc/res/pof/manager/101000049159.html</t>
        </is>
      </c>
    </row>
    <row r="74">
      <c r="A74" t="n">
        <v>73</v>
      </c>
      <c r="B74" t="inlineStr">
        <is>
          <t>宏量鼎诚</t>
        </is>
      </c>
      <c r="C74" t="inlineStr">
        <is>
          <t>SGQ716</t>
        </is>
      </c>
      <c r="D74" t="inlineStr">
        <is>
          <t>北京宏量资管</t>
        </is>
      </c>
      <c r="E74" t="inlineStr">
        <is>
          <t>0-5亿元</t>
        </is>
      </c>
      <c r="G74" t="n">
        <v>51.3</v>
      </c>
      <c r="H74" t="n">
        <v>0.88</v>
      </c>
      <c r="I74" t="inlineStr">
        <is>
          <t>本次公示未见相关记录</t>
        </is>
      </c>
      <c r="J74" t="inlineStr">
        <is>
          <t>协会公示区间</t>
        </is>
      </c>
      <c r="K74" t="inlineStr">
        <is>
          <t>https://gs.amac.org.cn/amac-infodisc/res/pof/manager/1706211851108652.html</t>
        </is>
      </c>
    </row>
    <row r="75">
      <c r="A75" t="n">
        <v>74</v>
      </c>
      <c r="B75" t="inlineStr">
        <is>
          <t>银杏善利6号</t>
        </is>
      </c>
      <c r="C75" t="inlineStr">
        <is>
          <t>SXS440</t>
        </is>
      </c>
      <c r="D75" t="inlineStr">
        <is>
          <t>上海银杏</t>
        </is>
      </c>
      <c r="E75" t="inlineStr">
        <is>
          <t>0-5亿元</t>
        </is>
      </c>
      <c r="F75" t="n">
        <v>51.23353</v>
      </c>
      <c r="G75" t="n">
        <v>51.23</v>
      </c>
      <c r="H75" t="n">
        <v>1</v>
      </c>
      <c r="I75" t="inlineStr">
        <is>
          <t>本次公示未见相关记录</t>
        </is>
      </c>
      <c r="J75" t="inlineStr">
        <is>
          <t>协会公示区间</t>
        </is>
      </c>
      <c r="K75" t="inlineStr">
        <is>
          <t>https://gs.amac.org.cn/amac-infodisc/res/pof/manager/2105100905108445.html</t>
        </is>
      </c>
    </row>
    <row r="76">
      <c r="A76" t="n">
        <v>75</v>
      </c>
      <c r="B76" t="inlineStr">
        <is>
          <t>纵帆禾裕二号</t>
        </is>
      </c>
      <c r="C76" t="inlineStr">
        <is>
          <t>SASG02</t>
        </is>
      </c>
      <c r="D76" t="inlineStr">
        <is>
          <t>海南纵帆</t>
        </is>
      </c>
      <c r="E76" t="inlineStr">
        <is>
          <t>0-5亿元</t>
        </is>
      </c>
      <c r="G76" t="n">
        <v>50.95</v>
      </c>
      <c r="H76" t="n">
        <v>0.7</v>
      </c>
      <c r="I76" t="inlineStr">
        <is>
          <t>协会提示／报送异常</t>
        </is>
      </c>
      <c r="J76" t="inlineStr">
        <is>
          <t>协会公示区间</t>
        </is>
      </c>
      <c r="K76" t="inlineStr">
        <is>
          <t>https://gs.amac.org.cn/amac-infodisc/res/pof/manager/2010291454105615.html</t>
        </is>
      </c>
    </row>
    <row r="77">
      <c r="A77" t="n">
        <v>76</v>
      </c>
      <c r="B77" t="inlineStr">
        <is>
          <t>杉阳云杉转债1号</t>
        </is>
      </c>
      <c r="C77" t="inlineStr">
        <is>
          <t>SLE395</t>
        </is>
      </c>
      <c r="D77" t="inlineStr">
        <is>
          <t>上海杉阳</t>
        </is>
      </c>
      <c r="E77" t="inlineStr">
        <is>
          <t>0-5亿元</t>
        </is>
      </c>
      <c r="F77" t="n">
        <v>50.9199</v>
      </c>
      <c r="G77" t="n">
        <v>50.92</v>
      </c>
      <c r="H77" t="n">
        <v>1</v>
      </c>
      <c r="I77" t="inlineStr">
        <is>
          <t>本次公示未见相关记录</t>
        </is>
      </c>
      <c r="J77" t="inlineStr">
        <is>
          <t>协会公示区间</t>
        </is>
      </c>
      <c r="K77" t="inlineStr">
        <is>
          <t>https://gs.amac.org.cn/amac-infodisc/res/pof/manager/2001061547104837.html</t>
        </is>
      </c>
    </row>
    <row r="78">
      <c r="A78" t="n">
        <v>77</v>
      </c>
      <c r="B78" t="inlineStr">
        <is>
          <t>探融新视野智能量化1号</t>
        </is>
      </c>
      <c r="C78" t="inlineStr">
        <is>
          <t>SL8089</t>
        </is>
      </c>
      <c r="D78" t="inlineStr">
        <is>
          <t>杭州探融投资</t>
        </is>
      </c>
      <c r="E78" t="inlineStr">
        <is>
          <t>0-5亿元</t>
        </is>
      </c>
      <c r="G78" t="n">
        <v>50.13</v>
      </c>
      <c r="H78" t="n">
        <v>0.88</v>
      </c>
      <c r="I78" t="inlineStr">
        <is>
          <t>本次公示未见相关记录</t>
        </is>
      </c>
      <c r="J78" t="inlineStr">
        <is>
          <t>协会公示区间</t>
        </is>
      </c>
      <c r="K78" t="inlineStr">
        <is>
          <t>https://gs.amac.org.cn/amac-infodisc/res/pof/manager/101000049159.html</t>
        </is>
      </c>
    </row>
    <row r="79">
      <c r="A79" t="n">
        <v>78</v>
      </c>
      <c r="B79" t="inlineStr">
        <is>
          <t>金麦穗卓诚一号</t>
        </is>
      </c>
      <c r="C79" t="inlineStr">
        <is>
          <t>SXU186</t>
        </is>
      </c>
      <c r="D79" t="inlineStr">
        <is>
          <t>山东金麦穗</t>
        </is>
      </c>
      <c r="E79" t="inlineStr">
        <is>
          <t>0-5亿元</t>
        </is>
      </c>
      <c r="F79" t="n">
        <v>50.02643</v>
      </c>
      <c r="G79" t="n">
        <v>50.03</v>
      </c>
      <c r="H79" t="n">
        <v>1</v>
      </c>
      <c r="I79" t="inlineStr">
        <is>
          <t>本次公示未见相关记录</t>
        </is>
      </c>
      <c r="J79" t="inlineStr">
        <is>
          <t>协会公示区间</t>
        </is>
      </c>
      <c r="K79" t="inlineStr">
        <is>
          <t>https://gs.amac.org.cn/amac-infodisc/res/pof/manager/101000032909.html</t>
        </is>
      </c>
    </row>
    <row r="80">
      <c r="A80" t="n">
        <v>79</v>
      </c>
      <c r="B80" t="inlineStr">
        <is>
          <t>福邑共赢一号</t>
        </is>
      </c>
      <c r="C80" t="inlineStr">
        <is>
          <t>SSB040</t>
        </is>
      </c>
      <c r="D80" t="inlineStr">
        <is>
          <t>上海福邑</t>
        </is>
      </c>
      <c r="E80" t="inlineStr">
        <is>
          <t>0-5亿元</t>
        </is>
      </c>
      <c r="G80" t="n">
        <v>49.7</v>
      </c>
      <c r="H80" t="n">
        <v>0.88</v>
      </c>
      <c r="I80" t="inlineStr">
        <is>
          <t>协会提示／报送异常</t>
        </is>
      </c>
      <c r="J80" t="inlineStr">
        <is>
          <t>协会公示区间</t>
        </is>
      </c>
      <c r="K80" t="inlineStr">
        <is>
          <t>https://gs.amac.org.cn/amac-infodisc/res/pof/manager/1710271949105945.html</t>
        </is>
      </c>
    </row>
    <row r="81">
      <c r="A81" t="n">
        <v>80</v>
      </c>
      <c r="B81" t="inlineStr">
        <is>
          <t>鑫翰启明贵金属套利1号</t>
        </is>
      </c>
      <c r="C81" t="inlineStr">
        <is>
          <t>SAME58</t>
        </is>
      </c>
      <c r="D81" t="inlineStr">
        <is>
          <t>北京鑫翰资管</t>
        </is>
      </c>
      <c r="E81" t="inlineStr">
        <is>
          <t>0-5亿元</t>
        </is>
      </c>
      <c r="G81" t="n">
        <v>48.67</v>
      </c>
      <c r="H81" t="n">
        <v>0.7</v>
      </c>
      <c r="I81" t="inlineStr">
        <is>
          <t>本次公示未见相关记录</t>
        </is>
      </c>
      <c r="J81" t="inlineStr">
        <is>
          <t>协会公示区间</t>
        </is>
      </c>
      <c r="K81" t="inlineStr">
        <is>
          <t>https://gs.amac.org.cn/amac-infodisc/res/pof/manager/1906200947105473.html</t>
        </is>
      </c>
    </row>
    <row r="82">
      <c r="A82" t="n">
        <v>81</v>
      </c>
      <c r="B82" t="inlineStr">
        <is>
          <t>岳皋泰山核心一号</t>
        </is>
      </c>
      <c r="C82" t="inlineStr">
        <is>
          <t>SSH674</t>
        </is>
      </c>
      <c r="D82" t="inlineStr">
        <is>
          <t>上海岳皋投资</t>
        </is>
      </c>
      <c r="E82" t="inlineStr">
        <is>
          <t>0-5亿元</t>
        </is>
      </c>
      <c r="F82" t="n">
        <v>48.57044</v>
      </c>
      <c r="G82" t="n">
        <v>48.57</v>
      </c>
      <c r="H82" t="n">
        <v>1</v>
      </c>
      <c r="I82" t="inlineStr">
        <is>
          <t>本次公示未见相关记录</t>
        </is>
      </c>
      <c r="J82" t="inlineStr">
        <is>
          <t>协会公示区间</t>
        </is>
      </c>
      <c r="K82" t="inlineStr">
        <is>
          <t>https://gs.amac.org.cn/amac-infodisc/res/pof/manager/1812180906104012.html</t>
        </is>
      </c>
    </row>
    <row r="83">
      <c r="A83" t="n">
        <v>82</v>
      </c>
      <c r="B83" t="inlineStr">
        <is>
          <t>银瓴汇金6号</t>
        </is>
      </c>
      <c r="C83" t="inlineStr">
        <is>
          <t>SSN446</t>
        </is>
      </c>
      <c r="D83" t="inlineStr">
        <is>
          <t>广西银瓴资产</t>
        </is>
      </c>
      <c r="E83" t="inlineStr">
        <is>
          <t>0-5亿元</t>
        </is>
      </c>
      <c r="G83" t="n">
        <v>47.69</v>
      </c>
      <c r="H83" t="n">
        <v>0.88</v>
      </c>
      <c r="I83" t="inlineStr">
        <is>
          <t>本次公示未见相关记录</t>
        </is>
      </c>
      <c r="J83" t="inlineStr">
        <is>
          <t>协会公示区间</t>
        </is>
      </c>
      <c r="K83" t="inlineStr">
        <is>
          <t>https://gs.amac.org.cn/amac-infodisc/res/pof/manager/101000035485.html</t>
        </is>
      </c>
    </row>
    <row r="84">
      <c r="A84" t="n">
        <v>83</v>
      </c>
      <c r="B84" t="inlineStr">
        <is>
          <t>哈福尊享一号</t>
        </is>
      </c>
      <c r="C84" t="inlineStr">
        <is>
          <t>ST3922</t>
        </is>
      </c>
      <c r="D84" t="inlineStr">
        <is>
          <t>哈福基金</t>
        </is>
      </c>
      <c r="E84" t="inlineStr">
        <is>
          <t>0-5亿元</t>
        </is>
      </c>
      <c r="F84" t="n">
        <v>46.92792</v>
      </c>
      <c r="G84" t="n">
        <v>46.93</v>
      </c>
      <c r="H84" t="n">
        <v>1</v>
      </c>
      <c r="I84" t="inlineStr">
        <is>
          <t>本次公示未见相关记录</t>
        </is>
      </c>
      <c r="J84" t="inlineStr">
        <is>
          <t>协会公示区间</t>
        </is>
      </c>
      <c r="K84" t="inlineStr">
        <is>
          <t>https://gs.amac.org.cn/amac-infodisc/res/pof/manager/101000010078.html</t>
        </is>
      </c>
    </row>
    <row r="85">
      <c r="A85" t="n">
        <v>84</v>
      </c>
      <c r="B85" t="inlineStr">
        <is>
          <t>融相慎远一号</t>
        </is>
      </c>
      <c r="C85" t="inlineStr">
        <is>
          <t>SVK536</t>
        </is>
      </c>
      <c r="D85" t="inlineStr">
        <is>
          <t>海南融相</t>
        </is>
      </c>
      <c r="E85" t="inlineStr">
        <is>
          <t>0-5亿元</t>
        </is>
      </c>
      <c r="F85" t="n">
        <v>46.68447</v>
      </c>
      <c r="G85" t="n">
        <v>46.68</v>
      </c>
      <c r="H85" t="n">
        <v>1</v>
      </c>
      <c r="I85" t="inlineStr">
        <is>
          <t>协会提示／报送异常</t>
        </is>
      </c>
      <c r="J85" t="inlineStr">
        <is>
          <t>协会公示区间</t>
        </is>
      </c>
      <c r="K85" t="inlineStr">
        <is>
          <t>https://gs.amac.org.cn/amac-infodisc/res/pof/manager/2111241451102645.html</t>
        </is>
      </c>
    </row>
    <row r="86">
      <c r="A86" t="n">
        <v>85</v>
      </c>
      <c r="B86" t="inlineStr">
        <is>
          <t>鑫翰启明贵金属套利1号B类</t>
        </is>
      </c>
      <c r="C86" t="inlineStr">
        <is>
          <t>AME58B</t>
        </is>
      </c>
      <c r="D86" t="inlineStr">
        <is>
          <t>北京鑫翰资管</t>
        </is>
      </c>
      <c r="E86" t="inlineStr">
        <is>
          <t>0-5亿元</t>
        </is>
      </c>
      <c r="G86" t="n">
        <v>45.46</v>
      </c>
      <c r="H86" t="n">
        <v>0.655</v>
      </c>
      <c r="I86" t="inlineStr">
        <is>
          <t>本次公示未见相关记录</t>
        </is>
      </c>
      <c r="J86" t="inlineStr">
        <is>
          <t>协会公示区间</t>
        </is>
      </c>
      <c r="K86" t="inlineStr">
        <is>
          <t>https://gs.amac.org.cn/amac-infodisc/res/pof/manager/1906200947105473.html</t>
        </is>
      </c>
    </row>
    <row r="87">
      <c r="A87" t="n">
        <v>86</v>
      </c>
      <c r="B87" t="inlineStr">
        <is>
          <t>珺墀价值投资甄选系列</t>
        </is>
      </c>
      <c r="C87" t="inlineStr">
        <is>
          <t>SD8791</t>
        </is>
      </c>
      <c r="D87" t="inlineStr">
        <is>
          <t>上海珺墀资管</t>
        </is>
      </c>
      <c r="E87" t="inlineStr">
        <is>
          <t>0-5亿元</t>
        </is>
      </c>
      <c r="F87" t="n">
        <v>45.26864</v>
      </c>
      <c r="G87" t="n">
        <v>45.27</v>
      </c>
      <c r="H87" t="n">
        <v>1</v>
      </c>
      <c r="I87" t="inlineStr">
        <is>
          <t>协会提示／报送异常</t>
        </is>
      </c>
      <c r="J87" t="inlineStr">
        <is>
          <t>协会公示区间</t>
        </is>
      </c>
      <c r="K87" t="inlineStr">
        <is>
          <t>https://gs.amac.org.cn/amac-infodisc/res/pof/manager/101000026339.html</t>
        </is>
      </c>
    </row>
    <row r="88">
      <c r="A88" t="n">
        <v>87</v>
      </c>
      <c r="B88" t="inlineStr">
        <is>
          <t>尊嘉金润1号</t>
        </is>
      </c>
      <c r="C88" t="inlineStr">
        <is>
          <t>SXM526</t>
        </is>
      </c>
      <c r="D88" t="inlineStr">
        <is>
          <t>北京尊嘉资管</t>
        </is>
      </c>
      <c r="E88" t="inlineStr">
        <is>
          <t>0-5亿元</t>
        </is>
      </c>
      <c r="F88" t="n">
        <v>44.77433</v>
      </c>
      <c r="G88" t="n">
        <v>44.77</v>
      </c>
      <c r="H88" t="n">
        <v>1</v>
      </c>
      <c r="I88" t="inlineStr">
        <is>
          <t>本次公示未见相关记录</t>
        </is>
      </c>
      <c r="J88" t="inlineStr">
        <is>
          <t>协会公示区间</t>
        </is>
      </c>
      <c r="K88" t="inlineStr">
        <is>
          <t>https://gs.amac.org.cn/amac-infodisc/res/pof/manager/101000000661.html</t>
        </is>
      </c>
    </row>
    <row r="89">
      <c r="A89" t="n">
        <v>88</v>
      </c>
      <c r="B89" t="inlineStr">
        <is>
          <t>泓倍商品相对价值1号A类</t>
        </is>
      </c>
      <c r="C89" t="inlineStr">
        <is>
          <t>CU913A</t>
        </is>
      </c>
      <c r="D89" t="inlineStr">
        <is>
          <t>上海泓倍投资</t>
        </is>
      </c>
      <c r="E89" t="inlineStr">
        <is>
          <t>0-5亿元</t>
        </is>
      </c>
      <c r="G89" t="n">
        <v>43.71</v>
      </c>
      <c r="H89" t="n">
        <v>0.955</v>
      </c>
      <c r="I89" t="inlineStr">
        <is>
          <t>协会提示／报送异常</t>
        </is>
      </c>
      <c r="J89" t="inlineStr">
        <is>
          <t>协会公示区间</t>
        </is>
      </c>
      <c r="K89" t="inlineStr">
        <is>
          <t>https://gs.amac.org.cn/amac-infodisc/res/pof/manager/101000004914.html</t>
        </is>
      </c>
    </row>
    <row r="90">
      <c r="A90" t="n">
        <v>89</v>
      </c>
      <c r="B90" t="inlineStr">
        <is>
          <t>岳皋泰山核心一号B类</t>
        </is>
      </c>
      <c r="C90" t="inlineStr">
        <is>
          <t>SH674B</t>
        </is>
      </c>
      <c r="D90" t="inlineStr">
        <is>
          <t>上海岳皋投资</t>
        </is>
      </c>
      <c r="E90" t="inlineStr">
        <is>
          <t>0-5亿元</t>
        </is>
      </c>
      <c r="G90" t="n">
        <v>43.23</v>
      </c>
      <c r="H90" t="n">
        <v>0.955</v>
      </c>
      <c r="I90" t="inlineStr">
        <is>
          <t>本次公示未见相关记录</t>
        </is>
      </c>
      <c r="J90" t="inlineStr">
        <is>
          <t>协会公示区间</t>
        </is>
      </c>
      <c r="K90" t="inlineStr">
        <is>
          <t>https://gs.amac.org.cn/amac-infodisc/res/pof/manager/1812180906104012.html</t>
        </is>
      </c>
    </row>
    <row r="91">
      <c r="A91" t="n">
        <v>90</v>
      </c>
      <c r="B91" t="inlineStr">
        <is>
          <t>新视野智能量化2号</t>
        </is>
      </c>
      <c r="C91" t="inlineStr">
        <is>
          <t>SR2759</t>
        </is>
      </c>
      <c r="D91" t="inlineStr">
        <is>
          <t>杭州探融投资</t>
        </is>
      </c>
      <c r="E91" t="inlineStr">
        <is>
          <t>0-5亿元</t>
        </is>
      </c>
      <c r="F91" t="n">
        <v>41.60137</v>
      </c>
      <c r="G91" t="n">
        <v>41.6</v>
      </c>
      <c r="H91" t="n">
        <v>1</v>
      </c>
      <c r="I91" t="inlineStr">
        <is>
          <t>本次公示未见相关记录</t>
        </is>
      </c>
      <c r="J91" t="inlineStr">
        <is>
          <t>协会公示区间</t>
        </is>
      </c>
      <c r="K91" t="inlineStr">
        <is>
          <t>https://gs.amac.org.cn/amac-infodisc/res/pof/manager/101000049159.html</t>
        </is>
      </c>
    </row>
    <row r="92">
      <c r="A92" t="n">
        <v>91</v>
      </c>
      <c r="B92" t="inlineStr">
        <is>
          <t>银瓴运通稳健1号五期</t>
        </is>
      </c>
      <c r="C92" t="inlineStr">
        <is>
          <t>SNW762</t>
        </is>
      </c>
      <c r="D92" t="inlineStr">
        <is>
          <t>广西银瓴资产</t>
        </is>
      </c>
      <c r="E92" t="inlineStr">
        <is>
          <t>0-5亿元</t>
        </is>
      </c>
      <c r="G92" t="n">
        <v>41.5</v>
      </c>
      <c r="H92" t="n">
        <v>0.88</v>
      </c>
      <c r="I92" t="inlineStr">
        <is>
          <t>本次公示未见相关记录</t>
        </is>
      </c>
      <c r="J92" t="inlineStr">
        <is>
          <t>协会公示区间</t>
        </is>
      </c>
      <c r="K92" t="inlineStr">
        <is>
          <t>https://gs.amac.org.cn/amac-infodisc/res/pof/manager/101000035485.html</t>
        </is>
      </c>
    </row>
    <row r="93">
      <c r="A93" t="n">
        <v>92</v>
      </c>
      <c r="B93" t="inlineStr">
        <is>
          <t>银瓴运通对冲套利进取2号二期</t>
        </is>
      </c>
      <c r="C93" t="inlineStr">
        <is>
          <t>SQZ278</t>
        </is>
      </c>
      <c r="D93" t="inlineStr">
        <is>
          <t>广西银瓴资产</t>
        </is>
      </c>
      <c r="E93" t="inlineStr">
        <is>
          <t>0-5亿元</t>
        </is>
      </c>
      <c r="F93" t="n">
        <v>41.30017</v>
      </c>
      <c r="G93" t="n">
        <v>41.3</v>
      </c>
      <c r="H93" t="n">
        <v>1</v>
      </c>
      <c r="I93" t="inlineStr">
        <is>
          <t>本次公示未见相关记录</t>
        </is>
      </c>
      <c r="J93" t="inlineStr">
        <is>
          <t>协会公示区间</t>
        </is>
      </c>
      <c r="K93" t="inlineStr">
        <is>
          <t>https://gs.amac.org.cn/amac-infodisc/res/pof/manager/101000035485.html</t>
        </is>
      </c>
    </row>
    <row r="94">
      <c r="A94" t="n">
        <v>93</v>
      </c>
      <c r="B94" t="inlineStr">
        <is>
          <t>冲和稳健增长一号</t>
        </is>
      </c>
      <c r="C94" t="inlineStr">
        <is>
          <t>SEW918</t>
        </is>
      </c>
      <c r="D94" t="inlineStr">
        <is>
          <t>北京冲和资管</t>
        </is>
      </c>
      <c r="E94" t="inlineStr">
        <is>
          <t>0-5亿元</t>
        </is>
      </c>
      <c r="F94" t="n">
        <v>41.21469</v>
      </c>
      <c r="G94" t="n">
        <v>41.21</v>
      </c>
      <c r="H94" t="n">
        <v>1</v>
      </c>
      <c r="I94" t="inlineStr">
        <is>
          <t>协会提示／报送异常</t>
        </is>
      </c>
      <c r="J94" t="inlineStr">
        <is>
          <t>协会公示区间</t>
        </is>
      </c>
      <c r="K94" t="inlineStr">
        <is>
          <t>https://gs.amac.org.cn/amac-infodisc/res/pof/manager/101000038139.html</t>
        </is>
      </c>
    </row>
    <row r="95">
      <c r="A95" t="n">
        <v>94</v>
      </c>
      <c r="B95" t="inlineStr">
        <is>
          <t>龙智五福</t>
        </is>
      </c>
      <c r="C95" t="inlineStr">
        <is>
          <t>SAZX46</t>
        </is>
      </c>
      <c r="D95" t="inlineStr">
        <is>
          <t>广州龙智投资</t>
        </is>
      </c>
      <c r="E95" t="inlineStr">
        <is>
          <t>0-5亿元</t>
        </is>
      </c>
      <c r="G95" t="n">
        <v>41.12</v>
      </c>
      <c r="H95" t="n">
        <v>0.724</v>
      </c>
      <c r="I95" t="inlineStr">
        <is>
          <t>协会提示／报送异常</t>
        </is>
      </c>
      <c r="J95" t="inlineStr">
        <is>
          <t>协会公示区间</t>
        </is>
      </c>
      <c r="K95" t="inlineStr">
        <is>
          <t>https://gs.amac.org.cn/amac-infodisc/res/pof/manager/1704141230109314.html</t>
        </is>
      </c>
    </row>
    <row r="96">
      <c r="A96" t="n">
        <v>95</v>
      </c>
      <c r="B96" t="inlineStr">
        <is>
          <t>鑫泰禾安赢1号</t>
        </is>
      </c>
      <c r="C96" t="inlineStr">
        <is>
          <t>SAQB15</t>
        </is>
      </c>
      <c r="D96" t="inlineStr">
        <is>
          <t>深圳鑫泰禾</t>
        </is>
      </c>
      <c r="E96" t="inlineStr">
        <is>
          <t>0-5亿元</t>
        </is>
      </c>
      <c r="G96" t="n">
        <v>40.43</v>
      </c>
      <c r="H96" t="n">
        <v>0.7</v>
      </c>
      <c r="I96" t="inlineStr">
        <is>
          <t>协会提示／报送异常</t>
        </is>
      </c>
      <c r="J96" t="inlineStr">
        <is>
          <t>协会公示区间</t>
        </is>
      </c>
      <c r="K96" t="inlineStr">
        <is>
          <t>https://gs.amac.org.cn/amac-infodisc/res/pof/manager/101000041857.html</t>
        </is>
      </c>
    </row>
    <row r="97">
      <c r="A97" t="n">
        <v>96</v>
      </c>
      <c r="B97" t="inlineStr">
        <is>
          <t>博时资本荣享增利1号</t>
        </is>
      </c>
      <c r="C97" t="inlineStr">
        <is>
          <t>SAXY28</t>
        </is>
      </c>
      <c r="D97" t="inlineStr">
        <is>
          <t>博时资本</t>
        </is>
      </c>
      <c r="E97" t="inlineStr">
        <is>
          <t>0-5亿元</t>
        </is>
      </c>
      <c r="G97" t="n">
        <v>39.92</v>
      </c>
      <c r="H97" t="n">
        <v>0.679</v>
      </c>
      <c r="I97" t="inlineStr">
        <is>
          <t>协会提示／报送异常</t>
        </is>
      </c>
      <c r="J97" t="inlineStr">
        <is>
          <t>协会公示区间</t>
        </is>
      </c>
      <c r="K97" t="inlineStr">
        <is>
          <t>https://gs.amac.org.cn/amac-infodisc/res/pof/manager/101000031397.html</t>
        </is>
      </c>
    </row>
    <row r="98">
      <c r="A98" t="n">
        <v>97</v>
      </c>
      <c r="B98" t="inlineStr">
        <is>
          <t>银杏善投1号</t>
        </is>
      </c>
      <c r="C98" t="inlineStr">
        <is>
          <t>STK219</t>
        </is>
      </c>
      <c r="D98" t="inlineStr">
        <is>
          <t>上海银杏</t>
        </is>
      </c>
      <c r="E98" t="inlineStr">
        <is>
          <t>0-5亿元</t>
        </is>
      </c>
      <c r="G98" t="n">
        <v>39.72</v>
      </c>
      <c r="H98" t="n">
        <v>0.88</v>
      </c>
      <c r="I98" t="inlineStr">
        <is>
          <t>本次公示未见相关记录</t>
        </is>
      </c>
      <c r="J98" t="inlineStr">
        <is>
          <t>协会公示区间</t>
        </is>
      </c>
      <c r="K98" t="inlineStr">
        <is>
          <t>https://gs.amac.org.cn/amac-infodisc/res/pof/manager/2105100905108445.html</t>
        </is>
      </c>
    </row>
    <row r="99">
      <c r="A99" t="n">
        <v>98</v>
      </c>
      <c r="B99" t="inlineStr">
        <is>
          <t>利恩华龙股票进取一号</t>
        </is>
      </c>
      <c r="C99" t="inlineStr">
        <is>
          <t>SALW01</t>
        </is>
      </c>
      <c r="D99" t="inlineStr">
        <is>
          <t>上海利恩</t>
        </is>
      </c>
      <c r="E99" t="inlineStr">
        <is>
          <t>0-5亿元</t>
        </is>
      </c>
      <c r="G99" t="n">
        <v>38.95</v>
      </c>
      <c r="H99" t="n">
        <v>0.7</v>
      </c>
      <c r="I99" t="inlineStr">
        <is>
          <t>协会提示／报送异常</t>
        </is>
      </c>
      <c r="J99" t="inlineStr">
        <is>
          <t>协会公示区间</t>
        </is>
      </c>
      <c r="K99" t="inlineStr">
        <is>
          <t>https://gs.amac.org.cn/amac-infodisc/res/pof/manager/101000031741.html</t>
        </is>
      </c>
    </row>
    <row r="100">
      <c r="A100" t="n">
        <v>99</v>
      </c>
      <c r="B100" t="inlineStr">
        <is>
          <t>瑞桐悠光一号</t>
        </is>
      </c>
      <c r="C100" t="inlineStr">
        <is>
          <t>SBBL04</t>
        </is>
      </c>
      <c r="D100" t="inlineStr">
        <is>
          <t>杭州瑞桐</t>
        </is>
      </c>
      <c r="E100" t="inlineStr">
        <is>
          <t>0-5亿元</t>
        </is>
      </c>
      <c r="G100" t="n">
        <v>37.86</v>
      </c>
      <c r="H100" t="n">
        <v>0.724</v>
      </c>
      <c r="I100" t="inlineStr">
        <is>
          <t>本次公示未见相关记录</t>
        </is>
      </c>
      <c r="J100" t="inlineStr">
        <is>
          <t>协会公示区间</t>
        </is>
      </c>
      <c r="K100" t="inlineStr">
        <is>
          <t>https://gs.amac.org.cn/amac-infodisc/res/pof/manager/1807030904107580.html</t>
        </is>
      </c>
    </row>
    <row r="101">
      <c r="A101" t="n">
        <v>100</v>
      </c>
      <c r="B101" t="inlineStr">
        <is>
          <t>中安鼎盛善行可转债1号</t>
        </is>
      </c>
      <c r="C101" t="inlineStr">
        <is>
          <t>STH005</t>
        </is>
      </c>
      <c r="D101" t="inlineStr">
        <is>
          <t>深圳中安鼎盛</t>
        </is>
      </c>
      <c r="E101" t="inlineStr">
        <is>
          <t>0-5亿元</t>
        </is>
      </c>
      <c r="F101" t="n">
        <v>35.99516</v>
      </c>
      <c r="G101" t="n">
        <v>36</v>
      </c>
      <c r="H101" t="n">
        <v>1</v>
      </c>
      <c r="I101" t="inlineStr">
        <is>
          <t>本次公示未见相关记录</t>
        </is>
      </c>
      <c r="J101" t="inlineStr">
        <is>
          <t>协会公示区间</t>
        </is>
      </c>
      <c r="K101" t="inlineStr">
        <is>
          <t>https://gs.amac.org.cn/amac-infodisc/res/pof/manager/1807021606107284.html</t>
        </is>
      </c>
    </row>
    <row r="102">
      <c r="A102" t="n">
        <v>101</v>
      </c>
      <c r="B102" t="inlineStr">
        <is>
          <t>鸿熵天然1号A类</t>
        </is>
      </c>
      <c r="C102" t="inlineStr">
        <is>
          <t>XU720A</t>
        </is>
      </c>
      <c r="D102" t="inlineStr">
        <is>
          <t>北京鸿熵</t>
        </is>
      </c>
      <c r="E102" t="inlineStr">
        <is>
          <t>0-5亿元</t>
        </is>
      </c>
      <c r="G102" t="n">
        <v>35.39</v>
      </c>
      <c r="H102" t="n">
        <v>0.955</v>
      </c>
      <c r="I102" t="inlineStr">
        <is>
          <t>本次公示未见相关记录</t>
        </is>
      </c>
      <c r="J102" t="inlineStr">
        <is>
          <t>协会公示区间</t>
        </is>
      </c>
      <c r="K102" t="inlineStr">
        <is>
          <t>https://gs.amac.org.cn/amac-infodisc/res/pof/manager/101000011345.html</t>
        </is>
      </c>
    </row>
    <row r="103">
      <c r="A103" t="n">
        <v>102</v>
      </c>
      <c r="B103" t="inlineStr">
        <is>
          <t>银瓴运通致远3号五期</t>
        </is>
      </c>
      <c r="C103" t="inlineStr">
        <is>
          <t>SXF666</t>
        </is>
      </c>
      <c r="D103" t="inlineStr">
        <is>
          <t>广西银瓴资产</t>
        </is>
      </c>
      <c r="E103" t="inlineStr">
        <is>
          <t>0-5亿元</t>
        </is>
      </c>
      <c r="F103" t="n">
        <v>34.58978</v>
      </c>
      <c r="G103" t="n">
        <v>34.59</v>
      </c>
      <c r="H103" t="n">
        <v>1</v>
      </c>
      <c r="I103" t="inlineStr">
        <is>
          <t>本次公示未见相关记录</t>
        </is>
      </c>
      <c r="J103" t="inlineStr">
        <is>
          <t>协会公示区间</t>
        </is>
      </c>
      <c r="K103" t="inlineStr">
        <is>
          <t>https://gs.amac.org.cn/amac-infodisc/res/pof/manager/101000035485.html</t>
        </is>
      </c>
    </row>
    <row r="104">
      <c r="A104" t="n">
        <v>103</v>
      </c>
      <c r="B104" t="inlineStr">
        <is>
          <t>银瓴汇金1号</t>
        </is>
      </c>
      <c r="C104" t="inlineStr">
        <is>
          <t>SZP369</t>
        </is>
      </c>
      <c r="D104" t="inlineStr">
        <is>
          <t>广西银瓴资产</t>
        </is>
      </c>
      <c r="E104" t="inlineStr">
        <is>
          <t>0-5亿元</t>
        </is>
      </c>
      <c r="F104" t="n">
        <v>33.87014</v>
      </c>
      <c r="G104" t="n">
        <v>33.87</v>
      </c>
      <c r="H104" t="n">
        <v>1</v>
      </c>
      <c r="I104" t="inlineStr">
        <is>
          <t>本次公示未见相关记录</t>
        </is>
      </c>
      <c r="J104" t="inlineStr">
        <is>
          <t>协会公示区间</t>
        </is>
      </c>
      <c r="K104" t="inlineStr">
        <is>
          <t>https://gs.amac.org.cn/amac-infodisc/res/pof/manager/101000035485.html</t>
        </is>
      </c>
    </row>
    <row r="105">
      <c r="A105" t="n">
        <v>104</v>
      </c>
      <c r="B105" t="inlineStr">
        <is>
          <t>衍舟弄潮2号</t>
        </is>
      </c>
      <c r="C105" t="inlineStr">
        <is>
          <t>SZG044</t>
        </is>
      </c>
      <c r="D105" t="inlineStr">
        <is>
          <t>海南衍舟</t>
        </is>
      </c>
      <c r="E105" t="inlineStr">
        <is>
          <t>0-5亿元</t>
        </is>
      </c>
      <c r="F105" t="n">
        <v>33.71589</v>
      </c>
      <c r="G105" t="n">
        <v>33.72</v>
      </c>
      <c r="H105" t="n">
        <v>1</v>
      </c>
      <c r="I105" t="inlineStr">
        <is>
          <t>协会提示／报送异常</t>
        </is>
      </c>
      <c r="J105" t="inlineStr">
        <is>
          <t>协会公示区间</t>
        </is>
      </c>
      <c r="K105" t="inlineStr">
        <is>
          <t>https://gs.amac.org.cn/amac-infodisc/res/pof/manager/2203211010108428.html</t>
        </is>
      </c>
    </row>
    <row r="106">
      <c r="A106" t="n">
        <v>105</v>
      </c>
      <c r="B106" t="inlineStr">
        <is>
          <t>银瓴汇金3号</t>
        </is>
      </c>
      <c r="C106" t="inlineStr">
        <is>
          <t>S03979</t>
        </is>
      </c>
      <c r="D106" t="inlineStr">
        <is>
          <t>广西银瓴资产</t>
        </is>
      </c>
      <c r="E106" t="inlineStr">
        <is>
          <t>0-5亿元</t>
        </is>
      </c>
      <c r="G106" t="n">
        <v>31.69</v>
      </c>
      <c r="H106" t="n">
        <v>0.88</v>
      </c>
      <c r="I106" t="inlineStr">
        <is>
          <t>本次公示未见相关记录</t>
        </is>
      </c>
      <c r="J106" t="inlineStr">
        <is>
          <t>协会公示区间</t>
        </is>
      </c>
      <c r="K106" t="inlineStr">
        <is>
          <t>https://gs.amac.org.cn/amac-infodisc/res/pof/manager/101000035485.html</t>
        </is>
      </c>
    </row>
    <row r="107">
      <c r="A107" t="n">
        <v>106</v>
      </c>
      <c r="B107" t="inlineStr">
        <is>
          <t>厦门言起博士一号</t>
        </is>
      </c>
      <c r="C107" t="inlineStr">
        <is>
          <t>SJR679</t>
        </is>
      </c>
      <c r="D107" t="inlineStr">
        <is>
          <t>厦门言起投资</t>
        </is>
      </c>
      <c r="E107" t="inlineStr">
        <is>
          <t>0-5亿元</t>
        </is>
      </c>
      <c r="G107" t="n">
        <v>30.72</v>
      </c>
      <c r="H107" t="n">
        <v>0.88</v>
      </c>
      <c r="I107" t="inlineStr">
        <is>
          <t>协会提示／报送异常</t>
        </is>
      </c>
      <c r="J107" t="inlineStr">
        <is>
          <t>协会公示区间</t>
        </is>
      </c>
      <c r="K107" t="inlineStr">
        <is>
          <t>https://gs.amac.org.cn/amac-infodisc/res/pof/manager/101000049573.html</t>
        </is>
      </c>
    </row>
    <row r="108">
      <c r="A108" t="n">
        <v>107</v>
      </c>
      <c r="B108" t="inlineStr">
        <is>
          <t>银瓴运通对冲套利进取2号</t>
        </is>
      </c>
      <c r="C108" t="inlineStr">
        <is>
          <t>SLC022</t>
        </is>
      </c>
      <c r="D108" t="inlineStr">
        <is>
          <t>广西银瓴资产</t>
        </is>
      </c>
      <c r="E108" t="inlineStr">
        <is>
          <t>0-5亿元</t>
        </is>
      </c>
      <c r="F108" t="n">
        <v>30.53372</v>
      </c>
      <c r="G108" t="n">
        <v>30.53</v>
      </c>
      <c r="H108" t="n">
        <v>1</v>
      </c>
      <c r="I108" t="inlineStr">
        <is>
          <t>本次公示未见相关记录</t>
        </is>
      </c>
      <c r="J108" t="inlineStr">
        <is>
          <t>协会公示区间</t>
        </is>
      </c>
      <c r="K108" t="inlineStr">
        <is>
          <t>https://gs.amac.org.cn/amac-infodisc/res/pof/manager/101000035485.html</t>
        </is>
      </c>
    </row>
    <row r="109">
      <c r="A109" t="n">
        <v>108</v>
      </c>
      <c r="B109" t="inlineStr">
        <is>
          <t>银瓴运通对冲套利致远3号</t>
        </is>
      </c>
      <c r="C109" t="inlineStr">
        <is>
          <t>SLC023</t>
        </is>
      </c>
      <c r="D109" t="inlineStr">
        <is>
          <t>广西银瓴资产</t>
        </is>
      </c>
      <c r="E109" t="inlineStr">
        <is>
          <t>0-5亿元</t>
        </is>
      </c>
      <c r="F109" t="n">
        <v>29.54329</v>
      </c>
      <c r="G109" t="n">
        <v>29.54</v>
      </c>
      <c r="H109" t="n">
        <v>1</v>
      </c>
      <c r="I109" t="inlineStr">
        <is>
          <t>本次公示未见相关记录</t>
        </is>
      </c>
      <c r="J109" t="inlineStr">
        <is>
          <t>协会公示区间</t>
        </is>
      </c>
      <c r="K109" t="inlineStr">
        <is>
          <t>https://gs.amac.org.cn/amac-infodisc/res/pof/manager/101000035485.html</t>
        </is>
      </c>
    </row>
    <row r="110">
      <c r="A110" t="n">
        <v>109</v>
      </c>
      <c r="B110" t="inlineStr">
        <is>
          <t>晟通京华宏观对冲</t>
        </is>
      </c>
      <c r="C110" t="inlineStr">
        <is>
          <t>SNG078</t>
        </is>
      </c>
      <c r="D110" t="inlineStr">
        <is>
          <t>深圳前海晟通资管</t>
        </is>
      </c>
      <c r="E110" t="inlineStr">
        <is>
          <t>0-5亿元</t>
        </is>
      </c>
      <c r="F110" t="n">
        <v>29.30981</v>
      </c>
      <c r="G110" t="n">
        <v>29.31</v>
      </c>
      <c r="H110" t="n">
        <v>1</v>
      </c>
      <c r="I110" t="inlineStr">
        <is>
          <t>本次公示未见相关记录</t>
        </is>
      </c>
      <c r="J110" t="inlineStr">
        <is>
          <t>协会公示区间</t>
        </is>
      </c>
      <c r="K110" t="inlineStr">
        <is>
          <t>https://gs.amac.org.cn/amac-infodisc/res/pof/manager/1703281619108152.html</t>
        </is>
      </c>
    </row>
    <row r="111">
      <c r="A111" t="n">
        <v>110</v>
      </c>
      <c r="B111" t="inlineStr">
        <is>
          <t>言起投资价值成长1号</t>
        </is>
      </c>
      <c r="C111" t="inlineStr">
        <is>
          <t>SZL583</t>
        </is>
      </c>
      <c r="D111" t="inlineStr">
        <is>
          <t>厦门言起投资</t>
        </is>
      </c>
      <c r="E111" t="inlineStr">
        <is>
          <t>0-5亿元</t>
        </is>
      </c>
      <c r="G111" t="n">
        <v>28.37</v>
      </c>
      <c r="H111" t="n">
        <v>0.88</v>
      </c>
      <c r="I111" t="inlineStr">
        <is>
          <t>协会提示／报送异常</t>
        </is>
      </c>
      <c r="J111" t="inlineStr">
        <is>
          <t>协会公示区间</t>
        </is>
      </c>
      <c r="K111" t="inlineStr">
        <is>
          <t>https://gs.amac.org.cn/amac-infodisc/res/pof/manager/101000049573.html</t>
        </is>
      </c>
    </row>
    <row r="112">
      <c r="A112" t="n">
        <v>111</v>
      </c>
      <c r="B112" t="inlineStr">
        <is>
          <t>濡圣橡石2号</t>
        </is>
      </c>
      <c r="C112" t="inlineStr">
        <is>
          <t>SATY96</t>
        </is>
      </c>
      <c r="D112" t="inlineStr">
        <is>
          <t>上海濡圣</t>
        </is>
      </c>
      <c r="E112" t="inlineStr">
        <is>
          <t>0-5亿元</t>
        </is>
      </c>
      <c r="G112" t="n">
        <v>28.26</v>
      </c>
      <c r="H112" t="n">
        <v>0.7</v>
      </c>
      <c r="I112" t="inlineStr">
        <is>
          <t>本次公示未见相关记录</t>
        </is>
      </c>
      <c r="J112" t="inlineStr">
        <is>
          <t>协会公示区间</t>
        </is>
      </c>
      <c r="K112" t="inlineStr">
        <is>
          <t>https://gs.amac.org.cn/amac-infodisc/res/pof/manager/101000050489.html</t>
        </is>
      </c>
    </row>
    <row r="113">
      <c r="A113" t="n">
        <v>112</v>
      </c>
      <c r="B113" t="inlineStr">
        <is>
          <t>银瓴多德价值投资1号</t>
        </is>
      </c>
      <c r="C113" t="inlineStr">
        <is>
          <t>SQV390</t>
        </is>
      </c>
      <c r="D113" t="inlineStr">
        <is>
          <t>广西银瓴资产</t>
        </is>
      </c>
      <c r="E113" t="inlineStr">
        <is>
          <t>0-5亿元</t>
        </is>
      </c>
      <c r="F113" t="n">
        <v>26.50934</v>
      </c>
      <c r="G113" t="n">
        <v>26.51</v>
      </c>
      <c r="H113" t="n">
        <v>1</v>
      </c>
      <c r="I113" t="inlineStr">
        <is>
          <t>本次公示未见相关记录</t>
        </is>
      </c>
      <c r="J113" t="inlineStr">
        <is>
          <t>协会公示区间</t>
        </is>
      </c>
      <c r="K113" t="inlineStr">
        <is>
          <t>https://gs.amac.org.cn/amac-infodisc/res/pof/manager/101000035485.html</t>
        </is>
      </c>
    </row>
    <row r="114">
      <c r="A114" t="n">
        <v>113</v>
      </c>
      <c r="B114" t="inlineStr">
        <is>
          <t>邦阁赤水1号</t>
        </is>
      </c>
      <c r="C114" t="inlineStr">
        <is>
          <t>SAYN63</t>
        </is>
      </c>
      <c r="D114" t="inlineStr">
        <is>
          <t>上海邦阁</t>
        </is>
      </c>
      <c r="E114" t="inlineStr">
        <is>
          <t>0-5亿元</t>
        </is>
      </c>
      <c r="G114" t="n">
        <v>25.57</v>
      </c>
      <c r="H114" t="n">
        <v>0.724</v>
      </c>
      <c r="I114" t="inlineStr">
        <is>
          <t>本次公示未见相关记录</t>
        </is>
      </c>
      <c r="J114" t="inlineStr">
        <is>
          <t>协会公示区间</t>
        </is>
      </c>
      <c r="K114" t="inlineStr">
        <is>
          <t>https://gs.amac.org.cn/amac-infodisc/res/pof/manager/101000026158.html</t>
        </is>
      </c>
    </row>
    <row r="115">
      <c r="A115" t="n">
        <v>114</v>
      </c>
      <c r="B115" t="inlineStr">
        <is>
          <t>银瓴运通对冲套利宝城6号</t>
        </is>
      </c>
      <c r="C115" t="inlineStr">
        <is>
          <t>SQU465</t>
        </is>
      </c>
      <c r="D115" t="inlineStr">
        <is>
          <t>广西银瓴资产</t>
        </is>
      </c>
      <c r="E115" t="inlineStr">
        <is>
          <t>0-5亿元</t>
        </is>
      </c>
      <c r="F115" t="n">
        <v>23.41364</v>
      </c>
      <c r="G115" t="n">
        <v>23.41</v>
      </c>
      <c r="H115" t="n">
        <v>1</v>
      </c>
      <c r="I115" t="inlineStr">
        <is>
          <t>本次公示未见相关记录</t>
        </is>
      </c>
      <c r="J115" t="inlineStr">
        <is>
          <t>协会公示区间</t>
        </is>
      </c>
      <c r="K115" t="inlineStr">
        <is>
          <t>https://gs.amac.org.cn/amac-infodisc/res/pof/manager/101000035485.html</t>
        </is>
      </c>
    </row>
    <row r="116">
      <c r="A116" t="n">
        <v>115</v>
      </c>
      <c r="B116" t="inlineStr">
        <is>
          <t>银瓴鑫源</t>
        </is>
      </c>
      <c r="C116" t="inlineStr">
        <is>
          <t>S04011</t>
        </is>
      </c>
      <c r="D116" t="inlineStr">
        <is>
          <t>广西银瓴资产</t>
        </is>
      </c>
      <c r="E116" t="inlineStr">
        <is>
          <t>0-5亿元</t>
        </is>
      </c>
      <c r="G116" t="n">
        <v>20.23</v>
      </c>
      <c r="H116" t="n">
        <v>0.7</v>
      </c>
      <c r="I116" t="inlineStr">
        <is>
          <t>本次公示未见相关记录</t>
        </is>
      </c>
      <c r="J116" t="inlineStr">
        <is>
          <t>协会公示区间</t>
        </is>
      </c>
      <c r="K116" t="inlineStr">
        <is>
          <t>https://gs.amac.org.cn/amac-infodisc/res/pof/manager/101000035485.html</t>
        </is>
      </c>
    </row>
    <row r="117">
      <c r="A117" t="n">
        <v>116</v>
      </c>
      <c r="B117" t="inlineStr">
        <is>
          <t>数为道策套利一号</t>
        </is>
      </c>
      <c r="C117" t="inlineStr">
        <is>
          <t>SNA956</t>
        </is>
      </c>
      <c r="D117" t="inlineStr">
        <is>
          <t>福州数为</t>
        </is>
      </c>
      <c r="E117" t="inlineStr">
        <is>
          <t>0-5亿元</t>
        </is>
      </c>
      <c r="G117" t="n">
        <v>20.21</v>
      </c>
      <c r="H117" t="n">
        <v>0.88</v>
      </c>
      <c r="I117" t="inlineStr">
        <is>
          <t>本次公示未见相关记录</t>
        </is>
      </c>
      <c r="J117" t="inlineStr">
        <is>
          <t>协会公示区间</t>
        </is>
      </c>
      <c r="K117" t="inlineStr">
        <is>
          <t>https://gs.amac.org.cn/amac-infodisc/res/pof/manager/1705081548107725.html</t>
        </is>
      </c>
    </row>
  </sheetData>
  <autoFilter ref="A1:K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2026-09-07T17:33:00Z</dcterms:created>
  <dcterms:modified xmlns:dcterms="http://purl.org/dc/terms/" xmlns:xsi="http://www.w3.org/2001/XMLSchema-instance" xsi:type="dcterms:W3CDTF">2026-09-15T10:41:54Z</dcterms:modified>
  <cp:lastModifiedBy>社会主义接班人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3735B8F313C24B9FBB007ADA423D94DD_13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