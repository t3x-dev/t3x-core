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78edcb8b5d45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套利产品" sheetId="2" r:id="Rbc842abe387d44a5"/>
    <x:sheet xmlns:r="http://schemas.openxmlformats.org/officeDocument/2006/relationships" name="Sheet1-指标体系" sheetId="3" r:id="R5728b68d29cf4ee3"/>
    <x:sheet xmlns:r="http://schemas.openxmlformats.org/officeDocument/2006/relationships" name="Sheet2-计算明细" sheetId="4" r:id="Rda96ffa4cf194593"/>
    <x:sheet xmlns:r="http://schemas.openxmlformats.org/officeDocument/2006/relationships" name="Sheet3-分类汇总" sheetId="5" r:id="Rcbed05230c7f4418"/>
    <x:sheet xmlns:r="http://schemas.openxmlformats.org/officeDocument/2006/relationships" name="Sheet4-原始数据" sheetId="6" r:id="R5ef9c136cd4940b3"/>
    <x:sheet xmlns:r="http://schemas.openxmlformats.org/officeDocument/2006/relationships" name="Sheet5-查询核对" sheetId="7" r:id="R27f1abc69902436a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<x:sst xmlns:x="http://schemas.openxmlformats.org/spreadsheetml/2006/main">
  <x:si>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</x:si>
  <x:si>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产品ID</x:t>
  </x:si>
  <x:si>
    <x:t xml:space="preserve">产品名称</x:t>
  </x:si>
  <x:si>
    <x:t xml:space="preserve">类型</x:t>
  </x:si>
  <x:si>
    <x:t xml:space="preserve">统一策略类型</x:t>
  </x:si>
  <x:si>
    <x:t xml:space="preserve">是否套利策略</x:t>
  </x:si>
  <x:si>
    <x:t xml:space="preserve">策略判定来源</x:t>
  </x:si>
  <x:si>
    <x:t xml:space="preserve">火富牛策略路径</x:t>
  </x:si>
  <x:si>
    <x:t xml:space="preserve">当前净值</x:t>
  </x:si>
  <x:si>
    <x:t xml:space="preserve">净值日期</x:t>
  </x:si>
  <x:si>
    <x:t xml:space="preserve">净值来源</x:t>
  </x:si>
  <x:si>
    <x:t xml:space="preserve">成立日期</x:t>
  </x:si>
  <x:si>
    <x:t xml:space="preserve">成立以来收益</x:t>
  </x:si>
  <x:si>
    <x:t xml:space="preserve">今年以来收益</x:t>
  </x:si>
  <x:si>
    <x:t xml:space="preserve">成立以来年化</x:t>
  </x:si>
  <x:si>
    <x:t xml:space="preserve">成立以来最大回撤</x:t>
  </x:si>
  <x:si>
    <x:t xml:space="preserve">成立以来夏普</x:t>
  </x:si>
  <x:si>
    <x:t xml:space="preserve">备案编号</x:t>
  </x:si>
  <x:si>
    <x:t xml:space="preserve">私募管理人</x:t>
  </x:si>
  <x:si>
    <x:t xml:space="preserve">历史净值行数</x:t>
  </x:si>
  <x:si>
    <x:t xml:space="preserve">历史起始</x:t>
  </x:si>
  <x:si>
    <x:t xml:space="preserve">历史截止</x:t>
  </x:si>
  <x:si>
    <x:t xml:space="preserve">末条复权净值</x:t>
  </x:si>
  <x:si>
    <x:t xml:space="preserve">跟踪来源</x:t>
  </x:si>
  <x:si>
    <x:t xml:space="preserve">上海分公司策略分类</x:t>
  </x:si>
  <x:si>
    <x:t xml:space="preserve">傲创二级策略</x:t>
  </x:si>
  <x:si>
    <x:t xml:space="preserve">上海来源日期</x:t>
  </x:si>
  <x:si>
    <x:t xml:space="preserve">傲创来源日期</x:t>
  </x:si>
  <x:si>
    <x:t xml:space="preserve">指标来源</x:t>
  </x:si>
  <x:si>
    <x:t xml:space="preserve">数据状态</x:t>
  </x:si>
  <x:si>
    <x:t xml:space="preserve">来源URL</x:t>
  </x:si>
  <x:si>
    <x:t xml:space="preserve">是否上架</x:t>
  </x:si>
  <x:si>
    <x:t xml:space="preserve">8e641c904118560b</x:t>
  </x:si>
  <x:si>
    <x:t xml:space="preserve">爱凡哲九号</x:t>
  </x:si>
  <x:si>
    <x:t xml:space="preserve">私募</x:t>
  </x:si>
  <x:si>
    <x:t xml:space="preserve">套利策略—期货套利</x:t>
  </x:si>
  <x:si>
    <x:t xml:space="preserve">是</x:t>
  </x:si>
  <x:si>
    <x:t xml:space="preserve">火富牛策略分类</x:t>
  </x:si>
  <x:si>
    <x:t xml:space="preserve">套利策略 /期货套利</x:t>
  </x:si>
  <x:si>
    <x:t xml:space="preserve">火富牛产品详情页</x:t>
  </x:si>
  <x:si>
    <x:t xml:space="preserve">SJA112</x:t>
  </x:si>
  <x:si>
    <x:t xml:space="preserve">爱凡哲投资</x:t>
  </x:si>
  <x:si>
    <x:t xml:space="preserve">傲创提供名单</x:t>
  </x:si>
  <x:si>
    <x:t xml:space="preserve">期货套利策略</x:t>
  </x:si>
  <x:si>
    <x:t xml:space="preserve">火富牛完整区间指标；历史净值复算</x:t>
  </x:si>
  <x:si>
    <x:t xml:space="preserve">完整</x:t>
  </x:si>
  <x:si>
    <x:t xml:space="preserve">https://mp.fof99.com/fund/view/8e641c904118560b</x:t>
  </x:si>
  <x:si>
    <x:t xml:space="preserve">未确认</x:t>
  </x:si>
  <x:si>
    <x:t xml:space="preserve">b03271229e00ba58</x:t>
  </x:si>
  <x:si>
    <x:t xml:space="preserve">滨风风云瑞丰1号</x:t>
  </x:si>
  <x:si>
    <x:t xml:space="preserve">管理期货—量化CTA</x:t>
  </x:si>
  <x:si>
    <x:t xml:space="preserve">火富牛策略分类；策略精选跟踪周报</x:t>
  </x:si>
  <x:si>
    <x:t xml:space="preserve">期货策略 /量化期货 /混合均衡</x:t>
  </x:si>
  <x:si>
    <x:t xml:space="preserve">SXL267</x:t>
  </x:si>
  <x:si>
    <x:t xml:space="preserve">鹰潭滨风投资</x:t>
  </x:si>
  <x:si>
    <x:t xml:space="preserve">策略精选跟踪周报</x:t>
  </x:si>
  <x:si>
    <x:t xml:space="preserve">套利策略｜商品+股指套利</x:t>
  </x:si>
  <x:si>
    <x:t xml:space="preserve">火富牛成立以来指标；历史净值复核/复算</x:t>
  </x:si>
  <x:si>
    <x:t xml:space="preserve">https://mp.fof99.com/fund/view/b03271229e00ba58</x:t>
  </x:si>
  <x:si>
    <x:t xml:space="preserve">9b20523c2bad1cdc</x:t>
  </x:si>
  <x:si>
    <x:t xml:space="preserve">博牛转债策略2号</x:t>
  </x:si>
  <x:si>
    <x:t xml:space="preserve">套利策略—可转债套利</x:t>
  </x:si>
  <x:si>
    <x:t xml:space="preserve">套利策略 /可转债套利</x:t>
  </x:si>
  <x:si>
    <x:t xml:space="preserve">SVY871</x:t>
  </x:si>
  <x:si>
    <x:t xml:space="preserve">广州博牛</x:t>
  </x:si>
  <x:si>
    <x:t xml:space="preserve">期权套利策略</x:t>
  </x:si>
  <x:si>
    <x:t xml:space="preserve">火富牛成立以来指标</x:t>
  </x:si>
  <x:si>
    <x:t xml:space="preserve">https://mp.fof99.com/fund/view/9b20523c2bad1cdc</x:t>
  </x:si>
  <x:si>
    <x:t xml:space="preserve">783b8a029943d82b</x:t>
  </x:si>
  <x:si>
    <x:t xml:space="preserve">博润小牛3号</x:t>
  </x:si>
  <x:si>
    <x:t xml:space="preserve">套利策略—基金套利</x:t>
  </x:si>
  <x:si>
    <x:t xml:space="preserve">套利策略 /基金套利 /ETF套利</x:t>
  </x:si>
  <x:si>
    <x:t xml:space="preserve">STV728</x:t>
  </x:si>
  <x:si>
    <x:t xml:space="preserve">北京博润银泰投资</x:t>
  </x:si>
  <x:si>
    <x:t xml:space="preserve">基金套利策略</x:t>
  </x:si>
  <x:si>
    <x:t xml:space="preserve">https://mp.fof99.com/fund/view/783b8a029943d82b</x:t>
  </x:si>
  <x:si>
    <x:t xml:space="preserve">66f7dd55b7f90b97</x:t>
  </x:si>
  <x:si>
    <x:t xml:space="preserve">博润易量稳健1号</x:t>
  </x:si>
  <x:si>
    <x:t xml:space="preserve">SXL913</x:t>
  </x:si>
  <x:si>
    <x:t xml:space="preserve">上海分公司白名单</x:t>
  </x:si>
  <x:si>
    <x:t xml:space="preserve">期货套利（混合套利）；期货套利（跨期套利）；量化期货（中高频&amp;另类）</x:t>
  </x:si>
  <x:si>
    <x:t xml:space="preserve">https://mp.fof99.com/fund/view/66f7dd55b7f90b97</x:t>
  </x:si>
  <x:si>
    <x:t xml:space="preserve">068bcb639f441262</x:t>
  </x:si>
  <x:si>
    <x:t xml:space="preserve">博弈树金选套利2号</x:t>
  </x:si>
  <x:si>
    <x:t xml:space="preserve">SXR086</x:t>
  </x:si>
  <x:si>
    <x:t xml:space="preserve">广东丰煜</x:t>
  </x:si>
  <x:si>
    <x:t xml:space="preserve">https://mp.fof99.com/fund/view/068bcb639f441262</x:t>
  </x:si>
  <x:si>
    <x:t xml:space="preserve">11dff1146ece63b4</x:t>
  </x:si>
  <x:si>
    <x:t xml:space="preserve">常行7号</x:t>
  </x:si>
  <x:si>
    <x:t xml:space="preserve">套利策略 /期货套利 /跨期套利；套利策略 /期货套利 /股指套利</x:t>
  </x:si>
  <x:si>
    <x:t xml:space="preserve">SQH214</x:t>
  </x:si>
  <x:si>
    <x:t xml:space="preserve">江苏常行投资</x:t>
  </x:si>
  <x:si>
    <x:t xml:space="preserve">高频策略｜股指高频-跨期</x:t>
  </x:si>
  <x:si>
    <x:t xml:space="preserve">https://mp.fof99.com/fund/view/11dff1146ece63b4</x:t>
  </x:si>
  <x:si>
    <x:t xml:space="preserve">dfc323b7729ef01d</x:t>
  </x:si>
  <x:si>
    <x:t xml:space="preserve">辰元稳健2号</x:t>
  </x:si>
  <x:si>
    <x:t xml:space="preserve">套利策略—混合套利</x:t>
  </x:si>
  <x:si>
    <x:t xml:space="preserve">套利策略 /混合套利</x:t>
  </x:si>
  <x:si>
    <x:t xml:space="preserve">SZJ724</x:t>
  </x:si>
  <x:si>
    <x:t xml:space="preserve">广东辰元</x:t>
  </x:si>
  <x:si>
    <x:t xml:space="preserve">上海分公司白名单；傲创提供名单</x:t>
  </x:si>
  <x:si>
    <x:t xml:space="preserve">主观期货（农产）</x:t>
  </x:si>
  <x:si>
    <x:t xml:space="preserve">https://mp.fof99.com/fund/view/dfc323b7729ef01d</x:t>
  </x:si>
  <x:si>
    <x:t xml:space="preserve">3712ae883b81c7b6</x:t>
  </x:si>
  <x:si>
    <x:t xml:space="preserve">辰元优选稳健</x:t>
  </x:si>
  <x:si>
    <x:t xml:space="preserve">SZH690</x:t>
  </x:si>
  <x:si>
    <x:t xml:space="preserve">策略精选跟踪周报；傲创提供名单</x:t>
  </x:si>
  <x:si>
    <x:t xml:space="preserve">套利策略｜ETF套利</x:t>
  </x:si>
  <x:si>
    <x:t xml:space="preserve">https://mp.fof99.com/fund/view/3712ae883b81c7b6</x:t>
  </x:si>
  <x:si>
    <x:t xml:space="preserve">f56d280c5131a6c9</x:t>
  </x:si>
  <x:si>
    <x:t xml:space="preserve">晨翰11号</x:t>
  </x:si>
  <x:si>
    <x:t xml:space="preserve">套利策略 /期货套利 /跨品种套利</x:t>
  </x:si>
  <x:si>
    <x:t xml:space="preserve">SVT598</x:t>
  </x:si>
  <x:si>
    <x:t xml:space="preserve">晋江晨翰</x:t>
  </x:si>
  <x:si>
    <x:t xml:space="preserve">主观期货（交易型）</x:t>
  </x:si>
  <x:si>
    <x:t xml:space="preserve">https://mp.fof99.com/fund/view/f56d280c5131a6c9</x:t>
  </x:si>
  <x:si>
    <x:t xml:space="preserve">99bf55b582e27685</x:t>
  </x:si>
  <x:si>
    <x:t xml:space="preserve">晨翰6号</x:t>
  </x:si>
  <x:si>
    <x:t xml:space="preserve">STS460</x:t>
  </x:si>
  <x:si>
    <x:t xml:space="preserve">https://mp.fof99.com/fund/view/99bf55b582e27685</x:t>
  </x:si>
  <x:si>
    <x:t xml:space="preserve">fbf1de225e3e65af</x:t>
  </x:si>
  <x:si>
    <x:t xml:space="preserve">刀锋期权套利</x:t>
  </x:si>
  <x:si>
    <x:t xml:space="preserve">期权策略</x:t>
  </x:si>
  <x:si>
    <x:t xml:space="preserve">期权策略 /场内期权 /定价卖波</x:t>
  </x:si>
  <x:si>
    <x:t xml:space="preserve">SGR366</x:t>
  </x:si>
  <x:si>
    <x:t xml:space="preserve">深圳刀锋</x:t>
  </x:si>
  <x:si>
    <x:t xml:space="preserve">商品卖波</x:t>
  </x:si>
  <x:si>
    <x:t xml:space="preserve">https://mp.fof99.com/fund/view/fbf1de225e3e65af</x:t>
  </x:si>
  <x:si>
    <x:t xml:space="preserve">d7eeaf632af20fa7</x:t>
  </x:si>
  <x:si>
    <x:t xml:space="preserve">东方富银命运1号</x:t>
  </x:si>
  <x:si>
    <x:t xml:space="preserve">SEG244</x:t>
  </x:si>
  <x:si>
    <x:t xml:space="preserve">深圳东方富银投资</x:t>
  </x:si>
  <x:si>
    <x:t xml:space="preserve">可转债套利策略</x:t>
  </x:si>
  <x:si>
    <x:t xml:space="preserve">https://mp.fof99.com/fund/view/d7eeaf632af20fa7</x:t>
  </x:si>
  <x:si>
    <x:t xml:space="preserve">baa4ff727568ddb3</x:t>
  </x:si>
  <x:si>
    <x:t xml:space="preserve">东源投资丰源5号</x:t>
  </x:si>
  <x:si>
    <x:t xml:space="preserve">套利策略—期权套利</x:t>
  </x:si>
  <x:si>
    <x:t xml:space="preserve">套利策略 /期权套利</x:t>
  </x:si>
  <x:si>
    <x:t xml:space="preserve">产品详情页</x:t>
  </x:si>
  <x:si>
    <x:t xml:space="preserve">SBMG09</x:t>
  </x:si>
  <x:si>
    <x:t xml:space="preserve">天津东源投资</x:t>
  </x:si>
  <x:si>
    <x:t xml:space="preserve">火富牛组合</x:t>
  </x:si>
  <x:si>
    <x:t xml:space="preserve">https://mp.fof99.com/fund/view/baa4ff727568ddb3</x:t>
  </x:si>
  <x:si>
    <x:t xml:space="preserve">dc199b33f4fce442</x:t>
  </x:si>
  <x:si>
    <x:t xml:space="preserve">东源投资乐源1号</x:t>
  </x:si>
  <x:si>
    <x:t xml:space="preserve">SBRX68</x:t>
  </x:si>
  <x:si>
    <x:t xml:space="preserve">火富牛组合；策略精选跟踪周报</x:t>
  </x:si>
  <x:si>
    <x:t xml:space="preserve">期权策略｜金融期权套利为主</x:t>
  </x:si>
  <x:si>
    <x:t xml:space="preserve">https://mp.fof99.com/fund/view/dc199b33f4fce442</x:t>
  </x:si>
  <x:si>
    <x:t xml:space="preserve">572bc921ce9d2893</x:t>
  </x:si>
  <x:si>
    <x:t xml:space="preserve">放牛人5号</x:t>
  </x:si>
  <x:si>
    <x:t xml:space="preserve">SVH487</x:t>
  </x:si>
  <x:si>
    <x:t xml:space="preserve">上海放牛人</x:t>
  </x:si>
  <x:si>
    <x:t xml:space="preserve">https://mp.fof99.com/fund/view/572bc921ce9d2893</x:t>
  </x:si>
  <x:si>
    <x:t xml:space="preserve">bf37a6579525f8b3</x:t>
  </x:si>
  <x:si>
    <x:t xml:space="preserve">广联宏丰利1号</x:t>
  </x:si>
  <x:si>
    <x:t xml:space="preserve">套利策略 /期货套利 /商品套利</x:t>
  </x:si>
  <x:si>
    <x:t xml:space="preserve">SAGN89</x:t>
  </x:si>
  <x:si>
    <x:t xml:space="preserve">海南广联宏</x:t>
  </x:si>
  <x:si>
    <x:t xml:space="preserve">https://mp.fof99.com/fund/view/bf37a6579525f8b3</x:t>
  </x:si>
  <x:si>
    <x:t xml:space="preserve">c5b9a0c28942bf05</x:t>
  </x:si>
  <x:si>
    <x:t xml:space="preserve">广联宏稳健2号</x:t>
  </x:si>
  <x:si>
    <x:t xml:space="preserve">SATV20</x:t>
  </x:si>
  <x:si>
    <x:t xml:space="preserve">https://mp.fof99.com/fund/view/c5b9a0c28942bf05</x:t>
  </x:si>
  <x:si>
    <x:t xml:space="preserve">e556f77ef201098a</x:t>
  </x:si>
  <x:si>
    <x:t xml:space="preserve">杭州探融-锦鲤智能量化3号</x:t>
  </x:si>
  <x:si>
    <x:t xml:space="preserve">SQC001</x:t>
  </x:si>
  <x:si>
    <x:t xml:space="preserve">杭州探融投资</x:t>
  </x:si>
  <x:si>
    <x:t xml:space="preserve">https://mp.fof99.com/fund/view/e556f77ef201098a</x:t>
  </x:si>
  <x:si>
    <x:t xml:space="preserve">5a95543cf10b3b66</x:t>
  </x:si>
  <x:si>
    <x:t xml:space="preserve">汇艾稳健3号</x:t>
  </x:si>
  <x:si>
    <x:t xml:space="preserve">SR8584</x:t>
  </x:si>
  <x:si>
    <x:t xml:space="preserve">上海汇艾资管</x:t>
  </x:si>
  <x:si>
    <x:t xml:space="preserve">https://mp.fof99.com/fund/view/5a95543cf10b3b66</x:t>
  </x:si>
  <x:si>
    <x:t xml:space="preserve">3f5108a89aafc6d8</x:t>
  </x:si>
  <x:si>
    <x:t xml:space="preserve">惠隆金选套利1号</x:t>
  </x:si>
  <x:si>
    <x:t xml:space="preserve">SQG026</x:t>
  </x:si>
  <x:si>
    <x:t xml:space="preserve">北京惠隆资管</x:t>
  </x:si>
  <x:si>
    <x:t xml:space="preserve">https://mp.fof99.com/fund/view/3f5108a89aafc6d8</x:t>
  </x:si>
  <x:si>
    <x:t xml:space="preserve">441eaddd701f4a97</x:t>
  </x:si>
  <x:si>
    <x:t xml:space="preserve">佳泽信享5号A类</x:t>
  </x:si>
  <x:si>
    <x:t xml:space="preserve">套利策略 /期货套利 /股指套利</x:t>
  </x:si>
  <x:si>
    <x:t xml:space="preserve">ZC395A</x:t>
  </x:si>
  <x:si>
    <x:t xml:space="preserve">海南佳泽</x:t>
  </x:si>
  <x:si>
    <x:t xml:space="preserve">https://mp.fof99.com/fund/view/441eaddd701f4a97</x:t>
  </x:si>
  <x:si>
    <x:t xml:space="preserve">d8c5ba292c0e7653</x:t>
  </x:si>
  <x:si>
    <x:t xml:space="preserve">嘉和传承精研二期</x:t>
  </x:si>
  <x:si>
    <x:t xml:space="preserve">套利策略 /期货套利 /跨期套利；套利策略 /期货套利 /商品套利</x:t>
  </x:si>
  <x:si>
    <x:t xml:space="preserve">STD929</x:t>
  </x:si>
  <x:si>
    <x:t xml:space="preserve">上海嘉和传承</x:t>
  </x:si>
  <x:si>
    <x:t xml:space="preserve">期货套利（混合套利）；期货套利（跨期套利）</x:t>
  </x:si>
  <x:si>
    <x:t xml:space="preserve">https://mp.fof99.com/fund/view/d8c5ba292c0e7653</x:t>
  </x:si>
  <x:si>
    <x:t xml:space="preserve">735dc9bdc1713fc1</x:t>
  </x:si>
  <x:si>
    <x:t xml:space="preserve">阶石稳健1号</x:t>
  </x:si>
  <x:si>
    <x:t xml:space="preserve">SATE65</x:t>
  </x:si>
  <x:si>
    <x:t xml:space="preserve">深圳阶石</x:t>
  </x:si>
  <x:si>
    <x:t xml:space="preserve">https://mp.fof99.com/fund/view/735dc9bdc1713fc1</x:t>
  </x:si>
  <x:si>
    <x:t xml:space="preserve">a1580a40d8b17419</x:t>
  </x:si>
  <x:si>
    <x:t xml:space="preserve">阶石稳健7号</x:t>
  </x:si>
  <x:si>
    <x:t xml:space="preserve">SAWS84</x:t>
  </x:si>
  <x:si>
    <x:t xml:space="preserve">https://mp.fof99.com/fund/view/a1580a40d8b17419</x:t>
  </x:si>
  <x:si>
    <x:t xml:space="preserve">4bda29597d3247b9</x:t>
  </x:si>
  <x:si>
    <x:t xml:space="preserve">阶石稳健9号</x:t>
  </x:si>
  <x:si>
    <x:t xml:space="preserve">SAZW60</x:t>
  </x:si>
  <x:si>
    <x:t xml:space="preserve">https://mp.fof99.com/fund/view/4bda29597d3247b9</x:t>
  </x:si>
  <x:si>
    <x:t xml:space="preserve">a0e2d40b33d92ad4</x:t>
  </x:si>
  <x:si>
    <x:t xml:space="preserve">金锝牵星1号C类</x:t>
  </x:si>
  <x:si>
    <x:t xml:space="preserve">ASB89C</x:t>
  </x:si>
  <x:si>
    <x:t xml:space="preserve">上海金锝资管</x:t>
  </x:si>
  <x:si>
    <x:t xml:space="preserve">https://mp.fof99.com/fund/view/a0e2d40b33d92ad4</x:t>
  </x:si>
  <x:si>
    <x:t xml:space="preserve">54b1f815aaee62da</x:t>
  </x:si>
  <x:si>
    <x:t xml:space="preserve">九木套利9号A类</x:t>
  </x:si>
  <x:si>
    <x:t xml:space="preserve">组合持仓页回退</x:t>
  </x:si>
  <x:si>
    <x:t xml:space="preserve">BSA32A</x:t>
  </x:si>
  <x:si>
    <x:t xml:space="preserve">深圳九木</x:t>
  </x:si>
  <x:si>
    <x:t xml:space="preserve">https://mp.fof99.com/fund/view/54b1f815aaee62da</x:t>
  </x:si>
  <x:si>
    <x:t xml:space="preserve">206ccc429e7e2414</x:t>
  </x:si>
  <x:si>
    <x:t xml:space="preserve">九招真格量化套利一号</x:t>
  </x:si>
  <x:si>
    <x:t xml:space="preserve">SQD546</x:t>
  </x:si>
  <x:si>
    <x:t xml:space="preserve">武汉九招</x:t>
  </x:si>
  <x:si>
    <x:t xml:space="preserve">上海分公司白名单；傲创提供名单；策略精选跟踪周报</x:t>
  </x:si>
  <x:si>
    <x:t xml:space="preserve">量化期货（中高频&amp;另类）；套利策略｜复合套利</x:t>
  </x:si>
  <x:si>
    <x:t xml:space="preserve">https://mp.fof99.com/fund/view/206ccc429e7e2414</x:t>
  </x:si>
  <x:si>
    <x:t xml:space="preserve">62a3dc6ac3c3204d</x:t>
  </x:si>
  <x:si>
    <x:t xml:space="preserve">聚亿具臻B类</x:t>
  </x:si>
  <x:si>
    <x:t xml:space="preserve">LM995B</x:t>
  </x:si>
  <x:si>
    <x:t xml:space="preserve">珠海聚亿基金</x:t>
  </x:si>
  <x:si>
    <x:t xml:space="preserve">https://mp.fof99.com/fund/view/62a3dc6ac3c3204d</x:t>
  </x:si>
  <x:si>
    <x:t xml:space="preserve">8e3ad7d155f41bc3</x:t>
  </x:si>
  <x:si>
    <x:t xml:space="preserve">钧誉厚德量化对冲11号</x:t>
  </x:si>
  <x:si>
    <x:t xml:space="preserve">套利策略 /期货套利 /跨期套利；套利策略 /期货套利 /商品套利；套利策略 /期货套利 /高频</x:t>
  </x:si>
  <x:si>
    <x:t xml:space="preserve">SQN453</x:t>
  </x:si>
  <x:si>
    <x:t xml:space="preserve">珠海钧誉资管</x:t>
  </x:si>
  <x:si>
    <x:t xml:space="preserve">https://mp.fof99.com/fund/view/8e3ad7d155f41bc3</x:t>
  </x:si>
  <x:si>
    <x:t xml:space="preserve">fd609fddab73af1e</x:t>
  </x:si>
  <x:si>
    <x:t xml:space="preserve">澜胜稳赋套利1号</x:t>
  </x:si>
  <x:si>
    <x:t xml:space="preserve">套利策略—其他</x:t>
  </x:si>
  <x:si>
    <x:t xml:space="preserve">套利策略</x:t>
  </x:si>
  <x:si>
    <x:t xml:space="preserve">SBPY84</x:t>
  </x:si>
  <x:si>
    <x:t xml:space="preserve">上海澜胜</x:t>
  </x:si>
  <x:si>
    <x:t xml:space="preserve">套利策略｜ETF套利（申赎）</x:t>
  </x:si>
  <x:si>
    <x:t xml:space="preserve">https://mp.fof99.com/fund/view/fd609fddab73af1e</x:t>
  </x:si>
  <x:si>
    <x:t xml:space="preserve">672dc1ead9cd9d03</x:t>
  </x:si>
  <x:si>
    <x:t xml:space="preserve">量金灵瑞1号</x:t>
  </x:si>
  <x:si>
    <x:t xml:space="preserve">SAPV10</x:t>
  </x:si>
  <x:si>
    <x:t xml:space="preserve">上海坤灵</x:t>
  </x:si>
  <x:si>
    <x:t xml:space="preserve">https://mp.fof99.com/fund/view/672dc1ead9cd9d03</x:t>
  </x:si>
  <x:si>
    <x:t xml:space="preserve">509478ab548cc2b3</x:t>
  </x:si>
  <x:si>
    <x:t xml:space="preserve">量客投资金选套利1号</x:t>
  </x:si>
  <x:si>
    <x:t xml:space="preserve">SNH457</x:t>
  </x:si>
  <x:si>
    <x:t xml:space="preserve">上海量客</x:t>
  </x:si>
  <x:si>
    <x:t xml:space="preserve">期权策略｜期权套利</x:t>
  </x:si>
  <x:si>
    <x:t xml:space="preserve">https://mp.fof99.com/fund/view/509478ab548cc2b3</x:t>
  </x:si>
  <x:si>
    <x:t xml:space="preserve">3ccbf07c4d4ac642</x:t>
  </x:si>
  <x:si>
    <x:t xml:space="preserve">龙帆恒盛稳固9号</x:t>
  </x:si>
  <x:si>
    <x:t xml:space="preserve">SSX605</x:t>
  </x:si>
  <x:si>
    <x:t xml:space="preserve">厦门龙帆资管</x:t>
  </x:si>
  <x:si>
    <x:t xml:space="preserve">https://mp.fof99.com/fund/view/3ccbf07c4d4ac642</x:t>
  </x:si>
  <x:si>
    <x:t xml:space="preserve">beb13b86d2a4cfb2</x:t>
  </x:si>
  <x:si>
    <x:t xml:space="preserve">龙壹盛善时1号</x:t>
  </x:si>
  <x:si>
    <x:t xml:space="preserve">SB1261</x:t>
  </x:si>
  <x:si>
    <x:t xml:space="preserve">杭州龙壹盛</x:t>
  </x:si>
  <x:si>
    <x:t xml:space="preserve">https://mp.fof99.com/fund/view/beb13b86d2a4cfb2</x:t>
  </x:si>
  <x:si>
    <x:t xml:space="preserve">28d3372af2406528</x:t>
  </x:si>
  <x:si>
    <x:t xml:space="preserve">鸣熙资产-招享套利1号</x:t>
  </x:si>
  <x:si>
    <x:t xml:space="preserve">SJZ381</x:t>
  </x:si>
  <x:si>
    <x:t xml:space="preserve">鸣熙资本</x:t>
  </x:si>
  <x:si>
    <x:t xml:space="preserve">https://mp.fof99.com/fund/view/28d3372af2406528</x:t>
  </x:si>
  <x:si>
    <x:t xml:space="preserve">9289c50ffc89f5de</x:t>
  </x:si>
  <x:si>
    <x:t xml:space="preserve">铭杉量化稳健5号</x:t>
  </x:si>
  <x:si>
    <x:t xml:space="preserve">套利策略 /期货套利 /跨期套利；套利策略 /期货套利 /股指套利；套利策略 /期货套利 /高频</x:t>
  </x:si>
  <x:si>
    <x:t xml:space="preserve">SLT573</x:t>
  </x:si>
  <x:si>
    <x:t xml:space="preserve">上海铭杉投资</x:t>
  </x:si>
  <x:si>
    <x:t xml:space="preserve">https://mp.fof99.com/fund/view/9289c50ffc89f5de</x:t>
  </x:si>
  <x:si>
    <x:t xml:space="preserve">f263e8836aad5b82</x:t>
  </x:si>
  <x:si>
    <x:t xml:space="preserve">摩旗ETF套利1号</x:t>
  </x:si>
  <x:si>
    <x:t xml:space="preserve">STR466</x:t>
  </x:si>
  <x:si>
    <x:t xml:space="preserve">上海摩旗投资</x:t>
  </x:si>
  <x:si>
    <x:t xml:space="preserve">火富牛成立以来指标；历史净值复算</x:t>
  </x:si>
  <x:si>
    <x:t xml:space="preserve">https://mp.fof99.com/fund/view/f263e8836aad5b82</x:t>
  </x:si>
  <x:si>
    <x:t xml:space="preserve">437e3feded28d12d</x:t>
  </x:si>
  <x:si>
    <x:t xml:space="preserve">慕途基本面量化1号</x:t>
  </x:si>
  <x:si>
    <x:t xml:space="preserve">套利策略 /期货套利 /跨市场套利；套利策略 /期货套利 /商品套利</x:t>
  </x:si>
  <x:si>
    <x:t xml:space="preserve">SVW787</x:t>
  </x:si>
  <x:si>
    <x:t xml:space="preserve">慕途基金</x:t>
  </x:si>
  <x:si>
    <x:t xml:space="preserve">期货套利（混合套利）；套利策略｜基本面跨市场套利</x:t>
  </x:si>
  <x:si>
    <x:t xml:space="preserve">https://mp.fof99.com/fund/view/437e3feded28d12d</x:t>
  </x:si>
  <x:si>
    <x:t xml:space="preserve">2b81990a6051e6e6</x:t>
  </x:si>
  <x:si>
    <x:t xml:space="preserve">慕途基本面量化2号</x:t>
  </x:si>
  <x:si>
    <x:t xml:space="preserve">SB9576</x:t>
  </x:si>
  <x:si>
    <x:t xml:space="preserve">https://mp.fof99.com/fund/view/2b81990a6051e6e6</x:t>
  </x:si>
  <x:si>
    <x:t xml:space="preserve">6170fbc34ea41205</x:t>
  </x:si>
  <x:si>
    <x:t xml:space="preserve">慕途商品套利1号</x:t>
  </x:si>
  <x:si>
    <x:t xml:space="preserve">SAHX36</x:t>
  </x:si>
  <x:si>
    <x:t xml:space="preserve">https://mp.fof99.com/fund/view/6170fbc34ea41205</x:t>
  </x:si>
  <x:si>
    <x:t xml:space="preserve">1a1f9e733b6e6ee0</x:t>
  </x:si>
  <x:si>
    <x:t xml:space="preserve">慕途稳健1号</x:t>
  </x:si>
  <x:si>
    <x:t xml:space="preserve">期权策略 /场内期权</x:t>
  </x:si>
  <x:si>
    <x:t xml:space="preserve">SVM029</x:t>
  </x:si>
  <x:si>
    <x:t xml:space="preserve">曲面套利</x:t>
  </x:si>
  <x:si>
    <x:t xml:space="preserve">https://mp.fof99.com/fund/view/1a1f9e733b6e6ee0</x:t>
  </x:si>
  <x:si>
    <x:t xml:space="preserve">26b4ccb26333ca6a</x:t>
  </x:si>
  <x:si>
    <x:t xml:space="preserve">慕途盈川1号</x:t>
  </x:si>
  <x:si>
    <x:t xml:space="preserve">SAQQ67</x:t>
  </x:si>
  <x:si>
    <x:t xml:space="preserve">https://mp.fof99.com/fund/view/26b4ccb26333ca6a</x:t>
  </x:si>
  <x:si>
    <x:t xml:space="preserve">3a6601028e5010ab</x:t>
  </x:si>
  <x:si>
    <x:t xml:space="preserve">奶酪鑫鑫宝二号</x:t>
  </x:si>
  <x:si>
    <x:t xml:space="preserve">套利策略 /期货套利 /锁仓</x:t>
  </x:si>
  <x:si>
    <x:t xml:space="preserve">SB2838</x:t>
  </x:si>
  <x:si>
    <x:t xml:space="preserve">广东奶酪</x:t>
  </x:si>
  <x:si>
    <x:t xml:space="preserve">https://mp.fof99.com/fund/view/3a6601028e5010ab</x:t>
  </x:si>
  <x:si>
    <x:t xml:space="preserve">1cfd48f3c3164c34</x:t>
  </x:si>
  <x:si>
    <x:t xml:space="preserve">平凡凡响二号</x:t>
  </x:si>
  <x:si>
    <x:t xml:space="preserve">SZU727</x:t>
  </x:si>
  <x:si>
    <x:t xml:space="preserve">北京平凡</x:t>
  </x:si>
  <x:si>
    <x:t xml:space="preserve">https://mp.fof99.com/fund/view/1cfd48f3c3164c34</x:t>
  </x:si>
  <x:si>
    <x:t xml:space="preserve">cede2959c01b91f6</x:t>
  </x:si>
  <x:si>
    <x:t xml:space="preserve">平凡浩睿</x:t>
  </x:si>
  <x:si>
    <x:t xml:space="preserve">SJS890</x:t>
  </x:si>
  <x:si>
    <x:t xml:space="preserve">https://mp.fof99.com/fund/view/cede2959c01b91f6</x:t>
  </x:si>
  <x:si>
    <x:t xml:space="preserve">8b4dbf527867d6d0</x:t>
  </x:si>
  <x:si>
    <x:t xml:space="preserve">平凡悟鑫</x:t>
  </x:si>
  <x:si>
    <x:t xml:space="preserve">SJ2870</x:t>
  </x:si>
  <x:si>
    <x:t xml:space="preserve">ETF套利</x:t>
  </x:si>
  <x:si>
    <x:t xml:space="preserve">https://mp.fof99.com/fund/view/8b4dbf527867d6d0</x:t>
  </x:si>
  <x:si>
    <x:t xml:space="preserve">47e9165a9812665a</x:t>
  </x:si>
  <x:si>
    <x:t xml:space="preserve">祁腾蜂赢1号</x:t>
  </x:si>
  <x:si>
    <x:t xml:space="preserve">SEV580</x:t>
  </x:si>
  <x:si>
    <x:t xml:space="preserve">宁波祁腾投资</x:t>
  </x:si>
  <x:si>
    <x:t xml:space="preserve">傲创提供名单；策略精选跟踪周报</x:t>
  </x:si>
  <x:si>
    <x:t xml:space="preserve">高频策略｜股指高频</x:t>
  </x:si>
  <x:si>
    <x:t xml:space="preserve">https://mp.fof99.com/fund/view/47e9165a9812665a</x:t>
  </x:si>
  <x:si>
    <x:t xml:space="preserve">a88265fe21033296</x:t>
  </x:si>
  <x:si>
    <x:t xml:space="preserve">融昊青松CTA套利一号</x:t>
  </x:si>
  <x:si>
    <x:t xml:space="preserve">管理期货—主观CTA</x:t>
  </x:si>
  <x:si>
    <x:t xml:space="preserve">期货策略 /主观期货 /交易型</x:t>
  </x:si>
  <x:si>
    <x:t xml:space="preserve">S09735</x:t>
  </x:si>
  <x:si>
    <x:t xml:space="preserve">上海融昊投资</x:t>
  </x:si>
  <x:si>
    <x:t xml:space="preserve">上海分公司白名单；策略精选跟踪周报</x:t>
  </x:si>
  <x:si>
    <x:t xml:space="preserve">期货套利（跨期套利）；主观期货（交易型）；套利策略｜主观+量化；商品跨期</x:t>
  </x:si>
  <x:si>
    <x:t xml:space="preserve">https://mp.fof99.com/fund/view/a88265fe21033296</x:t>
  </x:si>
  <x:si>
    <x:t xml:space="preserve">31ef590a8e08938a</x:t>
  </x:si>
  <x:si>
    <x:t xml:space="preserve">锐耐复利倍增2号C类</x:t>
  </x:si>
  <x:si>
    <x:t xml:space="preserve">XV513C</x:t>
  </x:si>
  <x:si>
    <x:t xml:space="preserve">上海锐耐</x:t>
  </x:si>
  <x:si>
    <x:t xml:space="preserve">https://mp.fof99.com/fund/view/31ef590a8e08938a</x:t>
  </x:si>
  <x:si>
    <x:t xml:space="preserve">a9c8655ec835e06f</x:t>
  </x:si>
  <x:si>
    <x:t xml:space="preserve">睿启鑫享1号</x:t>
  </x:si>
  <x:si>
    <x:t xml:space="preserve">SAQD46</x:t>
  </x:si>
  <x:si>
    <x:t xml:space="preserve">无锡睿启</x:t>
  </x:si>
  <x:si>
    <x:t xml:space="preserve">套利策略｜贵金属套利</x:t>
  </x:si>
  <x:si>
    <x:t xml:space="preserve">https://mp.fof99.com/fund/view/a9c8655ec835e06f</x:t>
  </x:si>
  <x:si>
    <x:t xml:space="preserve">da0c65e7ce600ec9</x:t>
  </x:si>
  <x:si>
    <x:t xml:space="preserve">杉阳云杉混合1号A类</x:t>
  </x:si>
  <x:si>
    <x:t xml:space="preserve">LA063A</x:t>
  </x:si>
  <x:si>
    <x:t xml:space="preserve">上海杉阳</x:t>
  </x:si>
  <x:si>
    <x:t xml:space="preserve">期货套利（混合套利）</x:t>
  </x:si>
  <x:si>
    <x:t xml:space="preserve">https://mp.fof99.com/fund/view/da0c65e7ce600ec9</x:t>
  </x:si>
  <x:si>
    <x:t xml:space="preserve">6522b5ad5dcbdcbd</x:t>
  </x:si>
  <x:si>
    <x:t xml:space="preserve">尚湖期权套利安享1号</x:t>
  </x:si>
  <x:si>
    <x:t xml:space="preserve">SXZ850</x:t>
  </x:si>
  <x:si>
    <x:t xml:space="preserve">上海尚湖</x:t>
  </x:si>
  <x:si>
    <x:t xml:space="preserve">股指卖波</x:t>
  </x:si>
  <x:si>
    <x:t xml:space="preserve">https://mp.fof99.com/fund/view/6522b5ad5dcbdcbd</x:t>
  </x:si>
  <x:si>
    <x:t xml:space="preserve">d84950ffb7571587</x:t>
  </x:si>
  <x:si>
    <x:t xml:space="preserve">深度梦扬量化1号</x:t>
  </x:si>
  <x:si>
    <x:t xml:space="preserve">SZM348</x:t>
  </x:si>
  <x:si>
    <x:t xml:space="preserve">杭州深度资管</x:t>
  </x:si>
  <x:si>
    <x:t xml:space="preserve">https://mp.fof99.com/fund/view/d84950ffb7571587</x:t>
  </x:si>
  <x:si>
    <x:t xml:space="preserve">56199c339d1a20c7</x:t>
  </x:si>
  <x:si>
    <x:t xml:space="preserve">深度梦扬量化套利0号</x:t>
  </x:si>
  <x:si>
    <x:t xml:space="preserve">SQD620</x:t>
  </x:si>
  <x:si>
    <x:t xml:space="preserve">曲面套利；股指卖波</x:t>
  </x:si>
  <x:si>
    <x:t xml:space="preserve">https://mp.fof99.com/fund/view/56199c339d1a20c7</x:t>
  </x:si>
  <x:si>
    <x:t xml:space="preserve">592f730fcd5623e4</x:t>
  </x:si>
  <x:si>
    <x:t xml:space="preserve">盛冠达试金石3号</x:t>
  </x:si>
  <x:si>
    <x:t xml:space="preserve">SW1709</x:t>
  </x:si>
  <x:si>
    <x:t xml:space="preserve">海南盛冠达</x:t>
  </x:si>
  <x:si>
    <x:t xml:space="preserve">期货套利（混合套利）；ETF套利</x:t>
  </x:si>
  <x:si>
    <x:t xml:space="preserve">https://mp.fof99.com/fund/view/592f730fcd5623e4</x:t>
  </x:si>
  <x:si>
    <x:t xml:space="preserve">317110f339421a93</x:t>
  </x:si>
  <x:si>
    <x:t xml:space="preserve">世宽若水尘心2号B类</x:t>
  </x:si>
  <x:si>
    <x:t xml:space="preserve">套利策略 /期货套利 /股指套利；套利策略 /期货套利 /高频</x:t>
  </x:si>
  <x:si>
    <x:t xml:space="preserve">XX769B</x:t>
  </x:si>
  <x:si>
    <x:t xml:space="preserve">厦门世宽</x:t>
  </x:si>
  <x:si>
    <x:t xml:space="preserve">https://mp.fof99.com/fund/view/317110f339421a93</x:t>
  </x:si>
  <x:si>
    <x:t xml:space="preserve">de992f1098047fe1</x:t>
  </x:si>
  <x:si>
    <x:t xml:space="preserve">世宽若水尘心3号</x:t>
  </x:si>
  <x:si>
    <x:t xml:space="preserve">SXT730</x:t>
  </x:si>
  <x:si>
    <x:t xml:space="preserve">https://mp.fof99.com/fund/view/de992f1098047fe1</x:t>
  </x:si>
  <x:si>
    <x:t xml:space="preserve">7d1044d0dd00c1bd</x:t>
  </x:si>
  <x:si>
    <x:t xml:space="preserve">殊馥馥源套利1号</x:t>
  </x:si>
  <x:si>
    <x:t xml:space="preserve">SGM512</x:t>
  </x:si>
  <x:si>
    <x:t xml:space="preserve">上海殊馥投资</x:t>
  </x:si>
  <x:si>
    <x:t xml:space="preserve">https://mp.fof99.com/fund/view/7d1044d0dd00c1bd</x:t>
  </x:si>
  <x:si>
    <x:t xml:space="preserve">7c4ebba3db529d5e</x:t>
  </x:si>
  <x:si>
    <x:t xml:space="preserve">殊馥兴义6号</x:t>
  </x:si>
  <x:si>
    <x:t xml:space="preserve">SXQ267</x:t>
  </x:si>
  <x:si>
    <x:t xml:space="preserve">https://mp.fof99.com/fund/view/7c4ebba3db529d5e</x:t>
  </x:si>
  <x:si>
    <x:t xml:space="preserve">f26adec295039db6</x:t>
  </x:si>
  <x:si>
    <x:t xml:space="preserve">殊馥兴义7号</x:t>
  </x:si>
  <x:si>
    <x:t xml:space="preserve">SXT610</x:t>
  </x:si>
  <x:si>
    <x:t xml:space="preserve">https://mp.fof99.com/fund/view/f26adec295039db6</x:t>
  </x:si>
  <x:si>
    <x:t xml:space="preserve">2a7eea7355174458</x:t>
  </x:si>
  <x:si>
    <x:t xml:space="preserve">数为道策套利一号</x:t>
  </x:si>
  <x:si>
    <x:t xml:space="preserve">SNA956</x:t>
  </x:si>
  <x:si>
    <x:t xml:space="preserve">福州数为</x:t>
  </x:si>
  <x:si>
    <x:t xml:space="preserve">https://mp.fof99.com/fund/view/2a7eea7355174458</x:t>
  </x:si>
  <x:si>
    <x:t xml:space="preserve">440208e7421f6896</x:t>
  </x:si>
  <x:si>
    <x:t xml:space="preserve">唐德幽兰量化套利一号</x:t>
  </x:si>
  <x:si>
    <x:t xml:space="preserve">SAHM04</x:t>
  </x:si>
  <x:si>
    <x:t xml:space="preserve">深圳唐德</x:t>
  </x:si>
  <x:si>
    <x:t xml:space="preserve">期货套利（跨期套利）</x:t>
  </x:si>
  <x:si>
    <x:t xml:space="preserve">https://mp.fof99.com/fund/view/440208e7421f6896</x:t>
  </x:si>
  <x:si>
    <x:t xml:space="preserve">55e83c08d572e2a7</x:t>
  </x:si>
  <x:si>
    <x:t xml:space="preserve">唐龙量化对冲99号</x:t>
  </x:si>
  <x:si>
    <x:t xml:space="preserve">套利策略 /可转债套利 /融券对冲</x:t>
  </x:si>
  <x:si>
    <x:t xml:space="preserve">SJQ683</x:t>
  </x:si>
  <x:si>
    <x:t xml:space="preserve">福建平潭唐龙资管</x:t>
  </x:si>
  <x:si>
    <x:t xml:space="preserve">https://mp.fof99.com/fund/view/55e83c08d572e2a7</x:t>
  </x:si>
  <x:si>
    <x:t xml:space="preserve">6c49b0993fc714bc</x:t>
  </x:si>
  <x:si>
    <x:t xml:space="preserve">系数CTA套利五号</x:t>
  </x:si>
  <x:si>
    <x:t xml:space="preserve">SXT086</x:t>
  </x:si>
  <x:si>
    <x:t xml:space="preserve">上海系数投资</x:t>
  </x:si>
  <x:si>
    <x:t xml:space="preserve">套利策略｜商品+股指跨期</x:t>
  </x:si>
  <x:si>
    <x:t xml:space="preserve">https://mp.fof99.com/fund/view/6c49b0993fc714bc</x:t>
  </x:si>
  <x:si>
    <x:t xml:space="preserve">858f6f879edbd061</x:t>
  </x:si>
  <x:si>
    <x:t xml:space="preserve">悬铃C号</x:t>
  </x:si>
  <x:si>
    <x:t xml:space="preserve">套利策略 /可转债套利 /股指对冲</x:t>
  </x:si>
  <x:si>
    <x:t xml:space="preserve">SEK201</x:t>
  </x:si>
  <x:si>
    <x:t xml:space="preserve">上海悬铃</x:t>
  </x:si>
  <x:si>
    <x:t xml:space="preserve">套利策略｜可转债套利+对冲</x:t>
  </x:si>
  <x:si>
    <x:t xml:space="preserve">https://mp.fof99.com/fund/view/858f6f879edbd061</x:t>
  </x:si>
  <x:si>
    <x:t xml:space="preserve">8177b794c749fb2a</x:t>
  </x:si>
  <x:si>
    <x:t xml:space="preserve">英旷专享2号A类</x:t>
  </x:si>
  <x:si>
    <x:t xml:space="preserve">AKV28A</x:t>
  </x:si>
  <x:si>
    <x:t xml:space="preserve">上海英旷资管</x:t>
  </x:si>
  <x:si>
    <x:t xml:space="preserve">期权套利策略；可转债套利策略</x:t>
  </x:si>
  <x:si>
    <x:t xml:space="preserve">https://mp.fof99.com/fund/view/8177b794c749fb2a</x:t>
  </x:si>
  <x:si>
    <x:t xml:space="preserve">12b6e6dc40e0626c</x:t>
  </x:si>
  <x:si>
    <x:t xml:space="preserve">永泉奇点17号混合投资</x:t>
  </x:si>
  <x:si>
    <x:t xml:space="preserve">SNG016</x:t>
  </x:si>
  <x:si>
    <x:t xml:space="preserve">宁波永泉</x:t>
  </x:si>
  <x:si>
    <x:t xml:space="preserve">https://mp.fof99.com/fund/view/12b6e6dc40e0626c</x:t>
  </x:si>
  <x:si>
    <x:t xml:space="preserve">c8b8443b50a70919</x:t>
  </x:si>
  <x:si>
    <x:t xml:space="preserve">永泉奇点1号混合投资</x:t>
  </x:si>
  <x:si>
    <x:t xml:space="preserve">SGM299</x:t>
  </x:si>
  <x:si>
    <x:t xml:space="preserve">https://mp.fof99.com/fund/view/c8b8443b50a70919</x:t>
  </x:si>
  <x:si>
    <x:t xml:space="preserve">82e5c285d80c294f</x:t>
  </x:si>
  <x:si>
    <x:t xml:space="preserve">永泉奇点2号混合投资</x:t>
  </x:si>
  <x:si>
    <x:t xml:space="preserve">SJB356</x:t>
  </x:si>
  <x:si>
    <x:t xml:space="preserve">https://mp.fof99.com/fund/view/82e5c285d80c294f</x:t>
  </x:si>
  <x:si>
    <x:t xml:space="preserve">fbdc1fb41bf9e1b4</x:t>
  </x:si>
  <x:si>
    <x:t xml:space="preserve">涌涵农本一号</x:t>
  </x:si>
  <x:si>
    <x:t xml:space="preserve">SAWA30</x:t>
  </x:si>
  <x:si>
    <x:t xml:space="preserve">上海涌涵</x:t>
  </x:si>
  <x:si>
    <x:t xml:space="preserve">CTA策略｜主观CTA-农产品</x:t>
  </x:si>
  <x:si>
    <x:t xml:space="preserve">https://mp.fof99.com/fund/view/fbdc1fb41bf9e1b4</x:t>
  </x:si>
  <x:si>
    <x:t xml:space="preserve">5fbd2c74a9d29c0f</x:t>
  </x:si>
  <x:si>
    <x:t xml:space="preserve">裕锦量化专享1号</x:t>
  </x:si>
  <x:si>
    <x:t xml:space="preserve">SNE165</x:t>
  </x:si>
  <x:si>
    <x:t xml:space="preserve">深圳裕锦</x:t>
  </x:si>
  <x:si>
    <x:t xml:space="preserve">https://mp.fof99.com/fund/view/5fbd2c74a9d29c0f</x:t>
  </x:si>
  <x:si>
    <x:t xml:space="preserve">2f189375b75b47fd</x:t>
  </x:si>
  <x:si>
    <x:t xml:space="preserve">在赢套利一号</x:t>
  </x:si>
  <x:si>
    <x:t xml:space="preserve">期货策略 /主观期货</x:t>
  </x:si>
  <x:si>
    <x:t xml:space="preserve">SGW281</x:t>
  </x:si>
  <x:si>
    <x:t xml:space="preserve">浙江在赢</x:t>
  </x:si>
  <x:si>
    <x:t xml:space="preserve">套利策略｜商品跨期（主观）</x:t>
  </x:si>
  <x:si>
    <x:t xml:space="preserve">https://mp.fof99.com/fund/view/2f189375b75b47fd</x:t>
  </x:si>
  <x:si>
    <x:t xml:space="preserve">3c9e7c114b369c69</x:t>
  </x:si>
  <x:si>
    <x:t xml:space="preserve">哲石君顺易安贰号</x:t>
  </x:si>
  <x:si>
    <x:t xml:space="preserve">SBBC37</x:t>
  </x:si>
  <x:si>
    <x:t xml:space="preserve">杭州哲石</x:t>
  </x:si>
  <x:si>
    <x:t xml:space="preserve">https://mp.fof99.com/fund/view/3c9e7c114b369c69</x:t>
  </x:si>
  <x:si>
    <x:t xml:space="preserve">e71e4de667b3a0df</x:t>
  </x:si>
  <x:si>
    <x:t xml:space="preserve">哲石君顺易安壹号</x:t>
  </x:si>
  <x:si>
    <x:t xml:space="preserve">SAVN21</x:t>
  </x:si>
  <x:si>
    <x:t xml:space="preserve">https://mp.fof99.com/fund/view/e71e4de667b3a0df</x:t>
  </x:si>
  <x:si>
    <x:t xml:space="preserve">6a8da1db45b76b2f</x:t>
  </x:si>
  <x:si>
    <x:t xml:space="preserve">臻选期权套利一号</x:t>
  </x:si>
  <x:si>
    <x:t xml:space="preserve">SBEM86</x:t>
  </x:si>
  <x:si>
    <x:t xml:space="preserve">海南臻选</x:t>
  </x:si>
  <x:si>
    <x:t xml:space="preserve">期权策略｜金融+商品波动率套利</x:t>
  </x:si>
  <x:si>
    <x:t xml:space="preserve">https://mp.fof99.com/fund/view/6a8da1db45b76b2f</x:t>
  </x:si>
  <x:si>
    <x:t xml:space="preserve">691a98bba5e4cde6</x:t>
  </x:si>
  <x:si>
    <x:t xml:space="preserve">致同稳盈对冲</x:t>
  </x:si>
  <x:si>
    <x:t xml:space="preserve">套利策略 /期货套利 /跨期套利；套利策略 /期货套利 /跨品种套利；套利策略 /期货套利 /商品套利</x:t>
  </x:si>
  <x:si>
    <x:t xml:space="preserve">SS8645</x:t>
  </x:si>
  <x:si>
    <x:t xml:space="preserve">上海致同投资</x:t>
  </x:si>
  <x:si>
    <x:t xml:space="preserve">期货套利（混合套利）；期货套利（跨期套利）；套利策略｜商品套利+卖权</x:t>
  </x:si>
  <x:si>
    <x:t xml:space="preserve">https://mp.fof99.com/fund/view/691a98bba5e4cde6</x:t>
  </x:si>
  <x:si>
    <x:t xml:space="preserve">134f91eefa4596c1</x:t>
  </x:si>
  <x:si>
    <x:t xml:space="preserve">致远投资昆仑1号</x:t>
  </x:si>
  <x:si>
    <x:t xml:space="preserve">期权策略 /场内期权 /金融期权；期权策略 /场内期权 /定价卖波</x:t>
  </x:si>
  <x:si>
    <x:t xml:space="preserve">SSD863</x:t>
  </x:si>
  <x:si>
    <x:t xml:space="preserve">广州致远</x:t>
  </x:si>
  <x:si>
    <x:t xml:space="preserve">https://mp.fof99.com/fund/view/134f91eefa4596c1</x:t>
  </x:si>
  <x:si>
    <x:t xml:space="preserve">e4ab70da8204cae4</x:t>
  </x:si>
  <x:si>
    <x:t xml:space="preserve">智领泽临套利六号</x:t>
  </x:si>
  <x:si>
    <x:t xml:space="preserve">套利策略—未细分</x:t>
  </x:si>
  <x:si>
    <x:t xml:space="preserve">产品名称关键词</x:t>
  </x:si>
  <x:si>
    <x:t xml:space="preserve">SAYU23</x:t>
  </x:si>
  <x:si>
    <x:t xml:space="preserve">福州智领三联</x:t>
  </x:si>
  <x:si>
    <x:t xml:space="preserve">火富牛组合；策略精选跟踪周报；傲创提供名单</x:t>
  </x:si>
  <x:si>
    <x:t xml:space="preserve">https://mp.fof99.com/fund/view/e4ab70da8204cae4</x:t>
  </x:si>
  <x:si>
    <x:t xml:space="preserve">bd503e768e8f0dca</x:t>
  </x:si>
  <x:si>
    <x:t xml:space="preserve">中益仁梅香千寒</x:t>
  </x:si>
  <x:si>
    <x:t xml:space="preserve">SBAF26</x:t>
  </x:si>
  <x:si>
    <x:t xml:space="preserve">日照中益仁</x:t>
  </x:si>
  <x:si>
    <x:t xml:space="preserve">https://mp.fof99.com/fund/view/bd503e768e8f0dca</x:t>
  </x:si>
  <x:si>
    <x:t xml:space="preserve">a96d179026030f2d</x:t>
  </x:si>
  <x:si>
    <x:t xml:space="preserve">庄贤对冲3号</x:t>
  </x:si>
  <x:si>
    <x:t xml:space="preserve">SGW091</x:t>
  </x:si>
  <x:si>
    <x:t xml:space="preserve">杭州庄贤投资</x:t>
  </x:si>
  <x:si>
    <x:t xml:space="preserve">曲面套利；期权策略｜90%金融+10%商品</x:t>
  </x:si>
  <x:si>
    <x:t xml:space="preserve">https://mp.fof99.com/fund/view/a96d179026030f2d</x:t>
  </x:si>
  <x:si>
    <x:t xml:space="preserve">citic:SAHP82</x:t>
  </x:si>
  <x:si>
    <x:t xml:space="preserve">合绎塑造者10号</x:t>
  </x:si>
  <x:si>
    <x:t xml:space="preserve">代销产品</x:t>
  </x:si>
  <x:si>
    <x:t xml:space="preserve">管理期货—量化期权—期权复合套利-R4</x:t>
  </x:si>
  <x:si>
    <x:t xml:space="preserve">ZXQH全国代销</x:t>
  </x:si>
  <x:si>
    <x:t xml:space="preserve">仅代销名单净值快照；历史序列、管理人、备案号及基金成立日期待补全</x:t>
  </x:si>
  <x:si>
    <x:t xml:space="preserve">已上架</x:t>
  </x:si>
</x:sst>
</file>

<file path=xl/styles.xml><?xml version="1.0" encoding="utf-8"?>
<x:styleSheet xmlns:x="http://schemas.openxmlformats.org/spreadsheetml/2006/main">
  <x:numFmts count="11">
    <x:numFmt numFmtId="164" formatCode="0.0000"/>
    <x:numFmt numFmtId="165" formatCode="yyyy\-mm\-dd"/>
    <x:numFmt numFmtId="166" formatCode="0.00%;[Red]\-0.00%;0.00%"/>
    <x:numFmt numFmtId="167" formatCode="0.0000;[Red]\(0.0000\);\-"/>
    <x:numFmt numFmtId="200" formatCode="0%"/>
    <x:numFmt numFmtId="201" formatCode="@"/>
    <x:numFmt numFmtId="202" formatCode="0.0%"/>
    <x:numFmt numFmtId="203" formatCode="yyyy-mm-dd"/>
    <x:numFmt numFmtId="204" formatCode="0.00%"/>
    <x:numFmt numFmtId="205" formatCode="0"/>
    <x:numFmt numFmtId="206" formatCode="0.00"/>
  </x:numFmts>
  <x:fonts count="14">
    <x:font>
      <x:sz val="11"/>
      <x:name val="Carlito"/>
    </x:font>
    <x:font>
      <x:sz val="11"/>
      <x:name val="STHeiti"/>
    </x:font>
    <x:font>
      <x:b/>
      <x:sz val="11"/>
      <x:color rgb="FFFFFFFF"/>
      <x:name val="STHeiti"/>
    </x:font>
    <x:font>
      <x:b/>
      <x:sz val="11"/>
      <x:color rgb="FF375623"/>
      <x:name val="STHeiti"/>
    </x:font>
    <x:font>
      <x:sz val="11"/>
      <x:name val="Arial"/>
    </x:font>
    <x:font>
      <x:sz val="10"/>
      <x:name val="Arial"/>
    </x:font>
    <x:font>
      <x:sz val="10"/>
      <x:color rgb="FF172B4D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5"/>
      <x:color rgb="FF172B4D"/>
      <x:name val="Arial"/>
    </x:font>
    <x:font>
      <x:b/>
      <x:sz val="15"/>
      <x:color rgb="FF172B4D"/>
      <x:name val="Arial"/>
    </x:font>
    <x:font>
      <x:sz val="10"/>
      <x:color rgb="FF0000FF"/>
      <x:name val="Arial"/>
    </x:font>
    <x:font>
      <x:b/>
      <x:sz val="10"/>
      <x:color rgb="FF172B4D"/>
      <x:name val="Arial"/>
    </x:font>
    <x:font>
      <x:sz val="10"/>
      <x:color rgb="FF008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FFF5CC"/>
      </x:patternFill>
    </x:fill>
    <x:fill>
      <x:patternFill patternType="solid">
        <x:fgColor rgb="FFEAF0F7"/>
      </x:patternFill>
    </x:fill>
  </x:fills>
  <x:borders count="4">
    <x:border/>
    <x:border>
      <x:right style="thin">
        <x:color rgb="FFFFFFFF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bottom style="thin">
        <x:color rgb="FFCBD5E1"/>
      </x:bottom>
    </x:border>
    <x:border>
      <x:left style="thin">
        <x:color rgb="FFFFFFFF"/>
      </x:left>
      <x:bottom style="thin">
        <x:color rgb="FFCBD5E1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Font="1" applyAlignment="1">
      <x:alignment vertical="center"/>
    </x:xf>
    <x:xf numFmtId="1" fontId="1" fillId="0" borderId="0" xfId="0" applyNumberFormat="1" applyFont="1" applyAlignment="1">
      <x:alignment vertical="center"/>
    </x:xf>
    <x:xf numFmtId="49" fontId="1" fillId="0" borderId="0" xfId="0" applyNumberFormat="1" applyFont="1" applyAlignment="1">
      <x:alignment vertical="center"/>
    </x:xf>
    <x:xf numFmtId="164" fontId="1" fillId="0" borderId="0" xfId="0" applyNumberFormat="1" applyFont="1" applyAlignment="1">
      <x:alignment vertical="center"/>
    </x:xf>
    <x:xf numFmtId="165" fontId="1" fillId="0" borderId="0" xfId="0" applyNumberFormat="1" applyFont="1" applyAlignment="1">
      <x:alignment vertical="center"/>
    </x:xf>
    <x:xf numFmtId="166" fontId="1" fillId="0" borderId="0" xfId="0" applyNumberFormat="1" applyFont="1" applyAlignment="1">
      <x:alignment vertical="center"/>
    </x:xf>
    <x:xf numFmtId="167" fontId="1" fillId="0" borderId="0" xfId="0" applyNumberFormat="1" applyFont="1" applyAlignment="1">
      <x:alignment vertical="center"/>
    </x:xf>
    <x:xf numFmtId="0" fontId="1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3" fillId="2" borderId="0" xfId="0" applyFont="1" applyFill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8" fillId="3" borderId="1" xfId="0" applyNumberFormat="1" applyFont="1" applyFill="1" applyBorder="1" applyAlignment="1">
      <x:alignment horizontal="center" vertical="center" wrapText="1"/>
    </x:xf>
    <x:xf numFmtId="0" fontId="8" fillId="3" borderId="2" xfId="0" applyNumberFormat="1" applyFont="1" applyFill="1" applyBorder="1" applyAlignment="1">
      <x:alignment horizontal="center" vertical="center" wrapText="1"/>
    </x:xf>
    <x:xf numFmtId="0" fontId="8" fillId="3" borderId="3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164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202" fontId="11" fillId="0" borderId="0" xfId="0" applyNumberFormat="1" applyFont="1" applyFill="1" applyBorder="1" applyAlignment="1">
      <x:alignment vertical="center"/>
    </x:xf>
    <x:xf numFmtId="164" fontId="11" fillId="0" borderId="0" xfId="0" applyNumberFormat="1" applyFont="1" applyFill="1" applyBorder="1" applyAlignment="1">
      <x:alignment vertical="center"/>
    </x:xf>
    <x:xf numFmtId="203" fontId="11" fillId="0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/>
    </x:xf>
    <x:xf numFmtId="202" fontId="11" fillId="4" borderId="0" xfId="0" applyNumberFormat="1" applyFont="1" applyFill="1" applyBorder="1" applyAlignment="1">
      <x:alignment vertical="center"/>
    </x:xf>
    <x:xf numFmtId="164" fontId="11" fillId="4" borderId="0" xfId="0" applyNumberFormat="1" applyFont="1" applyFill="1" applyBorder="1" applyAlignment="1">
      <x:alignment vertical="center"/>
    </x:xf>
    <x:xf numFmtId="203" fontId="11" fillId="4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2" fillId="5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204" fontId="6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203" fontId="13" fillId="0" borderId="0" xfId="0" applyNumberFormat="1" applyFont="1" applyFill="1" applyBorder="1" applyAlignment="1">
      <x:alignment vertical="center"/>
    </x:xf>
    <x:xf numFmtId="204" fontId="13" fillId="0" borderId="0" xfId="0" applyNumberFormat="1" applyFont="1" applyFill="1" applyBorder="1" applyAlignment="1">
      <x:alignment vertical="center"/>
    </x:xf>
    <x:xf numFmtId="164" fontId="13" fillId="0" borderId="0" xfId="0" applyNumberFormat="1" applyFont="1" applyFill="1" applyBorder="1" applyAlignment="1">
      <x:alignment vertical="center"/>
    </x:xf>
    <x:xf numFmtId="205" fontId="6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 wrapText="1"/>
    </x:xf>
    <x:xf numFmtId="205" fontId="13" fillId="0" borderId="0" xfId="0" applyNumberFormat="1" applyFont="1" applyFill="1" applyBorder="1" applyAlignment="1">
      <x:alignment vertical="center"/>
    </x:xf>
    <x:xf numFmtId="206" fontId="6" fillId="0" borderId="0" xfId="0" applyNumberFormat="1" applyFont="1" applyFill="1" applyBorder="1" applyAlignment="1">
      <x:alignment vertical="center"/>
    </x:xf>
    <x:xf numFmtId="206" fontId="6" fillId="0" borderId="0" xfId="0" applyNumberFormat="1" applyFont="1" applyFill="1" applyBorder="1" applyAlignment="1">
      <x:alignment vertical="center" wrapText="1"/>
    </x:xf>
    <x:xf numFmtId="201" fontId="13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805A00"/>
      </x:font>
      <x:fill>
        <x:patternFill patternType="solid">
          <x:bgColor rgb="FFFFF5CC"/>
        </x:patternFill>
      </x:fill>
    </x:dxf>
    <x:dxf>
      <x:font>
        <x:color rgb="FF805A00"/>
      </x:font>
      <x:fill>
        <x:patternFill patternType="solid">
          <x:bgColor rgb="FFFFF5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955c4d3b37490e" /><Relationship Type="http://schemas.openxmlformats.org/officeDocument/2006/relationships/theme" Target="/xl/theme/theme1.xml" Id="Raad9591c133140c1" /><Relationship Type="http://schemas.openxmlformats.org/officeDocument/2006/relationships/sharedStrings" Target="/xl/sharedStrings.xml" Id="R8a6a710de5ab4836" /><Relationship Type="http://schemas.openxmlformats.org/officeDocument/2006/relationships/worksheet" Target="/xl/worksheets/sheet1.xml" Id="Rbc842abe387d44a5" /><Relationship Type="http://schemas.openxmlformats.org/officeDocument/2006/relationships/worksheet" Target="/xl/worksheets/sheet2.xml" Id="R5728b68d29cf4ee3" /><Relationship Type="http://schemas.openxmlformats.org/officeDocument/2006/relationships/worksheet" Target="/xl/worksheets/sheet3.xml" Id="Rda96ffa4cf194593" /><Relationship Type="http://schemas.openxmlformats.org/officeDocument/2006/relationships/worksheet" Target="/xl/worksheets/sheet4.xml" Id="Rcbed05230c7f4418" /><Relationship Type="http://schemas.openxmlformats.org/officeDocument/2006/relationships/worksheet" Target="/xl/worksheets/sheet5.xml" Id="R5ef9c136cd4940b3" /><Relationship Type="http://schemas.openxmlformats.org/officeDocument/2006/relationships/worksheet" Target="/xl/worksheets/sheet6.xml" Id="R27f1abc69902436a" /></Relationships>
</file>

<file path=xl/tables/table1.xml><?xml version="1.0" encoding="utf-8"?>
<x:table xmlns:x="http://schemas.openxmlformats.org/spreadsheetml/2006/main" id="2" name="WeeklyArbitrageProducts" displayName="WeeklyArbitrageProducts" ref="A1:AF84" totalsRowShown="0">
  <x:autoFilter ref="A1:AF84"/>
  <x:tableColumns count="32">
    <x:tableColumn id="1" name="序号"/>
    <x:tableColumn id="2" name="产品ID"/>
    <x:tableColumn id="3" name="产品名称"/>
    <x:tableColumn id="4" name="类型"/>
    <x:tableColumn id="5" name="统一策略类型"/>
    <x:tableColumn id="6" name="是否套利策略"/>
    <x:tableColumn id="7" name="策略判定来源"/>
    <x:tableColumn id="8" name="火富牛策略路径"/>
    <x:tableColumn id="9" name="当前净值"/>
    <x:tableColumn id="10" name="净值日期"/>
    <x:tableColumn id="11" name="净值来源"/>
    <x:tableColumn id="12" name="成立日期"/>
    <x:tableColumn id="13" name="成立以来收益"/>
    <x:tableColumn id="14" name="今年以来收益"/>
    <x:tableColumn id="15" name="成立以来年化"/>
    <x:tableColumn id="16" name="成立以来最大回撤"/>
    <x:tableColumn id="17" name="成立以来夏普"/>
    <x:tableColumn id="18" name="备案编号"/>
    <x:tableColumn id="19" name="私募管理人"/>
    <x:tableColumn id="20" name="历史净值行数"/>
    <x:tableColumn id="21" name="历史起始"/>
    <x:tableColumn id="22" name="历史截止"/>
    <x:tableColumn id="23" name="末条复权净值"/>
    <x:tableColumn id="24" name="跟踪来源"/>
    <x:tableColumn id="25" name="上海分公司策略分类"/>
    <x:tableColumn id="26" name="傲创二级策略"/>
    <x:tableColumn id="27" name="上海来源日期"/>
    <x:tableColumn id="28" name="傲创来源日期"/>
    <x:tableColumn id="29" name="指标来源"/>
    <x:tableColumn id="30" name="数据状态"/>
    <x:tableColumn id="31" name="来源URL"/>
    <x:tableColumn id="32" name="是否上架"/>
  </x:tableColumns>
  <x:tableStyleInfo name="TableStyleMedium7" showFirstColumn="0" showLastColumn="0" showRowStripes="1" showColumnStripes="0"/>
</x:table>
</file>

<file path=xl/tables/table2.xml><?xml version="1.0" encoding="utf-8"?>
<x:table xmlns:x="http://schemas.openxmlformats.org/spreadsheetml/2006/main" id="5" name="FofDetail" displayName="FofDetail" ref="A16:BI99" headerRowCount="1" totalsRowCount="0" totalsRowShown="0">
  <x:autoFilter ref="A16:BI99"/>
  <x:tableColumns count="61">
    <x:tableColumn id="1" name="序号"/>
    <x:tableColumn id="2" name="产品名称"/>
    <x:tableColumn id="3" name="备案号"/>
    <x:tableColumn id="4" name="管理人"/>
    <x:tableColumn id="5" name="产品成立日期"/>
    <x:tableColumn id="6" name="产品成立年限（年）"/>
    <x:tableColumn id="7" name="入池状态"/>
    <x:tableColumn id="8" name="管理规模区间（亿元）"/>
    <x:tableColumn id="9" name="管理人规模分"/>
    <x:tableColumn id="10" name="产品规模公示标识"/>
    <x:tableColumn id="11" name="产品规模分"/>
    <x:tableColumn id="12" name="成立年限分"/>
    <x:tableColumn id="13" name="R_1y"/>
    <x:tableColumn id="14" name="R_3y"/>
    <x:tableColumn id="15" name="R_incep（补录）"/>
    <x:tableColumn id="16" name="R_early"/>
    <x:tableColumn id="17" name="R_1y排名分"/>
    <x:tableColumn id="18" name="R_early排名分"/>
    <x:tableColumn id="19" name="年化收益分（可用折算）"/>
    <x:tableColumn id="20" name="近1年月胜率"/>
    <x:tableColumn id="21" name="近3年月胜率"/>
    <x:tableColumn id="22" name="早期月胜率"/>
    <x:tableColumn id="23" name="近1年月胜率分"/>
    <x:tableColumn id="24" name="早期月胜率分"/>
    <x:tableColumn id="25" name="月度胜率分（可用折算）"/>
    <x:tableColumn id="26" name="DD_1y"/>
    <x:tableColumn id="27" name="DD_3y"/>
    <x:tableColumn id="28" name="统一最大回撤"/>
    <x:tableColumn id="29" name="最大回撤分"/>
    <x:tableColumn id="30" name="短期卡玛"/>
    <x:tableColumn id="31" name="可识别DD_long"/>
    <x:tableColumn id="32" name="长期卡玛"/>
    <x:tableColumn id="33" name="短期卡玛分"/>
    <x:tableColumn id="34" name="长期卡玛分"/>
    <x:tableColumn id="35" name="卡玛比率分（可用折算）"/>
    <x:tableColumn id="36" name="趋势比较基准"/>
    <x:tableColumn id="37" name="收益趋势分"/>
    <x:tableColumn id="38" name="管理人及产品大类分"/>
    <x:tableColumn id="39" name="收益能力大类分"/>
    <x:tableColumn id="40" name="风险控制大类分"/>
    <x:tableColumn id="41" name="风险调整收益大类分"/>
    <x:tableColumn id="42" name="趋势大类分"/>
    <x:tableColumn id="43" name="有效二级权重"/>
    <x:tableColumn id="44" name="加权总分（不补缺）"/>
    <x:tableColumn id="45" name="可比总分（归一）"/>
    <x:tableColumn id="46" name="唯一排名"/>
    <x:tableColumn id="47" name="数据缺口"/>
    <x:tableColumn id="48" name="严格总分"/>
    <x:tableColumn id="49" name="数据完整性"/>
    <x:tableColumn id="50" name="平台一级策略"/>
    <x:tableColumn id="51" name="平台二级策略"/>
    <x:tableColumn id="52" name="原表策略参考"/>
    <x:tableColumn id="53" name="原表行号"/>
    <x:tableColumn id="54" name="匹配状态"/>
    <x:tableColumn id="55" name="来源URL"/>
    <x:tableColumn id="56" name="指标截止日"/>
    <x:tableColumn id="57" name="管理人规模来源"/>
    <x:tableColumn id="58" name="规模日期"/>
    <x:tableColumn id="59" name="产品标识来源"/>
    <x:tableColumn id="60" name="标识日期"/>
    <x:tableColumn id="61" name="查询备案号线索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FofSummary" displayName="FofSummary" ref="A5:AB88" headerRowCount="1" totalsRowCount="0" totalsRowShown="0">
  <x:autoFilter ref="A5:AB88"/>
  <x:tableColumns count="28">
    <x:tableColumn id="1" name="排名"/>
    <x:tableColumn id="2" name="产品名称"/>
    <x:tableColumn id="3" name="备案号"/>
    <x:tableColumn id="4" name="管理人"/>
    <x:tableColumn id="5" name="入池状态"/>
    <x:tableColumn id="6" name="管理人规模分"/>
    <x:tableColumn id="7" name="产品规模分"/>
    <x:tableColumn id="8" name="成立年限分"/>
    <x:tableColumn id="9" name="年化收益分（可用折算）"/>
    <x:tableColumn id="10" name="月度胜率分（可用折算）"/>
    <x:tableColumn id="11" name="最大回撤分"/>
    <x:tableColumn id="12" name="卡玛比率分（可用折算）"/>
    <x:tableColumn id="13" name="收益趋势分"/>
    <x:tableColumn id="14" name="管理人及产品"/>
    <x:tableColumn id="15" name="收益能力"/>
    <x:tableColumn id="16" name="风险控制"/>
    <x:tableColumn id="17" name="风险调整收益"/>
    <x:tableColumn id="18" name="业绩一致性/趋势"/>
    <x:tableColumn id="19" name="有效权重"/>
    <x:tableColumn id="20" name="加权总分（不补缺）"/>
    <x:tableColumn id="21" name="可比总分"/>
    <x:tableColumn id="22" name="严格总分"/>
    <x:tableColumn id="23" name="数据缺口"/>
    <x:tableColumn id="24" name="明细相对行"/>
    <x:tableColumn id="25" name="平台一级策略"/>
    <x:tableColumn id="26" name="平台二级策略"/>
    <x:tableColumn id="27" name="数据完整性"/>
    <x:tableColumn id="28" name="原表序号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FofRaw" displayName="FofRaw" ref="A1:R84" headerRowCount="1" totalsRowCount="0" totalsRowShown="0">
  <x:autoFilter ref="A1:R84"/>
  <x:tableColumns count="18">
    <x:tableColumn id="1" name="产品名称"/>
    <x:tableColumn id="2" name="备案号"/>
    <x:tableColumn id="3" name="一级策略"/>
    <x:tableColumn id="4" name="二级策略"/>
    <x:tableColumn id="5" name="管理人"/>
    <x:tableColumn id="6" name="成立日期"/>
    <x:tableColumn id="7" name="近一年年化收益"/>
    <x:tableColumn id="8" name="近三年年化收益"/>
    <x:tableColumn id="9" name="近三年月胜率"/>
    <x:tableColumn id="10" name="近一年月胜率"/>
    <x:tableColumn id="11" name="近三年最大回撤"/>
    <x:tableColumn id="12" name="近三年卡玛比率"/>
    <x:tableColumn id="13" name="近一年卡玛比率"/>
    <x:tableColumn id="14" name="基准指数"/>
    <x:tableColumn id="15" name="指标截止日"/>
    <x:tableColumn id="16" name="提取日期"/>
    <x:tableColumn id="17" name="来源URL"/>
    <x:tableColumn id="18" name="匹配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FofAudit" displayName="FofAudit" ref="A1:V84" headerRowCount="1" totalsRowCount="0" totalsRowShown="0">
  <x:autoFilter ref="A1:V84"/>
  <x:tableColumns count="22">
    <x:tableColumn id="1" name="原表行号"/>
    <x:tableColumn id="2" name="原表产品名称"/>
    <x:tableColumn id="3" name="原表备案号"/>
    <x:tableColumn id="4" name="查询备案号线索"/>
    <x:tableColumn id="5" name="平台备案号"/>
    <x:tableColumn id="6" name="匹配状态"/>
    <x:tableColumn id="7" name="提取日期"/>
    <x:tableColumn id="8" name="指标截止日"/>
    <x:tableColumn id="9" name="产品来源URL"/>
    <x:tableColumn id="10" name="导出文件名"/>
    <x:tableColumn id="11" name="管理人规模区间"/>
    <x:tableColumn id="12" name="管理人规模来源"/>
    <x:tableColumn id="13" name="管理人规模日期"/>
    <x:tableColumn id="14" name="低于1000万提示（1有/0无）"/>
    <x:tableColumn id="15" name="产品标识来源"/>
    <x:tableColumn id="16" name="产品标识核验日期"/>
    <x:tableColumn id="17" name="成立以来年化收益"/>
    <x:tableColumn id="18" name="查询与数据说明"/>
    <x:tableColumn id="19" name="原表统一策略"/>
    <x:tableColumn id="20" name="协会产品名称"/>
    <x:tableColumn id="21" name="协会备案号"/>
    <x:tableColumn id="22" name="已精确匹配完整公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4333b64a8342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6235fe9f6c4a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f37419eb5247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3f365dcb3e4a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99947620244772" /></Relationships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baseColWidth="10" defaultColWidth="8.83203125" defaultRowHeight="14"/>
  <x:cols>
    <x:col min="1" max="1" width="8" customWidth="1"/>
    <x:col min="2" max="2" width="20" customWidth="1"/>
    <x:col min="3" max="3" width="32" customWidth="1"/>
    <x:col min="4" max="4" width="13" customWidth="1"/>
    <x:col min="5" max="5" width="24" customWidth="1"/>
    <x:col min="6" max="6" width="18" customWidth="1"/>
    <x:col min="7" max="7" width="40" customWidth="1"/>
    <x:col min="8" max="8" width="48" customWidth="1"/>
    <x:col min="9" max="9" width="16" customWidth="1"/>
    <x:col min="10" max="10" width="14" customWidth="1"/>
    <x:col min="11" max="11" width="16" customWidth="1"/>
    <x:col min="12" max="12" width="14" customWidth="1"/>
    <x:col min="13" max="20" width="16" customWidth="1"/>
    <x:col min="21" max="22" width="14" customWidth="1"/>
    <x:col min="23" max="23" width="16" customWidth="1"/>
    <x:col min="24" max="24" width="43" customWidth="1"/>
    <x:col min="25" max="26" width="40" customWidth="1"/>
    <x:col min="27" max="28" width="22" customWidth="1"/>
    <x:col min="29" max="29" width="44" customWidth="1"/>
    <x:col min="30" max="30" width="56" customWidth="1"/>
    <x:col min="31" max="31" width="55" customWidth="1"/>
    <x:col min="32" max="32" width="16" customWidth="1"/>
  </x:cols>
  <x:sheetData>
    <x:row r="1" ht="40" customHeight="1">
      <x:c r="A1" s="9" t="s">
        <x:v>0</x:v>
      </x:c>
      <x:c r="B1" s="9" t="s">
        <x:v>1</x:v>
      </x:c>
      <x:c r="C1" s="9" t="s">
        <x:v>2</x:v>
      </x:c>
      <x:c r="D1" s="9" t="s">
        <x:v>3</x:v>
      </x:c>
      <x:c r="E1" s="9" t="s">
        <x:v>4</x:v>
      </x:c>
      <x:c r="F1" s="9" t="s">
        <x:v>5</x:v>
      </x:c>
      <x:c r="G1" s="9" t="s">
        <x:v>6</x:v>
      </x:c>
      <x:c r="H1" s="9" t="s">
        <x:v>7</x:v>
      </x:c>
      <x:c r="I1" s="9" t="s">
        <x:v>8</x:v>
      </x:c>
      <x:c r="J1" s="9" t="s">
        <x:v>9</x:v>
      </x:c>
      <x:c r="K1" s="9" t="s">
        <x:v>10</x:v>
      </x:c>
      <x:c r="L1" s="9" t="s">
        <x:v>11</x:v>
      </x:c>
      <x:c r="M1" s="9" t="s">
        <x:v>12</x:v>
      </x:c>
      <x:c r="N1" s="9" t="s">
        <x:v>13</x:v>
      </x:c>
      <x:c r="O1" s="9" t="s">
        <x:v>14</x:v>
      </x:c>
      <x:c r="P1" s="9" t="s">
        <x:v>15</x:v>
      </x:c>
      <x:c r="Q1" s="9" t="s">
        <x:v>16</x:v>
      </x:c>
      <x:c r="R1" s="9" t="s">
        <x:v>17</x:v>
      </x:c>
      <x:c r="S1" s="9" t="s">
        <x:v>18</x:v>
      </x:c>
      <x:c r="T1" s="9" t="s">
        <x:v>19</x:v>
      </x:c>
      <x:c r="U1" s="9" t="s">
        <x:v>20</x:v>
      </x:c>
      <x:c r="V1" s="9" t="s">
        <x:v>21</x:v>
      </x:c>
      <x:c r="W1" s="9" t="s">
        <x:v>22</x:v>
      </x:c>
      <x:c r="X1" s="9" t="s">
        <x:v>23</x:v>
      </x:c>
      <x:c r="Y1" s="9" t="s">
        <x:v>24</x:v>
      </x:c>
      <x:c r="Z1" s="9" t="s">
        <x:v>25</x:v>
      </x:c>
      <x:c r="AA1" s="9" t="s">
        <x:v>26</x:v>
      </x:c>
      <x:c r="AB1" s="9" t="s">
        <x:v>27</x:v>
      </x:c>
      <x:c r="AC1" s="9" t="s">
        <x:v>28</x:v>
      </x:c>
      <x:c r="AD1" s="9" t="s">
        <x:v>29</x:v>
      </x:c>
      <x:c r="AE1" s="9" t="s">
        <x:v>30</x:v>
      </x:c>
      <x:c r="AF1" s="9" t="s">
        <x:v>31</x:v>
      </x:c>
    </x:row>
    <x:row r="2" ht="40" customHeight="1">
      <x:c r="A2" s="2">
        <x:v>1</x:v>
      </x:c>
      <x:c r="B2" s="3" t="s">
        <x:v>32</x:v>
      </x:c>
      <x:c r="C2" s="1" t="s">
        <x:v>33</x:v>
      </x:c>
      <x:c r="D2" s="1" t="s">
        <x:v>34</x:v>
      </x:c>
      <x:c r="E2" s="8" t="s">
        <x:v>35</x:v>
      </x:c>
      <x:c r="F2" s="1" t="s">
        <x:v>36</x:v>
      </x:c>
      <x:c r="G2" s="8" t="s">
        <x:v>37</x:v>
      </x:c>
      <x:c r="H2" s="8" t="s">
        <x:v>38</x:v>
      </x:c>
      <x:c r="I2" s="4">
        <x:v>1.0569999999999999</x:v>
      </x:c>
      <x:c r="J2" s="5">
        <x:v>46262</x:v>
      </x:c>
      <x:c r="K2" s="1" t="s">
        <x:v>39</x:v>
      </x:c>
      <x:c r="L2" s="5">
        <x:v>43710</x:v>
      </x:c>
      <x:c r="M2" s="6">
        <x:v>0.9919</x:v>
      </x:c>
      <x:c r="N2" s="6">
        <x:v>9.0700000000000003E-2</x:v>
      </x:c>
      <x:c r="O2" s="6">
        <x:v>0.1419</x:v>
      </x:c>
      <x:c r="P2" s="6">
        <x:v>2.5600000000000001E-2</x:v>
      </x:c>
      <x:c r="Q2" s="7">
        <x:v>3.6496</x:v>
      </x:c>
      <x:c r="R2" s="3" t="s">
        <x:v>40</x:v>
      </x:c>
      <x:c r="S2" s="1" t="s">
        <x:v>41</x:v>
      </x:c>
      <x:c r="T2" s="2">
        <x:v>364</x:v>
      </x:c>
      <x:c r="U2" s="5">
        <x:v>43710</x:v>
      </x:c>
      <x:c r="V2" s="5">
        <x:v>46262</x:v>
      </x:c>
      <x:c r="W2" s="4">
        <x:v>1.99194442</x:v>
      </x:c>
      <x:c r="X2" s="8" t="s">
        <x:v>42</x:v>
      </x:c>
      <x:c r="Y2" s="8"/>
      <x:c r="Z2" s="8" t="s">
        <x:v>43</x:v>
      </x:c>
      <x:c r="AA2" s="5"/>
      <x:c r="AB2" s="5">
        <x:v>46269</x:v>
      </x:c>
      <x:c r="AC2" s="8" t="s">
        <x:v>44</x:v>
      </x:c>
      <x:c r="AD2" s="8" t="s">
        <x:v>45</x:v>
      </x:c>
      <x:c r="AE2" s="1" t="s">
        <x:v>46</x:v>
      </x:c>
      <x:c r="AF2" s="1" t="s">
        <x:v>47</x:v>
      </x:c>
    </x:row>
    <x:row r="3" ht="40" customHeight="1">
      <x:c r="A3" s="2">
        <x:v>2</x:v>
      </x:c>
      <x:c r="B3" s="3" t="s">
        <x:v>48</x:v>
      </x:c>
      <x:c r="C3" s="1" t="s">
        <x:v>49</x:v>
      </x:c>
      <x:c r="D3" s="1" t="s">
        <x:v>34</x:v>
      </x:c>
      <x:c r="E3" s="8" t="s">
        <x:v>50</x:v>
      </x:c>
      <x:c r="F3" s="1" t="s">
        <x:v>36</x:v>
      </x:c>
      <x:c r="G3" s="8" t="s">
        <x:v>51</x:v>
      </x:c>
      <x:c r="H3" s="8" t="s">
        <x:v>52</x:v>
      </x:c>
      <x:c r="I3" s="4">
        <x:v>2.2816000000000001</x:v>
      </x:c>
      <x:c r="J3" s="5">
        <x:v>46262</x:v>
      </x:c>
      <x:c r="K3" s="1" t="s">
        <x:v>39</x:v>
      </x:c>
      <x:c r="L3" s="5">
        <x:v>44897</x:v>
      </x:c>
      <x:c r="M3" s="6">
        <x:v>1.2816000000000001</x:v>
      </x:c>
      <x:c r="N3" s="6">
        <x:v>0.11417130579158119</x:v>
      </x:c>
      <x:c r="O3" s="6">
        <x:v>0.34269890109890111</x:v>
      </x:c>
      <x:c r="P3" s="6">
        <x:v>0.13061535853534498</x:v>
      </x:c>
      <x:c r="Q3" s="7">
        <x:v>1.9499123796531219</x:v>
      </x:c>
      <x:c r="R3" s="3" t="s">
        <x:v>53</x:v>
      </x:c>
      <x:c r="S3" s="1" t="s">
        <x:v>54</x:v>
      </x:c>
      <x:c r="T3" s="2">
        <x:v>682</x:v>
      </x:c>
      <x:c r="U3" s="5">
        <x:v>44897</x:v>
      </x:c>
      <x:c r="V3" s="5">
        <x:v>46262</x:v>
      </x:c>
      <x:c r="W3" s="4">
        <x:v>2.2816000000000001</x:v>
      </x:c>
      <x:c r="X3" s="8" t="s">
        <x:v>55</x:v>
      </x:c>
      <x:c r="Y3" s="8" t="s">
        <x:v>56</x:v>
      </x:c>
      <x:c r="Z3" s="8"/>
      <x:c r="AA3" s="5">
        <x:v>46262</x:v>
      </x:c>
      <x:c r="AB3" s="5"/>
      <x:c r="AC3" s="8" t="s">
        <x:v>57</x:v>
      </x:c>
      <x:c r="AD3" s="8" t="s">
        <x:v>45</x:v>
      </x:c>
      <x:c r="AE3" s="1" t="s">
        <x:v>58</x:v>
      </x:c>
      <x:c r="AF3" s="1" t="s">
        <x:v>47</x:v>
      </x:c>
    </x:row>
    <x:row r="4" ht="40" customHeight="1">
      <x:c r="A4" s="2">
        <x:v>3</x:v>
      </x:c>
      <x:c r="B4" s="3" t="s">
        <x:v>59</x:v>
      </x:c>
      <x:c r="C4" s="1" t="s">
        <x:v>60</x:v>
      </x:c>
      <x:c r="D4" s="1" t="s">
        <x:v>34</x:v>
      </x:c>
      <x:c r="E4" s="8" t="s">
        <x:v>61</x:v>
      </x:c>
      <x:c r="F4" s="1" t="s">
        <x:v>36</x:v>
      </x:c>
      <x:c r="G4" s="8" t="s">
        <x:v>37</x:v>
      </x:c>
      <x:c r="H4" s="8" t="s">
        <x:v>62</x:v>
      </x:c>
      <x:c r="I4" s="4">
        <x:v>1.2142999999999999</x:v>
      </x:c>
      <x:c r="J4" s="5">
        <x:v>46262</x:v>
      </x:c>
      <x:c r="K4" s="1" t="s">
        <x:v>39</x:v>
      </x:c>
      <x:c r="L4" s="5">
        <x:v>44788</x:v>
      </x:c>
      <x:c r="M4" s="6">
        <x:v>0.21530000000000002</x:v>
      </x:c>
      <x:c r="N4" s="6">
        <x:v>-9.8999999999999991E-3</x:v>
      </x:c>
      <x:c r="O4" s="6">
        <x:v>5.3499999999999999E-2</x:v>
      </x:c>
      <x:c r="P4" s="6">
        <x:v>4.4999999999999998E-2</x:v>
      </x:c>
      <x:c r="Q4" s="7">
        <x:v>1.0017</x:v>
      </x:c>
      <x:c r="R4" s="3" t="s">
        <x:v>63</x:v>
      </x:c>
      <x:c r="S4" s="1" t="s">
        <x:v>64</x:v>
      </x:c>
      <x:c r="T4" s="2">
        <x:v>205</x:v>
      </x:c>
      <x:c r="U4" s="5">
        <x:v>44792</x:v>
      </x:c>
      <x:c r="V4" s="5">
        <x:v>46262</x:v>
      </x:c>
      <x:c r="W4" s="4">
        <x:v>1.2142999999999999</x:v>
      </x:c>
      <x:c r="X4" s="8" t="s">
        <x:v>42</x:v>
      </x:c>
      <x:c r="Y4" s="8"/>
      <x:c r="Z4" s="8" t="s">
        <x:v>65</x:v>
      </x:c>
      <x:c r="AA4" s="5"/>
      <x:c r="AB4" s="5">
        <x:v>46269</x:v>
      </x:c>
      <x:c r="AC4" s="8" t="s">
        <x:v>66</x:v>
      </x:c>
      <x:c r="AD4" s="8" t="s">
        <x:v>45</x:v>
      </x:c>
      <x:c r="AE4" s="1" t="s">
        <x:v>67</x:v>
      </x:c>
      <x:c r="AF4" s="1" t="s">
        <x:v>47</x:v>
      </x:c>
    </x:row>
    <x:row r="5" ht="40" customHeight="1">
      <x:c r="A5" s="2">
        <x:v>4</x:v>
      </x:c>
      <x:c r="B5" s="3" t="s">
        <x:v>68</x:v>
      </x:c>
      <x:c r="C5" s="1" t="s">
        <x:v>69</x:v>
      </x:c>
      <x:c r="D5" s="1" t="s">
        <x:v>34</x:v>
      </x:c>
      <x:c r="E5" s="8" t="s">
        <x:v>70</x:v>
      </x:c>
      <x:c r="F5" s="1" t="s">
        <x:v>36</x:v>
      </x:c>
      <x:c r="G5" s="8" t="s">
        <x:v>37</x:v>
      </x:c>
      <x:c r="H5" s="8" t="s">
        <x:v>71</x:v>
      </x:c>
      <x:c r="I5" s="4">
        <x:v>1.0812999999999999</x:v>
      </x:c>
      <x:c r="J5" s="5">
        <x:v>46262</x:v>
      </x:c>
      <x:c r="K5" s="1" t="s">
        <x:v>39</x:v>
      </x:c>
      <x:c r="L5" s="5">
        <x:v>44624</x:v>
      </x:c>
      <x:c r="M5" s="6">
        <x:v>0.82620000000000005</x:v>
      </x:c>
      <x:c r="N5" s="6">
        <x:v>0.13769999999999999</x:v>
      </x:c>
      <x:c r="O5" s="6">
        <x:v>0.18410000000000001</x:v>
      </x:c>
      <x:c r="P5" s="6">
        <x:v>2.5699999999999997E-2</x:v>
      </x:c>
      <x:c r="Q5" s="7">
        <x:v>2.3147000000000002</x:v>
      </x:c>
      <x:c r="R5" s="3" t="s">
        <x:v>72</x:v>
      </x:c>
      <x:c r="S5" s="1" t="s">
        <x:v>73</x:v>
      </x:c>
      <x:c r="T5" s="2">
        <x:v>256</x:v>
      </x:c>
      <x:c r="U5" s="5">
        <x:v>44624</x:v>
      </x:c>
      <x:c r="V5" s="5">
        <x:v>46262</x:v>
      </x:c>
      <x:c r="W5" s="4">
        <x:v>1.82618982</x:v>
      </x:c>
      <x:c r="X5" s="8" t="s">
        <x:v>42</x:v>
      </x:c>
      <x:c r="Y5" s="8"/>
      <x:c r="Z5" s="8" t="s">
        <x:v>74</x:v>
      </x:c>
      <x:c r="AA5" s="5"/>
      <x:c r="AB5" s="5">
        <x:v>46269</x:v>
      </x:c>
      <x:c r="AC5" s="8" t="s">
        <x:v>44</x:v>
      </x:c>
      <x:c r="AD5" s="8" t="s">
        <x:v>45</x:v>
      </x:c>
      <x:c r="AE5" s="1" t="s">
        <x:v>75</x:v>
      </x:c>
      <x:c r="AF5" s="1" t="s">
        <x:v>47</x:v>
      </x:c>
    </x:row>
    <x:row r="6" ht="40" customHeight="1">
      <x:c r="A6" s="2">
        <x:v>5</x:v>
      </x:c>
      <x:c r="B6" s="3" t="s">
        <x:v>76</x:v>
      </x:c>
      <x:c r="C6" s="1" t="s">
        <x:v>77</x:v>
      </x:c>
      <x:c r="D6" s="1" t="s">
        <x:v>34</x:v>
      </x:c>
      <x:c r="E6" s="8" t="s">
        <x:v>35</x:v>
      </x:c>
      <x:c r="F6" s="1" t="s">
        <x:v>36</x:v>
      </x:c>
      <x:c r="G6" s="8" t="s">
        <x:v>37</x:v>
      </x:c>
      <x:c r="H6" s="8" t="s">
        <x:v>38</x:v>
      </x:c>
      <x:c r="I6" s="4">
        <x:v>1.0630999999999999</x:v>
      </x:c>
      <x:c r="J6" s="5">
        <x:v>46262</x:v>
      </x:c>
      <x:c r="K6" s="1" t="s">
        <x:v>39</x:v>
      </x:c>
      <x:c r="L6" s="5">
        <x:v>44895</x:v>
      </x:c>
      <x:c r="M6" s="6">
        <x:v>0.16920000000000002</x:v>
      </x:c>
      <x:c r="N6" s="6">
        <x:v>5.7999999999999996E-2</x:v>
      </x:c>
      <x:c r="O6" s="6">
        <x:v>4.5199999999999997E-2</x:v>
      </x:c>
      <x:c r="P6" s="6">
        <x:v>3.6600000000000001E-2</x:v>
      </x:c>
      <x:c r="Q6" s="7">
        <x:v>0.56179999999999997</x:v>
      </x:c>
      <x:c r="R6" s="3" t="s">
        <x:v>78</x:v>
      </x:c>
      <x:c r="S6" s="1" t="s">
        <x:v>73</x:v>
      </x:c>
      <x:c r="T6" s="2">
        <x:v>212</x:v>
      </x:c>
      <x:c r="U6" s="5">
        <x:v>44895</x:v>
      </x:c>
      <x:c r="V6" s="5">
        <x:v>46262</x:v>
      </x:c>
      <x:c r="W6" s="4">
        <x:v>1.16915196</x:v>
      </x:c>
      <x:c r="X6" s="8" t="s">
        <x:v>79</x:v>
      </x:c>
      <x:c r="Y6" s="8" t="s">
        <x:v>80</x:v>
      </x:c>
      <x:c r="Z6" s="8"/>
      <x:c r="AA6" s="5">
        <x:v>46262</x:v>
      </x:c>
      <x:c r="AB6" s="5"/>
      <x:c r="AC6" s="8" t="s">
        <x:v>44</x:v>
      </x:c>
      <x:c r="AD6" s="8" t="s">
        <x:v>45</x:v>
      </x:c>
      <x:c r="AE6" s="1" t="s">
        <x:v>81</x:v>
      </x:c>
      <x:c r="AF6" s="1" t="s">
        <x:v>47</x:v>
      </x:c>
    </x:row>
    <x:row r="7" ht="40" customHeight="1">
      <x:c r="A7" s="2">
        <x:v>6</x:v>
      </x:c>
      <x:c r="B7" s="3" t="s">
        <x:v>82</x:v>
      </x:c>
      <x:c r="C7" s="1" t="s">
        <x:v>83</x:v>
      </x:c>
      <x:c r="D7" s="1" t="s">
        <x:v>34</x:v>
      </x:c>
      <x:c r="E7" s="8" t="s">
        <x:v>35</x:v>
      </x:c>
      <x:c r="F7" s="1" t="s">
        <x:v>36</x:v>
      </x:c>
      <x:c r="G7" s="8" t="s">
        <x:v>37</x:v>
      </x:c>
      <x:c r="H7" s="8" t="s">
        <x:v>38</x:v>
      </x:c>
      <x:c r="I7" s="4">
        <x:v>1.5680000000000001</x:v>
      </x:c>
      <x:c r="J7" s="5">
        <x:v>46262</x:v>
      </x:c>
      <x:c r="K7" s="1" t="s">
        <x:v>39</x:v>
      </x:c>
      <x:c r="L7" s="5">
        <x:v>44867</x:v>
      </x:c>
      <x:c r="M7" s="6">
        <x:v>0.56799999999999995</x:v>
      </x:c>
      <x:c r="N7" s="6">
        <x:v>0.16600000000000001</x:v>
      </x:c>
      <x:c r="O7" s="6">
        <x:v>0.14859999999999998</x:v>
      </x:c>
      <x:c r="P7" s="6">
        <x:v>4.0999999999999995E-2</x:v>
      </x:c>
      <x:c r="Q7" s="7">
        <x:v>2.0619000000000001</x:v>
      </x:c>
      <x:c r="R7" s="3" t="s">
        <x:v>84</x:v>
      </x:c>
      <x:c r="S7" s="1" t="s">
        <x:v>85</x:v>
      </x:c>
      <x:c r="T7" s="2">
        <x:v>349</x:v>
      </x:c>
      <x:c r="U7" s="5">
        <x:v>44867</x:v>
      </x:c>
      <x:c r="V7" s="5">
        <x:v>46262</x:v>
      </x:c>
      <x:c r="W7" s="4">
        <x:v>1.5680000000000001</x:v>
      </x:c>
      <x:c r="X7" s="8" t="s">
        <x:v>42</x:v>
      </x:c>
      <x:c r="Y7" s="8"/>
      <x:c r="Z7" s="8" t="s">
        <x:v>43</x:v>
      </x:c>
      <x:c r="AA7" s="5"/>
      <x:c r="AB7" s="5">
        <x:v>46269</x:v>
      </x:c>
      <x:c r="AC7" s="8" t="s">
        <x:v>44</x:v>
      </x:c>
      <x:c r="AD7" s="8" t="s">
        <x:v>45</x:v>
      </x:c>
      <x:c r="AE7" s="1" t="s">
        <x:v>86</x:v>
      </x:c>
      <x:c r="AF7" s="1" t="s">
        <x:v>47</x:v>
      </x:c>
    </x:row>
    <x:row r="8" ht="40" customHeight="1">
      <x:c r="A8" s="2">
        <x:v>7</x:v>
      </x:c>
      <x:c r="B8" s="3" t="s">
        <x:v>87</x:v>
      </x:c>
      <x:c r="C8" s="1" t="s">
        <x:v>88</x:v>
      </x:c>
      <x:c r="D8" s="1" t="s">
        <x:v>34</x:v>
      </x:c>
      <x:c r="E8" s="8" t="s">
        <x:v>35</x:v>
      </x:c>
      <x:c r="F8" s="1" t="s">
        <x:v>36</x:v>
      </x:c>
      <x:c r="G8" s="8" t="s">
        <x:v>51</x:v>
      </x:c>
      <x:c r="H8" s="8" t="s">
        <x:v>89</x:v>
      </x:c>
      <x:c r="I8" s="4">
        <x:v>1.2708999999999999</x:v>
      </x:c>
      <x:c r="J8" s="5">
        <x:v>46262</x:v>
      </x:c>
      <x:c r="K8" s="1" t="s">
        <x:v>39</x:v>
      </x:c>
      <x:c r="L8" s="5">
        <x:v>44288</x:v>
      </x:c>
      <x:c r="M8" s="6">
        <x:v>0.39648299999999992</x:v>
      </x:c>
      <x:c r="N8" s="6">
        <x:v>4.6956091236575404E-2</x:v>
      </x:c>
      <x:c r="O8" s="6">
        <x:v>7.3311193009118522E-2</x:v>
      </x:c>
      <x:c r="P8" s="6">
        <x:v>1.1492092862759817E-2</x:v>
      </x:c>
      <x:c r="Q8" s="7">
        <x:v>3.194424210158759</x:v>
      </x:c>
      <x:c r="R8" s="3" t="s">
        <x:v>90</x:v>
      </x:c>
      <x:c r="S8" s="1" t="s">
        <x:v>91</x:v>
      </x:c>
      <x:c r="T8" s="2">
        <x:v>277</x:v>
      </x:c>
      <x:c r="U8" s="5">
        <x:v>44288</x:v>
      </x:c>
      <x:c r="V8" s="5">
        <x:v>46262</x:v>
      </x:c>
      <x:c r="W8" s="4">
        <x:v>1.3964829999999999</x:v>
      </x:c>
      <x:c r="X8" s="8" t="s">
        <x:v>55</x:v>
      </x:c>
      <x:c r="Y8" s="8" t="s">
        <x:v>92</x:v>
      </x:c>
      <x:c r="Z8" s="8"/>
      <x:c r="AA8" s="5">
        <x:v>46262</x:v>
      </x:c>
      <x:c r="AB8" s="5"/>
      <x:c r="AC8" s="8" t="s">
        <x:v>57</x:v>
      </x:c>
      <x:c r="AD8" s="8" t="s">
        <x:v>45</x:v>
      </x:c>
      <x:c r="AE8" s="1" t="s">
        <x:v>93</x:v>
      </x:c>
      <x:c r="AF8" s="1" t="s">
        <x:v>47</x:v>
      </x:c>
    </x:row>
    <x:row r="9" ht="40" customHeight="1">
      <x:c r="A9" s="2">
        <x:v>8</x:v>
      </x:c>
      <x:c r="B9" s="3" t="s">
        <x:v>94</x:v>
      </x:c>
      <x:c r="C9" s="1" t="s">
        <x:v>95</x:v>
      </x:c>
      <x:c r="D9" s="1" t="s">
        <x:v>34</x:v>
      </x:c>
      <x:c r="E9" s="8" t="s">
        <x:v>96</x:v>
      </x:c>
      <x:c r="F9" s="1" t="s">
        <x:v>36</x:v>
      </x:c>
      <x:c r="G9" s="8" t="s">
        <x:v>37</x:v>
      </x:c>
      <x:c r="H9" s="8" t="s">
        <x:v>97</x:v>
      </x:c>
      <x:c r="I9" s="4">
        <x:v>1.2726</x:v>
      </x:c>
      <x:c r="J9" s="5">
        <x:v>46262</x:v>
      </x:c>
      <x:c r="K9" s="1" t="s">
        <x:v>39</x:v>
      </x:c>
      <x:c r="L9" s="5">
        <x:v>44967</x:v>
      </x:c>
      <x:c r="M9" s="6">
        <x:v>0.27260000000000001</x:v>
      </x:c>
      <x:c r="N9" s="6">
        <x:v>2.18E-2</x:v>
      </x:c>
      <x:c r="O9" s="6">
        <x:v>7.6799999999999993E-2</x:v>
      </x:c>
      <x:c r="P9" s="6">
        <x:v>6.1999999999999998E-3</x:v>
      </x:c>
      <x:c r="Q9" s="7">
        <x:v>3.8037000000000001</x:v>
      </x:c>
      <x:c r="R9" s="3" t="s">
        <x:v>98</x:v>
      </x:c>
      <x:c r="S9" s="1" t="s">
        <x:v>99</x:v>
      </x:c>
      <x:c r="T9" s="2">
        <x:v>183</x:v>
      </x:c>
      <x:c r="U9" s="5">
        <x:v>44967</x:v>
      </x:c>
      <x:c r="V9" s="5">
        <x:v>46262</x:v>
      </x:c>
      <x:c r="W9" s="4">
        <x:v>1.2726</x:v>
      </x:c>
      <x:c r="X9" s="8" t="s">
        <x:v>100</x:v>
      </x:c>
      <x:c r="Y9" s="8" t="s">
        <x:v>101</x:v>
      </x:c>
      <x:c r="Z9" s="8"/>
      <x:c r="AA9" s="5">
        <x:v>46262</x:v>
      </x:c>
      <x:c r="AB9" s="5">
        <x:v>46274</x:v>
      </x:c>
      <x:c r="AC9" s="8" t="s">
        <x:v>44</x:v>
      </x:c>
      <x:c r="AD9" s="8" t="s">
        <x:v>45</x:v>
      </x:c>
      <x:c r="AE9" s="1" t="s">
        <x:v>102</x:v>
      </x:c>
      <x:c r="AF9" s="1" t="s">
        <x:v>47</x:v>
      </x:c>
    </x:row>
    <x:row r="10" ht="40" customHeight="1">
      <x:c r="A10" s="2">
        <x:v>9</x:v>
      </x:c>
      <x:c r="B10" s="3" t="s">
        <x:v>103</x:v>
      </x:c>
      <x:c r="C10" s="1" t="s">
        <x:v>104</x:v>
      </x:c>
      <x:c r="D10" s="1" t="s">
        <x:v>34</x:v>
      </x:c>
      <x:c r="E10" s="8" t="s">
        <x:v>96</x:v>
      </x:c>
      <x:c r="F10" s="1" t="s">
        <x:v>36</x:v>
      </x:c>
      <x:c r="G10" s="8" t="s">
        <x:v>51</x:v>
      </x:c>
      <x:c r="H10" s="8" t="s">
        <x:v>97</x:v>
      </x:c>
      <x:c r="I10" s="4">
        <x:v>1.2806999999999999</x:v>
      </x:c>
      <x:c r="J10" s="5">
        <x:v>46262</x:v>
      </x:c>
      <x:c r="K10" s="1" t="s">
        <x:v>39</x:v>
      </x:c>
      <x:c r="L10" s="5">
        <x:v>44966</x:v>
      </x:c>
      <x:c r="M10" s="6">
        <x:v>0.28069999999999995</x:v>
      </x:c>
      <x:c r="N10" s="6">
        <x:v>2.4068447145370264E-2</x:v>
      </x:c>
      <x:c r="O10" s="6">
        <x:v>7.9055169753086393E-2</x:v>
      </x:c>
      <x:c r="P10" s="6">
        <x:v>4.215785775626227E-3</x:v>
      </x:c>
      <x:c r="Q10" s="7">
        <x:v>3.9513089982761218</x:v>
      </x:c>
      <x:c r="R10" s="3" t="s">
        <x:v>105</x:v>
      </x:c>
      <x:c r="S10" s="1" t="s">
        <x:v>99</x:v>
      </x:c>
      <x:c r="T10" s="2">
        <x:v>185</x:v>
      </x:c>
      <x:c r="U10" s="5">
        <x:v>44966</x:v>
      </x:c>
      <x:c r="V10" s="5">
        <x:v>46262</x:v>
      </x:c>
      <x:c r="W10" s="4">
        <x:v>1.2806999999999999</x:v>
      </x:c>
      <x:c r="X10" s="8" t="s">
        <x:v>106</x:v>
      </x:c>
      <x:c r="Y10" s="8" t="s">
        <x:v>107</x:v>
      </x:c>
      <x:c r="Z10" s="8"/>
      <x:c r="AA10" s="5">
        <x:v>46262</x:v>
      </x:c>
      <x:c r="AB10" s="5">
        <x:v>46274</x:v>
      </x:c>
      <x:c r="AC10" s="8" t="s">
        <x:v>57</x:v>
      </x:c>
      <x:c r="AD10" s="8" t="s">
        <x:v>45</x:v>
      </x:c>
      <x:c r="AE10" s="1" t="s">
        <x:v>108</x:v>
      </x:c>
      <x:c r="AF10" s="1" t="s">
        <x:v>47</x:v>
      </x:c>
    </x:row>
    <x:row r="11" ht="40" customHeight="1">
      <x:c r="A11" s="2">
        <x:v>10</x:v>
      </x:c>
      <x:c r="B11" s="3" t="s">
        <x:v>109</x:v>
      </x:c>
      <x:c r="C11" s="1" t="s">
        <x:v>110</x:v>
      </x:c>
      <x:c r="D11" s="1" t="s">
        <x:v>34</x:v>
      </x:c>
      <x:c r="E11" s="8" t="s">
        <x:v>35</x:v>
      </x:c>
      <x:c r="F11" s="1" t="s">
        <x:v>36</x:v>
      </x:c>
      <x:c r="G11" s="8" t="s">
        <x:v>37</x:v>
      </x:c>
      <x:c r="H11" s="8" t="s">
        <x:v>111</x:v>
      </x:c>
      <x:c r="I11" s="4">
        <x:v>1.1796</x:v>
      </x:c>
      <x:c r="J11" s="5">
        <x:v>46268</x:v>
      </x:c>
      <x:c r="K11" s="1" t="s">
        <x:v>39</x:v>
      </x:c>
      <x:c r="L11" s="5">
        <x:v>44722</x:v>
      </x:c>
      <x:c r="M11" s="6">
        <x:v>0.29020000000000001</x:v>
      </x:c>
      <x:c r="N11" s="6">
        <x:v>3.5499999999999997E-2</x:v>
      </x:c>
      <x:c r="O11" s="6">
        <x:v>6.8499999999999991E-2</x:v>
      </x:c>
      <x:c r="P11" s="6">
        <x:v>3.56E-2</x:v>
      </x:c>
      <x:c r="Q11" s="7">
        <x:v>1.2612000000000001</x:v>
      </x:c>
      <x:c r="R11" s="3" t="s">
        <x:v>112</x:v>
      </x:c>
      <x:c r="S11" s="1" t="s">
        <x:v>113</x:v>
      </x:c>
      <x:c r="T11" s="2">
        <x:v>1030</x:v>
      </x:c>
      <x:c r="U11" s="5">
        <x:v>44722</x:v>
      </x:c>
      <x:c r="V11" s="5">
        <x:v>46268</x:v>
      </x:c>
      <x:c r="W11" s="4">
        <x:v>1.29024648</x:v>
      </x:c>
      <x:c r="X11" s="8" t="s">
        <x:v>79</x:v>
      </x:c>
      <x:c r="Y11" s="8" t="s">
        <x:v>114</x:v>
      </x:c>
      <x:c r="Z11" s="8"/>
      <x:c r="AA11" s="5">
        <x:v>46262</x:v>
      </x:c>
      <x:c r="AB11" s="5"/>
      <x:c r="AC11" s="8" t="s">
        <x:v>44</x:v>
      </x:c>
      <x:c r="AD11" s="8" t="s">
        <x:v>45</x:v>
      </x:c>
      <x:c r="AE11" s="1" t="s">
        <x:v>115</x:v>
      </x:c>
      <x:c r="AF11" s="1" t="s">
        <x:v>47</x:v>
      </x:c>
    </x:row>
    <x:row r="12" ht="40" customHeight="1">
      <x:c r="A12" s="2">
        <x:v>11</x:v>
      </x:c>
      <x:c r="B12" s="3" t="s">
        <x:v>116</x:v>
      </x:c>
      <x:c r="C12" s="1" t="s">
        <x:v>117</x:v>
      </x:c>
      <x:c r="D12" s="1" t="s">
        <x:v>34</x:v>
      </x:c>
      <x:c r="E12" s="8" t="s">
        <x:v>35</x:v>
      </x:c>
      <x:c r="F12" s="1" t="s">
        <x:v>36</x:v>
      </x:c>
      <x:c r="G12" s="8" t="s">
        <x:v>37</x:v>
      </x:c>
      <x:c r="H12" s="8" t="s">
        <x:v>38</x:v>
      </x:c>
      <x:c r="I12" s="4">
        <x:v>1.1633</x:v>
      </x:c>
      <x:c r="J12" s="5">
        <x:v>46265</x:v>
      </x:c>
      <x:c r="K12" s="1" t="s">
        <x:v>39</x:v>
      </x:c>
      <x:c r="L12" s="5">
        <x:v>44575</x:v>
      </x:c>
      <x:c r="M12" s="6">
        <x:v>0.50460000000000005</x:v>
      </x:c>
      <x:c r="N12" s="6">
        <x:v>7.3399999999999993E-2</x:v>
      </x:c>
      <x:c r="O12" s="6">
        <x:v>0.109</x:v>
      </x:c>
      <x:c r="P12" s="6">
        <x:v>5.0300000000000004E-2</x:v>
      </x:c>
      <x:c r="Q12" s="7">
        <x:v>1.6952</x:v>
      </x:c>
      <x:c r="R12" s="3" t="s">
        <x:v>118</x:v>
      </x:c>
      <x:c r="S12" s="1" t="s">
        <x:v>113</x:v>
      </x:c>
      <x:c r="T12" s="2">
        <x:v>263</x:v>
      </x:c>
      <x:c r="U12" s="5">
        <x:v>44575</x:v>
      </x:c>
      <x:c r="V12" s="5">
        <x:v>46265</x:v>
      </x:c>
      <x:c r="W12" s="4">
        <x:v>1.50455987</x:v>
      </x:c>
      <x:c r="X12" s="8" t="s">
        <x:v>79</x:v>
      </x:c>
      <x:c r="Y12" s="8" t="s">
        <x:v>114</x:v>
      </x:c>
      <x:c r="Z12" s="8"/>
      <x:c r="AA12" s="5">
        <x:v>46262</x:v>
      </x:c>
      <x:c r="AB12" s="5"/>
      <x:c r="AC12" s="8" t="s">
        <x:v>44</x:v>
      </x:c>
      <x:c r="AD12" s="8" t="s">
        <x:v>45</x:v>
      </x:c>
      <x:c r="AE12" s="1" t="s">
        <x:v>119</x:v>
      </x:c>
      <x:c r="AF12" s="1" t="s">
        <x:v>47</x:v>
      </x:c>
    </x:row>
    <x:row r="13" ht="40" customHeight="1">
      <x:c r="A13" s="2">
        <x:v>12</x:v>
      </x:c>
      <x:c r="B13" s="3" t="s">
        <x:v>120</x:v>
      </x:c>
      <x:c r="C13" s="1" t="s">
        <x:v>121</x:v>
      </x:c>
      <x:c r="D13" s="1" t="s">
        <x:v>34</x:v>
      </x:c>
      <x:c r="E13" s="8" t="s">
        <x:v>122</x:v>
      </x:c>
      <x:c r="F13" s="1" t="s">
        <x:v>36</x:v>
      </x:c>
      <x:c r="G13" s="8" t="s">
        <x:v>37</x:v>
      </x:c>
      <x:c r="H13" s="8" t="s">
        <x:v>123</x:v>
      </x:c>
      <x:c r="I13" s="4">
        <x:v>1.0589999999999999</x:v>
      </x:c>
      <x:c r="J13" s="5">
        <x:v>46262</x:v>
      </x:c>
      <x:c r="K13" s="1" t="s">
        <x:v>39</x:v>
      </x:c>
      <x:c r="L13" s="5">
        <x:v>43627</x:v>
      </x:c>
      <x:c r="M13" s="6">
        <x:v>0.32380000000000003</x:v>
      </x:c>
      <x:c r="N13" s="6">
        <x:v>5.9000000000000004E-2</x:v>
      </x:c>
      <x:c r="O13" s="6">
        <x:v>0.11259999999999999</x:v>
      </x:c>
      <x:c r="P13" s="6">
        <x:v>0.11210000000000001</x:v>
      </x:c>
      <x:c r="Q13" s="7">
        <x:v>0.86460000000000004</x:v>
      </x:c>
      <x:c r="R13" s="3" t="s">
        <x:v>124</x:v>
      </x:c>
      <x:c r="S13" s="1" t="s">
        <x:v>125</x:v>
      </x:c>
      <x:c r="T13" s="2">
        <x:v>150</x:v>
      </x:c>
      <x:c r="U13" s="5">
        <x:v>45212</x:v>
      </x:c>
      <x:c r="V13" s="5">
        <x:v>46262</x:v>
      </x:c>
      <x:c r="W13" s="4">
        <x:v>1.2075471099999999</x:v>
      </x:c>
      <x:c r="X13" s="8" t="s">
        <x:v>79</x:v>
      </x:c>
      <x:c r="Y13" s="8" t="s">
        <x:v>126</x:v>
      </x:c>
      <x:c r="Z13" s="8"/>
      <x:c r="AA13" s="5">
        <x:v>46262</x:v>
      </x:c>
      <x:c r="AB13" s="5"/>
      <x:c r="AC13" s="8" t="s">
        <x:v>66</x:v>
      </x:c>
      <x:c r="AD13" s="8" t="s">
        <x:v>45</x:v>
      </x:c>
      <x:c r="AE13" s="1" t="s">
        <x:v>127</x:v>
      </x:c>
      <x:c r="AF13" s="1" t="s">
        <x:v>47</x:v>
      </x:c>
    </x:row>
    <x:row r="14" ht="40" customHeight="1">
      <x:c r="A14" s="2">
        <x:v>13</x:v>
      </x:c>
      <x:c r="B14" s="3" t="s">
        <x:v>128</x:v>
      </x:c>
      <x:c r="C14" s="1" t="s">
        <x:v>129</x:v>
      </x:c>
      <x:c r="D14" s="1" t="s">
        <x:v>34</x:v>
      </x:c>
      <x:c r="E14" s="8" t="s">
        <x:v>61</x:v>
      </x:c>
      <x:c r="F14" s="1" t="s">
        <x:v>36</x:v>
      </x:c>
      <x:c r="G14" s="8" t="s">
        <x:v>37</x:v>
      </x:c>
      <x:c r="H14" s="8" t="s">
        <x:v>62</x:v>
      </x:c>
      <x:c r="I14" s="4">
        <x:v>1.2518</x:v>
      </x:c>
      <x:c r="J14" s="5">
        <x:v>46262</x:v>
      </x:c>
      <x:c r="K14" s="1" t="s">
        <x:v>39</x:v>
      </x:c>
      <x:c r="L14" s="5">
        <x:v>43334</x:v>
      </x:c>
      <x:c r="M14" s="6">
        <x:v>0.73659999999999992</x:v>
      </x:c>
      <x:c r="N14" s="6">
        <x:v>2.4799999999999999E-2</x:v>
      </x:c>
      <x:c r="O14" s="6">
        <x:v>9.1799999999999993E-2</x:v>
      </x:c>
      <x:c r="P14" s="6">
        <x:v>9.2200000000000004E-2</x:v>
      </x:c>
      <x:c r="Q14" s="7">
        <x:v>1.2442</x:v>
      </x:c>
      <x:c r="R14" s="3" t="s">
        <x:v>130</x:v>
      </x:c>
      <x:c r="S14" s="1" t="s">
        <x:v>131</x:v>
      </x:c>
      <x:c r="T14" s="2">
        <x:v>443</x:v>
      </x:c>
      <x:c r="U14" s="5">
        <x:v>43334</x:v>
      </x:c>
      <x:c r="V14" s="5">
        <x:v>46262</x:v>
      </x:c>
      <x:c r="W14" s="4">
        <x:v>1.736588</x:v>
      </x:c>
      <x:c r="X14" s="8" t="s">
        <x:v>42</x:v>
      </x:c>
      <x:c r="Y14" s="8"/>
      <x:c r="Z14" s="8" t="s">
        <x:v>132</x:v>
      </x:c>
      <x:c r="AA14" s="5"/>
      <x:c r="AB14" s="5">
        <x:v>46269</x:v>
      </x:c>
      <x:c r="AC14" s="8" t="s">
        <x:v>44</x:v>
      </x:c>
      <x:c r="AD14" s="8" t="s">
        <x:v>45</x:v>
      </x:c>
      <x:c r="AE14" s="1" t="s">
        <x:v>133</x:v>
      </x:c>
      <x:c r="AF14" s="1" t="s">
        <x:v>47</x:v>
      </x:c>
    </x:row>
    <x:row r="15" ht="40" customHeight="1">
      <x:c r="A15" s="2">
        <x:v>14</x:v>
      </x:c>
      <x:c r="B15" s="3" t="s">
        <x:v>134</x:v>
      </x:c>
      <x:c r="C15" s="1" t="s">
        <x:v>135</x:v>
      </x:c>
      <x:c r="D15" s="1" t="s">
        <x:v>34</x:v>
      </x:c>
      <x:c r="E15" s="8" t="s">
        <x:v>136</x:v>
      </x:c>
      <x:c r="F15" s="1" t="s">
        <x:v>36</x:v>
      </x:c>
      <x:c r="G15" s="8" t="s">
        <x:v>37</x:v>
      </x:c>
      <x:c r="H15" s="8" t="s">
        <x:v>137</x:v>
      </x:c>
      <x:c r="I15" s="4">
        <x:v>1.0824</x:v>
      </x:c>
      <x:c r="J15" s="5">
        <x:v>46267</x:v>
      </x:c>
      <x:c r="K15" s="1" t="s">
        <x:v>138</x:v>
      </x:c>
      <x:c r="L15" s="5">
        <x:v>46017</x:v>
      </x:c>
      <x:c r="M15" s="6">
        <x:v>8.3900000000000002E-2</x:v>
      </x:c>
      <x:c r="N15" s="6"/>
      <x:c r="O15" s="6">
        <x:v>0.1326</x:v>
      </x:c>
      <x:c r="P15" s="6">
        <x:v>4.3E-3</x:v>
      </x:c>
      <x:c r="Q15" s="7">
        <x:v>4.2438000000000002</x:v>
      </x:c>
      <x:c r="R15" s="3" t="s">
        <x:v>139</x:v>
      </x:c>
      <x:c r="S15" s="1" t="s">
        <x:v>140</x:v>
      </x:c>
      <x:c r="T15" s="2">
        <x:v>151</x:v>
      </x:c>
      <x:c r="U15" s="5">
        <x:v>46036</x:v>
      </x:c>
      <x:c r="V15" s="5">
        <x:v>46267</x:v>
      </x:c>
      <x:c r="W15" s="4">
        <x:v>1.0824</x:v>
      </x:c>
      <x:c r="X15" s="8" t="s">
        <x:v>141</x:v>
      </x:c>
      <x:c r="Y15" s="8"/>
      <x:c r="Z15" s="8"/>
      <x:c r="AA15" s="5"/>
      <x:c r="AB15" s="5"/>
      <x:c r="AC15" s="8" t="s">
        <x:v>39</x:v>
      </x:c>
      <x:c r="AD15" s="8" t="s">
        <x:v>45</x:v>
      </x:c>
      <x:c r="AE15" s="1" t="s">
        <x:v>142</x:v>
      </x:c>
      <x:c r="AF15" s="1" t="s">
        <x:v>47</x:v>
      </x:c>
    </x:row>
    <x:row r="16" ht="40" customHeight="1">
      <x:c r="A16" s="2">
        <x:v>15</x:v>
      </x:c>
      <x:c r="B16" s="3" t="s">
        <x:v>143</x:v>
      </x:c>
      <x:c r="C16" s="1" t="s">
        <x:v>144</x:v>
      </x:c>
      <x:c r="D16" s="1" t="s">
        <x:v>34</x:v>
      </x:c>
      <x:c r="E16" s="8" t="s">
        <x:v>136</x:v>
      </x:c>
      <x:c r="F16" s="1" t="s">
        <x:v>36</x:v>
      </x:c>
      <x:c r="G16" s="8" t="s">
        <x:v>37</x:v>
      </x:c>
      <x:c r="H16" s="8" t="s">
        <x:v>137</x:v>
      </x:c>
      <x:c r="I16" s="4">
        <x:v>1.0854999999999999</x:v>
      </x:c>
      <x:c r="J16" s="5">
        <x:v>46267</x:v>
      </x:c>
      <x:c r="K16" s="1" t="s">
        <x:v>138</x:v>
      </x:c>
      <x:c r="L16" s="5">
        <x:v>46066</x:v>
      </x:c>
      <x:c r="M16" s="6">
        <x:v>8.5500000000000007E-2</x:v>
      </x:c>
      <x:c r="N16" s="6">
        <x:v>8.5500000000000007E-2</x:v>
      </x:c>
      <x:c r="O16" s="6">
        <x:v>0.15529999999999999</x:v>
      </x:c>
      <x:c r="P16" s="6">
        <x:v>7.1999999999999998E-3</x:v>
      </x:c>
      <x:c r="Q16" s="7">
        <x:v>4.4259000000000004</x:v>
      </x:c>
      <x:c r="R16" s="3" t="s">
        <x:v>145</x:v>
      </x:c>
      <x:c r="S16" s="1" t="s">
        <x:v>140</x:v>
      </x:c>
      <x:c r="T16" s="2">
        <x:v>133</x:v>
      </x:c>
      <x:c r="U16" s="5">
        <x:v>46066</x:v>
      </x:c>
      <x:c r="V16" s="5">
        <x:v>46267</x:v>
      </x:c>
      <x:c r="W16" s="4">
        <x:v>1.0854999999999999</x:v>
      </x:c>
      <x:c r="X16" s="8" t="s">
        <x:v>146</x:v>
      </x:c>
      <x:c r="Y16" s="8" t="s">
        <x:v>147</x:v>
      </x:c>
      <x:c r="Z16" s="8"/>
      <x:c r="AA16" s="5">
        <x:v>46262</x:v>
      </x:c>
      <x:c r="AB16" s="5"/>
      <x:c r="AC16" s="8" t="s">
        <x:v>39</x:v>
      </x:c>
      <x:c r="AD16" s="8" t="s">
        <x:v>45</x:v>
      </x:c>
      <x:c r="AE16" s="1" t="s">
        <x:v>148</x:v>
      </x:c>
      <x:c r="AF16" s="1" t="s">
        <x:v>47</x:v>
      </x:c>
    </x:row>
    <x:row r="17" ht="40" customHeight="1">
      <x:c r="A17" s="2">
        <x:v>16</x:v>
      </x:c>
      <x:c r="B17" s="3" t="s">
        <x:v>149</x:v>
      </x:c>
      <x:c r="C17" s="1" t="s">
        <x:v>150</x:v>
      </x:c>
      <x:c r="D17" s="1" t="s">
        <x:v>34</x:v>
      </x:c>
      <x:c r="E17" s="8" t="s">
        <x:v>35</x:v>
      </x:c>
      <x:c r="F17" s="1" t="s">
        <x:v>36</x:v>
      </x:c>
      <x:c r="G17" s="8" t="s">
        <x:v>37</x:v>
      </x:c>
      <x:c r="H17" s="8" t="s">
        <x:v>38</x:v>
      </x:c>
      <x:c r="I17" s="4">
        <x:v>1.0971</x:v>
      </x:c>
      <x:c r="J17" s="5">
        <x:v>46262</x:v>
      </x:c>
      <x:c r="K17" s="1" t="s">
        <x:v>39</x:v>
      </x:c>
      <x:c r="L17" s="5">
        <x:v>44729</x:v>
      </x:c>
      <x:c r="M17" s="6">
        <x:v>0.33429999999999999</x:v>
      </x:c>
      <x:c r="N17" s="6">
        <x:v>6.8199999999999997E-2</x:v>
      </x:c>
      <x:c r="O17" s="6">
        <x:v>7.9600000000000004E-2</x:v>
      </x:c>
      <x:c r="P17" s="6">
        <x:v>3.3E-3</x:v>
      </x:c>
      <x:c r="Q17" s="7">
        <x:v>3.4068000000000001</x:v>
      </x:c>
      <x:c r="R17" s="3" t="s">
        <x:v>151</x:v>
      </x:c>
      <x:c r="S17" s="1" t="s">
        <x:v>152</x:v>
      </x:c>
      <x:c r="T17" s="2">
        <x:v>231</x:v>
      </x:c>
      <x:c r="U17" s="5">
        <x:v>44729</x:v>
      </x:c>
      <x:c r="V17" s="5">
        <x:v>46262</x:v>
      </x:c>
      <x:c r="W17" s="4">
        <x:v>1.3343076300000001</x:v>
      </x:c>
      <x:c r="X17" s="8" t="s">
        <x:v>42</x:v>
      </x:c>
      <x:c r="Y17" s="8"/>
      <x:c r="Z17" s="8" t="s">
        <x:v>43</x:v>
      </x:c>
      <x:c r="AA17" s="5"/>
      <x:c r="AB17" s="5">
        <x:v>46269</x:v>
      </x:c>
      <x:c r="AC17" s="8" t="s">
        <x:v>44</x:v>
      </x:c>
      <x:c r="AD17" s="8" t="s">
        <x:v>45</x:v>
      </x:c>
      <x:c r="AE17" s="1" t="s">
        <x:v>153</x:v>
      </x:c>
      <x:c r="AF17" s="1" t="s">
        <x:v>47</x:v>
      </x:c>
    </x:row>
    <x:row r="18" ht="40" customHeight="1">
      <x:c r="A18" s="2">
        <x:v>17</x:v>
      </x:c>
      <x:c r="B18" s="3" t="s">
        <x:v>154</x:v>
      </x:c>
      <x:c r="C18" s="1" t="s">
        <x:v>155</x:v>
      </x:c>
      <x:c r="D18" s="1" t="s">
        <x:v>34</x:v>
      </x:c>
      <x:c r="E18" s="8" t="s">
        <x:v>35</x:v>
      </x:c>
      <x:c r="F18" s="1" t="s">
        <x:v>36</x:v>
      </x:c>
      <x:c r="G18" s="8" t="s">
        <x:v>37</x:v>
      </x:c>
      <x:c r="H18" s="8" t="s">
        <x:v>156</x:v>
      </x:c>
      <x:c r="I18" s="4">
        <x:v>2.004</x:v>
      </x:c>
      <x:c r="J18" s="5">
        <x:v>46268</x:v>
      </x:c>
      <x:c r="K18" s="1" t="s">
        <x:v>39</x:v>
      </x:c>
      <x:c r="L18" s="5">
        <x:v>45322</x:v>
      </x:c>
      <x:c r="M18" s="6">
        <x:v>1.004</x:v>
      </x:c>
      <x:c r="N18" s="6">
        <x:v>0.33169999999999999</x:v>
      </x:c>
      <x:c r="O18" s="6">
        <x:v>0.38740000000000002</x:v>
      </x:c>
      <x:c r="P18" s="6">
        <x:v>0.14499999999999999</x:v>
      </x:c>
      <x:c r="Q18" s="7">
        <x:v>2.6110000000000002</x:v>
      </x:c>
      <x:c r="R18" s="3" t="s">
        <x:v>157</x:v>
      </x:c>
      <x:c r="S18" s="1" t="s">
        <x:v>158</x:v>
      </x:c>
      <x:c r="T18" s="2">
        <x:v>627</x:v>
      </x:c>
      <x:c r="U18" s="5">
        <x:v>45322</x:v>
      </x:c>
      <x:c r="V18" s="5">
        <x:v>46268</x:v>
      </x:c>
      <x:c r="W18" s="4">
        <x:v>2.004</x:v>
      </x:c>
      <x:c r="X18" s="8" t="s">
        <x:v>42</x:v>
      </x:c>
      <x:c r="Y18" s="8"/>
      <x:c r="Z18" s="8" t="s">
        <x:v>43</x:v>
      </x:c>
      <x:c r="AA18" s="5"/>
      <x:c r="AB18" s="5">
        <x:v>46269</x:v>
      </x:c>
      <x:c r="AC18" s="8" t="s">
        <x:v>44</x:v>
      </x:c>
      <x:c r="AD18" s="8" t="s">
        <x:v>45</x:v>
      </x:c>
      <x:c r="AE18" s="1" t="s">
        <x:v>159</x:v>
      </x:c>
      <x:c r="AF18" s="1" t="s">
        <x:v>47</x:v>
      </x:c>
    </x:row>
    <x:row r="19" ht="40" customHeight="1">
      <x:c r="A19" s="2">
        <x:v>18</x:v>
      </x:c>
      <x:c r="B19" s="3" t="s">
        <x:v>160</x:v>
      </x:c>
      <x:c r="C19" s="1" t="s">
        <x:v>161</x:v>
      </x:c>
      <x:c r="D19" s="1" t="s">
        <x:v>34</x:v>
      </x:c>
      <x:c r="E19" s="8" t="s">
        <x:v>35</x:v>
      </x:c>
      <x:c r="F19" s="1" t="s">
        <x:v>36</x:v>
      </x:c>
      <x:c r="G19" s="8" t="s">
        <x:v>37</x:v>
      </x:c>
      <x:c r="H19" s="8" t="s">
        <x:v>156</x:v>
      </x:c>
      <x:c r="I19" s="4">
        <x:v>1.1011</x:v>
      </x:c>
      <x:c r="J19" s="5">
        <x:v>46268</x:v>
      </x:c>
      <x:c r="K19" s="1" t="s">
        <x:v>39</x:v>
      </x:c>
      <x:c r="L19" s="5">
        <x:v>45705</x:v>
      </x:c>
      <x:c r="M19" s="6">
        <x:v>0.30870000000000003</x:v>
      </x:c>
      <x:c r="N19" s="6">
        <x:v>0.17319999999999999</x:v>
      </x:c>
      <x:c r="O19" s="6">
        <x:v>0.20010000000000003</x:v>
      </x:c>
      <x:c r="P19" s="6">
        <x:v>3.5099999999999999E-2</x:v>
      </x:c>
      <x:c r="Q19" s="7">
        <x:v>2.8330000000000002</x:v>
      </x:c>
      <x:c r="R19" s="3" t="s">
        <x:v>162</x:v>
      </x:c>
      <x:c r="S19" s="1" t="s">
        <x:v>158</x:v>
      </x:c>
      <x:c r="T19" s="2">
        <x:v>380</x:v>
      </x:c>
      <x:c r="U19" s="5">
        <x:v>45705</x:v>
      </x:c>
      <x:c r="V19" s="5">
        <x:v>46268</x:v>
      </x:c>
      <x:c r="W19" s="4">
        <x:v>1.3086573500000001</x:v>
      </x:c>
      <x:c r="X19" s="8" t="s">
        <x:v>42</x:v>
      </x:c>
      <x:c r="Y19" s="8"/>
      <x:c r="Z19" s="8" t="s">
        <x:v>43</x:v>
      </x:c>
      <x:c r="AA19" s="5"/>
      <x:c r="AB19" s="5">
        <x:v>46269</x:v>
      </x:c>
      <x:c r="AC19" s="8" t="s">
        <x:v>44</x:v>
      </x:c>
      <x:c r="AD19" s="8" t="s">
        <x:v>45</x:v>
      </x:c>
      <x:c r="AE19" s="1" t="s">
        <x:v>163</x:v>
      </x:c>
      <x:c r="AF19" s="1" t="s">
        <x:v>47</x:v>
      </x:c>
    </x:row>
    <x:row r="20" ht="40" customHeight="1">
      <x:c r="A20" s="2">
        <x:v>19</x:v>
      </x:c>
      <x:c r="B20" s="3" t="s">
        <x:v>164</x:v>
      </x:c>
      <x:c r="C20" s="1" t="s">
        <x:v>165</x:v>
      </x:c>
      <x:c r="D20" s="1" t="s">
        <x:v>34</x:v>
      </x:c>
      <x:c r="E20" s="8" t="s">
        <x:v>61</x:v>
      </x:c>
      <x:c r="F20" s="1" t="s">
        <x:v>36</x:v>
      </x:c>
      <x:c r="G20" s="8" t="s">
        <x:v>37</x:v>
      </x:c>
      <x:c r="H20" s="8" t="s">
        <x:v>62</x:v>
      </x:c>
      <x:c r="I20" s="4">
        <x:v>1.2817000000000001</x:v>
      </x:c>
      <x:c r="J20" s="5">
        <x:v>46262</x:v>
      </x:c>
      <x:c r="K20" s="1" t="s">
        <x:v>39</x:v>
      </x:c>
      <x:c r="L20" s="5">
        <x:v>44305</x:v>
      </x:c>
      <x:c r="M20" s="6">
        <x:v>0.28170000000000001</x:v>
      </x:c>
      <x:c r="N20" s="6">
        <x:v>1.0200000000000001E-2</x:v>
      </x:c>
      <x:c r="O20" s="6">
        <x:v>5.2499999999999998E-2</x:v>
      </x:c>
      <x:c r="P20" s="6">
        <x:v>1.84E-2</x:v>
      </x:c>
      <x:c r="Q20" s="7">
        <x:v>1.3007</x:v>
      </x:c>
      <x:c r="R20" s="3" t="s">
        <x:v>166</x:v>
      </x:c>
      <x:c r="S20" s="1" t="s">
        <x:v>167</x:v>
      </x:c>
      <x:c r="T20" s="2">
        <x:v>499</x:v>
      </x:c>
      <x:c r="U20" s="5">
        <x:v>44305</x:v>
      </x:c>
      <x:c r="V20" s="5">
        <x:v>46262</x:v>
      </x:c>
      <x:c r="W20" s="4">
        <x:v>1.2817000000000001</x:v>
      </x:c>
      <x:c r="X20" s="8" t="s">
        <x:v>42</x:v>
      </x:c>
      <x:c r="Y20" s="8"/>
      <x:c r="Z20" s="8" t="s">
        <x:v>65</x:v>
      </x:c>
      <x:c r="AA20" s="5"/>
      <x:c r="AB20" s="5">
        <x:v>46269</x:v>
      </x:c>
      <x:c r="AC20" s="8" t="s">
        <x:v>44</x:v>
      </x:c>
      <x:c r="AD20" s="8" t="s">
        <x:v>45</x:v>
      </x:c>
      <x:c r="AE20" s="1" t="s">
        <x:v>168</x:v>
      </x:c>
      <x:c r="AF20" s="1" t="s">
        <x:v>47</x:v>
      </x:c>
    </x:row>
    <x:row r="21" ht="40" customHeight="1">
      <x:c r="A21" s="2">
        <x:v>20</x:v>
      </x:c>
      <x:c r="B21" s="3" t="s">
        <x:v>169</x:v>
      </x:c>
      <x:c r="C21" s="1" t="s">
        <x:v>170</x:v>
      </x:c>
      <x:c r="D21" s="1" t="s">
        <x:v>34</x:v>
      </x:c>
      <x:c r="E21" s="8" t="s">
        <x:v>35</x:v>
      </x:c>
      <x:c r="F21" s="1" t="s">
        <x:v>36</x:v>
      </x:c>
      <x:c r="G21" s="8" t="s">
        <x:v>37</x:v>
      </x:c>
      <x:c r="H21" s="8" t="s">
        <x:v>38</x:v>
      </x:c>
      <x:c r="I21" s="4">
        <x:v>2.0179999999999998</x:v>
      </x:c>
      <x:c r="J21" s="5">
        <x:v>46262</x:v>
      </x:c>
      <x:c r="K21" s="1" t="s">
        <x:v>39</x:v>
      </x:c>
      <x:c r="L21" s="5">
        <x:v>42772</x:v>
      </x:c>
      <x:c r="M21" s="6">
        <x:v>1.696</x:v>
      </x:c>
      <x:c r="N21" s="6">
        <x:v>6.2100000000000002E-2</x:v>
      </x:c>
      <x:c r="O21" s="6">
        <x:v>0.17739999999999997</x:v>
      </x:c>
      <x:c r="P21" s="6">
        <x:v>5.16E-2</x:v>
      </x:c>
      <x:c r="Q21" s="7">
        <x:v>2.4407000000000001</x:v>
      </x:c>
      <x:c r="R21" s="3" t="s">
        <x:v>171</x:v>
      </x:c>
      <x:c r="S21" s="1" t="s">
        <x:v>172</x:v>
      </x:c>
      <x:c r="T21" s="2">
        <x:v>714</x:v>
      </x:c>
      <x:c r="U21" s="5">
        <x:v>42772</x:v>
      </x:c>
      <x:c r="V21" s="5">
        <x:v>46262</x:v>
      </x:c>
      <x:c r="W21" s="4">
        <x:v>2.6959567999999998</x:v>
      </x:c>
      <x:c r="X21" s="8" t="s">
        <x:v>42</x:v>
      </x:c>
      <x:c r="Y21" s="8"/>
      <x:c r="Z21" s="8" t="s">
        <x:v>43</x:v>
      </x:c>
      <x:c r="AA21" s="5"/>
      <x:c r="AB21" s="5">
        <x:v>46269</x:v>
      </x:c>
      <x:c r="AC21" s="8" t="s">
        <x:v>44</x:v>
      </x:c>
      <x:c r="AD21" s="8" t="s">
        <x:v>45</x:v>
      </x:c>
      <x:c r="AE21" s="1" t="s">
        <x:v>173</x:v>
      </x:c>
      <x:c r="AF21" s="1" t="s">
        <x:v>47</x:v>
      </x:c>
    </x:row>
    <x:row r="22" ht="40" customHeight="1">
      <x:c r="A22" s="2">
        <x:v>21</x:v>
      </x:c>
      <x:c r="B22" s="3" t="s">
        <x:v>174</x:v>
      </x:c>
      <x:c r="C22" s="1" t="s">
        <x:v>175</x:v>
      </x:c>
      <x:c r="D22" s="1" t="s">
        <x:v>34</x:v>
      </x:c>
      <x:c r="E22" s="8" t="s">
        <x:v>35</x:v>
      </x:c>
      <x:c r="F22" s="1" t="s">
        <x:v>36</x:v>
      </x:c>
      <x:c r="G22" s="8" t="s">
        <x:v>37</x:v>
      </x:c>
      <x:c r="H22" s="8" t="s">
        <x:v>38</x:v>
      </x:c>
      <x:c r="I22" s="4">
        <x:v>1.133</x:v>
      </x:c>
      <x:c r="J22" s="5">
        <x:v>46262</x:v>
      </x:c>
      <x:c r="K22" s="1" t="s">
        <x:v>39</x:v>
      </x:c>
      <x:c r="L22" s="5">
        <x:v>44462</x:v>
      </x:c>
      <x:c r="M22" s="6">
        <x:v>0.95609999999999995</x:v>
      </x:c>
      <x:c r="N22" s="6">
        <x:v>8.7300000000000003E-2</x:v>
      </x:c>
      <x:c r="O22" s="6">
        <x:v>0.19390000000000002</x:v>
      </x:c>
      <x:c r="P22" s="6">
        <x:v>4.5999999999999999E-3</x:v>
      </x:c>
      <x:c r="Q22" s="7">
        <x:v>7.1254</x:v>
      </x:c>
      <x:c r="R22" s="3" t="s">
        <x:v>176</x:v>
      </x:c>
      <x:c r="S22" s="1" t="s">
        <x:v>177</x:v>
      </x:c>
      <x:c r="T22" s="2">
        <x:v>285</x:v>
      </x:c>
      <x:c r="U22" s="5">
        <x:v>44462</x:v>
      </x:c>
      <x:c r="V22" s="5">
        <x:v>46262</x:v>
      </x:c>
      <x:c r="W22" s="4">
        <x:v>1.9560591199999999</x:v>
      </x:c>
      <x:c r="X22" s="8" t="s">
        <x:v>42</x:v>
      </x:c>
      <x:c r="Y22" s="8"/>
      <x:c r="Z22" s="8" t="s">
        <x:v>43</x:v>
      </x:c>
      <x:c r="AA22" s="5"/>
      <x:c r="AB22" s="5">
        <x:v>46269</x:v>
      </x:c>
      <x:c r="AC22" s="8" t="s">
        <x:v>44</x:v>
      </x:c>
      <x:c r="AD22" s="8" t="s">
        <x:v>45</x:v>
      </x:c>
      <x:c r="AE22" s="1" t="s">
        <x:v>178</x:v>
      </x:c>
      <x:c r="AF22" s="1" t="s">
        <x:v>47</x:v>
      </x:c>
    </x:row>
    <x:row r="23" ht="40" customHeight="1">
      <x:c r="A23" s="2">
        <x:v>23</x:v>
      </x:c>
      <x:c r="B23" s="3" t="s">
        <x:v>179</x:v>
      </x:c>
      <x:c r="C23" s="1" t="s">
        <x:v>180</x:v>
      </x:c>
      <x:c r="D23" s="1" t="s">
        <x:v>34</x:v>
      </x:c>
      <x:c r="E23" s="8" t="s">
        <x:v>35</x:v>
      </x:c>
      <x:c r="F23" s="1" t="s">
        <x:v>36</x:v>
      </x:c>
      <x:c r="G23" s="8" t="s">
        <x:v>37</x:v>
      </x:c>
      <x:c r="H23" s="8" t="s">
        <x:v>181</x:v>
      </x:c>
      <x:c r="I23" s="4">
        <x:v>1.1991000000000001</x:v>
      </x:c>
      <x:c r="J23" s="5">
        <x:v>46265</x:v>
      </x:c>
      <x:c r="K23" s="1" t="s">
        <x:v>39</x:v>
      </x:c>
      <x:c r="L23" s="5">
        <x:v>44936</x:v>
      </x:c>
      <x:c r="M23" s="6">
        <x:v>0.1991</x:v>
      </x:c>
      <x:c r="N23" s="6">
        <x:v>6.1200000000000004E-2</x:v>
      </x:c>
      <x:c r="O23" s="6">
        <x:v>5.4699999999999999E-2</x:v>
      </x:c>
      <x:c r="P23" s="6">
        <x:v>2.4399999999999998E-2</x:v>
      </x:c>
      <x:c r="Q23" s="7">
        <x:v>1.2051000000000001</x:v>
      </x:c>
      <x:c r="R23" s="3" t="s">
        <x:v>182</x:v>
      </x:c>
      <x:c r="S23" s="1" t="s">
        <x:v>183</x:v>
      </x:c>
      <x:c r="T23" s="2">
        <x:v>175</x:v>
      </x:c>
      <x:c r="U23" s="5">
        <x:v>44936</x:v>
      </x:c>
      <x:c r="V23" s="5">
        <x:v>46265</x:v>
      </x:c>
      <x:c r="W23" s="4">
        <x:v>1.1991000000000001</x:v>
      </x:c>
      <x:c r="X23" s="8" t="s">
        <x:v>42</x:v>
      </x:c>
      <x:c r="Y23" s="8"/>
      <x:c r="Z23" s="8" t="s">
        <x:v>43</x:v>
      </x:c>
      <x:c r="AA23" s="5"/>
      <x:c r="AB23" s="5">
        <x:v>46269</x:v>
      </x:c>
      <x:c r="AC23" s="8" t="s">
        <x:v>44</x:v>
      </x:c>
      <x:c r="AD23" s="8" t="s">
        <x:v>45</x:v>
      </x:c>
      <x:c r="AE23" s="1" t="s">
        <x:v>184</x:v>
      </x:c>
      <x:c r="AF23" s="1" t="s">
        <x:v>47</x:v>
      </x:c>
    </x:row>
    <x:row r="24" ht="40" customHeight="1">
      <x:c r="A24" s="2">
        <x:v>24</x:v>
      </x:c>
      <x:c r="B24" s="3" t="s">
        <x:v>185</x:v>
      </x:c>
      <x:c r="C24" s="1" t="s">
        <x:v>186</x:v>
      </x:c>
      <x:c r="D24" s="1" t="s">
        <x:v>34</x:v>
      </x:c>
      <x:c r="E24" s="8" t="s">
        <x:v>35</x:v>
      </x:c>
      <x:c r="F24" s="1" t="s">
        <x:v>36</x:v>
      </x:c>
      <x:c r="G24" s="8" t="s">
        <x:v>37</x:v>
      </x:c>
      <x:c r="H24" s="8" t="s">
        <x:v>187</x:v>
      </x:c>
      <x:c r="I24" s="4">
        <x:v>1.2184999999999999</x:v>
      </x:c>
      <x:c r="J24" s="5">
        <x:v>46265</x:v>
      </x:c>
      <x:c r="K24" s="1" t="s">
        <x:v>39</x:v>
      </x:c>
      <x:c r="L24" s="5">
        <x:v>44537</x:v>
      </x:c>
      <x:c r="M24" s="6">
        <x:v>0.53969999999999996</x:v>
      </x:c>
      <x:c r="N24" s="6">
        <x:v>4.8499999999999995E-2</x:v>
      </x:c>
      <x:c r="O24" s="6">
        <x:v>0.114</x:v>
      </x:c>
      <x:c r="P24" s="6">
        <x:v>8.9399999999999993E-2</x:v>
      </x:c>
      <x:c r="Q24" s="7">
        <x:v>1.3249</x:v>
      </x:c>
      <x:c r="R24" s="3" t="s">
        <x:v>188</x:v>
      </x:c>
      <x:c r="S24" s="1" t="s">
        <x:v>189</x:v>
      </x:c>
      <x:c r="T24" s="2">
        <x:v>268</x:v>
      </x:c>
      <x:c r="U24" s="5">
        <x:v>44537</x:v>
      </x:c>
      <x:c r="V24" s="5">
        <x:v>46265</x:v>
      </x:c>
      <x:c r="W24" s="4">
        <x:v>1.5396599399999999</x:v>
      </x:c>
      <x:c r="X24" s="8" t="s">
        <x:v>79</x:v>
      </x:c>
      <x:c r="Y24" s="8" t="s">
        <x:v>190</x:v>
      </x:c>
      <x:c r="Z24" s="8"/>
      <x:c r="AA24" s="5">
        <x:v>46262</x:v>
      </x:c>
      <x:c r="AB24" s="5"/>
      <x:c r="AC24" s="8" t="s">
        <x:v>44</x:v>
      </x:c>
      <x:c r="AD24" s="8" t="s">
        <x:v>45</x:v>
      </x:c>
      <x:c r="AE24" s="1" t="s">
        <x:v>191</x:v>
      </x:c>
      <x:c r="AF24" s="1" t="s">
        <x:v>47</x:v>
      </x:c>
    </x:row>
    <x:row r="25" ht="40" customHeight="1">
      <x:c r="A25" s="2">
        <x:v>25</x:v>
      </x:c>
      <x:c r="B25" s="3" t="s">
        <x:v>192</x:v>
      </x:c>
      <x:c r="C25" s="1" t="s">
        <x:v>193</x:v>
      </x:c>
      <x:c r="D25" s="1" t="s">
        <x:v>34</x:v>
      </x:c>
      <x:c r="E25" s="8" t="s">
        <x:v>70</x:v>
      </x:c>
      <x:c r="F25" s="1" t="s">
        <x:v>36</x:v>
      </x:c>
      <x:c r="G25" s="8" t="s">
        <x:v>37</x:v>
      </x:c>
      <x:c r="H25" s="8" t="s">
        <x:v>71</x:v>
      </x:c>
      <x:c r="I25" s="4">
        <x:v>1.2007000000000001</x:v>
      </x:c>
      <x:c r="J25" s="5">
        <x:v>46206</x:v>
      </x:c>
      <x:c r="K25" s="1" t="s">
        <x:v>39</x:v>
      </x:c>
      <x:c r="L25" s="5">
        <x:v>45694</x:v>
      </x:c>
      <x:c r="M25" s="6">
        <x:v>0.20069999999999999</x:v>
      </x:c>
      <x:c r="N25" s="6">
        <x:v>0.11449999999999999</x:v>
      </x:c>
      <x:c r="O25" s="6">
        <x:v>0.1434</x:v>
      </x:c>
      <x:c r="P25" s="6">
        <x:v>2.5999999999999999E-3</x:v>
      </x:c>
      <x:c r="Q25" s="7">
        <x:v>3.7490000000000001</x:v>
      </x:c>
      <x:c r="R25" s="3" t="s">
        <x:v>194</x:v>
      </x:c>
      <x:c r="S25" s="1" t="s">
        <x:v>195</x:v>
      </x:c>
      <x:c r="T25" s="2">
        <x:v>88</x:v>
      </x:c>
      <x:c r="U25" s="5">
        <x:v>45694</x:v>
      </x:c>
      <x:c r="V25" s="5">
        <x:v>46265</x:v>
      </x:c>
      <x:c r="W25" s="4">
        <x:v>1.3824000000000001</x:v>
      </x:c>
      <x:c r="X25" s="8" t="s">
        <x:v>42</x:v>
      </x:c>
      <x:c r="Y25" s="8"/>
      <x:c r="Z25" s="8" t="s">
        <x:v>74</x:v>
      </x:c>
      <x:c r="AA25" s="5"/>
      <x:c r="AB25" s="5">
        <x:v>46269</x:v>
      </x:c>
      <x:c r="AC25" s="8" t="s">
        <x:v>66</x:v>
      </x:c>
      <x:c r="AD25" s="8" t="s">
        <x:v>45</x:v>
      </x:c>
      <x:c r="AE25" s="1" t="s">
        <x:v>196</x:v>
      </x:c>
      <x:c r="AF25" s="1" t="s">
        <x:v>47</x:v>
      </x:c>
    </x:row>
    <x:row r="26" ht="40" customHeight="1">
      <x:c r="A26" s="2">
        <x:v>26</x:v>
      </x:c>
      <x:c r="B26" s="3" t="s">
        <x:v>197</x:v>
      </x:c>
      <x:c r="C26" s="1" t="s">
        <x:v>198</x:v>
      </x:c>
      <x:c r="D26" s="1" t="s">
        <x:v>34</x:v>
      </x:c>
      <x:c r="E26" s="8" t="s">
        <x:v>70</x:v>
      </x:c>
      <x:c r="F26" s="1" t="s">
        <x:v>36</x:v>
      </x:c>
      <x:c r="G26" s="8" t="s">
        <x:v>51</x:v>
      </x:c>
      <x:c r="H26" s="8" t="s">
        <x:v>71</x:v>
      </x:c>
      <x:c r="I26" s="4">
        <x:v>1.1367</x:v>
      </x:c>
      <x:c r="J26" s="5">
        <x:v>46262</x:v>
      </x:c>
      <x:c r="K26" s="1" t="s">
        <x:v>39</x:v>
      </x:c>
      <x:c r="L26" s="5">
        <x:v>45749</x:v>
      </x:c>
      <x:c r="M26" s="6">
        <x:v>0.13658634136586345</x:v>
      </x:c>
      <x:c r="N26" s="6">
        <x:v>9.1511426925292794E-2</x:v>
      </x:c>
      <x:c r="O26" s="6">
        <x:v>9.7371122262773752E-2</x:v>
      </x:c>
      <x:c r="P26" s="6">
        <x:v>5.7289608850258616E-3</x:v>
      </x:c>
      <x:c r="Q26" s="7">
        <x:v>2.6204774028458302</x:v>
      </x:c>
      <x:c r="R26" s="3" t="s">
        <x:v>199</x:v>
      </x:c>
      <x:c r="S26" s="1" t="s">
        <x:v>195</x:v>
      </x:c>
      <x:c r="T26" s="2">
        <x:v>76</x:v>
      </x:c>
      <x:c r="U26" s="5">
        <x:v>45750</x:v>
      </x:c>
      <x:c r="V26" s="5">
        <x:v>46262</x:v>
      </x:c>
      <x:c r="W26" s="4">
        <x:v>1.1367</x:v>
      </x:c>
      <x:c r="X26" s="8" t="s">
        <x:v>55</x:v>
      </x:c>
      <x:c r="Y26" s="8" t="s">
        <x:v>107</x:v>
      </x:c>
      <x:c r="Z26" s="8"/>
      <x:c r="AA26" s="5">
        <x:v>46262</x:v>
      </x:c>
      <x:c r="AB26" s="5"/>
      <x:c r="AC26" s="8" t="s">
        <x:v>57</x:v>
      </x:c>
      <x:c r="AD26" s="8" t="s">
        <x:v>45</x:v>
      </x:c>
      <x:c r="AE26" s="1" t="s">
        <x:v>200</x:v>
      </x:c>
      <x:c r="AF26" s="1" t="s">
        <x:v>47</x:v>
      </x:c>
    </x:row>
    <x:row r="27" ht="40" customHeight="1">
      <x:c r="A27" s="2">
        <x:v>27</x:v>
      </x:c>
      <x:c r="B27" s="3" t="s">
        <x:v>201</x:v>
      </x:c>
      <x:c r="C27" s="1" t="s">
        <x:v>202</x:v>
      </x:c>
      <x:c r="D27" s="1" t="s">
        <x:v>34</x:v>
      </x:c>
      <x:c r="E27" s="8" t="s">
        <x:v>70</x:v>
      </x:c>
      <x:c r="F27" s="1" t="s">
        <x:v>36</x:v>
      </x:c>
      <x:c r="G27" s="8" t="s">
        <x:v>37</x:v>
      </x:c>
      <x:c r="H27" s="8" t="s">
        <x:v>71</x:v>
      </x:c>
      <x:c r="I27" s="4">
        <x:v>1.0251999999999999</x:v>
      </x:c>
      <x:c r="J27" s="5">
        <x:v>46265</x:v>
      </x:c>
      <x:c r="K27" s="1" t="s">
        <x:v>39</x:v>
      </x:c>
      <x:c r="L27" s="5">
        <x:v>45818</x:v>
      </x:c>
      <x:c r="M27" s="6">
        <x:v>0.1099</x:v>
      </x:c>
      <x:c r="N27" s="6">
        <x:v>7.6399999999999996E-2</x:v>
      </x:c>
      <x:c r="O27" s="6">
        <x:v>8.9900000000000008E-2</x:v>
      </x:c>
      <x:c r="P27" s="6">
        <x:v>4.1999999999999997E-3</x:v>
      </x:c>
      <x:c r="Q27" s="7">
        <x:v>2.5823</x:v>
      </x:c>
      <x:c r="R27" s="3" t="s">
        <x:v>203</x:v>
      </x:c>
      <x:c r="S27" s="1" t="s">
        <x:v>195</x:v>
      </x:c>
      <x:c r="T27" s="2">
        <x:v>74</x:v>
      </x:c>
      <x:c r="U27" s="5">
        <x:v>45819</x:v>
      </x:c>
      <x:c r="V27" s="5">
        <x:v>46265</x:v>
      </x:c>
      <x:c r="W27" s="4">
        <x:v>1.1098815200000001</x:v>
      </x:c>
      <x:c r="X27" s="8" t="s">
        <x:v>42</x:v>
      </x:c>
      <x:c r="Y27" s="8"/>
      <x:c r="Z27" s="8" t="s">
        <x:v>74</x:v>
      </x:c>
      <x:c r="AA27" s="5"/>
      <x:c r="AB27" s="5">
        <x:v>46269</x:v>
      </x:c>
      <x:c r="AC27" s="8" t="s">
        <x:v>44</x:v>
      </x:c>
      <x:c r="AD27" s="8" t="s">
        <x:v>45</x:v>
      </x:c>
      <x:c r="AE27" s="1" t="s">
        <x:v>204</x:v>
      </x:c>
      <x:c r="AF27" s="1" t="s">
        <x:v>47</x:v>
      </x:c>
    </x:row>
    <x:row r="28" ht="40" customHeight="1">
      <x:c r="A28" s="2">
        <x:v>28</x:v>
      </x:c>
      <x:c r="B28" s="3" t="s">
        <x:v>205</x:v>
      </x:c>
      <x:c r="C28" s="1" t="s">
        <x:v>206</x:v>
      </x:c>
      <x:c r="D28" s="1" t="s">
        <x:v>34</x:v>
      </x:c>
      <x:c r="E28" s="8" t="s">
        <x:v>136</x:v>
      </x:c>
      <x:c r="F28" s="1" t="s">
        <x:v>36</x:v>
      </x:c>
      <x:c r="G28" s="8" t="s">
        <x:v>37</x:v>
      </x:c>
      <x:c r="H28" s="8" t="s">
        <x:v>137</x:v>
      </x:c>
      <x:c r="I28" s="4">
        <x:v>1.1126</x:v>
      </x:c>
      <x:c r="J28" s="5">
        <x:v>46265</x:v>
      </x:c>
      <x:c r="K28" s="1" t="s">
        <x:v>138</x:v>
      </x:c>
      <x:c r="L28" s="5">
        <x:v>45652</x:v>
      </x:c>
      <x:c r="M28" s="6">
        <x:v>0.11259999999999999</x:v>
      </x:c>
      <x:c r="N28" s="6">
        <x:v>4.1299999999999996E-2</x:v>
      </x:c>
      <x:c r="O28" s="6">
        <x:v>6.7000000000000004E-2</x:v>
      </x:c>
      <x:c r="P28" s="6">
        <x:v>6.7799999999999999E-2</x:v>
      </x:c>
      <x:c r="Q28" s="7">
        <x:v>0.54079999999999995</x:v>
      </x:c>
      <x:c r="R28" s="3" t="s">
        <x:v>207</x:v>
      </x:c>
      <x:c r="S28" s="1" t="s">
        <x:v>208</x:v>
      </x:c>
      <x:c r="T28" s="2">
        <x:v>95</x:v>
      </x:c>
      <x:c r="U28" s="5">
        <x:v>45652</x:v>
      </x:c>
      <x:c r="V28" s="5">
        <x:v>46265</x:v>
      </x:c>
      <x:c r="W28" s="4">
        <x:v>1.1126</x:v>
      </x:c>
      <x:c r="X28" s="8" t="s">
        <x:v>141</x:v>
      </x:c>
      <x:c r="Y28" s="8"/>
      <x:c r="Z28" s="8"/>
      <x:c r="AA28" s="5"/>
      <x:c r="AB28" s="5"/>
      <x:c r="AC28" s="8" t="s">
        <x:v>39</x:v>
      </x:c>
      <x:c r="AD28" s="8" t="s">
        <x:v>45</x:v>
      </x:c>
      <x:c r="AE28" s="1" t="s">
        <x:v>209</x:v>
      </x:c>
      <x:c r="AF28" s="1" t="s">
        <x:v>47</x:v>
      </x:c>
    </x:row>
    <x:row r="29" ht="40" customHeight="1">
      <x:c r="A29" s="2">
        <x:v>29</x:v>
      </x:c>
      <x:c r="B29" s="3" t="s">
        <x:v>210</x:v>
      </x:c>
      <x:c r="C29" s="1" t="s">
        <x:v>211</x:v>
      </x:c>
      <x:c r="D29" s="1" t="s">
        <x:v>34</x:v>
      </x:c>
      <x:c r="E29" s="8" t="s">
        <x:v>35</x:v>
      </x:c>
      <x:c r="F29" s="1" t="s">
        <x:v>36</x:v>
      </x:c>
      <x:c r="G29" s="8" t="s">
        <x:v>37</x:v>
      </x:c>
      <x:c r="H29" s="8" t="s">
        <x:v>38</x:v>
      </x:c>
      <x:c r="I29" s="4">
        <x:v>1.0025999999999999</x:v>
      </x:c>
      <x:c r="J29" s="5">
        <x:v>46267</x:v>
      </x:c>
      <x:c r="K29" s="1" t="s">
        <x:v>212</x:v>
      </x:c>
      <x:c r="L29" s="5">
        <x:v>46094</x:v>
      </x:c>
      <x:c r="M29" s="6">
        <x:v>2.5999999999999999E-3</x:v>
      </x:c>
      <x:c r="N29" s="6">
        <x:v>2.5999999999999999E-3</x:v>
      </x:c>
      <x:c r="O29" s="6">
        <x:v>5.5000000000000005E-3</x:v>
      </x:c>
      <x:c r="P29" s="6">
        <x:v>2.8199999999999999E-2</x:v>
      </x:c>
      <x:c r="Q29" s="7">
        <x:v>-0.51160000000000005</x:v>
      </x:c>
      <x:c r="R29" s="3" t="s">
        <x:v>213</x:v>
      </x:c>
      <x:c r="S29" s="1" t="s">
        <x:v>214</x:v>
      </x:c>
      <x:c r="T29" s="2">
        <x:v>119</x:v>
      </x:c>
      <x:c r="U29" s="5">
        <x:v>46094</x:v>
      </x:c>
      <x:c r="V29" s="5">
        <x:v>46267</x:v>
      </x:c>
      <x:c r="W29" s="4">
        <x:v>1.0025999999999999</x:v>
      </x:c>
      <x:c r="X29" s="8" t="s">
        <x:v>141</x:v>
      </x:c>
      <x:c r="Y29" s="8"/>
      <x:c r="Z29" s="8"/>
      <x:c r="AA29" s="5"/>
      <x:c r="AB29" s="5"/>
      <x:c r="AC29" s="8" t="s">
        <x:v>39</x:v>
      </x:c>
      <x:c r="AD29" s="8" t="s">
        <x:v>45</x:v>
      </x:c>
      <x:c r="AE29" s="1" t="s">
        <x:v>215</x:v>
      </x:c>
      <x:c r="AF29" s="1" t="s">
        <x:v>47</x:v>
      </x:c>
    </x:row>
    <x:row r="30" ht="40" customHeight="1">
      <x:c r="A30" s="2">
        <x:v>30</x:v>
      </x:c>
      <x:c r="B30" s="3" t="s">
        <x:v>216</x:v>
      </x:c>
      <x:c r="C30" s="1" t="s">
        <x:v>217</x:v>
      </x:c>
      <x:c r="D30" s="1" t="s">
        <x:v>34</x:v>
      </x:c>
      <x:c r="E30" s="8" t="s">
        <x:v>35</x:v>
      </x:c>
      <x:c r="F30" s="1" t="s">
        <x:v>36</x:v>
      </x:c>
      <x:c r="G30" s="8" t="s">
        <x:v>37</x:v>
      </x:c>
      <x:c r="H30" s="8" t="s">
        <x:v>38</x:v>
      </x:c>
      <x:c r="I30" s="4">
        <x:v>1.0746</x:v>
      </x:c>
      <x:c r="J30" s="5">
        <x:v>46262</x:v>
      </x:c>
      <x:c r="K30" s="1" t="s">
        <x:v>39</x:v>
      </x:c>
      <x:c r="L30" s="5">
        <x:v>44271</x:v>
      </x:c>
      <x:c r="M30" s="6">
        <x:v>0.1336</x:v>
      </x:c>
      <x:c r="N30" s="6">
        <x:v>8.4399999999999989E-2</x:v>
      </x:c>
      <x:c r="O30" s="6">
        <x:v>0.1366</x:v>
      </x:c>
      <x:c r="P30" s="6">
        <x:v>3.4999999999999996E-3</x:v>
      </x:c>
      <x:c r="Q30" s="7">
        <x:v>5.4093999999999998</x:v>
      </x:c>
      <x:c r="R30" s="3" t="s">
        <x:v>218</x:v>
      </x:c>
      <x:c r="S30" s="1" t="s">
        <x:v>219</x:v>
      </x:c>
      <x:c r="T30" s="2">
        <x:v>311</x:v>
      </x:c>
      <x:c r="U30" s="5">
        <x:v>44271</x:v>
      </x:c>
      <x:c r="V30" s="5">
        <x:v>46265</x:v>
      </x:c>
      <x:c r="W30" s="4">
        <x:v>1.79932523</x:v>
      </x:c>
      <x:c r="X30" s="8" t="s">
        <x:v>220</x:v>
      </x:c>
      <x:c r="Y30" s="8" t="s">
        <x:v>221</x:v>
      </x:c>
      <x:c r="Z30" s="8" t="s">
        <x:v>43</x:v>
      </x:c>
      <x:c r="AA30" s="5">
        <x:v>46262</x:v>
      </x:c>
      <x:c r="AB30" s="5">
        <x:v>46269</x:v>
      </x:c>
      <x:c r="AC30" s="8" t="s">
        <x:v>66</x:v>
      </x:c>
      <x:c r="AD30" s="8" t="s">
        <x:v>45</x:v>
      </x:c>
      <x:c r="AE30" s="1" t="s">
        <x:v>222</x:v>
      </x:c>
      <x:c r="AF30" s="1" t="s">
        <x:v>47</x:v>
      </x:c>
    </x:row>
    <x:row r="31" ht="40" customHeight="1">
      <x:c r="A31" s="2">
        <x:v>32</x:v>
      </x:c>
      <x:c r="B31" s="3" t="s">
        <x:v>223</x:v>
      </x:c>
      <x:c r="C31" s="1" t="s">
        <x:v>224</x:v>
      </x:c>
      <x:c r="D31" s="1" t="s">
        <x:v>34</x:v>
      </x:c>
      <x:c r="E31" s="8" t="s">
        <x:v>35</x:v>
      </x:c>
      <x:c r="F31" s="1" t="s">
        <x:v>36</x:v>
      </x:c>
      <x:c r="G31" s="8" t="s">
        <x:v>37</x:v>
      </x:c>
      <x:c r="H31" s="8" t="s">
        <x:v>38</x:v>
      </x:c>
      <x:c r="I31" s="4">
        <x:v>2.7970000000000002</x:v>
      </x:c>
      <x:c r="J31" s="5">
        <x:v>46262</x:v>
      </x:c>
      <x:c r="K31" s="1" t="s">
        <x:v>39</x:v>
      </x:c>
      <x:c r="L31" s="5">
        <x:v>44061</x:v>
      </x:c>
      <x:c r="M31" s="6">
        <x:v>0.55909999999999993</x:v>
      </x:c>
      <x:c r="N31" s="6">
        <x:v>0.25309999999999999</x:v>
      </x:c>
      <x:c r="O31" s="6">
        <x:v>0.312</x:v>
      </x:c>
      <x:c r="P31" s="6">
        <x:v>7.8299999999999995E-2</x:v>
      </x:c>
      <x:c r="Q31" s="7">
        <x:v>2.5084</x:v>
      </x:c>
      <x:c r="R31" s="3" t="s">
        <x:v>225</x:v>
      </x:c>
      <x:c r="S31" s="1" t="s">
        <x:v>226</x:v>
      </x:c>
      <x:c r="T31" s="2">
        <x:v>102</x:v>
      </x:c>
      <x:c r="U31" s="5">
        <x:v>45608</x:v>
      </x:c>
      <x:c r="V31" s="5">
        <x:v>46262</x:v>
      </x:c>
      <x:c r="W31" s="4">
        <x:v>2.7970000000000002</x:v>
      </x:c>
      <x:c r="X31" s="8" t="s">
        <x:v>42</x:v>
      </x:c>
      <x:c r="Y31" s="8"/>
      <x:c r="Z31" s="8" t="s">
        <x:v>43</x:v>
      </x:c>
      <x:c r="AA31" s="5"/>
      <x:c r="AB31" s="5">
        <x:v>46269</x:v>
      </x:c>
      <x:c r="AC31" s="8" t="s">
        <x:v>44</x:v>
      </x:c>
      <x:c r="AD31" s="8" t="s">
        <x:v>45</x:v>
      </x:c>
      <x:c r="AE31" s="1" t="s">
        <x:v>227</x:v>
      </x:c>
      <x:c r="AF31" s="1" t="s">
        <x:v>47</x:v>
      </x:c>
    </x:row>
    <x:row r="32" ht="40" customHeight="1">
      <x:c r="A32" s="2">
        <x:v>33</x:v>
      </x:c>
      <x:c r="B32" s="3" t="s">
        <x:v>228</x:v>
      </x:c>
      <x:c r="C32" s="1" t="s">
        <x:v>229</x:v>
      </x:c>
      <x:c r="D32" s="1" t="s">
        <x:v>34</x:v>
      </x:c>
      <x:c r="E32" s="8" t="s">
        <x:v>35</x:v>
      </x:c>
      <x:c r="F32" s="1" t="s">
        <x:v>36</x:v>
      </x:c>
      <x:c r="G32" s="8" t="s">
        <x:v>37</x:v>
      </x:c>
      <x:c r="H32" s="8" t="s">
        <x:v>230</x:v>
      </x:c>
      <x:c r="I32" s="4">
        <x:v>1.5806</x:v>
      </x:c>
      <x:c r="J32" s="5">
        <x:v>46265</x:v>
      </x:c>
      <x:c r="K32" s="1" t="s">
        <x:v>39</x:v>
      </x:c>
      <x:c r="L32" s="5">
        <x:v>44323</x:v>
      </x:c>
      <x:c r="M32" s="6">
        <x:v>0.5806</x:v>
      </x:c>
      <x:c r="N32" s="6">
        <x:v>9.8599999999999993E-2</x:v>
      </x:c>
      <x:c r="O32" s="6">
        <x:v>0.1091</x:v>
      </x:c>
      <x:c r="P32" s="6">
        <x:v>8.3000000000000001E-3</x:v>
      </x:c>
      <x:c r="Q32" s="7">
        <x:v>5.8185000000000002</x:v>
      </x:c>
      <x:c r="R32" s="3" t="s">
        <x:v>231</x:v>
      </x:c>
      <x:c r="S32" s="1" t="s">
        <x:v>232</x:v>
      </x:c>
      <x:c r="T32" s="2">
        <x:v>933</x:v>
      </x:c>
      <x:c r="U32" s="5">
        <x:v>44323</x:v>
      </x:c>
      <x:c r="V32" s="5">
        <x:v>46265</x:v>
      </x:c>
      <x:c r="W32" s="4">
        <x:v>1.5806</x:v>
      </x:c>
      <x:c r="X32" s="8" t="s">
        <x:v>42</x:v>
      </x:c>
      <x:c r="Y32" s="8"/>
      <x:c r="Z32" s="8" t="s">
        <x:v>43</x:v>
      </x:c>
      <x:c r="AA32" s="5"/>
      <x:c r="AB32" s="5">
        <x:v>46269</x:v>
      </x:c>
      <x:c r="AC32" s="8" t="s">
        <x:v>44</x:v>
      </x:c>
      <x:c r="AD32" s="8" t="s">
        <x:v>45</x:v>
      </x:c>
      <x:c r="AE32" s="1" t="s">
        <x:v>233</x:v>
      </x:c>
      <x:c r="AF32" s="1" t="s">
        <x:v>47</x:v>
      </x:c>
    </x:row>
    <x:row r="33" ht="40" customHeight="1">
      <x:c r="A33" s="2">
        <x:v>34</x:v>
      </x:c>
      <x:c r="B33" s="3" t="s">
        <x:v>234</x:v>
      </x:c>
      <x:c r="C33" s="1" t="s">
        <x:v>235</x:v>
      </x:c>
      <x:c r="D33" s="1" t="s">
        <x:v>34</x:v>
      </x:c>
      <x:c r="E33" s="8" t="s">
        <x:v>236</x:v>
      </x:c>
      <x:c r="F33" s="1" t="s">
        <x:v>36</x:v>
      </x:c>
      <x:c r="G33" s="8" t="s">
        <x:v>51</x:v>
      </x:c>
      <x:c r="H33" s="8" t="s">
        <x:v>237</x:v>
      </x:c>
      <x:c r="I33" s="4">
        <x:v>1.0782</x:v>
      </x:c>
      <x:c r="J33" s="5">
        <x:v>46268</x:v>
      </x:c>
      <x:c r="K33" s="1" t="s">
        <x:v>39</x:v>
      </x:c>
      <x:c r="L33" s="5">
        <x:v>46049</x:v>
      </x:c>
      <x:c r="M33" s="6">
        <x:v>7.8200000000000047E-2</x:v>
      </x:c>
      <x:c r="N33" s="6">
        <x:v>7.8200000000000047E-2</x:v>
      </x:c>
      <x:c r="O33" s="6">
        <x:v>0.13033333333333341</x:v>
      </x:c>
      <x:c r="P33" s="6">
        <x:v>7.8318627936949173E-3</x:v>
      </x:c>
      <x:c r="Q33" s="7">
        <x:v>3.2917685647898614</x:v>
      </x:c>
      <x:c r="R33" s="3" t="s">
        <x:v>238</x:v>
      </x:c>
      <x:c r="S33" s="1" t="s">
        <x:v>239</x:v>
      </x:c>
      <x:c r="T33" s="2">
        <x:v>147</x:v>
      </x:c>
      <x:c r="U33" s="5">
        <x:v>46049</x:v>
      </x:c>
      <x:c r="V33" s="5">
        <x:v>46268</x:v>
      </x:c>
      <x:c r="W33" s="4">
        <x:v>1.0782</x:v>
      </x:c>
      <x:c r="X33" s="8" t="s">
        <x:v>55</x:v>
      </x:c>
      <x:c r="Y33" s="8" t="s">
        <x:v>240</x:v>
      </x:c>
      <x:c r="Z33" s="8"/>
      <x:c r="AA33" s="5">
        <x:v>46262</x:v>
      </x:c>
      <x:c r="AB33" s="5"/>
      <x:c r="AC33" s="8" t="s">
        <x:v>57</x:v>
      </x:c>
      <x:c r="AD33" s="8" t="s">
        <x:v>45</x:v>
      </x:c>
      <x:c r="AE33" s="1" t="s">
        <x:v>241</x:v>
      </x:c>
      <x:c r="AF33" s="1" t="s">
        <x:v>47</x:v>
      </x:c>
    </x:row>
    <x:row r="34" ht="40" customHeight="1">
      <x:c r="A34" s="2">
        <x:v>35</x:v>
      </x:c>
      <x:c r="B34" s="3" t="s">
        <x:v>242</x:v>
      </x:c>
      <x:c r="C34" s="1" t="s">
        <x:v>243</x:v>
      </x:c>
      <x:c r="D34" s="1" t="s">
        <x:v>34</x:v>
      </x:c>
      <x:c r="E34" s="8" t="s">
        <x:v>35</x:v>
      </x:c>
      <x:c r="F34" s="1" t="s">
        <x:v>36</x:v>
      </x:c>
      <x:c r="G34" s="8" t="s">
        <x:v>37</x:v>
      </x:c>
      <x:c r="H34" s="8" t="s">
        <x:v>38</x:v>
      </x:c>
      <x:c r="I34" s="4">
        <x:v>1.0205</x:v>
      </x:c>
      <x:c r="J34" s="5">
        <x:v>46267</x:v>
      </x:c>
      <x:c r="K34" s="1" t="s">
        <x:v>138</x:v>
      </x:c>
      <x:c r="L34" s="5">
        <x:v>45594</x:v>
      </x:c>
      <x:c r="M34" s="6">
        <x:v>2.0499999999999997E-2</x:v>
      </x:c>
      <x:c r="N34" s="6">
        <x:v>3.6799999999999999E-2</x:v>
      </x:c>
      <x:c r="O34" s="6">
        <x:v>1.1200000000000002E-2</x:v>
      </x:c>
      <x:c r="P34" s="6">
        <x:v>0.12210000000000001</x:v>
      </x:c>
      <x:c r="Q34" s="7">
        <x:v>-8.4199999999999997E-2</x:v>
      </x:c>
      <x:c r="R34" s="3" t="s">
        <x:v>244</x:v>
      </x:c>
      <x:c r="S34" s="1" t="s">
        <x:v>245</x:v>
      </x:c>
      <x:c r="T34" s="2">
        <x:v>200</x:v>
      </x:c>
      <x:c r="U34" s="5">
        <x:v>45597</x:v>
      </x:c>
      <x:c r="V34" s="5">
        <x:v>46267</x:v>
      </x:c>
      <x:c r="W34" s="4">
        <x:v>1.0205</x:v>
      </x:c>
      <x:c r="X34" s="8" t="s">
        <x:v>141</x:v>
      </x:c>
      <x:c r="Y34" s="8"/>
      <x:c r="Z34" s="8"/>
      <x:c r="AA34" s="5"/>
      <x:c r="AB34" s="5"/>
      <x:c r="AC34" s="8" t="s">
        <x:v>39</x:v>
      </x:c>
      <x:c r="AD34" s="8" t="s">
        <x:v>45</x:v>
      </x:c>
      <x:c r="AE34" s="1" t="s">
        <x:v>246</x:v>
      </x:c>
      <x:c r="AF34" s="1" t="s">
        <x:v>47</x:v>
      </x:c>
    </x:row>
    <x:row r="35" ht="40" customHeight="1">
      <x:c r="A35" s="2">
        <x:v>36</x:v>
      </x:c>
      <x:c r="B35" s="3" t="s">
        <x:v>247</x:v>
      </x:c>
      <x:c r="C35" s="1" t="s">
        <x:v>248</x:v>
      </x:c>
      <x:c r="D35" s="1" t="s">
        <x:v>34</x:v>
      </x:c>
      <x:c r="E35" s="8" t="s">
        <x:v>136</x:v>
      </x:c>
      <x:c r="F35" s="1" t="s">
        <x:v>36</x:v>
      </x:c>
      <x:c r="G35" s="8" t="s">
        <x:v>51</x:v>
      </x:c>
      <x:c r="H35" s="8" t="s">
        <x:v>137</x:v>
      </x:c>
      <x:c r="I35" s="4">
        <x:v>1.0334000000000001</x:v>
      </x:c>
      <x:c r="J35" s="5">
        <x:v>46262</x:v>
      </x:c>
      <x:c r="K35" s="1" t="s">
        <x:v>39</x:v>
      </x:c>
      <x:c r="L35" s="5">
        <x:v>44196</x:v>
      </x:c>
      <x:c r="M35" s="6">
        <x:v>0.98226001399860019</x:v>
      </x:c>
      <x:c r="N35" s="6">
        <x:v>4.4595443347605679E-2</x:v>
      </x:c>
      <x:c r="O35" s="6">
        <x:v>0.17353577207622897</x:v>
      </x:c>
      <x:c r="P35" s="6">
        <x:v>5.2485640720936833E-3</x:v>
      </x:c>
      <x:c r="Q35" s="7">
        <x:v>6.7266780449964534</x:v>
      </x:c>
      <x:c r="R35" s="3" t="s">
        <x:v>249</x:v>
      </x:c>
      <x:c r="S35" s="1" t="s">
        <x:v>250</x:v>
      </x:c>
      <x:c r="T35" s="2">
        <x:v>290</x:v>
      </x:c>
      <x:c r="U35" s="5">
        <x:v>44196</x:v>
      </x:c>
      <x:c r="V35" s="5">
        <x:v>46262</x:v>
      </x:c>
      <x:c r="W35" s="4">
        <x:v>1.9824582399999999</x:v>
      </x:c>
      <x:c r="X35" s="8" t="s">
        <x:v>106</x:v>
      </x:c>
      <x:c r="Y35" s="8" t="s">
        <x:v>251</x:v>
      </x:c>
      <x:c r="Z35" s="8"/>
      <x:c r="AA35" s="5">
        <x:v>46262</x:v>
      </x:c>
      <x:c r="AB35" s="5">
        <x:v>46274</x:v>
      </x:c>
      <x:c r="AC35" s="8" t="s">
        <x:v>57</x:v>
      </x:c>
      <x:c r="AD35" s="8" t="s">
        <x:v>45</x:v>
      </x:c>
      <x:c r="AE35" s="1" t="s">
        <x:v>252</x:v>
      </x:c>
      <x:c r="AF35" s="1" t="s">
        <x:v>47</x:v>
      </x:c>
    </x:row>
    <x:row r="36" ht="40" customHeight="1">
      <x:c r="A36" s="2">
        <x:v>37</x:v>
      </x:c>
      <x:c r="B36" s="3" t="s">
        <x:v>253</x:v>
      </x:c>
      <x:c r="C36" s="1" t="s">
        <x:v>254</x:v>
      </x:c>
      <x:c r="D36" s="1" t="s">
        <x:v>34</x:v>
      </x:c>
      <x:c r="E36" s="8" t="s">
        <x:v>35</x:v>
      </x:c>
      <x:c r="F36" s="1" t="s">
        <x:v>36</x:v>
      </x:c>
      <x:c r="G36" s="8" t="s">
        <x:v>37</x:v>
      </x:c>
      <x:c r="H36" s="8" t="s">
        <x:v>187</x:v>
      </x:c>
      <x:c r="I36" s="4">
        <x:v>1.194</x:v>
      </x:c>
      <x:c r="J36" s="5">
        <x:v>46262</x:v>
      </x:c>
      <x:c r="K36" s="1" t="s">
        <x:v>39</x:v>
      </x:c>
      <x:c r="L36" s="5">
        <x:v>44489</x:v>
      </x:c>
      <x:c r="M36" s="6">
        <x:v>0.39020000000000005</x:v>
      </x:c>
      <x:c r="N36" s="6">
        <x:v>6.5799999999999997E-2</x:v>
      </x:c>
      <x:c r="O36" s="6">
        <x:v>8.0399999999999985E-2</x:v>
      </x:c>
      <x:c r="P36" s="6">
        <x:v>1.3000000000000001E-2</x:v>
      </x:c>
      <x:c r="Q36" s="7">
        <x:v>2.6101999999999999</x:v>
      </x:c>
      <x:c r="R36" s="3" t="s">
        <x:v>255</x:v>
      </x:c>
      <x:c r="S36" s="1" t="s">
        <x:v>256</x:v>
      </x:c>
      <x:c r="T36" s="2">
        <x:v>248</x:v>
      </x:c>
      <x:c r="U36" s="5">
        <x:v>44491</x:v>
      </x:c>
      <x:c r="V36" s="5">
        <x:v>46262</x:v>
      </x:c>
      <x:c r="W36" s="4">
        <x:v>1.3902333899999999</x:v>
      </x:c>
      <x:c r="X36" s="8" t="s">
        <x:v>100</x:v>
      </x:c>
      <x:c r="Y36" s="8" t="s">
        <x:v>190</x:v>
      </x:c>
      <x:c r="Z36" s="8" t="s">
        <x:v>43</x:v>
      </x:c>
      <x:c r="AA36" s="5">
        <x:v>46262</x:v>
      </x:c>
      <x:c r="AB36" s="5">
        <x:v>46269</x:v>
      </x:c>
      <x:c r="AC36" s="8" t="s">
        <x:v>66</x:v>
      </x:c>
      <x:c r="AD36" s="8" t="s">
        <x:v>45</x:v>
      </x:c>
      <x:c r="AE36" s="1" t="s">
        <x:v>257</x:v>
      </x:c>
      <x:c r="AF36" s="1" t="s">
        <x:v>47</x:v>
      </x:c>
    </x:row>
    <x:row r="37" ht="40" customHeight="1">
      <x:c r="A37" s="2">
        <x:v>38</x:v>
      </x:c>
      <x:c r="B37" s="3" t="s">
        <x:v>258</x:v>
      </x:c>
      <x:c r="C37" s="1" t="s">
        <x:v>259</x:v>
      </x:c>
      <x:c r="D37" s="1" t="s">
        <x:v>34</x:v>
      </x:c>
      <x:c r="E37" s="8" t="s">
        <x:v>35</x:v>
      </x:c>
      <x:c r="F37" s="1" t="s">
        <x:v>36</x:v>
      </x:c>
      <x:c r="G37" s="8" t="s">
        <x:v>37</x:v>
      </x:c>
      <x:c r="H37" s="8" t="s">
        <x:v>38</x:v>
      </x:c>
      <x:c r="I37" s="4">
        <x:v>1.1373</x:v>
      </x:c>
      <x:c r="J37" s="5">
        <x:v>46267</x:v>
      </x:c>
      <x:c r="K37" s="1" t="s">
        <x:v>138</x:v>
      </x:c>
      <x:c r="L37" s="5">
        <x:v>45096</x:v>
      </x:c>
      <x:c r="M37" s="6">
        <x:v>4.6500000000000007E-2</x:v>
      </x:c>
      <x:c r="N37" s="6"/>
      <x:c r="O37" s="6">
        <x:v>0.15010000000000001</x:v>
      </x:c>
      <x:c r="P37" s="6">
        <x:v>7.000000000000001E-4</x:v>
      </x:c>
      <x:c r="Q37" s="7">
        <x:v>12.398</x:v>
      </x:c>
      <x:c r="R37" s="3" t="s">
        <x:v>260</x:v>
      </x:c>
      <x:c r="S37" s="1" t="s">
        <x:v>261</x:v>
      </x:c>
      <x:c r="T37" s="2">
        <x:v>80</x:v>
      </x:c>
      <x:c r="U37" s="5">
        <x:v>46154</x:v>
      </x:c>
      <x:c r="V37" s="5">
        <x:v>46267</x:v>
      </x:c>
      <x:c r="W37" s="4">
        <x:v>1.1373</x:v>
      </x:c>
      <x:c r="X37" s="8" t="s">
        <x:v>141</x:v>
      </x:c>
      <x:c r="Y37" s="8"/>
      <x:c r="Z37" s="8"/>
      <x:c r="AA37" s="5"/>
      <x:c r="AB37" s="5"/>
      <x:c r="AC37" s="8" t="s">
        <x:v>39</x:v>
      </x:c>
      <x:c r="AD37" s="8" t="s">
        <x:v>45</x:v>
      </x:c>
      <x:c r="AE37" s="1" t="s">
        <x:v>262</x:v>
      </x:c>
      <x:c r="AF37" s="1" t="s">
        <x:v>47</x:v>
      </x:c>
    </x:row>
    <x:row r="38" ht="40" customHeight="1">
      <x:c r="A38" s="2">
        <x:v>39</x:v>
      </x:c>
      <x:c r="B38" s="3" t="s">
        <x:v>263</x:v>
      </x:c>
      <x:c r="C38" s="1" t="s">
        <x:v>264</x:v>
      </x:c>
      <x:c r="D38" s="1" t="s">
        <x:v>34</x:v>
      </x:c>
      <x:c r="E38" s="8" t="s">
        <x:v>35</x:v>
      </x:c>
      <x:c r="F38" s="1" t="s">
        <x:v>36</x:v>
      </x:c>
      <x:c r="G38" s="8" t="s">
        <x:v>37</x:v>
      </x:c>
      <x:c r="H38" s="8" t="s">
        <x:v>38</x:v>
      </x:c>
      <x:c r="I38" s="4">
        <x:v>1.0568</x:v>
      </x:c>
      <x:c r="J38" s="5">
        <x:v>46262</x:v>
      </x:c>
      <x:c r="K38" s="1" t="s">
        <x:v>39</x:v>
      </x:c>
      <x:c r="L38" s="5">
        <x:v>43937</x:v>
      </x:c>
      <x:c r="M38" s="6">
        <x:v>0.83879999999999999</x:v>
      </x:c>
      <x:c r="N38" s="6">
        <x:v>3.6499999999999998E-2</x:v>
      </x:c>
      <x:c r="O38" s="6">
        <x:v>0.13170000000000001</x:v>
      </x:c>
      <x:c r="P38" s="6">
        <x:v>4.6999999999999993E-3</x:v>
      </x:c>
      <x:c r="Q38" s="7">
        <x:v>5.4991000000000003</x:v>
      </x:c>
      <x:c r="R38" s="3" t="s">
        <x:v>265</x:v>
      </x:c>
      <x:c r="S38" s="1" t="s">
        <x:v>266</x:v>
      </x:c>
      <x:c r="T38" s="2">
        <x:v>337</x:v>
      </x:c>
      <x:c r="U38" s="5">
        <x:v>43937</x:v>
      </x:c>
      <x:c r="V38" s="5">
        <x:v>46262</x:v>
      </x:c>
      <x:c r="W38" s="4">
        <x:v>1.83878787</x:v>
      </x:c>
      <x:c r="X38" s="8" t="s">
        <x:v>42</x:v>
      </x:c>
      <x:c r="Y38" s="8"/>
      <x:c r="Z38" s="8" t="s">
        <x:v>43</x:v>
      </x:c>
      <x:c r="AA38" s="5"/>
      <x:c r="AB38" s="5">
        <x:v>46269</x:v>
      </x:c>
      <x:c r="AC38" s="8" t="s">
        <x:v>44</x:v>
      </x:c>
      <x:c r="AD38" s="8" t="s">
        <x:v>45</x:v>
      </x:c>
      <x:c r="AE38" s="1" t="s">
        <x:v>267</x:v>
      </x:c>
      <x:c r="AF38" s="1" t="s">
        <x:v>47</x:v>
      </x:c>
    </x:row>
    <x:row r="39" ht="40" customHeight="1">
      <x:c r="A39" s="2">
        <x:v>40</x:v>
      </x:c>
      <x:c r="B39" s="3" t="s">
        <x:v>268</x:v>
      </x:c>
      <x:c r="C39" s="1" t="s">
        <x:v>269</x:v>
      </x:c>
      <x:c r="D39" s="1" t="s">
        <x:v>34</x:v>
      </x:c>
      <x:c r="E39" s="8" t="s">
        <x:v>35</x:v>
      </x:c>
      <x:c r="F39" s="1" t="s">
        <x:v>36</x:v>
      </x:c>
      <x:c r="G39" s="8" t="s">
        <x:v>51</x:v>
      </x:c>
      <x:c r="H39" s="8" t="s">
        <x:v>270</x:v>
      </x:c>
      <x:c r="I39" s="4">
        <x:v>1.4103000000000001</x:v>
      </x:c>
      <x:c r="J39" s="5">
        <x:v>46262</x:v>
      </x:c>
      <x:c r="K39" s="1" t="s">
        <x:v>39</x:v>
      </x:c>
      <x:c r="L39" s="5">
        <x:v>44088</x:v>
      </x:c>
      <x:c r="M39" s="6">
        <x:v>0.41001799640072001</x:v>
      </x:c>
      <x:c r="N39" s="6">
        <x:v>2.1660388293248456E-2</x:v>
      </x:c>
      <x:c r="O39" s="6">
        <x:v>6.8966160684913735E-2</x:v>
      </x:c>
      <x:c r="P39" s="6">
        <x:v>2.5101273148148594E-2</x:v>
      </x:c>
      <x:c r="Q39" s="7">
        <x:v>2.6478430614260104</x:v>
      </x:c>
      <x:c r="R39" s="3" t="s">
        <x:v>271</x:v>
      </x:c>
      <x:c r="S39" s="1" t="s">
        <x:v>272</x:v>
      </x:c>
      <x:c r="T39" s="2">
        <x:v>305</x:v>
      </x:c>
      <x:c r="U39" s="5">
        <x:v>44092</x:v>
      </x:c>
      <x:c r="V39" s="5">
        <x:v>46262</x:v>
      </x:c>
      <x:c r="W39" s="4">
        <x:v>1.4103000000000001</x:v>
      </x:c>
      <x:c r="X39" s="8" t="s">
        <x:v>55</x:v>
      </x:c>
      <x:c r="Y39" s="8" t="s">
        <x:v>92</x:v>
      </x:c>
      <x:c r="Z39" s="8"/>
      <x:c r="AA39" s="5">
        <x:v>46262</x:v>
      </x:c>
      <x:c r="AB39" s="5"/>
      <x:c r="AC39" s="8" t="s">
        <x:v>57</x:v>
      </x:c>
      <x:c r="AD39" s="8" t="s">
        <x:v>45</x:v>
      </x:c>
      <x:c r="AE39" s="1" t="s">
        <x:v>273</x:v>
      </x:c>
      <x:c r="AF39" s="1" t="s">
        <x:v>47</x:v>
      </x:c>
    </x:row>
    <x:row r="40" ht="40" customHeight="1">
      <x:c r="A40" s="2">
        <x:v>41</x:v>
      </x:c>
      <x:c r="B40" s="3" t="s">
        <x:v>274</x:v>
      </x:c>
      <x:c r="C40" s="1" t="s">
        <x:v>275</x:v>
      </x:c>
      <x:c r="D40" s="1" t="s">
        <x:v>34</x:v>
      </x:c>
      <x:c r="E40" s="8" t="s">
        <x:v>70</x:v>
      </x:c>
      <x:c r="F40" s="1" t="s">
        <x:v>36</x:v>
      </x:c>
      <x:c r="G40" s="8" t="s">
        <x:v>37</x:v>
      </x:c>
      <x:c r="H40" s="8" t="s">
        <x:v>71</x:v>
      </x:c>
      <x:c r="I40" s="4">
        <x:v>1.5107999999999999</x:v>
      </x:c>
      <x:c r="J40" s="5">
        <x:v>45975</x:v>
      </x:c>
      <x:c r="K40" s="1" t="s">
        <x:v>39</x:v>
      </x:c>
      <x:c r="L40" s="5">
        <x:v>44571</x:v>
      </x:c>
      <x:c r="M40" s="6">
        <x:v>0.51100000000000001</x:v>
      </x:c>
      <x:c r="N40" s="6">
        <x:v>6.4899999999999999E-2</x:v>
      </x:c>
      <x:c r="O40" s="6">
        <x:v>0.13320000000000001</x:v>
      </x:c>
      <x:c r="P40" s="6">
        <x:v>5.4000000000000003E-3</x:v>
      </x:c>
      <x:c r="Q40" s="7">
        <x:v>1.6446000000000001</x:v>
      </x:c>
      <x:c r="R40" s="3" t="s">
        <x:v>276</x:v>
      </x:c>
      <x:c r="S40" s="1" t="s">
        <x:v>277</x:v>
      </x:c>
      <x:c r="T40" s="2">
        <x:v>424</x:v>
      </x:c>
      <x:c r="U40" s="5">
        <x:v>44571</x:v>
      </x:c>
      <x:c r="V40" s="5">
        <x:v>46262</x:v>
      </x:c>
      <x:c r="W40" s="4">
        <x:v>1.6495</x:v>
      </x:c>
      <x:c r="X40" s="8" t="s">
        <x:v>42</x:v>
      </x:c>
      <x:c r="Y40" s="8"/>
      <x:c r="Z40" s="8" t="s">
        <x:v>74</x:v>
      </x:c>
      <x:c r="AA40" s="5"/>
      <x:c r="AB40" s="5">
        <x:v>46269</x:v>
      </x:c>
      <x:c r="AC40" s="8" t="s">
        <x:v>278</x:v>
      </x:c>
      <x:c r="AD40" s="8" t="s">
        <x:v>45</x:v>
      </x:c>
      <x:c r="AE40" s="1" t="s">
        <x:v>279</x:v>
      </x:c>
      <x:c r="AF40" s="1" t="s">
        <x:v>47</x:v>
      </x:c>
    </x:row>
    <x:row r="41" ht="40" customHeight="1">
      <x:c r="A41" s="2">
        <x:v>42</x:v>
      </x:c>
      <x:c r="B41" s="3" t="s">
        <x:v>280</x:v>
      </x:c>
      <x:c r="C41" s="1" t="s">
        <x:v>281</x:v>
      </x:c>
      <x:c r="D41" s="1" t="s">
        <x:v>34</x:v>
      </x:c>
      <x:c r="E41" s="8" t="s">
        <x:v>35</x:v>
      </x:c>
      <x:c r="F41" s="1" t="s">
        <x:v>36</x:v>
      </x:c>
      <x:c r="G41" s="8" t="s">
        <x:v>37</x:v>
      </x:c>
      <x:c r="H41" s="8" t="s">
        <x:v>282</x:v>
      </x:c>
      <x:c r="I41" s="4">
        <x:v>1.0278</x:v>
      </x:c>
      <x:c r="J41" s="5">
        <x:v>46262</x:v>
      </x:c>
      <x:c r="K41" s="1" t="s">
        <x:v>39</x:v>
      </x:c>
      <x:c r="L41" s="5">
        <x:v>44750</x:v>
      </x:c>
      <x:c r="M41" s="6">
        <x:v>0.57520000000000004</x:v>
      </x:c>
      <x:c r="N41" s="6">
        <x:v>9.2799999999999994E-2</x:v>
      </x:c>
      <x:c r="O41" s="6">
        <x:v>0.14019999999999999</x:v>
      </x:c>
      <x:c r="P41" s="6">
        <x:v>4.0199999999999993E-2</x:v>
      </x:c>
      <x:c r="Q41" s="7">
        <x:v>2.1661999999999999</x:v>
      </x:c>
      <x:c r="R41" s="3" t="s">
        <x:v>283</x:v>
      </x:c>
      <x:c r="S41" s="1" t="s">
        <x:v>284</x:v>
      </x:c>
      <x:c r="T41" s="2">
        <x:v>210</x:v>
      </x:c>
      <x:c r="U41" s="5">
        <x:v>44764</x:v>
      </x:c>
      <x:c r="V41" s="5">
        <x:v>46262</x:v>
      </x:c>
      <x:c r="W41" s="4">
        <x:v>1.5756842900000001</x:v>
      </x:c>
      <x:c r="X41" s="8" t="s">
        <x:v>220</x:v>
      </x:c>
      <x:c r="Y41" s="8" t="s">
        <x:v>285</x:v>
      </x:c>
      <x:c r="Z41" s="8" t="s">
        <x:v>43</x:v>
      </x:c>
      <x:c r="AA41" s="5">
        <x:v>46262</x:v>
      </x:c>
      <x:c r="AB41" s="5">
        <x:v>46269</x:v>
      </x:c>
      <x:c r="AC41" s="8" t="s">
        <x:v>66</x:v>
      </x:c>
      <x:c r="AD41" s="8" t="s">
        <x:v>45</x:v>
      </x:c>
      <x:c r="AE41" s="1" t="s">
        <x:v>286</x:v>
      </x:c>
      <x:c r="AF41" s="1" t="s">
        <x:v>47</x:v>
      </x:c>
    </x:row>
    <x:row r="42" ht="40" customHeight="1">
      <x:c r="A42" s="2">
        <x:v>43</x:v>
      </x:c>
      <x:c r="B42" s="3" t="s">
        <x:v>287</x:v>
      </x:c>
      <x:c r="C42" s="1" t="s">
        <x:v>288</x:v>
      </x:c>
      <x:c r="D42" s="1" t="s">
        <x:v>34</x:v>
      </x:c>
      <x:c r="E42" s="8" t="s">
        <x:v>35</x:v>
      </x:c>
      <x:c r="F42" s="1" t="s">
        <x:v>36</x:v>
      </x:c>
      <x:c r="G42" s="8" t="s">
        <x:v>37</x:v>
      </x:c>
      <x:c r="H42" s="8" t="s">
        <x:v>282</x:v>
      </x:c>
      <x:c r="I42" s="4">
        <x:v>1.1022000000000001</x:v>
      </x:c>
      <x:c r="J42" s="5">
        <x:v>46262</x:v>
      </x:c>
      <x:c r="K42" s="1" t="s">
        <x:v>39</x:v>
      </x:c>
      <x:c r="L42" s="5">
        <x:v>45166</x:v>
      </x:c>
      <x:c r="M42" s="6">
        <x:v>0.31879999999999997</x:v>
      </x:c>
      <x:c r="N42" s="6">
        <x:v>0.1024</x:v>
      </x:c>
      <x:c r="O42" s="6">
        <x:v>0.10619999999999999</x:v>
      </x:c>
      <x:c r="P42" s="6">
        <x:v>3.7499999999999999E-2</x:v>
      </x:c>
      <x:c r="Q42" s="7">
        <x:v>1.4401999999999999</x:v>
      </x:c>
      <x:c r="R42" s="3" t="s">
        <x:v>289</x:v>
      </x:c>
      <x:c r="S42" s="1" t="s">
        <x:v>284</x:v>
      </x:c>
      <x:c r="T42" s="2">
        <x:v>160</x:v>
      </x:c>
      <x:c r="U42" s="5">
        <x:v>45166</x:v>
      </x:c>
      <x:c r="V42" s="5">
        <x:v>46262</x:v>
      </x:c>
      <x:c r="W42" s="4">
        <x:v>1.3187823000000001</x:v>
      </x:c>
      <x:c r="X42" s="8" t="s">
        <x:v>42</x:v>
      </x:c>
      <x:c r="Y42" s="8"/>
      <x:c r="Z42" s="8" t="s">
        <x:v>43</x:v>
      </x:c>
      <x:c r="AA42" s="5"/>
      <x:c r="AB42" s="5">
        <x:v>46269</x:v>
      </x:c>
      <x:c r="AC42" s="8" t="s">
        <x:v>44</x:v>
      </x:c>
      <x:c r="AD42" s="8" t="s">
        <x:v>45</x:v>
      </x:c>
      <x:c r="AE42" s="1" t="s">
        <x:v>290</x:v>
      </x:c>
      <x:c r="AF42" s="1" t="s">
        <x:v>47</x:v>
      </x:c>
    </x:row>
    <x:row r="43" ht="40" customHeight="1">
      <x:c r="A43" s="2">
        <x:v>44</x:v>
      </x:c>
      <x:c r="B43" s="3" t="s">
        <x:v>291</x:v>
      </x:c>
      <x:c r="C43" s="1" t="s">
        <x:v>292</x:v>
      </x:c>
      <x:c r="D43" s="1" t="s">
        <x:v>34</x:v>
      </x:c>
      <x:c r="E43" s="8" t="s">
        <x:v>35</x:v>
      </x:c>
      <x:c r="F43" s="1" t="s">
        <x:v>36</x:v>
      </x:c>
      <x:c r="G43" s="8" t="s">
        <x:v>37</x:v>
      </x:c>
      <x:c r="H43" s="8" t="s">
        <x:v>38</x:v>
      </x:c>
      <x:c r="I43" s="4">
        <x:v>1.0578000000000001</x:v>
      </x:c>
      <x:c r="J43" s="5">
        <x:v>46262</x:v>
      </x:c>
      <x:c r="K43" s="1" t="s">
        <x:v>39</x:v>
      </x:c>
      <x:c r="L43" s="5">
        <x:v>45376</x:v>
      </x:c>
      <x:c r="M43" s="6">
        <x:v>0.2359</x:v>
      </x:c>
      <x:c r="N43" s="6">
        <x:v>6.8199999999999997E-2</x:v>
      </x:c>
      <x:c r="O43" s="6">
        <x:v>0.1</x:v>
      </x:c>
      <x:c r="P43" s="6">
        <x:v>3.39E-2</x:v>
      </x:c>
      <x:c r="Q43" s="7">
        <x:v>1.7851999999999999</x:v>
      </x:c>
      <x:c r="R43" s="3" t="s">
        <x:v>293</x:v>
      </x:c>
      <x:c r="S43" s="1" t="s">
        <x:v>284</x:v>
      </x:c>
      <x:c r="T43" s="2">
        <x:v>122</x:v>
      </x:c>
      <x:c r="U43" s="5">
        <x:v>45401</x:v>
      </x:c>
      <x:c r="V43" s="5">
        <x:v>46262</x:v>
      </x:c>
      <x:c r="W43" s="4">
        <x:v>1.2363841200000001</x:v>
      </x:c>
      <x:c r="X43" s="8" t="s">
        <x:v>42</x:v>
      </x:c>
      <x:c r="Y43" s="8"/>
      <x:c r="Z43" s="8" t="s">
        <x:v>43</x:v>
      </x:c>
      <x:c r="AA43" s="5"/>
      <x:c r="AB43" s="5">
        <x:v>46269</x:v>
      </x:c>
      <x:c r="AC43" s="8" t="s">
        <x:v>66</x:v>
      </x:c>
      <x:c r="AD43" s="8" t="s">
        <x:v>45</x:v>
      </x:c>
      <x:c r="AE43" s="1" t="s">
        <x:v>294</x:v>
      </x:c>
      <x:c r="AF43" s="1" t="s">
        <x:v>47</x:v>
      </x:c>
    </x:row>
    <x:row r="44" ht="40" customHeight="1">
      <x:c r="A44" s="2">
        <x:v>45</x:v>
      </x:c>
      <x:c r="B44" s="3" t="s">
        <x:v>295</x:v>
      </x:c>
      <x:c r="C44" s="1" t="s">
        <x:v>296</x:v>
      </x:c>
      <x:c r="D44" s="1" t="s">
        <x:v>34</x:v>
      </x:c>
      <x:c r="E44" s="8" t="s">
        <x:v>122</x:v>
      </x:c>
      <x:c r="F44" s="1" t="s">
        <x:v>36</x:v>
      </x:c>
      <x:c r="G44" s="8" t="s">
        <x:v>37</x:v>
      </x:c>
      <x:c r="H44" s="8" t="s">
        <x:v>297</x:v>
      </x:c>
      <x:c r="I44" s="4">
        <x:v>1.0642</x:v>
      </x:c>
      <x:c r="J44" s="5">
        <x:v>46262</x:v>
      </x:c>
      <x:c r="K44" s="1" t="s">
        <x:v>39</x:v>
      </x:c>
      <x:c r="L44" s="5">
        <x:v>44691</x:v>
      </x:c>
      <x:c r="M44" s="6">
        <x:v>0.37579999999999997</x:v>
      </x:c>
      <x:c r="N44" s="6">
        <x:v>4.87E-2</x:v>
      </x:c>
      <x:c r="O44" s="6">
        <x:v>8.7300000000000003E-2</x:v>
      </x:c>
      <x:c r="P44" s="6">
        <x:v>8.3999999999999995E-3</x:v>
      </x:c>
      <x:c r="Q44" s="7">
        <x:v>3.6118999999999999</x:v>
      </x:c>
      <x:c r="R44" s="3" t="s">
        <x:v>298</x:v>
      </x:c>
      <x:c r="S44" s="1" t="s">
        <x:v>284</x:v>
      </x:c>
      <x:c r="T44" s="2">
        <x:v>270</x:v>
      </x:c>
      <x:c r="U44" s="5">
        <x:v>44691</x:v>
      </x:c>
      <x:c r="V44" s="5">
        <x:v>46262</x:v>
      </x:c>
      <x:c r="W44" s="4">
        <x:v>1.3757631699999999</x:v>
      </x:c>
      <x:c r="X44" s="8" t="s">
        <x:v>79</x:v>
      </x:c>
      <x:c r="Y44" s="8" t="s">
        <x:v>299</x:v>
      </x:c>
      <x:c r="Z44" s="8"/>
      <x:c r="AA44" s="5">
        <x:v>46262</x:v>
      </x:c>
      <x:c r="AB44" s="5"/>
      <x:c r="AC44" s="8" t="s">
        <x:v>44</x:v>
      </x:c>
      <x:c r="AD44" s="8" t="s">
        <x:v>45</x:v>
      </x:c>
      <x:c r="AE44" s="1" t="s">
        <x:v>300</x:v>
      </x:c>
      <x:c r="AF44" s="1" t="s">
        <x:v>47</x:v>
      </x:c>
    </x:row>
    <x:row r="45" ht="40" customHeight="1">
      <x:c r="A45" s="2">
        <x:v>46</x:v>
      </x:c>
      <x:c r="B45" s="3" t="s">
        <x:v>301</x:v>
      </x:c>
      <x:c r="C45" s="1" t="s">
        <x:v>302</x:v>
      </x:c>
      <x:c r="D45" s="1" t="s">
        <x:v>34</x:v>
      </x:c>
      <x:c r="E45" s="8" t="s">
        <x:v>35</x:v>
      </x:c>
      <x:c r="F45" s="1" t="s">
        <x:v>36</x:v>
      </x:c>
      <x:c r="G45" s="8" t="s">
        <x:v>37</x:v>
      </x:c>
      <x:c r="H45" s="8" t="s">
        <x:v>282</x:v>
      </x:c>
      <x:c r="I45" s="4">
        <x:v>1.1264000000000001</x:v>
      </x:c>
      <x:c r="J45" s="5">
        <x:v>46262</x:v>
      </x:c>
      <x:c r="K45" s="1" t="s">
        <x:v>39</x:v>
      </x:c>
      <x:c r="L45" s="5">
        <x:v>45621</x:v>
      </x:c>
      <x:c r="M45" s="6">
        <x:v>0.2114</x:v>
      </x:c>
      <x:c r="N45" s="6">
        <x:v>0.12240000000000001</x:v>
      </x:c>
      <x:c r="O45" s="6">
        <x:v>0.1211</x:v>
      </x:c>
      <x:c r="P45" s="6">
        <x:v>2.2599999999999999E-2</x:v>
      </x:c>
      <x:c r="Q45" s="7">
        <x:v>2.2101000000000002</x:v>
      </x:c>
      <x:c r="R45" s="3" t="s">
        <x:v>303</x:v>
      </x:c>
      <x:c r="S45" s="1" t="s">
        <x:v>284</x:v>
      </x:c>
      <x:c r="T45" s="2">
        <x:v>91</x:v>
      </x:c>
      <x:c r="U45" s="5">
        <x:v>45625</x:v>
      </x:c>
      <x:c r="V45" s="5">
        <x:v>46262</x:v>
      </x:c>
      <x:c r="W45" s="4">
        <x:v>1.2115422199999999</x:v>
      </x:c>
      <x:c r="X45" s="8" t="s">
        <x:v>42</x:v>
      </x:c>
      <x:c r="Y45" s="8"/>
      <x:c r="Z45" s="8" t="s">
        <x:v>43</x:v>
      </x:c>
      <x:c r="AA45" s="5"/>
      <x:c r="AB45" s="5">
        <x:v>46269</x:v>
      </x:c>
      <x:c r="AC45" s="8" t="s">
        <x:v>66</x:v>
      </x:c>
      <x:c r="AD45" s="8" t="s">
        <x:v>45</x:v>
      </x:c>
      <x:c r="AE45" s="1" t="s">
        <x:v>304</x:v>
      </x:c>
      <x:c r="AF45" s="1" t="s">
        <x:v>47</x:v>
      </x:c>
    </x:row>
    <x:row r="46" ht="40" customHeight="1">
      <x:c r="A46" s="2">
        <x:v>47</x:v>
      </x:c>
      <x:c r="B46" s="3" t="s">
        <x:v>305</x:v>
      </x:c>
      <x:c r="C46" s="1" t="s">
        <x:v>306</x:v>
      </x:c>
      <x:c r="D46" s="1" t="s">
        <x:v>34</x:v>
      </x:c>
      <x:c r="E46" s="8" t="s">
        <x:v>35</x:v>
      </x:c>
      <x:c r="F46" s="1" t="s">
        <x:v>36</x:v>
      </x:c>
      <x:c r="G46" s="8" t="s">
        <x:v>37</x:v>
      </x:c>
      <x:c r="H46" s="8" t="s">
        <x:v>307</x:v>
      </x:c>
      <x:c r="I46" s="4">
        <x:v>1.1595</x:v>
      </x:c>
      <x:c r="J46" s="5">
        <x:v>46267</x:v>
      </x:c>
      <x:c r="K46" s="1" t="s">
        <x:v>39</x:v>
      </x:c>
      <x:c r="L46" s="5">
        <x:v>45092</x:v>
      </x:c>
      <x:c r="M46" s="6">
        <x:v>0.1595</x:v>
      </x:c>
      <x:c r="N46" s="6">
        <x:v>5.4900000000000004E-2</x:v>
      </x:c>
      <x:c r="O46" s="6">
        <x:v>4.9500000000000002E-2</x:v>
      </x:c>
      <x:c r="P46" s="6">
        <x:v>1E-4</x:v>
      </x:c>
      <x:c r="Q46" s="7">
        <x:v>2.4489000000000001</x:v>
      </x:c>
      <x:c r="R46" s="3" t="s">
        <x:v>308</x:v>
      </x:c>
      <x:c r="S46" s="1" t="s">
        <x:v>309</x:v>
      </x:c>
      <x:c r="T46" s="2">
        <x:v>439</x:v>
      </x:c>
      <x:c r="U46" s="5">
        <x:v>45092</x:v>
      </x:c>
      <x:c r="V46" s="5">
        <x:v>46267</x:v>
      </x:c>
      <x:c r="W46" s="4">
        <x:v>1.1595</x:v>
      </x:c>
      <x:c r="X46" s="8" t="s">
        <x:v>42</x:v>
      </x:c>
      <x:c r="Y46" s="8"/>
      <x:c r="Z46" s="8" t="s">
        <x:v>43</x:v>
      </x:c>
      <x:c r="AA46" s="5"/>
      <x:c r="AB46" s="5">
        <x:v>46269</x:v>
      </x:c>
      <x:c r="AC46" s="8" t="s">
        <x:v>44</x:v>
      </x:c>
      <x:c r="AD46" s="8" t="s">
        <x:v>45</x:v>
      </x:c>
      <x:c r="AE46" s="1" t="s">
        <x:v>310</x:v>
      </x:c>
      <x:c r="AF46" s="1" t="s">
        <x:v>47</x:v>
      </x:c>
    </x:row>
    <x:row r="47" ht="40" customHeight="1">
      <x:c r="A47" s="2">
        <x:v>48</x:v>
      </x:c>
      <x:c r="B47" s="3" t="s">
        <x:v>311</x:v>
      </x:c>
      <x:c r="C47" s="1" t="s">
        <x:v>312</x:v>
      </x:c>
      <x:c r="D47" s="1" t="s">
        <x:v>34</x:v>
      </x:c>
      <x:c r="E47" s="8" t="s">
        <x:v>70</x:v>
      </x:c>
      <x:c r="F47" s="1" t="s">
        <x:v>36</x:v>
      </x:c>
      <x:c r="G47" s="8" t="s">
        <x:v>37</x:v>
      </x:c>
      <x:c r="H47" s="8" t="s">
        <x:v>71</x:v>
      </x:c>
      <x:c r="I47" s="4">
        <x:v>1.1609</x:v>
      </x:c>
      <x:c r="J47" s="5">
        <x:v>46262</x:v>
      </x:c>
      <x:c r="K47" s="1" t="s">
        <x:v>39</x:v>
      </x:c>
      <x:c r="L47" s="5">
        <x:v>45023</x:v>
      </x:c>
      <x:c r="M47" s="6">
        <x:v>0.16089999999999999</x:v>
      </x:c>
      <x:c r="N47" s="6">
        <x:v>6.0999999999999999E-2</x:v>
      </x:c>
      <x:c r="O47" s="6">
        <x:v>4.7400000000000005E-2</x:v>
      </x:c>
      <x:c r="P47" s="6">
        <x:v>6.8000000000000005E-3</x:v>
      </x:c>
      <x:c r="Q47" s="7">
        <x:v>1.7376</x:v>
      </x:c>
      <x:c r="R47" s="3" t="s">
        <x:v>313</x:v>
      </x:c>
      <x:c r="S47" s="1" t="s">
        <x:v>314</x:v>
      </x:c>
      <x:c r="T47" s="2">
        <x:v>175</x:v>
      </x:c>
      <x:c r="U47" s="5">
        <x:v>45023</x:v>
      </x:c>
      <x:c r="V47" s="5">
        <x:v>46262</x:v>
      </x:c>
      <x:c r="W47" s="4">
        <x:v>1.1609</x:v>
      </x:c>
      <x:c r="X47" s="8" t="s">
        <x:v>42</x:v>
      </x:c>
      <x:c r="Y47" s="8"/>
      <x:c r="Z47" s="8" t="s">
        <x:v>74</x:v>
      </x:c>
      <x:c r="AA47" s="5"/>
      <x:c r="AB47" s="5">
        <x:v>46269</x:v>
      </x:c>
      <x:c r="AC47" s="8" t="s">
        <x:v>44</x:v>
      </x:c>
      <x:c r="AD47" s="8" t="s">
        <x:v>45</x:v>
      </x:c>
      <x:c r="AE47" s="1" t="s">
        <x:v>315</x:v>
      </x:c>
      <x:c r="AF47" s="1" t="s">
        <x:v>47</x:v>
      </x:c>
    </x:row>
    <x:row r="48" ht="40" customHeight="1">
      <x:c r="A48" s="2">
        <x:v>49</x:v>
      </x:c>
      <x:c r="B48" s="3" t="s">
        <x:v>316</x:v>
      </x:c>
      <x:c r="C48" s="1" t="s">
        <x:v>317</x:v>
      </x:c>
      <x:c r="D48" s="1" t="s">
        <x:v>34</x:v>
      </x:c>
      <x:c r="E48" s="8" t="s">
        <x:v>70</x:v>
      </x:c>
      <x:c r="F48" s="1" t="s">
        <x:v>36</x:v>
      </x:c>
      <x:c r="G48" s="8" t="s">
        <x:v>37</x:v>
      </x:c>
      <x:c r="H48" s="8" t="s">
        <x:v>71</x:v>
      </x:c>
      <x:c r="I48" s="4">
        <x:v>2.4194</x:v>
      </x:c>
      <x:c r="J48" s="5">
        <x:v>46262</x:v>
      </x:c>
      <x:c r="K48" s="1" t="s">
        <x:v>39</x:v>
      </x:c>
      <x:c r="L48" s="5">
        <x:v>43894</x:v>
      </x:c>
      <x:c r="M48" s="6">
        <x:v>1.4194</x:v>
      </x:c>
      <x:c r="N48" s="6">
        <x:v>0.14499999999999999</x:v>
      </x:c>
      <x:c r="O48" s="6">
        <x:v>0.21879999999999999</x:v>
      </x:c>
      <x:c r="P48" s="6">
        <x:v>4.5599999999999995E-2</x:v>
      </x:c>
      <x:c r="Q48" s="7">
        <x:v>3.7326999999999999</x:v>
      </x:c>
      <x:c r="R48" s="3" t="s">
        <x:v>318</x:v>
      </x:c>
      <x:c r="S48" s="1" t="s">
        <x:v>314</x:v>
      </x:c>
      <x:c r="T48" s="2">
        <x:v>334</x:v>
      </x:c>
      <x:c r="U48" s="5">
        <x:v>43894</x:v>
      </x:c>
      <x:c r="V48" s="5">
        <x:v>46262</x:v>
      </x:c>
      <x:c r="W48" s="4">
        <x:v>2.4194</x:v>
      </x:c>
      <x:c r="X48" s="8" t="s">
        <x:v>42</x:v>
      </x:c>
      <x:c r="Y48" s="8"/>
      <x:c r="Z48" s="8" t="s">
        <x:v>74</x:v>
      </x:c>
      <x:c r="AA48" s="5"/>
      <x:c r="AB48" s="5">
        <x:v>46269</x:v>
      </x:c>
      <x:c r="AC48" s="8" t="s">
        <x:v>44</x:v>
      </x:c>
      <x:c r="AD48" s="8" t="s">
        <x:v>45</x:v>
      </x:c>
      <x:c r="AE48" s="1" t="s">
        <x:v>319</x:v>
      </x:c>
      <x:c r="AF48" s="1" t="s">
        <x:v>47</x:v>
      </x:c>
    </x:row>
    <x:row r="49" ht="40" customHeight="1">
      <x:c r="A49" s="2">
        <x:v>50</x:v>
      </x:c>
      <x:c r="B49" s="3" t="s">
        <x:v>320</x:v>
      </x:c>
      <x:c r="C49" s="1" t="s">
        <x:v>321</x:v>
      </x:c>
      <x:c r="D49" s="1" t="s">
        <x:v>34</x:v>
      </x:c>
      <x:c r="E49" s="8" t="s">
        <x:v>70</x:v>
      </x:c>
      <x:c r="F49" s="1" t="s">
        <x:v>36</x:v>
      </x:c>
      <x:c r="G49" s="8" t="s">
        <x:v>37</x:v>
      </x:c>
      <x:c r="H49" s="8" t="s">
        <x:v>71</x:v>
      </x:c>
      <x:c r="I49" s="4">
        <x:v>1.8688</x:v>
      </x:c>
      <x:c r="J49" s="5">
        <x:v>46262</x:v>
      </x:c>
      <x:c r="K49" s="1" t="s">
        <x:v>39</x:v>
      </x:c>
      <x:c r="L49" s="5">
        <x:v>42479</x:v>
      </x:c>
      <x:c r="M49" s="6">
        <x:v>1.1923999999999999</x:v>
      </x:c>
      <x:c r="N49" s="6">
        <x:v>5.3699999999999998E-2</x:v>
      </x:c>
      <x:c r="O49" s="6">
        <x:v>0.11509999999999999</x:v>
      </x:c>
      <x:c r="P49" s="6">
        <x:v>5.0700000000000002E-2</x:v>
      </x:c>
      <x:c r="Q49" s="7">
        <x:v>1.7325999999999999</x:v>
      </x:c>
      <x:c r="R49" s="3" t="s">
        <x:v>322</x:v>
      </x:c>
      <x:c r="S49" s="1" t="s">
        <x:v>314</x:v>
      </x:c>
      <x:c r="T49" s="2">
        <x:v>620</x:v>
      </x:c>
      <x:c r="U49" s="5">
        <x:v>42482</x:v>
      </x:c>
      <x:c r="V49" s="5">
        <x:v>46262</x:v>
      </x:c>
      <x:c r="W49" s="4">
        <x:v>2.19263078</x:v>
      </x:c>
      <x:c r="X49" s="8" t="s">
        <x:v>100</x:v>
      </x:c>
      <x:c r="Y49" s="8" t="s">
        <x:v>323</x:v>
      </x:c>
      <x:c r="Z49" s="8"/>
      <x:c r="AA49" s="5">
        <x:v>46262</x:v>
      </x:c>
      <x:c r="AB49" s="5">
        <x:v>46274</x:v>
      </x:c>
      <x:c r="AC49" s="8" t="s">
        <x:v>44</x:v>
      </x:c>
      <x:c r="AD49" s="8" t="s">
        <x:v>45</x:v>
      </x:c>
      <x:c r="AE49" s="1" t="s">
        <x:v>324</x:v>
      </x:c>
      <x:c r="AF49" s="1" t="s">
        <x:v>47</x:v>
      </x:c>
    </x:row>
    <x:row r="50" ht="40" customHeight="1">
      <x:c r="A50" s="2">
        <x:v>51</x:v>
      </x:c>
      <x:c r="B50" s="3" t="s">
        <x:v>325</x:v>
      </x:c>
      <x:c r="C50" s="1" t="s">
        <x:v>326</x:v>
      </x:c>
      <x:c r="D50" s="1" t="s">
        <x:v>34</x:v>
      </x:c>
      <x:c r="E50" s="8" t="s">
        <x:v>35</x:v>
      </x:c>
      <x:c r="F50" s="1" t="s">
        <x:v>36</x:v>
      </x:c>
      <x:c r="G50" s="8" t="s">
        <x:v>37</x:v>
      </x:c>
      <x:c r="H50" s="8" t="s">
        <x:v>38</x:v>
      </x:c>
      <x:c r="I50" s="4">
        <x:v>1.0046999999999999</x:v>
      </x:c>
      <x:c r="J50" s="5">
        <x:v>46268</x:v>
      </x:c>
      <x:c r="K50" s="1" t="s">
        <x:v>39</x:v>
      </x:c>
      <x:c r="L50" s="5">
        <x:v>43490</x:v>
      </x:c>
      <x:c r="M50" s="6">
        <x:v>1.4469999999999998</x:v>
      </x:c>
      <x:c r="N50" s="6">
        <x:v>0.1188</x:v>
      </x:c>
      <x:c r="O50" s="6">
        <x:v>0.19010000000000002</x:v>
      </x:c>
      <x:c r="P50" s="6">
        <x:v>1.9699999999999999E-2</x:v>
      </x:c>
      <x:c r="Q50" s="7">
        <x:v>6.1855000000000002</x:v>
      </x:c>
      <x:c r="R50" s="3" t="s">
        <x:v>327</x:v>
      </x:c>
      <x:c r="S50" s="1" t="s">
        <x:v>328</x:v>
      </x:c>
      <x:c r="T50" s="2">
        <x:v>1845</x:v>
      </x:c>
      <x:c r="U50" s="5">
        <x:v>43490</x:v>
      </x:c>
      <x:c r="V50" s="5">
        <x:v>46268</x:v>
      </x:c>
      <x:c r="W50" s="4">
        <x:v>2.4472780699999999</x:v>
      </x:c>
      <x:c r="X50" s="8" t="s">
        <x:v>329</x:v>
      </x:c>
      <x:c r="Y50" s="8" t="s">
        <x:v>330</x:v>
      </x:c>
      <x:c r="Z50" s="8" t="s">
        <x:v>43</x:v>
      </x:c>
      <x:c r="AA50" s="5">
        <x:v>46262</x:v>
      </x:c>
      <x:c r="AB50" s="5">
        <x:v>46269</x:v>
      </x:c>
      <x:c r="AC50" s="8" t="s">
        <x:v>66</x:v>
      </x:c>
      <x:c r="AD50" s="8" t="s">
        <x:v>45</x:v>
      </x:c>
      <x:c r="AE50" s="1" t="s">
        <x:v>331</x:v>
      </x:c>
      <x:c r="AF50" s="1" t="s">
        <x:v>47</x:v>
      </x:c>
    </x:row>
    <x:row r="51" ht="40" customHeight="1">
      <x:c r="A51" s="2">
        <x:v>52</x:v>
      </x:c>
      <x:c r="B51" s="3" t="s">
        <x:v>332</x:v>
      </x:c>
      <x:c r="C51" s="1" t="s">
        <x:v>333</x:v>
      </x:c>
      <x:c r="D51" s="1" t="s">
        <x:v>34</x:v>
      </x:c>
      <x:c r="E51" s="8" t="s">
        <x:v>334</x:v>
      </x:c>
      <x:c r="F51" s="1" t="s">
        <x:v>36</x:v>
      </x:c>
      <x:c r="G51" s="8" t="s">
        <x:v>37</x:v>
      </x:c>
      <x:c r="H51" s="8" t="s">
        <x:v>335</x:v>
      </x:c>
      <x:c r="I51" s="4">
        <x:v>1.3384</x:v>
      </x:c>
      <x:c r="J51" s="5">
        <x:v>46262</x:v>
      </x:c>
      <x:c r="K51" s="1" t="s">
        <x:v>39</x:v>
      </x:c>
      <x:c r="L51" s="5">
        <x:v>45064</x:v>
      </x:c>
      <x:c r="M51" s="6">
        <x:v>0.33840000000000003</x:v>
      </x:c>
      <x:c r="N51" s="6">
        <x:v>5.0499999999999996E-2</x:v>
      </x:c>
      <x:c r="O51" s="6">
        <x:v>0.1032</x:v>
      </x:c>
      <x:c r="P51" s="6">
        <x:v>3.6200000000000003E-2</x:v>
      </x:c>
      <x:c r="Q51" s="7">
        <x:v>2.0364</x:v>
      </x:c>
      <x:c r="R51" s="3" t="s">
        <x:v>336</x:v>
      </x:c>
      <x:c r="S51" s="1" t="s">
        <x:v>337</x:v>
      </x:c>
      <x:c r="T51" s="2">
        <x:v>169</x:v>
      </x:c>
      <x:c r="U51" s="5">
        <x:v>45065</x:v>
      </x:c>
      <x:c r="V51" s="5">
        <x:v>46262</x:v>
      </x:c>
      <x:c r="W51" s="4">
        <x:v>1.3384</x:v>
      </x:c>
      <x:c r="X51" s="8" t="s">
        <x:v>338</x:v>
      </x:c>
      <x:c r="Y51" s="8" t="s">
        <x:v>339</x:v>
      </x:c>
      <x:c r="Z51" s="8"/>
      <x:c r="AA51" s="5">
        <x:v>46262</x:v>
      </x:c>
      <x:c r="AB51" s="5"/>
      <x:c r="AC51" s="8" t="s">
        <x:v>66</x:v>
      </x:c>
      <x:c r="AD51" s="8" t="s">
        <x:v>45</x:v>
      </x:c>
      <x:c r="AE51" s="1" t="s">
        <x:v>340</x:v>
      </x:c>
      <x:c r="AF51" s="1" t="s">
        <x:v>47</x:v>
      </x:c>
    </x:row>
    <x:row r="52" ht="40" customHeight="1">
      <x:c r="A52" s="2">
        <x:v>53</x:v>
      </x:c>
      <x:c r="B52" s="3" t="s">
        <x:v>341</x:v>
      </x:c>
      <x:c r="C52" s="1" t="s">
        <x:v>342</x:v>
      </x:c>
      <x:c r="D52" s="1" t="s">
        <x:v>34</x:v>
      </x:c>
      <x:c r="E52" s="8" t="s">
        <x:v>35</x:v>
      </x:c>
      <x:c r="F52" s="1" t="s">
        <x:v>36</x:v>
      </x:c>
      <x:c r="G52" s="8" t="s">
        <x:v>37</x:v>
      </x:c>
      <x:c r="H52" s="8" t="s">
        <x:v>38</x:v>
      </x:c>
      <x:c r="I52" s="4">
        <x:v>1.3380000000000001</x:v>
      </x:c>
      <x:c r="J52" s="5">
        <x:v>46267</x:v>
      </x:c>
      <x:c r="K52" s="1" t="s">
        <x:v>138</x:v>
      </x:c>
      <x:c r="L52" s="5">
        <x:v>44893</x:v>
      </x:c>
      <x:c r="M52" s="6">
        <x:v>4.53E-2</x:v>
      </x:c>
      <x:c r="N52" s="6">
        <x:v>4.53E-2</x:v>
      </x:c>
      <x:c r="O52" s="6">
        <x:v>6.7500000000000004E-2</x:v>
      </x:c>
      <x:c r="P52" s="6">
        <x:v>2.4E-2</x:v>
      </x:c>
      <x:c r="Q52" s="7">
        <x:v>0.75539999999999996</x:v>
      </x:c>
      <x:c r="R52" s="3" t="s">
        <x:v>343</x:v>
      </x:c>
      <x:c r="S52" s="1" t="s">
        <x:v>344</x:v>
      </x:c>
      <x:c r="T52" s="2">
        <x:v>163</x:v>
      </x:c>
      <x:c r="U52" s="5">
        <x:v>46022</x:v>
      </x:c>
      <x:c r="V52" s="5">
        <x:v>46267</x:v>
      </x:c>
      <x:c r="W52" s="4">
        <x:v>1.3380000000000001</x:v>
      </x:c>
      <x:c r="X52" s="8" t="s">
        <x:v>141</x:v>
      </x:c>
      <x:c r="Y52" s="8"/>
      <x:c r="Z52" s="8"/>
      <x:c r="AA52" s="5"/>
      <x:c r="AB52" s="5"/>
      <x:c r="AC52" s="8" t="s">
        <x:v>39</x:v>
      </x:c>
      <x:c r="AD52" s="8" t="s">
        <x:v>45</x:v>
      </x:c>
      <x:c r="AE52" s="1" t="s">
        <x:v>345</x:v>
      </x:c>
      <x:c r="AF52" s="1" t="s">
        <x:v>47</x:v>
      </x:c>
    </x:row>
    <x:row r="53" ht="40" customHeight="1">
      <x:c r="A53" s="2">
        <x:v>54</x:v>
      </x:c>
      <x:c r="B53" s="3" t="s">
        <x:v>346</x:v>
      </x:c>
      <x:c r="C53" s="1" t="s">
        <x:v>347</x:v>
      </x:c>
      <x:c r="D53" s="1" t="s">
        <x:v>34</x:v>
      </x:c>
      <x:c r="E53" s="8" t="s">
        <x:v>35</x:v>
      </x:c>
      <x:c r="F53" s="1" t="s">
        <x:v>36</x:v>
      </x:c>
      <x:c r="G53" s="8" t="s">
        <x:v>51</x:v>
      </x:c>
      <x:c r="H53" s="8" t="s">
        <x:v>38</x:v>
      </x:c>
      <x:c r="I53" s="4">
        <x:v>1.1926000000000001</x:v>
      </x:c>
      <x:c r="J53" s="5">
        <x:v>46262</x:v>
      </x:c>
      <x:c r="K53" s="1" t="s">
        <x:v>39</x:v>
      </x:c>
      <x:c r="L53" s="5">
        <x:v>45595</x:v>
      </x:c>
      <x:c r="M53" s="6">
        <x:v>0.1926000000000001</x:v>
      </x:c>
      <x:c r="N53" s="6">
        <x:v>6.787249283667629E-2</x:v>
      </x:c>
      <x:c r="O53" s="6">
        <x:v>0.10539580209895059</x:v>
      </x:c>
      <x:c r="P53" s="6">
        <x:v>1.0459903702473771E-2</x:v>
      </x:c>
      <x:c r="Q53" s="7">
        <x:v>2.5058552994593146</x:v>
      </x:c>
      <x:c r="R53" s="3" t="s">
        <x:v>348</x:v>
      </x:c>
      <x:c r="S53" s="1" t="s">
        <x:v>349</x:v>
      </x:c>
      <x:c r="T53" s="2">
        <x:v>230</x:v>
      </x:c>
      <x:c r="U53" s="5">
        <x:v>45595</x:v>
      </x:c>
      <x:c r="V53" s="5">
        <x:v>46262</x:v>
      </x:c>
      <x:c r="W53" s="4">
        <x:v>1.1926000000000001</x:v>
      </x:c>
      <x:c r="X53" s="8" t="s">
        <x:v>55</x:v>
      </x:c>
      <x:c r="Y53" s="8" t="s">
        <x:v>350</x:v>
      </x:c>
      <x:c r="Z53" s="8"/>
      <x:c r="AA53" s="5">
        <x:v>46262</x:v>
      </x:c>
      <x:c r="AB53" s="5"/>
      <x:c r="AC53" s="8" t="s">
        <x:v>57</x:v>
      </x:c>
      <x:c r="AD53" s="8" t="s">
        <x:v>45</x:v>
      </x:c>
      <x:c r="AE53" s="1" t="s">
        <x:v>351</x:v>
      </x:c>
      <x:c r="AF53" s="1" t="s">
        <x:v>47</x:v>
      </x:c>
    </x:row>
    <x:row r="54" ht="40" customHeight="1">
      <x:c r="A54" s="2">
        <x:v>55</x:v>
      </x:c>
      <x:c r="B54" s="3" t="s">
        <x:v>352</x:v>
      </x:c>
      <x:c r="C54" s="1" t="s">
        <x:v>353</x:v>
      </x:c>
      <x:c r="D54" s="1" t="s">
        <x:v>34</x:v>
      </x:c>
      <x:c r="E54" s="8" t="s">
        <x:v>35</x:v>
      </x:c>
      <x:c r="F54" s="1" t="s">
        <x:v>36</x:v>
      </x:c>
      <x:c r="G54" s="8" t="s">
        <x:v>37</x:v>
      </x:c>
      <x:c r="H54" s="8" t="s">
        <x:v>38</x:v>
      </x:c>
      <x:c r="I54" s="4">
        <x:v>1.026</x:v>
      </x:c>
      <x:c r="J54" s="5">
        <x:v>46265</x:v>
      </x:c>
      <x:c r="K54" s="1" t="s">
        <x:v>39</x:v>
      </x:c>
      <x:c r="L54" s="5">
        <x:v>43980</x:v>
      </x:c>
      <x:c r="M54" s="6">
        <x:v>0.52380000000000004</x:v>
      </x:c>
      <x:c r="N54" s="6">
        <x:v>3.5799999999999998E-2</x:v>
      </x:c>
      <x:c r="O54" s="6">
        <x:v>8.3699999999999997E-2</x:v>
      </x:c>
      <x:c r="P54" s="6">
        <x:v>3.1E-2</x:v>
      </x:c>
      <x:c r="Q54" s="7">
        <x:v>2.4931000000000001</x:v>
      </x:c>
      <x:c r="R54" s="3" t="s">
        <x:v>354</x:v>
      </x:c>
      <x:c r="S54" s="1" t="s">
        <x:v>355</x:v>
      </x:c>
      <x:c r="T54" s="2">
        <x:v>356</x:v>
      </x:c>
      <x:c r="U54" s="5">
        <x:v>43980</x:v>
      </x:c>
      <x:c r="V54" s="5">
        <x:v>46265</x:v>
      </x:c>
      <x:c r="W54" s="4">
        <x:v>1.5237651400000001</x:v>
      </x:c>
      <x:c r="X54" s="8" t="s">
        <x:v>79</x:v>
      </x:c>
      <x:c r="Y54" s="8" t="s">
        <x:v>356</x:v>
      </x:c>
      <x:c r="Z54" s="8"/>
      <x:c r="AA54" s="5">
        <x:v>46262</x:v>
      </x:c>
      <x:c r="AB54" s="5"/>
      <x:c r="AC54" s="8" t="s">
        <x:v>44</x:v>
      </x:c>
      <x:c r="AD54" s="8" t="s">
        <x:v>45</x:v>
      </x:c>
      <x:c r="AE54" s="1" t="s">
        <x:v>357</x:v>
      </x:c>
      <x:c r="AF54" s="1" t="s">
        <x:v>47</x:v>
      </x:c>
    </x:row>
    <x:row r="55" ht="40" customHeight="1">
      <x:c r="A55" s="2">
        <x:v>56</x:v>
      </x:c>
      <x:c r="B55" s="3" t="s">
        <x:v>358</x:v>
      </x:c>
      <x:c r="C55" s="1" t="s">
        <x:v>359</x:v>
      </x:c>
      <x:c r="D55" s="1" t="s">
        <x:v>34</x:v>
      </x:c>
      <x:c r="E55" s="8" t="s">
        <x:v>122</x:v>
      </x:c>
      <x:c r="F55" s="1" t="s">
        <x:v>36</x:v>
      </x:c>
      <x:c r="G55" s="8" t="s">
        <x:v>37</x:v>
      </x:c>
      <x:c r="H55" s="8" t="s">
        <x:v>297</x:v>
      </x:c>
      <x:c r="I55" s="4">
        <x:v>1.0084</x:v>
      </x:c>
      <x:c r="J55" s="5">
        <x:v>46267</x:v>
      </x:c>
      <x:c r="K55" s="1" t="s">
        <x:v>39</x:v>
      </x:c>
      <x:c r="L55" s="5">
        <x:v>44915</x:v>
      </x:c>
      <x:c r="M55" s="6">
        <x:v>0.20039999999999999</x:v>
      </x:c>
      <x:c r="N55" s="6">
        <x:v>7.7000000000000002E-3</x:v>
      </x:c>
      <x:c r="O55" s="6">
        <x:v>5.4100000000000002E-2</x:v>
      </x:c>
      <x:c r="P55" s="6">
        <x:v>6.93E-2</x:v>
      </x:c>
      <x:c r="Q55" s="7">
        <x:v>1.0964</x:v>
      </x:c>
      <x:c r="R55" s="3" t="s">
        <x:v>360</x:v>
      </x:c>
      <x:c r="S55" s="1" t="s">
        <x:v>361</x:v>
      </x:c>
      <x:c r="T55" s="2">
        <x:v>898</x:v>
      </x:c>
      <x:c r="U55" s="5">
        <x:v>44915</x:v>
      </x:c>
      <x:c r="V55" s="5">
        <x:v>46267</x:v>
      </x:c>
      <x:c r="W55" s="4">
        <x:v>1.2003899600000001</x:v>
      </x:c>
      <x:c r="X55" s="8" t="s">
        <x:v>79</x:v>
      </x:c>
      <x:c r="Y55" s="8" t="s">
        <x:v>362</x:v>
      </x:c>
      <x:c r="Z55" s="8"/>
      <x:c r="AA55" s="5">
        <x:v>46262</x:v>
      </x:c>
      <x:c r="AB55" s="5"/>
      <x:c r="AC55" s="8" t="s">
        <x:v>44</x:v>
      </x:c>
      <x:c r="AD55" s="8" t="s">
        <x:v>45</x:v>
      </x:c>
      <x:c r="AE55" s="1" t="s">
        <x:v>363</x:v>
      </x:c>
      <x:c r="AF55" s="1" t="s">
        <x:v>47</x:v>
      </x:c>
    </x:row>
    <x:row r="56" ht="40" customHeight="1">
      <x:c r="A56" s="2">
        <x:v>57</x:v>
      </x:c>
      <x:c r="B56" s="3" t="s">
        <x:v>364</x:v>
      </x:c>
      <x:c r="C56" s="1" t="s">
        <x:v>365</x:v>
      </x:c>
      <x:c r="D56" s="1" t="s">
        <x:v>34</x:v>
      </x:c>
      <x:c r="E56" s="8" t="s">
        <x:v>122</x:v>
      </x:c>
      <x:c r="F56" s="1" t="s">
        <x:v>36</x:v>
      </x:c>
      <x:c r="G56" s="8" t="s">
        <x:v>37</x:v>
      </x:c>
      <x:c r="H56" s="8" t="s">
        <x:v>297</x:v>
      </x:c>
      <x:c r="I56" s="4">
        <x:v>1.2082999999999999</x:v>
      </x:c>
      <x:c r="J56" s="5">
        <x:v>46265</x:v>
      </x:c>
      <x:c r="K56" s="1" t="s">
        <x:v>39</x:v>
      </x:c>
      <x:c r="L56" s="5">
        <x:v>44985</x:v>
      </x:c>
      <x:c r="M56" s="6">
        <x:v>0.20829999999999999</x:v>
      </x:c>
      <x:c r="N56" s="6">
        <x:v>4.87E-2</x:v>
      </x:c>
      <x:c r="O56" s="6">
        <x:v>5.9400000000000001E-2</x:v>
      </x:c>
      <x:c r="P56" s="6">
        <x:v>3.6499999999999998E-2</x:v>
      </x:c>
      <x:c r="Q56" s="7">
        <x:v>1.1246</x:v>
      </x:c>
      <x:c r="R56" s="3" t="s">
        <x:v>366</x:v>
      </x:c>
      <x:c r="S56" s="1" t="s">
        <x:v>367</x:v>
      </x:c>
      <x:c r="T56" s="2">
        <x:v>272</x:v>
      </x:c>
      <x:c r="U56" s="5">
        <x:v>44985</x:v>
      </x:c>
      <x:c r="V56" s="5">
        <x:v>46265</x:v>
      </x:c>
      <x:c r="W56" s="4">
        <x:v>1.2082999999999999</x:v>
      </x:c>
      <x:c r="X56" s="8" t="s">
        <x:v>79</x:v>
      </x:c>
      <x:c r="Y56" s="8" t="s">
        <x:v>299</x:v>
      </x:c>
      <x:c r="Z56" s="8"/>
      <x:c r="AA56" s="5">
        <x:v>46262</x:v>
      </x:c>
      <x:c r="AB56" s="5"/>
      <x:c r="AC56" s="8" t="s">
        <x:v>44</x:v>
      </x:c>
      <x:c r="AD56" s="8" t="s">
        <x:v>45</x:v>
      </x:c>
      <x:c r="AE56" s="1" t="s">
        <x:v>368</x:v>
      </x:c>
      <x:c r="AF56" s="1" t="s">
        <x:v>47</x:v>
      </x:c>
    </x:row>
    <x:row r="57" ht="40" customHeight="1">
      <x:c r="A57" s="2">
        <x:v>58</x:v>
      </x:c>
      <x:c r="B57" s="3" t="s">
        <x:v>369</x:v>
      </x:c>
      <x:c r="C57" s="1" t="s">
        <x:v>370</x:v>
      </x:c>
      <x:c r="D57" s="1" t="s">
        <x:v>34</x:v>
      </x:c>
      <x:c r="E57" s="8" t="s">
        <x:v>122</x:v>
      </x:c>
      <x:c r="F57" s="1" t="s">
        <x:v>36</x:v>
      </x:c>
      <x:c r="G57" s="8" t="s">
        <x:v>37</x:v>
      </x:c>
      <x:c r="H57" s="8" t="s">
        <x:v>297</x:v>
      </x:c>
      <x:c r="I57" s="4">
        <x:v>1.1259999999999999</x:v>
      </x:c>
      <x:c r="J57" s="5">
        <x:v>46266</x:v>
      </x:c>
      <x:c r="K57" s="1" t="s">
        <x:v>39</x:v>
      </x:c>
      <x:c r="L57" s="5">
        <x:v>44305</x:v>
      </x:c>
      <x:c r="M57" s="6">
        <x:v>0.4899</x:v>
      </x:c>
      <x:c r="N57" s="6">
        <x:v>5.5300000000000002E-2</x:v>
      </x:c>
      <x:c r="O57" s="6">
        <x:v>9.69E-2</x:v>
      </x:c>
      <x:c r="P57" s="6">
        <x:v>4.0199999999999993E-2</x:v>
      </x:c>
      <x:c r="Q57" s="7">
        <x:v>2.2624</x:v>
      </x:c>
      <x:c r="R57" s="3" t="s">
        <x:v>371</x:v>
      </x:c>
      <x:c r="S57" s="1" t="s">
        <x:v>367</x:v>
      </x:c>
      <x:c r="T57" s="2">
        <x:v>286</x:v>
      </x:c>
      <x:c r="U57" s="5">
        <x:v>44421</x:v>
      </x:c>
      <x:c r="V57" s="5">
        <x:v>46266</x:v>
      </x:c>
      <x:c r="W57" s="4">
        <x:v>1.4943691400000001</x:v>
      </x:c>
      <x:c r="X57" s="8" t="s">
        <x:v>79</x:v>
      </x:c>
      <x:c r="Y57" s="8" t="s">
        <x:v>372</x:v>
      </x:c>
      <x:c r="Z57" s="8"/>
      <x:c r="AA57" s="5">
        <x:v>46262</x:v>
      </x:c>
      <x:c r="AB57" s="5"/>
      <x:c r="AC57" s="8" t="s">
        <x:v>66</x:v>
      </x:c>
      <x:c r="AD57" s="8" t="s">
        <x:v>45</x:v>
      </x:c>
      <x:c r="AE57" s="1" t="s">
        <x:v>373</x:v>
      </x:c>
      <x:c r="AF57" s="1" t="s">
        <x:v>47</x:v>
      </x:c>
    </x:row>
    <x:row r="58" ht="40" customHeight="1">
      <x:c r="A58" s="2">
        <x:v>59</x:v>
      </x:c>
      <x:c r="B58" s="3" t="s">
        <x:v>374</x:v>
      </x:c>
      <x:c r="C58" s="1" t="s">
        <x:v>375</x:v>
      </x:c>
      <x:c r="D58" s="1" t="s">
        <x:v>34</x:v>
      </x:c>
      <x:c r="E58" s="8" t="s">
        <x:v>35</x:v>
      </x:c>
      <x:c r="F58" s="1" t="s">
        <x:v>36</x:v>
      </x:c>
      <x:c r="G58" s="8" t="s">
        <x:v>37</x:v>
      </x:c>
      <x:c r="H58" s="8" t="s">
        <x:v>181</x:v>
      </x:c>
      <x:c r="I58" s="4">
        <x:v>1.901</x:v>
      </x:c>
      <x:c r="J58" s="5">
        <x:v>46262</x:v>
      </x:c>
      <x:c r="K58" s="1" t="s">
        <x:v>39</x:v>
      </x:c>
      <x:c r="L58" s="5">
        <x:v>43041</x:v>
      </x:c>
      <x:c r="M58" s="6">
        <x:v>0.90099999999999991</x:v>
      </x:c>
      <x:c r="N58" s="6">
        <x:v>3.04E-2</x:v>
      </x:c>
      <x:c r="O58" s="6">
        <x:v>0.10210000000000001</x:v>
      </x:c>
      <x:c r="P58" s="6">
        <x:v>7.9699999999999993E-2</x:v>
      </x:c>
      <x:c r="Q58" s="7">
        <x:v>1.9595</x:v>
      </x:c>
      <x:c r="R58" s="3" t="s">
        <x:v>376</x:v>
      </x:c>
      <x:c r="S58" s="1" t="s">
        <x:v>377</x:v>
      </x:c>
      <x:c r="T58" s="2">
        <x:v>1568</x:v>
      </x:c>
      <x:c r="U58" s="5">
        <x:v>43041</x:v>
      </x:c>
      <x:c r="V58" s="5">
        <x:v>46262</x:v>
      </x:c>
      <x:c r="W58" s="4">
        <x:v>1.901</x:v>
      </x:c>
      <x:c r="X58" s="8" t="s">
        <x:v>79</x:v>
      </x:c>
      <x:c r="Y58" s="8" t="s">
        <x:v>378</x:v>
      </x:c>
      <x:c r="Z58" s="8"/>
      <x:c r="AA58" s="5">
        <x:v>46262</x:v>
      </x:c>
      <x:c r="AB58" s="5"/>
      <x:c r="AC58" s="8" t="s">
        <x:v>44</x:v>
      </x:c>
      <x:c r="AD58" s="8" t="s">
        <x:v>45</x:v>
      </x:c>
      <x:c r="AE58" s="1" t="s">
        <x:v>379</x:v>
      </x:c>
      <x:c r="AF58" s="1" t="s">
        <x:v>47</x:v>
      </x:c>
    </x:row>
    <x:row r="59" ht="40" customHeight="1">
      <x:c r="A59" s="2">
        <x:v>60</x:v>
      </x:c>
      <x:c r="B59" s="3" t="s">
        <x:v>380</x:v>
      </x:c>
      <x:c r="C59" s="1" t="s">
        <x:v>381</x:v>
      </x:c>
      <x:c r="D59" s="1" t="s">
        <x:v>34</x:v>
      </x:c>
      <x:c r="E59" s="8" t="s">
        <x:v>35</x:v>
      </x:c>
      <x:c r="F59" s="1" t="s">
        <x:v>36</x:v>
      </x:c>
      <x:c r="G59" s="8" t="s">
        <x:v>37</x:v>
      </x:c>
      <x:c r="H59" s="8" t="s">
        <x:v>382</x:v>
      </x:c>
      <x:c r="I59" s="4">
        <x:v>1.1009</x:v>
      </x:c>
      <x:c r="J59" s="5">
        <x:v>46262</x:v>
      </x:c>
      <x:c r="K59" s="1" t="s">
        <x:v>39</x:v>
      </x:c>
      <x:c r="L59" s="5">
        <x:v>44904</x:v>
      </x:c>
      <x:c r="M59" s="6">
        <x:v>0.40670000000000001</x:v>
      </x:c>
      <x:c r="N59" s="6">
        <x:v>0.13650000000000001</x:v>
      </x:c>
      <x:c r="O59" s="6">
        <x:v>0.19820000000000002</x:v>
      </x:c>
      <x:c r="P59" s="6">
        <x:v>1.4499999999999999E-2</x:v>
      </x:c>
      <x:c r="Q59" s="7">
        <x:v>4.2468000000000004</x:v>
      </x:c>
      <x:c r="R59" s="3" t="s">
        <x:v>383</x:v>
      </x:c>
      <x:c r="S59" s="1" t="s">
        <x:v>384</x:v>
      </x:c>
      <x:c r="T59" s="2">
        <x:v>113</x:v>
      </x:c>
      <x:c r="U59" s="5">
        <x:v>45513</x:v>
      </x:c>
      <x:c r="V59" s="5">
        <x:v>46262</x:v>
      </x:c>
      <x:c r="W59" s="4">
        <x:v>1.4597255099999999</x:v>
      </x:c>
      <x:c r="X59" s="8" t="s">
        <x:v>42</x:v>
      </x:c>
      <x:c r="Y59" s="8"/>
      <x:c r="Z59" s="8" t="s">
        <x:v>43</x:v>
      </x:c>
      <x:c r="AA59" s="5"/>
      <x:c r="AB59" s="5">
        <x:v>46269</x:v>
      </x:c>
      <x:c r="AC59" s="8" t="s">
        <x:v>44</x:v>
      </x:c>
      <x:c r="AD59" s="8" t="s">
        <x:v>45</x:v>
      </x:c>
      <x:c r="AE59" s="1" t="s">
        <x:v>385</x:v>
      </x:c>
      <x:c r="AF59" s="1" t="s">
        <x:v>47</x:v>
      </x:c>
    </x:row>
    <x:row r="60" ht="40" customHeight="1">
      <x:c r="A60" s="2">
        <x:v>61</x:v>
      </x:c>
      <x:c r="B60" s="3" t="s">
        <x:v>386</x:v>
      </x:c>
      <x:c r="C60" s="1" t="s">
        <x:v>387</x:v>
      </x:c>
      <x:c r="D60" s="1" t="s">
        <x:v>34</x:v>
      </x:c>
      <x:c r="E60" s="8" t="s">
        <x:v>35</x:v>
      </x:c>
      <x:c r="F60" s="1" t="s">
        <x:v>36</x:v>
      </x:c>
      <x:c r="G60" s="8" t="s">
        <x:v>37</x:v>
      </x:c>
      <x:c r="H60" s="8" t="s">
        <x:v>382</x:v>
      </x:c>
      <x:c r="I60" s="4">
        <x:v>1.0506</x:v>
      </x:c>
      <x:c r="J60" s="5">
        <x:v>46265</x:v>
      </x:c>
      <x:c r="K60" s="1" t="s">
        <x:v>39</x:v>
      </x:c>
      <x:c r="L60" s="5">
        <x:v>44883</x:v>
      </x:c>
      <x:c r="M60" s="6">
        <x:v>0.5343</x:v>
      </x:c>
      <x:c r="N60" s="6">
        <x:v>0.1082</x:v>
      </x:c>
      <x:c r="O60" s="6">
        <x:v>0.1411</x:v>
      </x:c>
      <x:c r="P60" s="6">
        <x:v>1.3600000000000001E-2</x:v>
      </x:c>
      <x:c r="Q60" s="7">
        <x:v>3.2833999999999999</x:v>
      </x:c>
      <x:c r="R60" s="3" t="s">
        <x:v>388</x:v>
      </x:c>
      <x:c r="S60" s="1" t="s">
        <x:v>384</x:v>
      </x:c>
      <x:c r="T60" s="2">
        <x:v>240</x:v>
      </x:c>
      <x:c r="U60" s="5">
        <x:v>44883</x:v>
      </x:c>
      <x:c r="V60" s="5">
        <x:v>46265</x:v>
      </x:c>
      <x:c r="W60" s="4">
        <x:v>1.5342633000000001</x:v>
      </x:c>
      <x:c r="X60" s="8" t="s">
        <x:v>42</x:v>
      </x:c>
      <x:c r="Y60" s="8"/>
      <x:c r="Z60" s="8" t="s">
        <x:v>43</x:v>
      </x:c>
      <x:c r="AA60" s="5"/>
      <x:c r="AB60" s="5">
        <x:v>46269</x:v>
      </x:c>
      <x:c r="AC60" s="8" t="s">
        <x:v>44</x:v>
      </x:c>
      <x:c r="AD60" s="8" t="s">
        <x:v>45</x:v>
      </x:c>
      <x:c r="AE60" s="1" t="s">
        <x:v>389</x:v>
      </x:c>
      <x:c r="AF60" s="1" t="s">
        <x:v>47</x:v>
      </x:c>
    </x:row>
    <x:row r="61" ht="40" customHeight="1">
      <x:c r="A61" s="2">
        <x:v>62</x:v>
      </x:c>
      <x:c r="B61" s="3" t="s">
        <x:v>390</x:v>
      </x:c>
      <x:c r="C61" s="1" t="s">
        <x:v>391</x:v>
      </x:c>
      <x:c r="D61" s="1" t="s">
        <x:v>34</x:v>
      </x:c>
      <x:c r="E61" s="8" t="s">
        <x:v>70</x:v>
      </x:c>
      <x:c r="F61" s="1" t="s">
        <x:v>36</x:v>
      </x:c>
      <x:c r="G61" s="8" t="s">
        <x:v>37</x:v>
      </x:c>
      <x:c r="H61" s="8" t="s">
        <x:v>71</x:v>
      </x:c>
      <x:c r="I61" s="4">
        <x:v>1.0689</x:v>
      </x:c>
      <x:c r="J61" s="5">
        <x:v>45702</x:v>
      </x:c>
      <x:c r="K61" s="1" t="s">
        <x:v>39</x:v>
      </x:c>
      <x:c r="L61" s="5">
        <x:v>43585</x:v>
      </x:c>
      <x:c r="M61" s="6">
        <x:v>0.49859999999999999</x:v>
      </x:c>
      <x:c r="N61" s="6">
        <x:v>0.06</x:v>
      </x:c>
      <x:c r="O61" s="6">
        <x:v>8.5999999999999993E-2</x:v>
      </x:c>
      <x:c r="P61" s="6">
        <x:v>5.0199999999999995E-2</x:v>
      </x:c>
      <x:c r="Q61" s="7">
        <x:v>1.7847999999999999</x:v>
      </x:c>
      <x:c r="R61" s="3" t="s">
        <x:v>392</x:v>
      </x:c>
      <x:c r="S61" s="1" t="s">
        <x:v>393</x:v>
      </x:c>
      <x:c r="T61" s="2">
        <x:v>398</x:v>
      </x:c>
      <x:c r="U61" s="5">
        <x:v>43585</x:v>
      </x:c>
      <x:c r="V61" s="5">
        <x:v>46265</x:v>
      </x:c>
      <x:c r="W61" s="4">
        <x:v>1.70229845</x:v>
      </x:c>
      <x:c r="X61" s="8" t="s">
        <x:v>100</x:v>
      </x:c>
      <x:c r="Y61" s="8" t="s">
        <x:v>323</x:v>
      </x:c>
      <x:c r="Z61" s="8"/>
      <x:c r="AA61" s="5">
        <x:v>46262</x:v>
      </x:c>
      <x:c r="AB61" s="5"/>
      <x:c r="AC61" s="8" t="s">
        <x:v>278</x:v>
      </x:c>
      <x:c r="AD61" s="8" t="s">
        <x:v>45</x:v>
      </x:c>
      <x:c r="AE61" s="1" t="s">
        <x:v>394</x:v>
      </x:c>
      <x:c r="AF61" s="1" t="s">
        <x:v>47</x:v>
      </x:c>
    </x:row>
    <x:row r="62" ht="40" customHeight="1">
      <x:c r="A62" s="2">
        <x:v>64</x:v>
      </x:c>
      <x:c r="B62" s="3" t="s">
        <x:v>395</x:v>
      </x:c>
      <x:c r="C62" s="1" t="s">
        <x:v>396</x:v>
      </x:c>
      <x:c r="D62" s="1" t="s">
        <x:v>34</x:v>
      </x:c>
      <x:c r="E62" s="8" t="s">
        <x:v>35</x:v>
      </x:c>
      <x:c r="F62" s="1" t="s">
        <x:v>36</x:v>
      </x:c>
      <x:c r="G62" s="8" t="s">
        <x:v>37</x:v>
      </x:c>
      <x:c r="H62" s="8" t="s">
        <x:v>156</x:v>
      </x:c>
      <x:c r="I62" s="4">
        <x:v>1.0024999999999999</x:v>
      </x:c>
      <x:c r="J62" s="5">
        <x:v>45702</x:v>
      </x:c>
      <x:c r="K62" s="1" t="s">
        <x:v>39</x:v>
      </x:c>
      <x:c r="L62" s="5">
        <x:v>44867</x:v>
      </x:c>
      <x:c r="M62" s="6">
        <x:v>0.27960000000000002</x:v>
      </x:c>
      <x:c r="N62" s="6">
        <x:v>3.9399999999999998E-2</x:v>
      </x:c>
      <x:c r="O62" s="6">
        <x:v>0.1222</x:v>
      </x:c>
      <x:c r="P62" s="6">
        <x:v>2.4E-2</x:v>
      </x:c>
      <x:c r="Q62" s="7">
        <x:v>2.2391999999999999</x:v>
      </x:c>
      <x:c r="R62" s="3" t="s">
        <x:v>397</x:v>
      </x:c>
      <x:c r="S62" s="1" t="s">
        <x:v>393</x:v>
      </x:c>
      <x:c r="T62" s="2">
        <x:v>208</x:v>
      </x:c>
      <x:c r="U62" s="5">
        <x:v>44867</x:v>
      </x:c>
      <x:c r="V62" s="5">
        <x:v>46262</x:v>
      </x:c>
      <x:c r="W62" s="4">
        <x:v>1.45239867</x:v>
      </x:c>
      <x:c r="X62" s="8" t="s">
        <x:v>42</x:v>
      </x:c>
      <x:c r="Y62" s="8"/>
      <x:c r="Z62" s="8" t="s">
        <x:v>43</x:v>
      </x:c>
      <x:c r="AA62" s="5"/>
      <x:c r="AB62" s="5">
        <x:v>46269</x:v>
      </x:c>
      <x:c r="AC62" s="8" t="s">
        <x:v>278</x:v>
      </x:c>
      <x:c r="AD62" s="8" t="s">
        <x:v>45</x:v>
      </x:c>
      <x:c r="AE62" s="1" t="s">
        <x:v>398</x:v>
      </x:c>
      <x:c r="AF62" s="1" t="s">
        <x:v>47</x:v>
      </x:c>
    </x:row>
    <x:row r="63" ht="40" customHeight="1">
      <x:c r="A63" s="2">
        <x:v>65</x:v>
      </x:c>
      <x:c r="B63" s="3" t="s">
        <x:v>399</x:v>
      </x:c>
      <x:c r="C63" s="1" t="s">
        <x:v>400</x:v>
      </x:c>
      <x:c r="D63" s="1" t="s">
        <x:v>34</x:v>
      </x:c>
      <x:c r="E63" s="8" t="s">
        <x:v>35</x:v>
      </x:c>
      <x:c r="F63" s="1" t="s">
        <x:v>36</x:v>
      </x:c>
      <x:c r="G63" s="8" t="s">
        <x:v>37</x:v>
      </x:c>
      <x:c r="H63" s="8" t="s">
        <x:v>38</x:v>
      </x:c>
      <x:c r="I63" s="4">
        <x:v>1.1639999999999999</x:v>
      </x:c>
      <x:c r="J63" s="5">
        <x:v>46262</x:v>
      </x:c>
      <x:c r="K63" s="1" t="s">
        <x:v>39</x:v>
      </x:c>
      <x:c r="L63" s="5">
        <x:v>44894</x:v>
      </x:c>
      <x:c r="M63" s="6">
        <x:v>0.37459999999999999</x:v>
      </x:c>
      <x:c r="N63" s="6">
        <x:v>3.4500000000000003E-2</x:v>
      </x:c>
      <x:c r="O63" s="6">
        <x:v>0.1</x:v>
      </x:c>
      <x:c r="P63" s="6">
        <x:v>2.1099999999999997E-2</x:v>
      </x:c>
      <x:c r="Q63" s="7">
        <x:v>2.8094000000000001</x:v>
      </x:c>
      <x:c r="R63" s="3" t="s">
        <x:v>401</x:v>
      </x:c>
      <x:c r="S63" s="1" t="s">
        <x:v>393</x:v>
      </x:c>
      <x:c r="T63" s="2">
        <x:v>205</x:v>
      </x:c>
      <x:c r="U63" s="5">
        <x:v>44894</x:v>
      </x:c>
      <x:c r="V63" s="5">
        <x:v>46262</x:v>
      </x:c>
      <x:c r="W63" s="4">
        <x:v>1.37462638</x:v>
      </x:c>
      <x:c r="X63" s="8" t="s">
        <x:v>42</x:v>
      </x:c>
      <x:c r="Y63" s="8"/>
      <x:c r="Z63" s="8" t="s">
        <x:v>43</x:v>
      </x:c>
      <x:c r="AA63" s="5"/>
      <x:c r="AB63" s="5">
        <x:v>46269</x:v>
      </x:c>
      <x:c r="AC63" s="8" t="s">
        <x:v>44</x:v>
      </x:c>
      <x:c r="AD63" s="8" t="s">
        <x:v>45</x:v>
      </x:c>
      <x:c r="AE63" s="1" t="s">
        <x:v>402</x:v>
      </x:c>
      <x:c r="AF63" s="1" t="s">
        <x:v>47</x:v>
      </x:c>
    </x:row>
    <x:row r="64" ht="40" customHeight="1">
      <x:c r="A64" s="2">
        <x:v>66</x:v>
      </x:c>
      <x:c r="B64" s="3" t="s">
        <x:v>403</x:v>
      </x:c>
      <x:c r="C64" s="1" t="s">
        <x:v>404</x:v>
      </x:c>
      <x:c r="D64" s="1" t="s">
        <x:v>34</x:v>
      </x:c>
      <x:c r="E64" s="8" t="s">
        <x:v>70</x:v>
      </x:c>
      <x:c r="F64" s="1" t="s">
        <x:v>36</x:v>
      </x:c>
      <x:c r="G64" s="8" t="s">
        <x:v>37</x:v>
      </x:c>
      <x:c r="H64" s="8" t="s">
        <x:v>71</x:v>
      </x:c>
      <x:c r="I64" s="4">
        <x:v>0.66190000000000004</x:v>
      </x:c>
      <x:c r="J64" s="5">
        <x:v>46262</x:v>
      </x:c>
      <x:c r="K64" s="1" t="s">
        <x:v>39</x:v>
      </x:c>
      <x:c r="L64" s="5">
        <x:v>44123</x:v>
      </x:c>
      <x:c r="M64" s="6">
        <x:v>-0.18350000000000002</x:v>
      </x:c>
      <x:c r="N64" s="6">
        <x:v>-0.32270000000000004</x:v>
      </x:c>
      <x:c r="O64" s="6">
        <x:v>-3.1300000000000001E-2</x:v>
      </x:c>
      <x:c r="P64" s="6">
        <x:v>0.35609999999999997</x:v>
      </x:c>
      <x:c r="Q64" s="7">
        <x:v>-0.54390000000000005</x:v>
      </x:c>
      <x:c r="R64" s="3" t="s">
        <x:v>405</x:v>
      </x:c>
      <x:c r="S64" s="1" t="s">
        <x:v>406</x:v>
      </x:c>
      <x:c r="T64" s="2">
        <x:v>297</x:v>
      </x:c>
      <x:c r="U64" s="5">
        <x:v>44123</x:v>
      </x:c>
      <x:c r="V64" s="5">
        <x:v>46262</x:v>
      </x:c>
      <x:c r="W64" s="4">
        <x:v>0.81653228</x:v>
      </x:c>
      <x:c r="X64" s="8" t="s">
        <x:v>79</x:v>
      </x:c>
      <x:c r="Y64" s="8" t="s">
        <x:v>323</x:v>
      </x:c>
      <x:c r="Z64" s="8"/>
      <x:c r="AA64" s="5">
        <x:v>46262</x:v>
      </x:c>
      <x:c r="AB64" s="5"/>
      <x:c r="AC64" s="8" t="s">
        <x:v>44</x:v>
      </x:c>
      <x:c r="AD64" s="8" t="s">
        <x:v>45</x:v>
      </x:c>
      <x:c r="AE64" s="1" t="s">
        <x:v>407</x:v>
      </x:c>
      <x:c r="AF64" s="1" t="s">
        <x:v>47</x:v>
      </x:c>
    </x:row>
    <x:row r="65" ht="40" customHeight="1">
      <x:c r="A65" s="2">
        <x:v>67</x:v>
      </x:c>
      <x:c r="B65" s="3" t="s">
        <x:v>408</x:v>
      </x:c>
      <x:c r="C65" s="1" t="s">
        <x:v>409</x:v>
      </x:c>
      <x:c r="D65" s="1" t="s">
        <x:v>34</x:v>
      </x:c>
      <x:c r="E65" s="8" t="s">
        <x:v>35</x:v>
      </x:c>
      <x:c r="F65" s="1" t="s">
        <x:v>36</x:v>
      </x:c>
      <x:c r="G65" s="8" t="s">
        <x:v>37</x:v>
      </x:c>
      <x:c r="H65" s="8" t="s">
        <x:v>187</x:v>
      </x:c>
      <x:c r="I65" s="4">
        <x:v>1.0730999999999999</x:v>
      </x:c>
      <x:c r="J65" s="5">
        <x:v>46262</x:v>
      </x:c>
      <x:c r="K65" s="1" t="s">
        <x:v>39</x:v>
      </x:c>
      <x:c r="L65" s="5">
        <x:v>45408</x:v>
      </x:c>
      <x:c r="M65" s="6">
        <x:v>0.19500000000000001</x:v>
      </x:c>
      <x:c r="N65" s="6">
        <x:v>6.7299999999999999E-2</x:v>
      </x:c>
      <x:c r="O65" s="6">
        <x:v>8.3299999999999999E-2</x:v>
      </x:c>
      <x:c r="P65" s="6">
        <x:v>2.4799999999999999E-2</x:v>
      </x:c>
      <x:c r="Q65" s="7">
        <x:v>1.3129</x:v>
      </x:c>
      <x:c r="R65" s="3" t="s">
        <x:v>410</x:v>
      </x:c>
      <x:c r="S65" s="1" t="s">
        <x:v>411</x:v>
      </x:c>
      <x:c r="T65" s="2">
        <x:v>570</x:v>
      </x:c>
      <x:c r="U65" s="5">
        <x:v>45405</x:v>
      </x:c>
      <x:c r="V65" s="5">
        <x:v>46268</x:v>
      </x:c>
      <x:c r="W65" s="4">
        <x:v>1.18832023</x:v>
      </x:c>
      <x:c r="X65" s="8" t="s">
        <x:v>79</x:v>
      </x:c>
      <x:c r="Y65" s="8" t="s">
        <x:v>412</x:v>
      </x:c>
      <x:c r="Z65" s="8"/>
      <x:c r="AA65" s="5">
        <x:v>46262</x:v>
      </x:c>
      <x:c r="AB65" s="5"/>
      <x:c r="AC65" s="8" t="s">
        <x:v>66</x:v>
      </x:c>
      <x:c r="AD65" s="8" t="s">
        <x:v>45</x:v>
      </x:c>
      <x:c r="AE65" s="1" t="s">
        <x:v>413</x:v>
      </x:c>
      <x:c r="AF65" s="1" t="s">
        <x:v>47</x:v>
      </x:c>
    </x:row>
    <x:row r="66" ht="40" customHeight="1">
      <x:c r="A66" s="2">
        <x:v>68</x:v>
      </x:c>
      <x:c r="B66" s="3" t="s">
        <x:v>414</x:v>
      </x:c>
      <x:c r="C66" s="1" t="s">
        <x:v>415</x:v>
      </x:c>
      <x:c r="D66" s="1" t="s">
        <x:v>34</x:v>
      </x:c>
      <x:c r="E66" s="8" t="s">
        <x:v>61</x:v>
      </x:c>
      <x:c r="F66" s="1" t="s">
        <x:v>36</x:v>
      </x:c>
      <x:c r="G66" s="8" t="s">
        <x:v>37</x:v>
      </x:c>
      <x:c r="H66" s="8" t="s">
        <x:v>416</x:v>
      </x:c>
      <x:c r="I66" s="4">
        <x:v>1.0358000000000001</x:v>
      </x:c>
      <x:c r="J66" s="5">
        <x:v>46262</x:v>
      </x:c>
      <x:c r="K66" s="1" t="s">
        <x:v>39</x:v>
      </x:c>
      <x:c r="L66" s="5">
        <x:v>43885</x:v>
      </x:c>
      <x:c r="M66" s="6">
        <x:v>1.9812000000000001</x:v>
      </x:c>
      <x:c r="N66" s="6">
        <x:v>1.18E-2</x:v>
      </x:c>
      <x:c r="O66" s="6">
        <x:v>0.30420000000000003</x:v>
      </x:c>
      <x:c r="P66" s="6">
        <x:v>0.1671</x:v>
      </x:c>
      <x:c r="Q66" s="7">
        <x:v>1.7604</x:v>
      </x:c>
      <x:c r="R66" s="3" t="s">
        <x:v>417</x:v>
      </x:c>
      <x:c r="S66" s="1" t="s">
        <x:v>418</x:v>
      </x:c>
      <x:c r="T66" s="2">
        <x:v>342</x:v>
      </x:c>
      <x:c r="U66" s="5">
        <x:v>43885</x:v>
      </x:c>
      <x:c r="V66" s="5">
        <x:v>46262</x:v>
      </x:c>
      <x:c r="W66" s="4">
        <x:v>2.9812081099999999</x:v>
      </x:c>
      <x:c r="X66" s="8" t="s">
        <x:v>42</x:v>
      </x:c>
      <x:c r="Y66" s="8"/>
      <x:c r="Z66" s="8" t="s">
        <x:v>132</x:v>
      </x:c>
      <x:c r="AA66" s="5"/>
      <x:c r="AB66" s="5">
        <x:v>46269</x:v>
      </x:c>
      <x:c r="AC66" s="8" t="s">
        <x:v>44</x:v>
      </x:c>
      <x:c r="AD66" s="8" t="s">
        <x:v>45</x:v>
      </x:c>
      <x:c r="AE66" s="1" t="s">
        <x:v>419</x:v>
      </x:c>
      <x:c r="AF66" s="1" t="s">
        <x:v>47</x:v>
      </x:c>
    </x:row>
    <x:row r="67" ht="40" customHeight="1">
      <x:c r="A67" s="2">
        <x:v>69</x:v>
      </x:c>
      <x:c r="B67" s="3" t="s">
        <x:v>420</x:v>
      </x:c>
      <x:c r="C67" s="1" t="s">
        <x:v>421</x:v>
      </x:c>
      <x:c r="D67" s="1" t="s">
        <x:v>34</x:v>
      </x:c>
      <x:c r="E67" s="8" t="s">
        <x:v>35</x:v>
      </x:c>
      <x:c r="F67" s="1" t="s">
        <x:v>36</x:v>
      </x:c>
      <x:c r="G67" s="8" t="s">
        <x:v>51</x:v>
      </x:c>
      <x:c r="H67" s="8" t="s">
        <x:v>38</x:v>
      </x:c>
      <x:c r="I67" s="4">
        <x:v>1.3197000000000001</x:v>
      </x:c>
      <x:c r="J67" s="5">
        <x:v>46262</x:v>
      </x:c>
      <x:c r="K67" s="1" t="s">
        <x:v>39</x:v>
      </x:c>
      <x:c r="L67" s="5">
        <x:v>44881</x:v>
      </x:c>
      <x:c r="M67" s="6">
        <x:v>0.31983198319831985</x:v>
      </x:c>
      <x:c r="N67" s="6">
        <x:v>2.9166341729704559E-2</x:v>
      </x:c>
      <x:c r="O67" s="6">
        <x:v>8.4654585835668428E-2</x:v>
      </x:c>
      <x:c r="P67" s="6">
        <x:v>4.3114923827836403E-2</x:v>
      </x:c>
      <x:c r="Q67" s="7">
        <x:v>1.1245369516635619</x:v>
      </x:c>
      <x:c r="R67" s="3" t="s">
        <x:v>422</x:v>
      </x:c>
      <x:c r="S67" s="1" t="s">
        <x:v>423</x:v>
      </x:c>
      <x:c r="T67" s="2">
        <x:v>194</x:v>
      </x:c>
      <x:c r="U67" s="5">
        <x:v>44883</x:v>
      </x:c>
      <x:c r="V67" s="5">
        <x:v>46262</x:v>
      </x:c>
      <x:c r="W67" s="4">
        <x:v>1.3197000000000001</x:v>
      </x:c>
      <x:c r="X67" s="8" t="s">
        <x:v>55</x:v>
      </x:c>
      <x:c r="Y67" s="8" t="s">
        <x:v>424</x:v>
      </x:c>
      <x:c r="Z67" s="8"/>
      <x:c r="AA67" s="5">
        <x:v>46262</x:v>
      </x:c>
      <x:c r="AB67" s="5"/>
      <x:c r="AC67" s="8" t="s">
        <x:v>57</x:v>
      </x:c>
      <x:c r="AD67" s="8" t="s">
        <x:v>45</x:v>
      </x:c>
      <x:c r="AE67" s="1" t="s">
        <x:v>425</x:v>
      </x:c>
      <x:c r="AF67" s="1" t="s">
        <x:v>47</x:v>
      </x:c>
    </x:row>
    <x:row r="68" ht="40" customHeight="1">
      <x:c r="A68" s="2">
        <x:v>70</x:v>
      </x:c>
      <x:c r="B68" s="3" t="s">
        <x:v>426</x:v>
      </x:c>
      <x:c r="C68" s="1" t="s">
        <x:v>427</x:v>
      </x:c>
      <x:c r="D68" s="1" t="s">
        <x:v>34</x:v>
      </x:c>
      <x:c r="E68" s="8" t="s">
        <x:v>61</x:v>
      </x:c>
      <x:c r="F68" s="1" t="s">
        <x:v>36</x:v>
      </x:c>
      <x:c r="G68" s="8" t="s">
        <x:v>51</x:v>
      </x:c>
      <x:c r="H68" s="8" t="s">
        <x:v>428</x:v>
      </x:c>
      <x:c r="I68" s="4">
        <x:v>1.5249999999999999</x:v>
      </x:c>
      <x:c r="J68" s="5">
        <x:v>46268</x:v>
      </x:c>
      <x:c r="K68" s="1" t="s">
        <x:v>39</x:v>
      </x:c>
      <x:c r="L68" s="5">
        <x:v>43423</x:v>
      </x:c>
      <x:c r="M68" s="6">
        <x:v>1.5231537300000002</x:v>
      </x:c>
      <x:c r="N68" s="6">
        <x:v>1.5583376649638936E-2</x:v>
      </x:c>
      <x:c r="O68" s="6">
        <x:v>0.19568852919746568</x:v>
      </x:c>
      <x:c r="P68" s="6">
        <x:v>6.8356891282751922E-2</x:v>
      </x:c>
      <x:c r="Q68" s="7">
        <x:v>2.3207039939157128</x:v>
      </x:c>
      <x:c r="R68" s="3" t="s">
        <x:v>429</x:v>
      </x:c>
      <x:c r="S68" s="1" t="s">
        <x:v>430</x:v>
      </x:c>
      <x:c r="T68" s="2">
        <x:v>434</x:v>
      </x:c>
      <x:c r="U68" s="5">
        <x:v>43427</x:v>
      </x:c>
      <x:c r="V68" s="5">
        <x:v>46268</x:v>
      </x:c>
      <x:c r="W68" s="4">
        <x:v>2.5231537300000002</x:v>
      </x:c>
      <x:c r="X68" s="8" t="s">
        <x:v>55</x:v>
      </x:c>
      <x:c r="Y68" s="8" t="s">
        <x:v>431</x:v>
      </x:c>
      <x:c r="Z68" s="8"/>
      <x:c r="AA68" s="5">
        <x:v>46262</x:v>
      </x:c>
      <x:c r="AB68" s="5"/>
      <x:c r="AC68" s="8" t="s">
        <x:v>57</x:v>
      </x:c>
      <x:c r="AD68" s="8" t="s">
        <x:v>45</x:v>
      </x:c>
      <x:c r="AE68" s="1" t="s">
        <x:v>432</x:v>
      </x:c>
      <x:c r="AF68" s="1" t="s">
        <x:v>47</x:v>
      </x:c>
    </x:row>
    <x:row r="69" ht="40" customHeight="1">
      <x:c r="A69" s="2">
        <x:v>72</x:v>
      </x:c>
      <x:c r="B69" s="3" t="s">
        <x:v>433</x:v>
      </x:c>
      <x:c r="C69" s="1" t="s">
        <x:v>434</x:v>
      </x:c>
      <x:c r="D69" s="1" t="s">
        <x:v>34</x:v>
      </x:c>
      <x:c r="E69" s="8" t="s">
        <x:v>61</x:v>
      </x:c>
      <x:c r="F69" s="1" t="s">
        <x:v>36</x:v>
      </x:c>
      <x:c r="G69" s="8" t="s">
        <x:v>37</x:v>
      </x:c>
      <x:c r="H69" s="8" t="s">
        <x:v>62</x:v>
      </x:c>
      <x:c r="I69" s="4">
        <x:v>1.0547</x:v>
      </x:c>
      <x:c r="J69" s="5">
        <x:v>46262</x:v>
      </x:c>
      <x:c r="K69" s="1" t="s">
        <x:v>39</x:v>
      </x:c>
      <x:c r="L69" s="5">
        <x:v>45441</x:v>
      </x:c>
      <x:c r="M69" s="6">
        <x:v>0.1741</x:v>
      </x:c>
      <x:c r="N69" s="6">
        <x:v>6.7199999999999996E-2</x:v>
      </x:c>
      <x:c r="O69" s="6">
        <x:v>7.7399999999999997E-2</x:v>
      </x:c>
      <x:c r="P69" s="6">
        <x:v>1.72E-2</x:v>
      </x:c>
      <x:c r="Q69" s="7">
        <x:v>2.2042000000000002</x:v>
      </x:c>
      <x:c r="R69" s="3" t="s">
        <x:v>435</x:v>
      </x:c>
      <x:c r="S69" s="1" t="s">
        <x:v>436</x:v>
      </x:c>
      <x:c r="T69" s="2">
        <x:v>124</x:v>
      </x:c>
      <x:c r="U69" s="5">
        <x:v>45441</x:v>
      </x:c>
      <x:c r="V69" s="5">
        <x:v>46262</x:v>
      </x:c>
      <x:c r="W69" s="4">
        <x:v>1.17387128</x:v>
      </x:c>
      <x:c r="X69" s="8" t="s">
        <x:v>42</x:v>
      </x:c>
      <x:c r="Y69" s="8"/>
      <x:c r="Z69" s="8" t="s">
        <x:v>437</x:v>
      </x:c>
      <x:c r="AA69" s="5"/>
      <x:c r="AB69" s="5">
        <x:v>46269</x:v>
      </x:c>
      <x:c r="AC69" s="8" t="s">
        <x:v>44</x:v>
      </x:c>
      <x:c r="AD69" s="8" t="s">
        <x:v>45</x:v>
      </x:c>
      <x:c r="AE69" s="1" t="s">
        <x:v>438</x:v>
      </x:c>
      <x:c r="AF69" s="1" t="s">
        <x:v>47</x:v>
      </x:c>
    </x:row>
    <x:row r="70" ht="40" customHeight="1">
      <x:c r="A70" s="2">
        <x:v>73</x:v>
      </x:c>
      <x:c r="B70" s="3" t="s">
        <x:v>439</x:v>
      </x:c>
      <x:c r="C70" s="1" t="s">
        <x:v>440</x:v>
      </x:c>
      <x:c r="D70" s="1" t="s">
        <x:v>34</x:v>
      </x:c>
      <x:c r="E70" s="8" t="s">
        <x:v>35</x:v>
      </x:c>
      <x:c r="F70" s="1" t="s">
        <x:v>36</x:v>
      </x:c>
      <x:c r="G70" s="8" t="s">
        <x:v>37</x:v>
      </x:c>
      <x:c r="H70" s="8" t="s">
        <x:v>38</x:v>
      </x:c>
      <x:c r="I70" s="4">
        <x:v>1.6890000000000001</x:v>
      </x:c>
      <x:c r="J70" s="5">
        <x:v>46262</x:v>
      </x:c>
      <x:c r="K70" s="1" t="s">
        <x:v>39</x:v>
      </x:c>
      <x:c r="L70" s="5">
        <x:v>44155</x:v>
      </x:c>
      <x:c r="M70" s="6">
        <x:v>0.68900000000000006</x:v>
      </x:c>
      <x:c r="N70" s="6">
        <x:v>3.49E-2</x:v>
      </x:c>
      <x:c r="O70" s="6">
        <x:v>0.11939999999999999</x:v>
      </x:c>
      <x:c r="P70" s="6">
        <x:v>1.7600000000000001E-2</x:v>
      </x:c>
      <x:c r="Q70" s="7">
        <x:v>3.0428000000000002</x:v>
      </x:c>
      <x:c r="R70" s="3" t="s">
        <x:v>441</x:v>
      </x:c>
      <x:c r="S70" s="1" t="s">
        <x:v>442</x:v>
      </x:c>
      <x:c r="T70" s="2">
        <x:v>324</x:v>
      </x:c>
      <x:c r="U70" s="5">
        <x:v>44155</x:v>
      </x:c>
      <x:c r="V70" s="5">
        <x:v>46262</x:v>
      </x:c>
      <x:c r="W70" s="4">
        <x:v>1.6890000000000001</x:v>
      </x:c>
      <x:c r="X70" s="8" t="s">
        <x:v>42</x:v>
      </x:c>
      <x:c r="Y70" s="8"/>
      <x:c r="Z70" s="8" t="s">
        <x:v>43</x:v>
      </x:c>
      <x:c r="AA70" s="5"/>
      <x:c r="AB70" s="5">
        <x:v>46269</x:v>
      </x:c>
      <x:c r="AC70" s="8" t="s">
        <x:v>44</x:v>
      </x:c>
      <x:c r="AD70" s="8" t="s">
        <x:v>45</x:v>
      </x:c>
      <x:c r="AE70" s="1" t="s">
        <x:v>443</x:v>
      </x:c>
      <x:c r="AF70" s="1" t="s">
        <x:v>47</x:v>
      </x:c>
    </x:row>
    <x:row r="71" ht="40" customHeight="1">
      <x:c r="A71" s="2">
        <x:v>74</x:v>
      </x:c>
      <x:c r="B71" s="3" t="s">
        <x:v>444</x:v>
      </x:c>
      <x:c r="C71" s="1" t="s">
        <x:v>445</x:v>
      </x:c>
      <x:c r="D71" s="1" t="s">
        <x:v>34</x:v>
      </x:c>
      <x:c r="E71" s="8" t="s">
        <x:v>35</x:v>
      </x:c>
      <x:c r="F71" s="1" t="s">
        <x:v>36</x:v>
      </x:c>
      <x:c r="G71" s="8" t="s">
        <x:v>37</x:v>
      </x:c>
      <x:c r="H71" s="8" t="s">
        <x:v>38</x:v>
      </x:c>
      <x:c r="I71" s="4">
        <x:v>1.7629999999999999</x:v>
      </x:c>
      <x:c r="J71" s="5">
        <x:v>46262</x:v>
      </x:c>
      <x:c r="K71" s="1" t="s">
        <x:v>39</x:v>
      </x:c>
      <x:c r="L71" s="5">
        <x:v>43585</x:v>
      </x:c>
      <x:c r="M71" s="6">
        <x:v>1.4965999999999999</x:v>
      </x:c>
      <x:c r="N71" s="6">
        <x:v>4.07E-2</x:v>
      </x:c>
      <x:c r="O71" s="6">
        <x:v>0.2041</x:v>
      </x:c>
      <x:c r="P71" s="6">
        <x:v>1.44E-2</x:v>
      </x:c>
      <x:c r="Q71" s="7">
        <x:v>6.2417999999999996</x:v>
      </x:c>
      <x:c r="R71" s="3" t="s">
        <x:v>446</x:v>
      </x:c>
      <x:c r="S71" s="1" t="s">
        <x:v>442</x:v>
      </x:c>
      <x:c r="T71" s="2">
        <x:v>411</x:v>
      </x:c>
      <x:c r="U71" s="5">
        <x:v>43585</x:v>
      </x:c>
      <x:c r="V71" s="5">
        <x:v>46262</x:v>
      </x:c>
      <x:c r="W71" s="4">
        <x:v>2.4966054600000001</x:v>
      </x:c>
      <x:c r="X71" s="8" t="s">
        <x:v>42</x:v>
      </x:c>
      <x:c r="Y71" s="8"/>
      <x:c r="Z71" s="8" t="s">
        <x:v>43</x:v>
      </x:c>
      <x:c r="AA71" s="5"/>
      <x:c r="AB71" s="5">
        <x:v>46269</x:v>
      </x:c>
      <x:c r="AC71" s="8" t="s">
        <x:v>44</x:v>
      </x:c>
      <x:c r="AD71" s="8" t="s">
        <x:v>45</x:v>
      </x:c>
      <x:c r="AE71" s="1" t="s">
        <x:v>447</x:v>
      </x:c>
      <x:c r="AF71" s="1" t="s">
        <x:v>47</x:v>
      </x:c>
    </x:row>
    <x:row r="72" ht="40" customHeight="1">
      <x:c r="A72" s="2">
        <x:v>75</x:v>
      </x:c>
      <x:c r="B72" s="3" t="s">
        <x:v>448</x:v>
      </x:c>
      <x:c r="C72" s="1" t="s">
        <x:v>449</x:v>
      </x:c>
      <x:c r="D72" s="1" t="s">
        <x:v>34</x:v>
      </x:c>
      <x:c r="E72" s="8" t="s">
        <x:v>35</x:v>
      </x:c>
      <x:c r="F72" s="1" t="s">
        <x:v>36</x:v>
      </x:c>
      <x:c r="G72" s="8" t="s">
        <x:v>37</x:v>
      </x:c>
      <x:c r="H72" s="8" t="s">
        <x:v>38</x:v>
      </x:c>
      <x:c r="I72" s="4">
        <x:v>1.911</x:v>
      </x:c>
      <x:c r="J72" s="5">
        <x:v>46262</x:v>
      </x:c>
      <x:c r="K72" s="1" t="s">
        <x:v>39</x:v>
      </x:c>
      <x:c r="L72" s="5">
        <x:v>43728</x:v>
      </x:c>
      <x:c r="M72" s="6">
        <x:v>1.6772999999999998</x:v>
      </x:c>
      <x:c r="N72" s="6">
        <x:v>3.5799999999999998E-2</x:v>
      </x:c>
      <x:c r="O72" s="6">
        <x:v>0.24160000000000001</x:v>
      </x:c>
      <x:c r="P72" s="6">
        <x:v>2.2700000000000001E-2</x:v>
      </x:c>
      <x:c r="Q72" s="7">
        <x:v>5.0110000000000001</x:v>
      </x:c>
      <x:c r="R72" s="3" t="s">
        <x:v>450</x:v>
      </x:c>
      <x:c r="S72" s="1" t="s">
        <x:v>442</x:v>
      </x:c>
      <x:c r="T72" s="2">
        <x:v>440</x:v>
      </x:c>
      <x:c r="U72" s="5">
        <x:v>43728</x:v>
      </x:c>
      <x:c r="V72" s="5">
        <x:v>46262</x:v>
      </x:c>
      <x:c r="W72" s="4">
        <x:v>2.6773225900000002</x:v>
      </x:c>
      <x:c r="X72" s="8" t="s">
        <x:v>100</x:v>
      </x:c>
      <x:c r="Y72" s="8" t="s">
        <x:v>356</x:v>
      </x:c>
      <x:c r="Z72" s="8" t="s">
        <x:v>43</x:v>
      </x:c>
      <x:c r="AA72" s="5">
        <x:v>46262</x:v>
      </x:c>
      <x:c r="AB72" s="5">
        <x:v>46269</x:v>
      </x:c>
      <x:c r="AC72" s="8" t="s">
        <x:v>44</x:v>
      </x:c>
      <x:c r="AD72" s="8" t="s">
        <x:v>45</x:v>
      </x:c>
      <x:c r="AE72" s="1" t="s">
        <x:v>451</x:v>
      </x:c>
      <x:c r="AF72" s="1" t="s">
        <x:v>47</x:v>
      </x:c>
    </x:row>
    <x:row r="73" ht="40" customHeight="1">
      <x:c r="A73" s="2">
        <x:v>76</x:v>
      </x:c>
      <x:c r="B73" s="3" t="s">
        <x:v>452</x:v>
      </x:c>
      <x:c r="C73" s="1" t="s">
        <x:v>453</x:v>
      </x:c>
      <x:c r="D73" s="1" t="s">
        <x:v>34</x:v>
      </x:c>
      <x:c r="E73" s="8" t="s">
        <x:v>236</x:v>
      </x:c>
      <x:c r="F73" s="1" t="s">
        <x:v>36</x:v>
      </x:c>
      <x:c r="G73" s="8" t="s">
        <x:v>51</x:v>
      </x:c>
      <x:c r="H73" s="8" t="s">
        <x:v>237</x:v>
      </x:c>
      <x:c r="I73" s="4">
        <x:v>0.871</x:v>
      </x:c>
      <x:c r="J73" s="5">
        <x:v>46234</x:v>
      </x:c>
      <x:c r="K73" s="1" t="s">
        <x:v>39</x:v>
      </x:c>
      <x:c r="L73" s="5">
        <x:v>45803</x:v>
      </x:c>
      <x:c r="M73" s="6">
        <x:v>0.13926799999999995</x:v>
      </x:c>
      <x:c r="N73" s="6">
        <x:v>9.8619093539054958E-2</x:v>
      </x:c>
      <x:c r="O73" s="6">
        <x:v>0.11904641686182664</x:v>
      </x:c>
      <x:c r="P73" s="6">
        <x:v>0.19649446494464956</x:v>
      </x:c>
      <x:c r="Q73" s="7">
        <x:v>0.51343392629244311</x:v>
      </x:c>
      <x:c r="R73" s="3" t="s">
        <x:v>454</x:v>
      </x:c>
      <x:c r="S73" s="1" t="s">
        <x:v>455</x:v>
      </x:c>
      <x:c r="T73" s="2">
        <x:v>61</x:v>
      </x:c>
      <x:c r="U73" s="5">
        <x:v>45807</x:v>
      </x:c>
      <x:c r="V73" s="5">
        <x:v>46234</x:v>
      </x:c>
      <x:c r="W73" s="4">
        <x:v>1.1392679999999999</x:v>
      </x:c>
      <x:c r="X73" s="8" t="s">
        <x:v>55</x:v>
      </x:c>
      <x:c r="Y73" s="8" t="s">
        <x:v>456</x:v>
      </x:c>
      <x:c r="Z73" s="8"/>
      <x:c r="AA73" s="5">
        <x:v>46262</x:v>
      </x:c>
      <x:c r="AB73" s="5"/>
      <x:c r="AC73" s="8" t="s">
        <x:v>57</x:v>
      </x:c>
      <x:c r="AD73" s="8" t="s">
        <x:v>45</x:v>
      </x:c>
      <x:c r="AE73" s="1" t="s">
        <x:v>457</x:v>
      </x:c>
      <x:c r="AF73" s="1" t="s">
        <x:v>47</x:v>
      </x:c>
    </x:row>
    <x:row r="74" ht="40" customHeight="1">
      <x:c r="A74" s="2">
        <x:v>77</x:v>
      </x:c>
      <x:c r="B74" s="3" t="s">
        <x:v>458</x:v>
      </x:c>
      <x:c r="C74" s="1" t="s">
        <x:v>459</x:v>
      </x:c>
      <x:c r="D74" s="1" t="s">
        <x:v>34</x:v>
      </x:c>
      <x:c r="E74" s="8" t="s">
        <x:v>35</x:v>
      </x:c>
      <x:c r="F74" s="1" t="s">
        <x:v>36</x:v>
      </x:c>
      <x:c r="G74" s="8" t="s">
        <x:v>37</x:v>
      </x:c>
      <x:c r="H74" s="8" t="s">
        <x:v>38</x:v>
      </x:c>
      <x:c r="I74" s="4">
        <x:v>1.073</x:v>
      </x:c>
      <x:c r="J74" s="5">
        <x:v>46262</x:v>
      </x:c>
      <x:c r="K74" s="1" t="s">
        <x:v>39</x:v>
      </x:c>
      <x:c r="L74" s="5">
        <x:v>44166</x:v>
      </x:c>
      <x:c r="M74" s="6">
        <x:v>1.7536</x:v>
      </x:c>
      <x:c r="N74" s="6">
        <x:v>0.13289999999999999</x:v>
      </x:c>
      <x:c r="O74" s="6">
        <x:v>0.3054</x:v>
      </x:c>
      <x:c r="P74" s="6">
        <x:v>1.0500000000000001E-2</x:v>
      </x:c>
      <x:c r="Q74" s="7">
        <x:v>11.370900000000001</x:v>
      </x:c>
      <x:c r="R74" s="3" t="s">
        <x:v>460</x:v>
      </x:c>
      <x:c r="S74" s="1" t="s">
        <x:v>461</x:v>
      </x:c>
      <x:c r="T74" s="2">
        <x:v>354</x:v>
      </x:c>
      <x:c r="U74" s="5">
        <x:v>44166</x:v>
      </x:c>
      <x:c r="V74" s="5">
        <x:v>46262</x:v>
      </x:c>
      <x:c r="W74" s="4">
        <x:v>2.7536250099999999</x:v>
      </x:c>
      <x:c r="X74" s="8" t="s">
        <x:v>42</x:v>
      </x:c>
      <x:c r="Y74" s="8"/>
      <x:c r="Z74" s="8" t="s">
        <x:v>43</x:v>
      </x:c>
      <x:c r="AA74" s="5"/>
      <x:c r="AB74" s="5">
        <x:v>46269</x:v>
      </x:c>
      <x:c r="AC74" s="8" t="s">
        <x:v>44</x:v>
      </x:c>
      <x:c r="AD74" s="8" t="s">
        <x:v>45</x:v>
      </x:c>
      <x:c r="AE74" s="1" t="s">
        <x:v>462</x:v>
      </x:c>
      <x:c r="AF74" s="1" t="s">
        <x:v>47</x:v>
      </x:c>
    </x:row>
    <x:row r="75" ht="40" customHeight="1">
      <x:c r="A75" s="2">
        <x:v>78</x:v>
      </x:c>
      <x:c r="B75" s="3" t="s">
        <x:v>463</x:v>
      </x:c>
      <x:c r="C75" s="1" t="s">
        <x:v>464</x:v>
      </x:c>
      <x:c r="D75" s="1" t="s">
        <x:v>34</x:v>
      </x:c>
      <x:c r="E75" s="8" t="s">
        <x:v>334</x:v>
      </x:c>
      <x:c r="F75" s="1" t="s">
        <x:v>36</x:v>
      </x:c>
      <x:c r="G75" s="8" t="s">
        <x:v>51</x:v>
      </x:c>
      <x:c r="H75" s="8" t="s">
        <x:v>465</x:v>
      </x:c>
      <x:c r="I75" s="4">
        <x:v>1.0306</x:v>
      </x:c>
      <x:c r="J75" s="5">
        <x:v>46262</x:v>
      </x:c>
      <x:c r="K75" s="1" t="s">
        <x:v>39</x:v>
      </x:c>
      <x:c r="L75" s="5">
        <x:v>43710</x:v>
      </x:c>
      <x:c r="M75" s="6">
        <x:v>9.1876849762880575E-2</x:v>
      </x:c>
      <x:c r="N75" s="6"/>
      <x:c r="O75" s="6">
        <x:v>0.18425851738160115</x:v>
      </x:c>
      <x:c r="P75" s="6">
        <x:v>1.4497013546239177E-2</x:v>
      </x:c>
      <x:c r="Q75" s="7">
        <x:v>2.4006507753165853</x:v>
      </x:c>
      <x:c r="R75" s="3" t="s">
        <x:v>466</x:v>
      </x:c>
      <x:c r="S75" s="1" t="s">
        <x:v>467</x:v>
      </x:c>
      <x:c r="T75" s="2">
        <x:v>27</x:v>
      </x:c>
      <x:c r="U75" s="5">
        <x:v>46080</x:v>
      </x:c>
      <x:c r="V75" s="5">
        <x:v>46262</x:v>
      </x:c>
      <x:c r="W75" s="4">
        <x:v>2.3714473300000001</x:v>
      </x:c>
      <x:c r="X75" s="8" t="s">
        <x:v>55</x:v>
      </x:c>
      <x:c r="Y75" s="8" t="s">
        <x:v>468</x:v>
      </x:c>
      <x:c r="Z75" s="8"/>
      <x:c r="AA75" s="5">
        <x:v>46262</x:v>
      </x:c>
      <x:c r="AB75" s="5"/>
      <x:c r="AC75" s="8" t="s">
        <x:v>57</x:v>
      </x:c>
      <x:c r="AD75" s="8" t="s">
        <x:v>45</x:v>
      </x:c>
      <x:c r="AE75" s="1" t="s">
        <x:v>469</x:v>
      </x:c>
      <x:c r="AF75" s="1" t="s">
        <x:v>47</x:v>
      </x:c>
    </x:row>
    <x:row r="76" ht="40" customHeight="1">
      <x:c r="A76" s="2">
        <x:v>79</x:v>
      </x:c>
      <x:c r="B76" s="3" t="s">
        <x:v>470</x:v>
      </x:c>
      <x:c r="C76" s="1" t="s">
        <x:v>471</x:v>
      </x:c>
      <x:c r="D76" s="1" t="s">
        <x:v>34</x:v>
      </x:c>
      <x:c r="E76" s="8" t="s">
        <x:v>35</x:v>
      </x:c>
      <x:c r="F76" s="1" t="s">
        <x:v>36</x:v>
      </x:c>
      <x:c r="G76" s="8" t="s">
        <x:v>37</x:v>
      </x:c>
      <x:c r="H76" s="8" t="s">
        <x:v>38</x:v>
      </x:c>
      <x:c r="I76" s="4">
        <x:v>1.0192000000000001</x:v>
      </x:c>
      <x:c r="J76" s="5">
        <x:v>46266</x:v>
      </x:c>
      <x:c r="K76" s="1" t="s">
        <x:v>138</x:v>
      </x:c>
      <x:c r="L76" s="5">
        <x:v>45848</x:v>
      </x:c>
      <x:c r="M76" s="6">
        <x:v>9.7299999999999998E-2</x:v>
      </x:c>
      <x:c r="N76" s="6">
        <x:v>5.7800000000000004E-2</x:v>
      </x:c>
      <x:c r="O76" s="6">
        <x:v>8.4900000000000003E-2</x:v>
      </x:c>
      <x:c r="P76" s="6">
        <x:v>3.4000000000000002E-3</x:v>
      </x:c>
      <x:c r="Q76" s="7">
        <x:v>2.3153000000000001</x:v>
      </x:c>
      <x:c r="R76" s="3" t="s">
        <x:v>472</x:v>
      </x:c>
      <x:c r="S76" s="1" t="s">
        <x:v>473</x:v>
      </x:c>
      <x:c r="T76" s="2">
        <x:v>280</x:v>
      </x:c>
      <x:c r="U76" s="5">
        <x:v>45848</x:v>
      </x:c>
      <x:c r="V76" s="5">
        <x:v>46266</x:v>
      </x:c>
      <x:c r="W76" s="4">
        <x:v>1.0958000000000001</x:v>
      </x:c>
      <x:c r="X76" s="8" t="s">
        <x:v>141</x:v>
      </x:c>
      <x:c r="Y76" s="8"/>
      <x:c r="Z76" s="8"/>
      <x:c r="AA76" s="5"/>
      <x:c r="AB76" s="5"/>
      <x:c r="AC76" s="8" t="s">
        <x:v>39</x:v>
      </x:c>
      <x:c r="AD76" s="8" t="s">
        <x:v>45</x:v>
      </x:c>
      <x:c r="AE76" s="1" t="s">
        <x:v>474</x:v>
      </x:c>
      <x:c r="AF76" s="1" t="s">
        <x:v>47</x:v>
      </x:c>
    </x:row>
    <x:row r="77" ht="40" customHeight="1">
      <x:c r="A77" s="2">
        <x:v>80</x:v>
      </x:c>
      <x:c r="B77" s="3" t="s">
        <x:v>475</x:v>
      </x:c>
      <x:c r="C77" s="1" t="s">
        <x:v>476</x:v>
      </x:c>
      <x:c r="D77" s="1" t="s">
        <x:v>34</x:v>
      </x:c>
      <x:c r="E77" s="8" t="s">
        <x:v>35</x:v>
      </x:c>
      <x:c r="F77" s="1" t="s">
        <x:v>36</x:v>
      </x:c>
      <x:c r="G77" s="8" t="s">
        <x:v>37</x:v>
      </x:c>
      <x:c r="H77" s="8" t="s">
        <x:v>38</x:v>
      </x:c>
      <x:c r="I77" s="4">
        <x:v>1.02</x:v>
      </x:c>
      <x:c r="J77" s="5">
        <x:v>46267</x:v>
      </x:c>
      <x:c r="K77" s="1" t="s">
        <x:v>138</x:v>
      </x:c>
      <x:c r="L77" s="5">
        <x:v>45749</x:v>
      </x:c>
      <x:c r="M77" s="6">
        <x:v>8.6199999999999999E-2</x:v>
      </x:c>
      <x:c r="N77" s="6">
        <x:v>7.3700000000000002E-2</x:v>
      </x:c>
      <x:c r="O77" s="6">
        <x:v>9.9900000000000003E-2</x:v>
      </x:c>
      <x:c r="P77" s="6">
        <x:v>4.6999999999999993E-3</x:v>
      </x:c>
      <x:c r="Q77" s="7">
        <x:v>5.0286999999999997</x:v>
      </x:c>
      <x:c r="R77" s="3" t="s">
        <x:v>477</x:v>
      </x:c>
      <x:c r="S77" s="1" t="s">
        <x:v>473</x:v>
      </x:c>
      <x:c r="T77" s="2">
        <x:v>213</x:v>
      </x:c>
      <x:c r="U77" s="5">
        <x:v>45952</x:v>
      </x:c>
      <x:c r="V77" s="5">
        <x:v>46267</x:v>
      </x:c>
      <x:c r="W77" s="4">
        <x:v>1.1137999999999999</x:v>
      </x:c>
      <x:c r="X77" s="8" t="s">
        <x:v>141</x:v>
      </x:c>
      <x:c r="Y77" s="8"/>
      <x:c r="Z77" s="8"/>
      <x:c r="AA77" s="5"/>
      <x:c r="AB77" s="5"/>
      <x:c r="AC77" s="8" t="s">
        <x:v>39</x:v>
      </x:c>
      <x:c r="AD77" s="8" t="s">
        <x:v>45</x:v>
      </x:c>
      <x:c r="AE77" s="1" t="s">
        <x:v>478</x:v>
      </x:c>
      <x:c r="AF77" s="1" t="s">
        <x:v>47</x:v>
      </x:c>
    </x:row>
    <x:row r="78" ht="40" customHeight="1">
      <x:c r="A78" s="2">
        <x:v>81</x:v>
      </x:c>
      <x:c r="B78" s="3" t="s">
        <x:v>479</x:v>
      </x:c>
      <x:c r="C78" s="1" t="s">
        <x:v>480</x:v>
      </x:c>
      <x:c r="D78" s="1" t="s">
        <x:v>34</x:v>
      </x:c>
      <x:c r="E78" s="8" t="s">
        <x:v>122</x:v>
      </x:c>
      <x:c r="F78" s="1" t="s">
        <x:v>36</x:v>
      </x:c>
      <x:c r="G78" s="8" t="s">
        <x:v>51</x:v>
      </x:c>
      <x:c r="H78" s="8" t="s">
        <x:v>122</x:v>
      </x:c>
      <x:c r="I78" s="4">
        <x:v>1.0249999999999999</x:v>
      </x:c>
      <x:c r="J78" s="5">
        <x:v>46262</x:v>
      </x:c>
      <x:c r="K78" s="1" t="s">
        <x:v>39</x:v>
      </x:c>
      <x:c r="L78" s="5">
        <x:v>45929</x:v>
      </x:c>
      <x:c r="M78" s="6">
        <x:v>0.12141088999999994</x:v>
      </x:c>
      <x:c r="N78" s="6">
        <x:v>8.6638459302325499E-2</x:v>
      </x:c>
      <x:c r="O78" s="6">
        <x:v>0.13347883990963846</x:v>
      </x:c>
      <x:c r="P78" s="6">
        <x:v>2.6264591439688744E-2</x:v>
      </x:c>
      <x:c r="Q78" s="7">
        <x:v>1.5856547262637992</x:v>
      </x:c>
      <x:c r="R78" s="3" t="s">
        <x:v>481</x:v>
      </x:c>
      <x:c r="S78" s="1" t="s">
        <x:v>482</x:v>
      </x:c>
      <x:c r="T78" s="2">
        <x:v>47</x:v>
      </x:c>
      <x:c r="U78" s="5">
        <x:v>45930</x:v>
      </x:c>
      <x:c r="V78" s="5">
        <x:v>46262</x:v>
      </x:c>
      <x:c r="W78" s="4">
        <x:v>1.1214108899999999</x:v>
      </x:c>
      <x:c r="X78" s="8" t="s">
        <x:v>55</x:v>
      </x:c>
      <x:c r="Y78" s="8" t="s">
        <x:v>483</x:v>
      </x:c>
      <x:c r="Z78" s="8"/>
      <x:c r="AA78" s="5">
        <x:v>46262</x:v>
      </x:c>
      <x:c r="AB78" s="5"/>
      <x:c r="AC78" s="8" t="s">
        <x:v>57</x:v>
      </x:c>
      <x:c r="AD78" s="8" t="s">
        <x:v>45</x:v>
      </x:c>
      <x:c r="AE78" s="1" t="s">
        <x:v>484</x:v>
      </x:c>
      <x:c r="AF78" s="1" t="s">
        <x:v>47</x:v>
      </x:c>
    </x:row>
    <x:row r="79" ht="56" customHeight="1">
      <x:c r="A79" s="2">
        <x:v>82</x:v>
      </x:c>
      <x:c r="B79" s="3" t="s">
        <x:v>485</x:v>
      </x:c>
      <x:c r="C79" s="1" t="s">
        <x:v>486</x:v>
      </x:c>
      <x:c r="D79" s="1" t="s">
        <x:v>34</x:v>
      </x:c>
      <x:c r="E79" s="8" t="s">
        <x:v>35</x:v>
      </x:c>
      <x:c r="F79" s="1" t="s">
        <x:v>36</x:v>
      </x:c>
      <x:c r="G79" s="8" t="s">
        <x:v>37</x:v>
      </x:c>
      <x:c r="H79" s="8" t="s">
        <x:v>487</x:v>
      </x:c>
      <x:c r="I79" s="4">
        <x:v>2.1253000000000002</x:v>
      </x:c>
      <x:c r="J79" s="5">
        <x:v>45965</x:v>
      </x:c>
      <x:c r="K79" s="1" t="s">
        <x:v>39</x:v>
      </x:c>
      <x:c r="L79" s="5">
        <x:v>42857</x:v>
      </x:c>
      <x:c r="M79" s="6">
        <x:v>1.1253</x:v>
      </x:c>
      <x:c r="N79" s="6">
        <x:v>2.5699999999999997E-2</x:v>
      </x:c>
      <x:c r="O79" s="6">
        <x:v>0.1323</x:v>
      </x:c>
      <x:c r="P79" s="6">
        <x:v>6.0199999999999997E-2</x:v>
      </x:c>
      <x:c r="Q79" s="7">
        <x:v>2.3540999999999999</x:v>
      </x:c>
      <x:c r="R79" s="3" t="s">
        <x:v>488</x:v>
      </x:c>
      <x:c r="S79" s="1" t="s">
        <x:v>489</x:v>
      </x:c>
      <x:c r="T79" s="2">
        <x:v>522</x:v>
      </x:c>
      <x:c r="U79" s="5">
        <x:v>42857</x:v>
      </x:c>
      <x:c r="V79" s="5">
        <x:v>46262</x:v>
      </x:c>
      <x:c r="W79" s="4">
        <x:v>2.2067999999999999</x:v>
      </x:c>
      <x:c r="X79" s="8" t="s">
        <x:v>338</x:v>
      </x:c>
      <x:c r="Y79" s="8" t="s">
        <x:v>490</x:v>
      </x:c>
      <x:c r="Z79" s="8"/>
      <x:c r="AA79" s="5">
        <x:v>46262</x:v>
      </x:c>
      <x:c r="AB79" s="5"/>
      <x:c r="AC79" s="8" t="s">
        <x:v>278</x:v>
      </x:c>
      <x:c r="AD79" s="8" t="s">
        <x:v>45</x:v>
      </x:c>
      <x:c r="AE79" s="1" t="s">
        <x:v>491</x:v>
      </x:c>
      <x:c r="AF79" s="1" t="s">
        <x:v>47</x:v>
      </x:c>
    </x:row>
    <x:row r="80" ht="40" customHeight="1">
      <x:c r="A80" s="2">
        <x:v>83</x:v>
      </x:c>
      <x:c r="B80" s="3" t="s">
        <x:v>492</x:v>
      </x:c>
      <x:c r="C80" s="1" t="s">
        <x:v>493</x:v>
      </x:c>
      <x:c r="D80" s="1" t="s">
        <x:v>34</x:v>
      </x:c>
      <x:c r="E80" s="8" t="s">
        <x:v>122</x:v>
      </x:c>
      <x:c r="F80" s="1" t="s">
        <x:v>36</x:v>
      </x:c>
      <x:c r="G80" s="8" t="s">
        <x:v>37</x:v>
      </x:c>
      <x:c r="H80" s="8" t="s">
        <x:v>494</x:v>
      </x:c>
      <x:c r="I80" s="4">
        <x:v>1.089</x:v>
      </x:c>
      <x:c r="J80" s="5">
        <x:v>46265</x:v>
      </x:c>
      <x:c r="K80" s="1" t="s">
        <x:v>39</x:v>
      </x:c>
      <x:c r="L80" s="5">
        <x:v>44550</x:v>
      </x:c>
      <x:c r="M80" s="6">
        <x:v>0.2923</x:v>
      </x:c>
      <x:c r="N80" s="6">
        <x:v>9.300000000000001E-3</x:v>
      </x:c>
      <x:c r="O80" s="6">
        <x:v>6.2199999999999998E-2</x:v>
      </x:c>
      <x:c r="P80" s="6">
        <x:v>4.0999999999999995E-2</x:v>
      </x:c>
      <x:c r="Q80" s="7">
        <x:v>1.1555</x:v>
      </x:c>
      <x:c r="R80" s="3" t="s">
        <x:v>495</x:v>
      </x:c>
      <x:c r="S80" s="1" t="s">
        <x:v>496</x:v>
      </x:c>
      <x:c r="T80" s="2">
        <x:v>405</x:v>
      </x:c>
      <x:c r="U80" s="5">
        <x:v>44550</x:v>
      </x:c>
      <x:c r="V80" s="5">
        <x:v>46265</x:v>
      </x:c>
      <x:c r="W80" s="4">
        <x:v>1.2922514700000001</x:v>
      </x:c>
      <x:c r="X80" s="8" t="s">
        <x:v>79</x:v>
      </x:c>
      <x:c r="Y80" s="8" t="s">
        <x:v>299</x:v>
      </x:c>
      <x:c r="Z80" s="8"/>
      <x:c r="AA80" s="5">
        <x:v>46262</x:v>
      </x:c>
      <x:c r="AB80" s="5"/>
      <x:c r="AC80" s="8" t="s">
        <x:v>44</x:v>
      </x:c>
      <x:c r="AD80" s="8" t="s">
        <x:v>45</x:v>
      </x:c>
      <x:c r="AE80" s="1" t="s">
        <x:v>497</x:v>
      </x:c>
      <x:c r="AF80" s="1" t="s">
        <x:v>47</x:v>
      </x:c>
    </x:row>
    <x:row r="81" ht="40" customHeight="1">
      <x:c r="A81" s="2">
        <x:v>84</x:v>
      </x:c>
      <x:c r="B81" s="3" t="s">
        <x:v>498</x:v>
      </x:c>
      <x:c r="C81" s="1" t="s">
        <x:v>499</x:v>
      </x:c>
      <x:c r="D81" s="1" t="s">
        <x:v>34</x:v>
      </x:c>
      <x:c r="E81" s="8" t="s">
        <x:v>500</x:v>
      </x:c>
      <x:c r="F81" s="1" t="s">
        <x:v>36</x:v>
      </x:c>
      <x:c r="G81" s="8" t="s">
        <x:v>501</x:v>
      </x:c>
      <x:c r="H81" s="8"/>
      <x:c r="I81" s="4">
        <x:v>1.0229999999999999</x:v>
      </x:c>
      <x:c r="J81" s="5">
        <x:v>46267</x:v>
      </x:c>
      <x:c r="K81" s="1" t="s">
        <x:v>138</x:v>
      </x:c>
      <x:c r="L81" s="5">
        <x:v>45800</x:v>
      </x:c>
      <x:c r="M81" s="6">
        <x:v>0.15789999999999998</x:v>
      </x:c>
      <x:c r="N81" s="6">
        <x:v>7.7899999999999997E-2</x:v>
      </x:c>
      <x:c r="O81" s="6">
        <x:v>0.13070000000000001</x:v>
      </x:c>
      <x:c r="P81" s="6">
        <x:v>5.2499999999999998E-2</x:v>
      </x:c>
      <x:c r="Q81" s="7">
        <x:v>1.5157</x:v>
      </x:c>
      <x:c r="R81" s="3" t="s">
        <x:v>502</x:v>
      </x:c>
      <x:c r="S81" s="1" t="s">
        <x:v>503</x:v>
      </x:c>
      <x:c r="T81" s="2">
        <x:v>297</x:v>
      </x:c>
      <x:c r="U81" s="5">
        <x:v>45826</x:v>
      </x:c>
      <x:c r="V81" s="5">
        <x:v>46267</x:v>
      </x:c>
      <x:c r="W81" s="4">
        <x:v>1.1529</x:v>
      </x:c>
      <x:c r="X81" s="8" t="s">
        <x:v>504</x:v>
      </x:c>
      <x:c r="Y81" s="8" t="s">
        <x:v>107</x:v>
      </x:c>
      <x:c r="Z81" s="8"/>
      <x:c r="AA81" s="5">
        <x:v>46262</x:v>
      </x:c>
      <x:c r="AB81" s="5">
        <x:v>46274</x:v>
      </x:c>
      <x:c r="AC81" s="8" t="s">
        <x:v>39</x:v>
      </x:c>
      <x:c r="AD81" s="8" t="s">
        <x:v>45</x:v>
      </x:c>
      <x:c r="AE81" s="1" t="s">
        <x:v>505</x:v>
      </x:c>
      <x:c r="AF81" s="1" t="s">
        <x:v>47</x:v>
      </x:c>
    </x:row>
    <x:row r="82" ht="40" customHeight="1">
      <x:c r="A82" s="2">
        <x:v>85</x:v>
      </x:c>
      <x:c r="B82" s="3" t="s">
        <x:v>506</x:v>
      </x:c>
      <x:c r="C82" s="1" t="s">
        <x:v>507</x:v>
      </x:c>
      <x:c r="D82" s="1" t="s">
        <x:v>34</x:v>
      </x:c>
      <x:c r="E82" s="8" t="s">
        <x:v>35</x:v>
      </x:c>
      <x:c r="F82" s="1" t="s">
        <x:v>36</x:v>
      </x:c>
      <x:c r="G82" s="8" t="s">
        <x:v>37</x:v>
      </x:c>
      <x:c r="H82" s="8" t="s">
        <x:v>38</x:v>
      </x:c>
      <x:c r="I82" s="4">
        <x:v>1.2015</x:v>
      </x:c>
      <x:c r="J82" s="5">
        <x:v>46262</x:v>
      </x:c>
      <x:c r="K82" s="1" t="s">
        <x:v>39</x:v>
      </x:c>
      <x:c r="L82" s="5">
        <x:v>45826</x:v>
      </x:c>
      <x:c r="M82" s="6">
        <x:v>0.32770000000000005</x:v>
      </x:c>
      <x:c r="N82" s="6">
        <x:v>0.28179999999999999</x:v>
      </x:c>
      <x:c r="O82" s="6">
        <x:v>0.27429999999999999</x:v>
      </x:c>
      <x:c r="P82" s="6">
        <x:v>6.6799999999999998E-2</x:v>
      </x:c>
      <x:c r="Q82" s="7">
        <x:v>2.7017000000000002</x:v>
      </x:c>
      <x:c r="R82" s="3" t="s">
        <x:v>508</x:v>
      </x:c>
      <x:c r="S82" s="1" t="s">
        <x:v>509</x:v>
      </x:c>
      <x:c r="T82" s="2">
        <x:v>84</x:v>
      </x:c>
      <x:c r="U82" s="5">
        <x:v>45826</x:v>
      </x:c>
      <x:c r="V82" s="5">
        <x:v>46262</x:v>
      </x:c>
      <x:c r="W82" s="4">
        <x:v>1.3276641</x:v>
      </x:c>
      <x:c r="X82" s="8" t="s">
        <x:v>42</x:v>
      </x:c>
      <x:c r="Y82" s="8"/>
      <x:c r="Z82" s="8" t="s">
        <x:v>43</x:v>
      </x:c>
      <x:c r="AA82" s="5"/>
      <x:c r="AB82" s="5">
        <x:v>46269</x:v>
      </x:c>
      <x:c r="AC82" s="8" t="s">
        <x:v>44</x:v>
      </x:c>
      <x:c r="AD82" s="8" t="s">
        <x:v>45</x:v>
      </x:c>
      <x:c r="AE82" s="1" t="s">
        <x:v>510</x:v>
      </x:c>
      <x:c r="AF82" s="1" t="s">
        <x:v>47</x:v>
      </x:c>
    </x:row>
    <x:row r="83" ht="40" customHeight="1">
      <x:c r="A83" s="2">
        <x:v>87</x:v>
      </x:c>
      <x:c r="B83" s="3" t="s">
        <x:v>511</x:v>
      </x:c>
      <x:c r="C83" s="1" t="s">
        <x:v>512</x:v>
      </x:c>
      <x:c r="D83" s="1" t="s">
        <x:v>34</x:v>
      </x:c>
      <x:c r="E83" s="8" t="s">
        <x:v>122</x:v>
      </x:c>
      <x:c r="F83" s="1" t="s">
        <x:v>36</x:v>
      </x:c>
      <x:c r="G83" s="8" t="s">
        <x:v>37</x:v>
      </x:c>
      <x:c r="H83" s="8" t="s">
        <x:v>297</x:v>
      </x:c>
      <x:c r="I83" s="4">
        <x:v>1.0680000000000001</x:v>
      </x:c>
      <x:c r="J83" s="5">
        <x:v>46265</x:v>
      </x:c>
      <x:c r="K83" s="1" t="s">
        <x:v>39</x:v>
      </x:c>
      <x:c r="L83" s="5">
        <x:v>43665</x:v>
      </x:c>
      <x:c r="M83" s="6">
        <x:v>0.48869999999999997</x:v>
      </x:c>
      <x:c r="N83" s="6">
        <x:v>3.0899999999999997E-2</x:v>
      </x:c>
      <x:c r="O83" s="6">
        <x:v>6.8600000000000008E-2</x:v>
      </x:c>
      <x:c r="P83" s="6">
        <x:v>3.49E-2</x:v>
      </x:c>
      <x:c r="Q83" s="7">
        <x:v>1.8589</x:v>
      </x:c>
      <x:c r="R83" s="3" t="s">
        <x:v>513</x:v>
      </x:c>
      <x:c r="S83" s="1" t="s">
        <x:v>514</x:v>
      </x:c>
      <x:c r="T83" s="2">
        <x:v>404</x:v>
      </x:c>
      <x:c r="U83" s="5">
        <x:v>43665</x:v>
      </x:c>
      <x:c r="V83" s="5">
        <x:v>46265</x:v>
      </x:c>
      <x:c r="W83" s="4">
        <x:v>1.4886532800000001</x:v>
      </x:c>
      <x:c r="X83" s="8" t="s">
        <x:v>338</x:v>
      </x:c>
      <x:c r="Y83" s="8" t="s">
        <x:v>515</x:v>
      </x:c>
      <x:c r="Z83" s="8"/>
      <x:c r="AA83" s="5">
        <x:v>46262</x:v>
      </x:c>
      <x:c r="AB83" s="5"/>
      <x:c r="AC83" s="8" t="s">
        <x:v>44</x:v>
      </x:c>
      <x:c r="AD83" s="8" t="s">
        <x:v>45</x:v>
      </x:c>
      <x:c r="AE83" s="1" t="s">
        <x:v>516</x:v>
      </x:c>
      <x:c r="AF83" s="1" t="s">
        <x:v>47</x:v>
      </x:c>
    </x:row>
    <x:row r="84" ht="40" customHeight="1">
      <x:c r="A84" s="2">
        <x:v>89</x:v>
      </x:c>
      <x:c r="B84" s="3" t="s">
        <x:v>517</x:v>
      </x:c>
      <x:c r="C84" s="8" t="s">
        <x:v>518</x:v>
      </x:c>
      <x:c r="D84" s="1" t="s">
        <x:v>519</x:v>
      </x:c>
      <x:c r="E84" s="8" t="s">
        <x:v>520</x:v>
      </x:c>
      <x:c r="F84" s="1" t="s">
        <x:v>36</x:v>
      </x:c>
      <x:c r="G84" s="8" t="s">
        <x:v>521</x:v>
      </x:c>
      <x:c r="H84" s="8"/>
      <x:c r="I84" s="4">
        <x:v>1.5105999999999999</x:v>
      </x:c>
      <x:c r="J84" s="5">
        <x:v>46262</x:v>
      </x:c>
      <x:c r="K84" s="1" t="s">
        <x:v>521</x:v>
      </x:c>
      <x:c r="L84" s="5"/>
      <x:c r="M84" s="6"/>
      <x:c r="N84" s="6">
        <x:v>0.15215430514119199</x:v>
      </x:c>
      <x:c r="O84" s="6"/>
      <x:c r="P84" s="6"/>
      <x:c r="Q84" s="7"/>
      <x:c r="R84" s="3"/>
      <x:c r="S84" s="1"/>
      <x:c r="T84" s="2">
        <x:v>0</x:v>
      </x:c>
      <x:c r="U84" s="5"/>
      <x:c r="V84" s="5"/>
      <x:c r="W84" s="4"/>
      <x:c r="X84" s="8" t="s">
        <x:v>521</x:v>
      </x:c>
      <x:c r="Y84" s="8"/>
      <x:c r="Z84" s="8"/>
      <x:c r="AA84" s="5"/>
      <x:c r="AB84" s="5"/>
      <x:c r="AC84" s="8" t="s">
        <x:v>521</x:v>
      </x:c>
      <x:c r="AD84" s="8" t="s">
        <x:v>522</x:v>
      </x:c>
      <x:c r="AE84" s="1"/>
      <x:c r="AF84" s="10" t="s">
        <x:v>523</x:v>
      </x:c>
    </x:row>
  </x:sheetData>
  <x:pageMargins left="0.7" right="0.7" top="0.75" bottom="0.75" header="0.3" footer="0.3"/>
  <x:tableParts count="1">
    <x:tablePart xmlns:r="http://schemas.openxmlformats.org/officeDocument/2006/relationships" r:id="Rfd4333b64a83424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2" hidden="0" customWidth="1"/>
    <x:col min="3" max="3" width="17" hidden="0" customWidth="1"/>
    <x:col min="4" max="4" width="12" hidden="0" customWidth="1"/>
    <x:col min="5" max="5" width="72" hidden="0" customWidth="1"/>
    <x:col min="6" max="6" width="15" hidden="0" customWidth="1"/>
    <x:col min="7" max="7" width="15" hidden="0" customWidth="1"/>
    <x:col min="8" max="8" width="15" hidden="0" customWidth="1"/>
    <x:col min="9" max="9" width="29" hidden="0" customWidth="1"/>
    <x:col min="10" max="10" width="17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23" hidden="0" customWidth="1"/>
    <x:col min="17" max="17" width="15" hidden="0" customWidth="1"/>
  </x:cols>
  <x:sheetData>
    <x:row r="1" ht="24" customHeight="1">
      <x:c r="A1" s="24" t="str">
        <x:v>私募基金指标体系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</x:row>
    <x:row r="2" ht="24" customHeight="1">
      <x:c r="A2" s="14" t="str">
        <x:v>评价日 2026-09-10，指标截止 2026-09-04；沿用参考工作簿的权重和计算口径。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</x:row>
    <x:row r="3" ht="44" customHeight="1">
      <x:c r="A3" s="20" t="str">
        <x:v>大类指标</x:v>
      </x:c>
      <x:c r="B3" s="21" t="str">
        <x:v>大类权重</x:v>
      </x:c>
      <x:c r="C3" s="21" t="str">
        <x:v>二级指标</x:v>
      </x:c>
      <x:c r="D3" s="21" t="str">
        <x:v>二级权重</x:v>
      </x:c>
      <x:c r="E3" s="21" t="str">
        <x:v>数据来源与方法</x:v>
      </x:c>
      <x:c r="F3" s="21" t="str">
        <x:v>时间口径</x:v>
      </x:c>
      <x:c r="G3" s="21" t="str">
        <x:v>综合权重</x:v>
      </x:c>
      <x:c r="H3" s="21"/>
      <x:c r="I3" s="21" t="str">
        <x:v>计算参数</x:v>
      </x:c>
      <x:c r="J3" s="21" t="str">
        <x:v>值</x:v>
      </x:c>
      <x:c r="K3" s="21"/>
      <x:c r="L3" s="21"/>
      <x:c r="M3" s="21"/>
      <x:c r="N3" s="21"/>
      <x:c r="O3" s="21"/>
      <x:c r="P3" s="21" t="str">
        <x:v>管理人规模区间</x:v>
      </x:c>
      <x:c r="Q3" s="22" t="str">
        <x:v>分值</x:v>
      </x:c>
    </x:row>
    <x:row r="4" ht="70" customHeight="1">
      <x:c r="A4" s="40" t="str">
        <x:v>管理人及产品</x:v>
      </x:c>
      <x:c r="B4" s="25" t="n">
        <x:v>0.15</x:v>
      </x:c>
      <x:c r="C4" s="42" t="str">
        <x:v>管理人规模</x:v>
      </x:c>
      <x:c r="D4" s="25" t="n">
        <x:v>0.4</x:v>
      </x:c>
      <x:c r="E4" s="40" t="str">
        <x:v>管理人公示规模区间分档：0-5亿60、5-10亿70、10-20亿80、20-100亿90、100亿以上100。</x:v>
      </x:c>
      <x:c r="F4" s="14" t="str">
        <x:v>最新公示</x:v>
      </x:c>
      <x:c r="G4" s="27" t="n">
        <x:f>B4*D4</x:f>
        <x:v>0.06</x:v>
      </x:c>
      <x:c r="H4" s="14"/>
      <x:c r="I4" s="14" t="str">
        <x:v>产品规模标识阈值（万元）</x:v>
      </x:c>
      <x:c r="J4" s="34" t="n">
        <x:v>1000</x:v>
      </x:c>
      <x:c r="K4" s="14"/>
      <x:c r="L4" s="14"/>
      <x:c r="M4" s="14"/>
      <x:c r="N4" s="14"/>
      <x:c r="O4" s="14"/>
      <x:c r="P4" s="14" t="str">
        <x:v>0-5亿元</x:v>
      </x:c>
      <x:c r="Q4" s="14" t="n">
        <x:v>60</x:v>
      </x:c>
    </x:row>
    <x:row r="5" ht="70" customHeight="1">
      <x:c r="A5" s="40" t="str">
        <x:v>管理人及产品</x:v>
      </x:c>
      <x:c r="B5" s="25" t="n">
        <x:f>B4</x:f>
        <x:v>0.15</x:v>
      </x:c>
      <x:c r="C5" s="42" t="str">
        <x:v>产品规模</x:v>
      </x:c>
      <x:c r="D5" s="25" t="n">
        <x:v>0.3</x:v>
      </x:c>
      <x:c r="E5" s="40" t="str">
        <x:v>已精确匹配完整协会产品公示：低于1000万元提示得0；确认无该提示得100；未核实留空。</x:v>
      </x:c>
      <x:c r="F5" s="14" t="str">
        <x:v>最新公示</x:v>
      </x:c>
      <x:c r="G5" s="27" t="n">
        <x:f>B5*D5</x:f>
        <x:v>0.045</x:v>
      </x:c>
      <x:c r="H5" s="14"/>
      <x:c r="I5" s="14" t="str">
        <x:v>近一年胜率观察数</x:v>
      </x:c>
      <x:c r="J5" s="34" t="n">
        <x:v>13</x:v>
      </x:c>
      <x:c r="K5" s="14"/>
      <x:c r="L5" s="14"/>
      <x:c r="M5" s="14"/>
      <x:c r="N5" s="14"/>
      <x:c r="O5" s="14"/>
      <x:c r="P5" s="14" t="str">
        <x:v>5-10亿元</x:v>
      </x:c>
      <x:c r="Q5" s="14" t="n">
        <x:v>70</x:v>
      </x:c>
    </x:row>
    <x:row r="6" ht="70" customHeight="1">
      <x:c r="A6" s="40" t="str">
        <x:v>管理人及产品</x:v>
      </x:c>
      <x:c r="B6" s="25" t="n">
        <x:f>B4</x:f>
        <x:v>0.15</x:v>
      </x:c>
      <x:c r="C6" s="42" t="str">
        <x:v>成立年限</x:v>
      </x:c>
      <x:c r="D6" s="25" t="n">
        <x:v>0.3</x:v>
      </x:c>
      <x:c r="E6" s="40" t="str">
        <x:v>不足1年不入池；1年至不足3年70分；满3年100分。</x:v>
      </x:c>
      <x:c r="F6" s="14" t="str">
        <x:v>固定评价日</x:v>
      </x:c>
      <x:c r="G6" s="27" t="n">
        <x:f>B6*D6</x:f>
        <x:v>0.045</x:v>
      </x:c>
      <x:c r="H6" s="14"/>
      <x:c r="I6" s="14" t="str">
        <x:v>近三年胜率观察数</x:v>
      </x:c>
      <x:c r="J6" s="34" t="n">
        <x:v>37</x:v>
      </x:c>
      <x:c r="K6" s="14"/>
      <x:c r="L6" s="14"/>
      <x:c r="M6" s="14"/>
      <x:c r="N6" s="14"/>
      <x:c r="O6" s="14"/>
      <x:c r="P6" s="14" t="str">
        <x:v>10-20亿元</x:v>
      </x:c>
      <x:c r="Q6" s="14" t="n">
        <x:v>80</x:v>
      </x:c>
    </x:row>
    <x:row r="7" ht="70" customHeight="1">
      <x:c r="A7" s="40" t="str">
        <x:v>收益能力</x:v>
      </x:c>
      <x:c r="B7" s="25" t="n">
        <x:v>0.2</x:v>
      </x:c>
      <x:c r="C7" s="42" t="str">
        <x:v>年化收益</x:v>
      </x:c>
      <x:c r="D7" s="25" t="n">
        <x:v>0.7</x:v>
      </x:c>
      <x:c r="E7" s="40" t="str">
        <x:v>近1年及剔除近1年的早期年化收益分别横截面赋分，以60%/40%合成。</x:v>
      </x:c>
      <x:c r="F7" s="14" t="str">
        <x:v>近1年/早期</x:v>
      </x:c>
      <x:c r="G7" s="27" t="n">
        <x:f>B7*D7</x:f>
        <x:v>0.13999999999999999</x:v>
      </x:c>
      <x:c r="H7" s="14"/>
      <x:c r="I7" s="14" t="str">
        <x:v>早期胜率观察数</x:v>
      </x:c>
      <x:c r="J7" s="34" t="n">
        <x:f>J6-J5</x:f>
        <x:v>24</x:v>
      </x:c>
      <x:c r="K7" s="14"/>
      <x:c r="L7" s="14"/>
      <x:c r="M7" s="14"/>
      <x:c r="N7" s="14"/>
      <x:c r="O7" s="14"/>
      <x:c r="P7" s="14" t="str">
        <x:v>20-50亿元</x:v>
      </x:c>
      <x:c r="Q7" s="14" t="n">
        <x:v>90</x:v>
      </x:c>
    </x:row>
    <x:row r="8" ht="70" customHeight="1">
      <x:c r="A8" s="40" t="str">
        <x:v>收益能力</x:v>
      </x:c>
      <x:c r="B8" s="25" t="n">
        <x:f>B7</x:f>
        <x:v>0.2</x:v>
      </x:c>
      <x:c r="C8" s="42" t="str">
        <x:v>月度胜率</x:v>
      </x:c>
      <x:c r="D8" s="25" t="n">
        <x:v>0.3</x:v>
      </x:c>
      <x:c r="E8" s="40" t="str">
        <x:v>近期胜率与按13/37期推算的早期胜率各乘100；早期不足6个月且缺值按模板得100。</x:v>
      </x:c>
      <x:c r="F8" s="14" t="str">
        <x:v>近1年/早期</x:v>
      </x:c>
      <x:c r="G8" s="27" t="n">
        <x:f>B8*D8</x:f>
        <x:v>0.06</x:v>
      </x:c>
      <x:c r="H8" s="14"/>
      <x:c r="I8" s="14" t="str">
        <x:v>短期时间权重</x:v>
      </x:c>
      <x:c r="J8" s="35" t="n">
        <x:v>0.6</x:v>
      </x:c>
      <x:c r="K8" s="14"/>
      <x:c r="L8" s="14"/>
      <x:c r="M8" s="14"/>
      <x:c r="N8" s="14"/>
      <x:c r="O8" s="14"/>
      <x:c r="P8" s="14" t="str">
        <x:v>50-100亿元</x:v>
      </x:c>
      <x:c r="Q8" s="14" t="n">
        <x:v>90</x:v>
      </x:c>
    </x:row>
    <x:row r="9" ht="70" customHeight="1">
      <x:c r="A9" s="40" t="str">
        <x:v>风险控制</x:v>
      </x:c>
      <x:c r="B9" s="25" t="n">
        <x:v>0.25</x:v>
      </x:c>
      <x:c r="C9" s="42" t="str">
        <x:v>最大回撤</x:v>
      </x:c>
      <x:c r="D9" s="25" t="n">
        <x:v>1</x:v>
      </x:c>
      <x:c r="E9" s="40" t="str">
        <x:v>取可用近1年与近3年最大回撤的较大值，低值优先横截面赋分。</x:v>
      </x:c>
      <x:c r="F9" s="14" t="str">
        <x:v>可用1/3年</x:v>
      </x:c>
      <x:c r="G9" s="27" t="n">
        <x:f>B9*D9</x:f>
        <x:v>0.25</x:v>
      </x:c>
      <x:c r="H9" s="14"/>
      <x:c r="I9" s="14" t="str">
        <x:v>长期时间权重</x:v>
      </x:c>
      <x:c r="J9" s="35" t="n">
        <x:v>0.4</x:v>
      </x:c>
      <x:c r="K9" s="14"/>
      <x:c r="L9" s="14"/>
      <x:c r="M9" s="14"/>
      <x:c r="N9" s="14"/>
      <x:c r="O9" s="14"/>
      <x:c r="P9" s="14" t="str">
        <x:v>20-100亿元</x:v>
      </x:c>
      <x:c r="Q9" s="14" t="n">
        <x:v>90</x:v>
      </x:c>
    </x:row>
    <x:row r="10" ht="70" customHeight="1">
      <x:c r="A10" s="40" t="str">
        <x:v>风险调整收益</x:v>
      </x:c>
      <x:c r="B10" s="25" t="n">
        <x:v>0.3</x:v>
      </x:c>
      <x:c r="C10" s="42" t="str">
        <x:v>卡玛比率</x:v>
      </x:c>
      <x:c r="D10" s="25" t="n">
        <x:v>1</x:v>
      </x:c>
      <x:c r="E10" s="40" t="str">
        <x:v>近1年卡玛与早期收益/可识别早期回撤分别横截面赋分，以60%/40%合成。</x:v>
      </x:c>
      <x:c r="F10" s="14" t="str">
        <x:v>近1年/早期</x:v>
      </x:c>
      <x:c r="G10" s="27" t="n">
        <x:f>B10*D10</x:f>
        <x:v>0.3</x:v>
      </x:c>
      <x:c r="H10" s="14"/>
      <x:c r="I10" s="14" t="str">
        <x:v>趋势差距阈值</x:v>
      </x:c>
      <x:c r="J10" s="35" t="n">
        <x:v>0.2</x:v>
      </x:c>
      <x:c r="K10" s="14"/>
      <x:c r="L10" s="14"/>
      <x:c r="M10" s="14"/>
      <x:c r="N10" s="14"/>
      <x:c r="O10" s="14"/>
      <x:c r="P10" s="14" t="str">
        <x:v>100亿元以上</x:v>
      </x:c>
      <x:c r="Q10" s="14" t="n">
        <x:v>100</x:v>
      </x:c>
    </x:row>
    <x:row r="11" ht="70" customHeight="1">
      <x:c r="A11" s="40" t="str">
        <x:v>业绩一致性/趋势</x:v>
      </x:c>
      <x:c r="B11" s="25" t="n">
        <x:v>0.1</x:v>
      </x:c>
      <x:c r="C11" s="42" t="str">
        <x:v>收益趋势</x:v>
      </x:c>
      <x:c r="D11" s="25" t="n">
        <x:v>1</x:v>
      </x:c>
      <x:c r="E11" s="40" t="str">
        <x:v>近期收益不低于比较基准得100；落后严格小于20个百分点得80；其余60。</x:v>
      </x:c>
      <x:c r="F11" s="14" t="str">
        <x:v>近1年对比</x:v>
      </x:c>
      <x:c r="G11" s="27" t="n">
        <x:f>B11*D11</x:f>
        <x:v>0.1</x:v>
      </x:c>
      <x:c r="H11" s="14"/>
      <x:c r="I11" s="14" t="str">
        <x:v>DD识别容差</x:v>
      </x:c>
      <x:c r="J11" s="36" t="n">
        <x:v>0.0001</x:v>
      </x:c>
      <x:c r="K11" s="14"/>
      <x:c r="L11" s="14"/>
      <x:c r="M11" s="14"/>
      <x:c r="N11" s="14"/>
      <x:c r="O11" s="14"/>
      <x:c r="P11" s="14"/>
      <x:c r="Q11" s="14"/>
    </x:row>
    <x:row r="12" ht="24" customHeight="1">
      <x:c r="A12" s="40"/>
      <x:c r="B12" s="14"/>
      <x:c r="C12" s="14"/>
      <x:c r="D12" s="14"/>
      <x:c r="E12" s="40"/>
      <x:c r="F12" s="14"/>
      <x:c r="G12" s="14"/>
      <x:c r="H12" s="14"/>
      <x:c r="I12" s="14" t="str">
        <x:v>评价日</x:v>
      </x:c>
      <x:c r="J12" s="37" t="n">
        <x:v>46275</x:v>
      </x:c>
      <x:c r="K12" s="14"/>
      <x:c r="L12" s="14"/>
      <x:c r="M12" s="14"/>
      <x:c r="N12" s="14"/>
      <x:c r="O12" s="14"/>
      <x:c r="P12" s="14"/>
      <x:c r="Q12" s="14"/>
    </x:row>
    <x:row r="13" ht="24" customHeight="1">
      <x:c r="A13" s="40"/>
      <x:c r="B13" s="14"/>
      <x:c r="C13" s="14"/>
      <x:c r="D13" s="14"/>
      <x:c r="E13" s="40"/>
      <x:c r="F13" s="14"/>
      <x:c r="G13" s="14"/>
      <x:c r="H13" s="14"/>
      <x:c r="I13" s="14" t="str">
        <x:v>指标截止日</x:v>
      </x:c>
      <x:c r="J13" s="37" t="n">
        <x:v>46269</x:v>
      </x:c>
      <x:c r="K13" s="14"/>
      <x:c r="L13" s="14"/>
      <x:c r="M13" s="14"/>
      <x:c r="N13" s="14"/>
      <x:c r="O13" s="14"/>
      <x:c r="P13" s="14"/>
      <x:c r="Q13" s="14"/>
    </x:row>
    <x:row r="14" ht="24" customHeight="1">
      <x:c r="A14" s="41" t="str">
        <x:v>计算与来源说明</x:v>
      </x:c>
      <x:c r="B14" s="38"/>
      <x:c r="C14" s="38"/>
      <x:c r="D14" s="38"/>
      <x:c r="E14" s="43"/>
      <x:c r="F14" s="38"/>
      <x:c r="G14" s="38"/>
      <x:c r="H14" s="14"/>
      <x:c r="I14" s="14" t="str">
        <x:v>年限换算天数</x:v>
      </x:c>
      <x:c r="J14" s="34" t="n">
        <x:v>365.25</x:v>
      </x:c>
      <x:c r="K14" s="14"/>
      <x:c r="L14" s="14"/>
      <x:c r="M14" s="14"/>
      <x:c r="N14" s="14"/>
      <x:c r="O14" s="14"/>
      <x:c r="P14" s="14"/>
      <x:c r="Q14" s="14"/>
    </x:row>
    <x:row r="15" ht="68" customHeight="1">
      <x:c r="A15" s="40" t="str">
        <x:v>评价范围</x:v>
      </x:c>
      <x:c r="B15" s="14"/>
      <x:c r="C15" s="14"/>
      <x:c r="D15" s="14"/>
      <x:c r="E15" s="40" t="str">
        <x:v>83条原跟踪记录全部保留。成立不足1年不入池；缺成立日期或备案号未匹配的记录不计算入池总分。</x:v>
      </x:c>
      <x:c r="F15" s="14"/>
      <x:c r="G15" s="14"/>
      <x:c r="H15" s="14"/>
      <x:c r="I15" s="14" t="str">
        <x:v>入池最低年限</x:v>
      </x:c>
      <x:c r="J15" s="34" t="n">
        <x:v>1</x:v>
      </x:c>
      <x:c r="K15" s="14"/>
      <x:c r="L15" s="14"/>
      <x:c r="M15" s="14"/>
      <x:c r="N15" s="14"/>
      <x:c r="O15" s="14"/>
      <x:c r="P15" s="14"/>
      <x:c r="Q15" s="14"/>
    </x:row>
    <x:row r="16" ht="68" customHeight="1">
      <x:c r="A16" s="40" t="str">
        <x:v>横截面范围</x:v>
      </x:c>
      <x:c r="B16" s="14"/>
      <x:c r="C16" s="14"/>
      <x:c r="D16" s="14"/>
      <x:c r="E16" s="40" t="str">
        <x:v>沿用模板：所有入池且该项有数值的产品一起排名，不按策略另分样本。平台一级、二级策略仅作汇总和筛选。</x:v>
      </x:c>
      <x:c r="F16" s="14"/>
      <x:c r="G16" s="14"/>
      <x:c r="H16" s="14"/>
      <x:c r="I16" s="14" t="str">
        <x:v>长期评价年限</x:v>
      </x:c>
      <x:c r="J16" s="34" t="n">
        <x:v>3</x:v>
      </x:c>
      <x:c r="K16" s="14"/>
      <x:c r="L16" s="14"/>
      <x:c r="M16" s="14"/>
      <x:c r="N16" s="14"/>
      <x:c r="O16" s="14"/>
      <x:c r="P16" s="14"/>
      <x:c r="Q16" s="14"/>
    </x:row>
    <x:row r="17" ht="68" customHeight="1">
      <x:c r="A17" s="40" t="str">
        <x:v>排名算法</x:v>
      </x:c>
      <x:c r="B17" s="14"/>
      <x:c r="C17" s="14"/>
      <x:c r="D17" s="14"/>
      <x:c r="E17" s="40" t="str">
        <x:v>高值优先：100×(低于本值数量＋同值数量÷2－0.5)÷(有效样本数－1)；回撤反向。仅1个样本得100。</x:v>
      </x:c>
      <x:c r="F17" s="14"/>
      <x:c r="G17" s="14"/>
      <x:c r="H17" s="14"/>
      <x:c r="I17" s="14" t="str">
        <x:v>短存续年限分</x:v>
      </x:c>
      <x:c r="J17" s="34" t="n">
        <x:v>70</x:v>
      </x:c>
      <x:c r="K17" s="14"/>
      <x:c r="L17" s="14"/>
      <x:c r="M17" s="14"/>
      <x:c r="N17" s="14"/>
      <x:c r="O17" s="14"/>
      <x:c r="P17" s="14"/>
      <x:c r="Q17" s="14"/>
    </x:row>
    <x:row r="18" ht="68" customHeight="1">
      <x:c r="A18" s="40" t="str">
        <x:v>早期收益</x:v>
      </x:c>
      <x:c r="B18" s="14"/>
      <x:c r="C18" s="14"/>
      <x:c r="D18" s="14"/>
      <x:c r="E18" s="40" t="str">
        <x:v>满3年：((1+近3年年化)^3/(1+近1年年化))^(1/2)-1；不足3年以成立以来年化与存续年限剔除近1年。</x:v>
      </x:c>
      <x:c r="F18" s="14"/>
      <x:c r="G18" s="14"/>
      <x:c r="H18" s="14"/>
      <x:c r="I18" s="14" t="str">
        <x:v>满分</x:v>
      </x:c>
      <x:c r="J18" s="34" t="n">
        <x:v>100</x:v>
      </x:c>
      <x:c r="K18" s="14"/>
      <x:c r="L18" s="14"/>
      <x:c r="M18" s="14"/>
      <x:c r="N18" s="14"/>
      <x:c r="O18" s="14"/>
      <x:c r="P18" s="14"/>
      <x:c r="Q18" s="14"/>
    </x:row>
    <x:row r="19" ht="68" customHeight="1">
      <x:c r="A19" s="40" t="str">
        <x:v>月胜率假设</x:v>
      </x:c>
      <x:c r="B19" s="14"/>
      <x:c r="C19" s="14"/>
      <x:c r="D19" s="14"/>
      <x:c r="E19" s="40" t="str">
        <x:v>按模板13期近期、37期三年观察数，早期24期。没有逐月胜负数据核实该观察数；超出0至100%的早期胜率不赋分。</x:v>
      </x:c>
      <x:c r="F19" s="14"/>
      <x:c r="G19" s="14"/>
      <x:c r="H19" s="14"/>
      <x:c r="I19" s="14" t="str">
        <x:v>早期胜率免评月数</x:v>
      </x:c>
      <x:c r="J19" s="34" t="n">
        <x:v>6</x:v>
      </x:c>
      <x:c r="K19" s="14"/>
      <x:c r="L19" s="14"/>
      <x:c r="M19" s="14"/>
      <x:c r="N19" s="14"/>
      <x:c r="O19" s="14"/>
      <x:c r="P19" s="14"/>
      <x:c r="Q19" s="14"/>
    </x:row>
    <x:row r="20" ht="68" customHeight="1">
      <x:c r="A20" s="40" t="str">
        <x:v>早期胜率免评</x:v>
      </x:c>
      <x:c r="B20" s="14"/>
      <x:c r="C20" s="14"/>
      <x:c r="D20" s="14"/>
      <x:c r="E20" s="40" t="str">
        <x:v>早期历史少于6个月且早期胜率缺失或不在0至100%时，模板给予100分。此项是假设，不是观测月胜率。</x:v>
      </x:c>
      <x:c r="F20" s="14"/>
      <x:c r="G20" s="14"/>
      <x:c r="H20" s="14"/>
      <x:c r="I20" s="14" t="str">
        <x:v>一年月数</x:v>
      </x:c>
      <x:c r="J20" s="34" t="n">
        <x:v>12</x:v>
      </x:c>
      <x:c r="K20" s="14"/>
      <x:c r="L20" s="14"/>
      <x:c r="M20" s="14"/>
      <x:c r="N20" s="14"/>
      <x:c r="O20" s="14"/>
      <x:c r="P20" s="14"/>
      <x:c r="Q20" s="14"/>
    </x:row>
    <x:row r="21" ht="68" customHeight="1">
      <x:c r="A21" s="40" t="str">
        <x:v>回撤推算假设</x:v>
      </x:c>
      <x:c r="B21" s="14"/>
      <x:c r="C21" s="14"/>
      <x:c r="D21" s="14"/>
      <x:c r="E21" s="40" t="str">
        <x:v>近1年回撤=ABS(近1年年化/近1年卡玛)。只有近3年回撤大于该值加容差0.0001时才视为可识别早期回撤。</x:v>
      </x:c>
      <x:c r="F21" s="14"/>
      <x:c r="G21" s="14"/>
      <x:c r="H21" s="14"/>
      <x:c r="I21" s="14" t="str">
        <x:v>产品低规模分</x:v>
      </x:c>
      <x:c r="J21" s="34" t="n">
        <x:v>0</x:v>
      </x:c>
      <x:c r="K21" s="14"/>
      <x:c r="L21" s="14"/>
      <x:c r="M21" s="14"/>
      <x:c r="N21" s="14"/>
      <x:c r="O21" s="14"/>
      <x:c r="P21" s="14"/>
      <x:c r="Q21" s="14"/>
    </x:row>
    <x:row r="22" ht="68" customHeight="1">
      <x:c r="A22" s="40" t="str">
        <x:v>风险口径限制</x:v>
      </x:c>
      <x:c r="B22" s="14"/>
      <x:c r="C22" s="14"/>
      <x:c r="D22" s="14"/>
      <x:c r="E22" s="40" t="str">
        <x:v>早期回撤识别依赖模板假设，未经净值路径验证；平台近3年卡玛原值保留，但模板长期卡玛采用早期收益/推断回撤。</x:v>
      </x:c>
      <x:c r="F22" s="14"/>
      <x:c r="G22" s="14"/>
      <x:c r="H22" s="14"/>
      <x:c r="I22" s="14" t="str">
        <x:v>趋势中档分</x:v>
      </x:c>
      <x:c r="J22" s="34" t="n">
        <x:v>80</x:v>
      </x:c>
      <x:c r="K22" s="14"/>
      <x:c r="L22" s="14"/>
      <x:c r="M22" s="14"/>
      <x:c r="N22" s="14"/>
      <x:c r="O22" s="14"/>
      <x:c r="P22" s="14"/>
      <x:c r="Q22" s="14"/>
    </x:row>
    <x:row r="23" ht="68" customHeight="1">
      <x:c r="A23" s="40" t="str">
        <x:v>缺失处理</x:v>
      </x:c>
      <x:c r="B23" s="14"/>
      <x:c r="C23" s="14"/>
      <x:c r="D23" s="14"/>
      <x:c r="E23" s="40" t="str">
        <x:v>缺值留空。各大类与总分均以可用叶子指标的有效权重归一；汇总直接链接明细，避免二次归一差异。</x:v>
      </x:c>
      <x:c r="F23" s="14"/>
      <x:c r="G23" s="14"/>
      <x:c r="H23" s="14"/>
      <x:c r="I23" s="14" t="str">
        <x:v>趋势低档分</x:v>
      </x:c>
      <x:c r="J23" s="34" t="n">
        <x:v>60</x:v>
      </x:c>
      <x:c r="K23" s="14"/>
      <x:c r="L23" s="14"/>
      <x:c r="M23" s="14"/>
      <x:c r="N23" s="14"/>
      <x:c r="O23" s="14"/>
      <x:c r="P23" s="14"/>
      <x:c r="Q23" s="14"/>
    </x:row>
    <x:row r="24" ht="68" customHeight="1">
      <x:c r="A24" s="40" t="str">
        <x:v>总分解释</x:v>
      </x:c>
      <x:c r="B24" s="14"/>
      <x:c r="C24" s="14"/>
      <x:c r="D24" s="14"/>
      <x:c r="E24" s="40" t="str">
        <x:v>有效权重不足100%为暂定分，可能因缺失项而偏高。严格总分仅有效权重100%时显示；总分不是投资建议。</x:v>
      </x:c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</x:row>
    <x:row r="25" ht="68" customHeight="1">
      <x:c r="A25" s="40" t="str">
        <x:v>管理人规模来源</x:v>
      </x:c>
      <x:c r="B25" s="14"/>
      <x:c r="C25" s="14"/>
      <x:c r="D25" s="14"/>
      <x:c r="E25" s="40" t="str">
        <x:v>规模区间及来源日期逐行记录于查询核对表。火富牛页面规模是平台口径，不等同于已重新核验协会管理人数据。</x:v>
      </x:c>
      <x:c r="F25" s="14"/>
      <x:c r="G25" s="14"/>
      <x:c r="H25" s="14"/>
      <x:c r="I25" s="14" t="str">
        <x:v>综合权重合计</x:v>
      </x:c>
      <x:c r="J25" s="27" t="n">
        <x:f>SUM(G4:G11)</x:f>
        <x:v>0.9999999999999999</x:v>
      </x:c>
      <x:c r="K25" s="14"/>
      <x:c r="L25" s="14"/>
      <x:c r="M25" s="14"/>
      <x:c r="N25" s="14"/>
      <x:c r="O25" s="14"/>
      <x:c r="P25" s="14"/>
      <x:c r="Q25" s="14"/>
    </x:row>
    <x:row r="26" ht="68" customHeight="1">
      <x:c r="A26" s="40" t="str">
        <x:v>产品规模标识</x:v>
      </x:c>
      <x:c r="B26" s="14"/>
      <x:c r="C26" s="14"/>
      <x:c r="D26" s="14"/>
      <x:c r="E26" s="40" t="str">
        <x:v>协会完整产品公示精确匹配后才赋分。无低规模提示不证明实际规模达到1000万元，只表示未见该公示提示。</x:v>
      </x:c>
      <x:c r="F26" s="14"/>
      <x:c r="G26" s="14"/>
      <x:c r="H26" s="14"/>
      <x:c r="I26" s="14" t="str">
        <x:v>时间权重合计</x:v>
      </x:c>
      <x:c r="J26" s="27" t="n">
        <x:f>SUM(J8:J9)</x:f>
        <x:v>1</x:v>
      </x:c>
      <x:c r="K26" s="14"/>
      <x:c r="L26" s="14"/>
      <x:c r="M26" s="14"/>
      <x:c r="N26" s="14"/>
      <x:c r="O26" s="14"/>
      <x:c r="P26" s="14"/>
      <x:c r="Q26" s="14"/>
    </x:row>
    <x:row r="27" ht="68" customHeight="1">
      <x:c r="A27" s="40" t="str">
        <x:v>日期口径</x:v>
      </x:c>
      <x:c r="B27" s="14"/>
      <x:c r="C27" s="14"/>
      <x:c r="D27" s="14"/>
      <x:c r="E27" s="40" t="str">
        <x:v>评价日固定为本表参数；指标按同一截止日期导出。成立日期、近1年与近3年窗口均取平台导出字段。</x:v>
      </x:c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</x:row>
    <x:row r="28" ht="68" customHeight="1">
      <x:c r="A28" s="40" t="str">
        <x:v>原始模板</x:v>
      </x:c>
      <x:c r="B28" s="14"/>
      <x:c r="C28" s="14"/>
      <x:c r="D28" s="14"/>
      <x:c r="E28" s="40" t="str">
        <x:v>私募基金_指标赋分(1)(1).xlsx：sheet1-指标体系、sheet2-计算明细、sheet3-分类汇总、sheet4-原始数据。</x:v>
      </x:c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</x:row>
    <x:row r="29" ht="68" customHeight="1">
      <x:c r="A29" s="40" t="str">
        <x:v>数据来源</x:v>
      </x:c>
      <x:c r="B29" s="14"/>
      <x:c r="C29" s="14"/>
      <x:c r="D29" s="14"/>
      <x:c r="E29" s="40" t="str">
        <x:v>火富牛 https://mp.fof99.com/fund/all；各产品详情和协会公示URL见Sheet5-查询核对。</x:v>
      </x:c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</x:row>
    <x:row r="30" ht="68" customHeight="1">
      <x:c r="A30" s="40" t="str">
        <x:v>原表保留</x:v>
      </x:c>
      <x:c r="B30" s="14"/>
      <x:c r="C30" s="14"/>
      <x:c r="D30" s="14"/>
      <x:c r="E30" s="40" t="str">
        <x:v>套利产品原表保留原83条记录与32列。未匹配产品在原始数据页仅保留原表名称，其他平台字段留空并标记匹配状态。</x:v>
      </x:c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</x:row>
    <x:row r="31" ht="24" customHeight="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</x:row>
    <x:row r="32" ht="24" customHeight="1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</x:row>
    <x:row r="33" ht="24" customHeight="1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</x:row>
    <x:row r="34" ht="24" customHeight="1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</x:row>
    <x:row r="35" ht="24" customHeight="1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</x:row>
    <x:row r="36" ht="24" customHeight="1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</x:row>
    <x:row r="37" ht="24" customHeight="1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</x:row>
    <x:row r="38" ht="24" customHeight="1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</x:row>
    <x:row r="39" ht="24" customHeight="1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</x:row>
    <x:row r="40" ht="24" customHeight="1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</x:row>
    <x:row r="41" ht="24" customHeight="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</x:row>
    <x:row r="42" ht="24" customHeight="1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</x:row>
    <x:row r="43" ht="24" customHeight="1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</x:row>
    <x:row r="44" ht="24" customHeight="1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6" topLeftCell="D17" activePane="bottomRight" state="frozen"/>
    </x:sheetView>
  </x:sheetViews>
  <x:sheetFormatPr defaultRowHeight="15"/>
  <x:cols>
    <x:col min="1" max="1" width="15" hidden="0" customWidth="1"/>
    <x:col min="2" max="2" width="26" hidden="0" customWidth="1"/>
    <x:col min="3" max="3" width="15" hidden="0" customWidth="1"/>
    <x:col min="4" max="4" width="26" hidden="0" customWidth="1"/>
    <x:col min="5" max="5" width="15" hidden="0" customWidth="1"/>
    <x:col min="6" max="6" width="15" hidden="0" customWidth="1"/>
    <x:col min="7" max="7" width="15" hidden="0" customWidth="1"/>
    <x:col min="8" max="8" width="26" hidden="0" customWidth="1"/>
    <x:col min="9" max="9" width="15" hidden="0" customWidth="1"/>
    <x:col min="10" max="10" width="26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76" hidden="0" customWidth="1"/>
    <x:col min="48" max="48" width="15" hidden="0" customWidth="1"/>
    <x:col min="49" max="49" width="26" hidden="0" customWidth="1"/>
    <x:col min="50" max="50" width="26" hidden="0" customWidth="1"/>
    <x:col min="51" max="51" width="26" hidden="0" customWidth="1"/>
    <x:col min="52" max="52" width="26" hidden="0" customWidth="1"/>
    <x:col min="53" max="53" width="15" hidden="0" customWidth="1"/>
    <x:col min="54" max="54" width="26" hidden="0" customWidth="1"/>
    <x:col min="55" max="55" width="62" hidden="0" customWidth="1"/>
    <x:col min="56" max="56" width="15" hidden="0" customWidth="1"/>
    <x:col min="57" max="57" width="62" hidden="0" customWidth="1"/>
    <x:col min="58" max="58" width="15" hidden="0" customWidth="1"/>
    <x:col min="59" max="59" width="62" hidden="0" customWidth="1"/>
    <x:col min="60" max="60" width="15" hidden="0" customWidth="1"/>
    <x:col min="61" max="61" width="15" hidden="0" customWidth="1"/>
  </x:cols>
  <x:sheetData>
    <x:row r="1" ht="24" customHeight="1">
      <x:c r="A1" s="24" t="str">
        <x:v>私募基金指标计算明细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  <x:c r="AB1" s="14"/>
      <x:c r="AC1" s="14"/>
      <x:c r="AD1" s="14"/>
      <x:c r="AE1" s="14"/>
      <x:c r="AF1" s="14"/>
      <x:c r="AG1" s="14"/>
      <x:c r="AH1" s="14"/>
      <x:c r="AI1" s="14"/>
      <x:c r="AJ1" s="14"/>
      <x:c r="AK1" s="14"/>
      <x:c r="AL1" s="14"/>
      <x:c r="AM1" s="14"/>
      <x:c r="AN1" s="14"/>
      <x:c r="AO1" s="14"/>
      <x:c r="AP1" s="14"/>
      <x:c r="AQ1" s="14"/>
      <x:c r="AR1" s="14"/>
      <x:c r="AS1" s="14"/>
      <x:c r="AT1" s="14"/>
      <x:c r="AU1" s="14"/>
      <x:c r="AV1" s="14"/>
      <x:c r="AW1" s="14"/>
      <x:c r="AX1" s="14"/>
      <x:c r="AY1" s="14"/>
      <x:c r="AZ1" s="14"/>
      <x:c r="BA1" s="14"/>
      <x:c r="BB1" s="14"/>
      <x:c r="BC1" s="14"/>
      <x:c r="BD1" s="14"/>
      <x:c r="BE1" s="14"/>
      <x:c r="BF1" s="14"/>
      <x:c r="BG1" s="14"/>
      <x:c r="BH1" s="14"/>
      <x:c r="BI1" s="14"/>
    </x:row>
    <x:row r="2" ht="24" customHeight="1">
      <x:c r="A2" s="14" t="str">
        <x:v>绿色为来源数据链接，黑色为计算。按模板逐项计算，缺失项从分子和有效权重中同时剔除。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  <x:c r="AB2" s="14"/>
      <x:c r="AC2" s="14"/>
      <x:c r="AD2" s="14"/>
      <x:c r="AE2" s="14"/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/>
      <x:c r="AZ2" s="14"/>
      <x:c r="BA2" s="14"/>
      <x:c r="BB2" s="14"/>
      <x:c r="BC2" s="14"/>
      <x:c r="BD2" s="14"/>
      <x:c r="BE2" s="14"/>
      <x:c r="BF2" s="14"/>
      <x:c r="BG2" s="14"/>
      <x:c r="BH2" s="14"/>
      <x:c r="BI2" s="14"/>
    </x:row>
    <x:row r="3" ht="24" customHeight="1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  <x:c r="AA3" s="14"/>
      <x:c r="AB3" s="14"/>
      <x:c r="AC3" s="14"/>
      <x:c r="AD3" s="14"/>
      <x:c r="AE3" s="14"/>
      <x:c r="AF3" s="14"/>
      <x:c r="AG3" s="14"/>
      <x:c r="AH3" s="14"/>
      <x:c r="AI3" s="14"/>
      <x:c r="AJ3" s="14"/>
      <x:c r="AK3" s="14"/>
      <x:c r="AL3" s="14"/>
      <x:c r="AM3" s="14"/>
      <x:c r="AN3" s="14"/>
      <x:c r="AO3" s="14"/>
      <x:c r="AP3" s="14"/>
      <x:c r="AQ3" s="14"/>
      <x:c r="AR3" s="14"/>
      <x:c r="AS3" s="14"/>
      <x:c r="AT3" s="14"/>
      <x:c r="AU3" s="14"/>
      <x:c r="AV3" s="14"/>
      <x:c r="AW3" s="14"/>
      <x:c r="AX3" s="14"/>
      <x:c r="AY3" s="14"/>
      <x:c r="AZ3" s="14"/>
      <x:c r="BA3" s="14"/>
      <x:c r="BB3" s="14"/>
      <x:c r="BC3" s="14"/>
      <x:c r="BD3" s="14"/>
      <x:c r="BE3" s="14"/>
      <x:c r="BF3" s="14"/>
      <x:c r="BG3" s="14"/>
      <x:c r="BH3" s="14"/>
      <x:c r="BI3" s="14"/>
    </x:row>
    <x:row r="4" ht="24" customHeight="1">
      <x:c r="A4" s="14" t="str">
        <x:v>大类指标</x:v>
      </x:c>
      <x:c r="B4" s="14" t="str">
        <x:v>大类权重</x:v>
      </x:c>
      <x:c r="C4" s="14" t="str">
        <x:v>二级指标</x:v>
      </x:c>
      <x:c r="D4" s="14" t="str">
        <x:v>综合权重</x:v>
      </x:c>
      <x:c r="E4" s="14"/>
      <x:c r="F4" s="14" t="str">
        <x:v>评价日</x:v>
      </x:c>
      <x:c r="G4" s="29" t="n">
        <x:f>'Sheet1-指标体系'!$J$12</x:f>
        <x:v>46275</x:v>
      </x:c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 ht="24" customHeight="1">
      <x:c r="A5" s="14" t="str">
        <x:f>'Sheet1-指标体系'!A4</x:f>
        <x:v>管理人及产品</x:v>
      </x:c>
      <x:c r="B5" s="25" t="n">
        <x:f>'Sheet1-指标体系'!B4</x:f>
        <x:v>0.15</x:v>
      </x:c>
      <x:c r="C5" s="14" t="str">
        <x:f>'Sheet1-指标体系'!C4</x:f>
        <x:v>管理人规模</x:v>
      </x:c>
      <x:c r="D5" s="27" t="n">
        <x:f>'Sheet1-指标体系'!G4</x:f>
        <x:v>0.06</x:v>
      </x:c>
      <x:c r="E5" s="14"/>
      <x:c r="F5" s="14" t="str">
        <x:v>指标截止</x:v>
      </x:c>
      <x:c r="G5" s="29" t="n">
        <x:f>'Sheet1-指标体系'!$J$13</x:f>
        <x:v>46269</x:v>
      </x:c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  <x:c r="AA5" s="14"/>
      <x:c r="AB5" s="14"/>
      <x:c r="AC5" s="14"/>
      <x:c r="AD5" s="14"/>
      <x:c r="AE5" s="14"/>
      <x:c r="AF5" s="14"/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14"/>
      <x:c r="BA5" s="14"/>
      <x:c r="BB5" s="14"/>
      <x:c r="BC5" s="14"/>
      <x:c r="BD5" s="14"/>
      <x:c r="BE5" s="14"/>
      <x:c r="BF5" s="14"/>
      <x:c r="BG5" s="14"/>
      <x:c r="BH5" s="14"/>
      <x:c r="BI5" s="14"/>
    </x:row>
    <x:row r="6" ht="24" customHeight="1">
      <x:c r="A6" s="14" t="str">
        <x:f>'Sheet1-指标体系'!A5</x:f>
        <x:v>管理人及产品</x:v>
      </x:c>
      <x:c r="B6" s="25" t="n">
        <x:f>'Sheet1-指标体系'!B5</x:f>
        <x:v>0.15</x:v>
      </x:c>
      <x:c r="C6" s="14" t="str">
        <x:f>'Sheet1-指标体系'!C5</x:f>
        <x:v>产品规模</x:v>
      </x:c>
      <x:c r="D6" s="27" t="n">
        <x:f>'Sheet1-指标体系'!G5</x:f>
        <x:v>0.045</x:v>
      </x:c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  <x:c r="AA6" s="14"/>
      <x:c r="AB6" s="14"/>
      <x:c r="AC6" s="14"/>
      <x:c r="AD6" s="14"/>
      <x:c r="AE6" s="14"/>
      <x:c r="AF6" s="14"/>
      <x:c r="AG6" s="14"/>
      <x:c r="AH6" s="14"/>
      <x:c r="AI6" s="14"/>
      <x:c r="AJ6" s="14"/>
      <x:c r="AK6" s="14"/>
      <x:c r="AL6" s="14"/>
      <x:c r="AM6" s="14"/>
      <x:c r="AN6" s="14"/>
      <x:c r="AO6" s="14"/>
      <x:c r="AP6" s="14"/>
      <x:c r="AQ6" s="14"/>
      <x:c r="AR6" s="14"/>
      <x:c r="AS6" s="14"/>
      <x:c r="AT6" s="14"/>
      <x:c r="AU6" s="14"/>
      <x:c r="AV6" s="14"/>
      <x:c r="AW6" s="14"/>
      <x:c r="AX6" s="14"/>
      <x:c r="AY6" s="14"/>
      <x:c r="AZ6" s="14"/>
      <x:c r="BA6" s="14"/>
      <x:c r="BB6" s="14"/>
      <x:c r="BC6" s="14"/>
      <x:c r="BD6" s="14"/>
      <x:c r="BE6" s="14"/>
      <x:c r="BF6" s="14"/>
      <x:c r="BG6" s="14"/>
      <x:c r="BH6" s="14"/>
      <x:c r="BI6" s="14"/>
    </x:row>
    <x:row r="7" ht="24" customHeight="1">
      <x:c r="A7" s="14" t="str">
        <x:f>'Sheet1-指标体系'!A6</x:f>
        <x:v>管理人及产品</x:v>
      </x:c>
      <x:c r="B7" s="25" t="n">
        <x:f>'Sheet1-指标体系'!B6</x:f>
        <x:v>0.15</x:v>
      </x:c>
      <x:c r="C7" s="14" t="str">
        <x:f>'Sheet1-指标体系'!C6</x:f>
        <x:v>成立年限</x:v>
      </x:c>
      <x:c r="D7" s="27" t="n">
        <x:f>'Sheet1-指标体系'!G6</x:f>
        <x:v>0.045</x:v>
      </x:c>
      <x:c r="E7" s="14"/>
      <x:c r="F7" s="14" t="str">
        <x:v>排名样本</x:v>
      </x:c>
      <x:c r="G7" s="14" t="str">
        <x:v>全体入池产品</x:v>
      </x:c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  <x:c r="AA7" s="14"/>
      <x:c r="AB7" s="14"/>
      <x:c r="AC7" s="14"/>
      <x:c r="AD7" s="14"/>
      <x:c r="AE7" s="14"/>
      <x:c r="AF7" s="14"/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4"/>
      <x:c r="AX7" s="14"/>
      <x:c r="AY7" s="14"/>
      <x:c r="AZ7" s="14"/>
      <x:c r="BA7" s="14"/>
      <x:c r="BB7" s="14"/>
      <x:c r="BC7" s="14"/>
      <x:c r="BD7" s="14"/>
      <x:c r="BE7" s="14"/>
      <x:c r="BF7" s="14"/>
      <x:c r="BG7" s="14"/>
      <x:c r="BH7" s="14"/>
      <x:c r="BI7" s="14"/>
    </x:row>
    <x:row r="8" ht="24" customHeight="1">
      <x:c r="A8" s="14" t="str">
        <x:f>'Sheet1-指标体系'!A7</x:f>
        <x:v>收益能力</x:v>
      </x:c>
      <x:c r="B8" s="25" t="n">
        <x:f>'Sheet1-指标体系'!B7</x:f>
        <x:v>0.2</x:v>
      </x:c>
      <x:c r="C8" s="14" t="str">
        <x:f>'Sheet1-指标体系'!C7</x:f>
        <x:v>年化收益</x:v>
      </x:c>
      <x:c r="D8" s="27" t="n">
        <x:f>'Sheet1-指标体系'!G7</x:f>
        <x:v>0.13999999999999999</x:v>
      </x:c>
      <x:c r="E8" s="14"/>
      <x:c r="F8" s="14" t="str">
        <x:v>缺失数据</x:v>
      </x:c>
      <x:c r="G8" s="14" t="str">
        <x:v>保留，显示暂定分</x:v>
      </x:c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  <x:c r="AA8" s="14"/>
      <x:c r="AB8" s="14"/>
      <x:c r="AC8" s="14"/>
      <x:c r="AD8" s="14"/>
      <x:c r="AE8" s="14"/>
      <x:c r="AF8" s="14"/>
      <x:c r="AG8" s="14"/>
      <x:c r="AH8" s="14"/>
      <x:c r="AI8" s="14"/>
      <x:c r="AJ8" s="14"/>
      <x:c r="AK8" s="14"/>
      <x:c r="AL8" s="14"/>
      <x:c r="AM8" s="14"/>
      <x:c r="AN8" s="14"/>
      <x:c r="AO8" s="14"/>
      <x:c r="AP8" s="14"/>
      <x:c r="AQ8" s="14"/>
      <x:c r="AR8" s="14"/>
      <x:c r="AS8" s="14"/>
      <x:c r="AT8" s="14"/>
      <x:c r="AU8" s="14"/>
      <x:c r="AV8" s="14"/>
      <x:c r="AW8" s="14"/>
      <x:c r="AX8" s="14"/>
      <x:c r="AY8" s="14"/>
      <x:c r="AZ8" s="14"/>
      <x:c r="BA8" s="14"/>
      <x:c r="BB8" s="14"/>
      <x:c r="BC8" s="14"/>
      <x:c r="BD8" s="14"/>
      <x:c r="BE8" s="14"/>
      <x:c r="BF8" s="14"/>
      <x:c r="BG8" s="14"/>
      <x:c r="BH8" s="14"/>
      <x:c r="BI8" s="14"/>
    </x:row>
    <x:row r="9" ht="24" customHeight="1">
      <x:c r="A9" s="14" t="str">
        <x:f>'Sheet1-指标体系'!A8</x:f>
        <x:v>收益能力</x:v>
      </x:c>
      <x:c r="B9" s="25" t="n">
        <x:f>'Sheet1-指标体系'!B8</x:f>
        <x:v>0.2</x:v>
      </x:c>
      <x:c r="C9" s="14" t="str">
        <x:f>'Sheet1-指标体系'!C8</x:f>
        <x:v>月度胜率</x:v>
      </x:c>
      <x:c r="D9" s="27" t="n">
        <x:f>'Sheet1-指标体系'!G8</x:f>
        <x:v>0.06</x:v>
      </x:c>
      <x:c r="E9" s="14"/>
      <x:c r="F9" s="14" t="str">
        <x:v>全部记录</x:v>
      </x:c>
      <x:c r="G9" s="14" t="n">
        <x:v>83</x:v>
      </x:c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  <x:c r="AW9" s="14"/>
      <x:c r="AX9" s="14"/>
      <x:c r="AY9" s="14"/>
      <x:c r="AZ9" s="14"/>
      <x:c r="BA9" s="14"/>
      <x:c r="BB9" s="14"/>
      <x:c r="BC9" s="14"/>
      <x:c r="BD9" s="14"/>
      <x:c r="BE9" s="14"/>
      <x:c r="BF9" s="14"/>
      <x:c r="BG9" s="14"/>
      <x:c r="BH9" s="14"/>
      <x:c r="BI9" s="14"/>
    </x:row>
    <x:row r="10" ht="24" customHeight="1">
      <x:c r="A10" s="14" t="str">
        <x:f>'Sheet1-指标体系'!A9</x:f>
        <x:v>风险控制</x:v>
      </x:c>
      <x:c r="B10" s="25" t="n">
        <x:f>'Sheet1-指标体系'!B9</x:f>
        <x:v>0.25</x:v>
      </x:c>
      <x:c r="C10" s="14" t="str">
        <x:f>'Sheet1-指标体系'!C9</x:f>
        <x:v>最大回撤</x:v>
      </x:c>
      <x:c r="D10" s="27" t="n">
        <x:f>'Sheet1-指标体系'!G9</x:f>
        <x:v>0.25</x:v>
      </x:c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  <x:c r="AA10" s="14"/>
      <x:c r="AB10" s="14"/>
      <x:c r="AC10" s="14"/>
      <x:c r="AD10" s="14"/>
      <x:c r="AE10" s="14"/>
      <x:c r="AF10" s="14"/>
      <x:c r="AG10" s="14"/>
      <x:c r="AH10" s="14"/>
      <x:c r="AI10" s="14"/>
      <x:c r="AJ10" s="14"/>
      <x:c r="AK10" s="14"/>
      <x:c r="AL10" s="14"/>
      <x:c r="AM10" s="14"/>
      <x:c r="AN10" s="14"/>
      <x:c r="AO10" s="14"/>
      <x:c r="AP10" s="14"/>
      <x:c r="AQ10" s="14"/>
      <x:c r="AR10" s="14"/>
      <x:c r="AS10" s="14"/>
      <x:c r="AT10" s="14"/>
      <x:c r="AU10" s="14"/>
      <x:c r="AV10" s="14"/>
      <x:c r="AW10" s="14"/>
      <x:c r="AX10" s="14"/>
      <x:c r="AY10" s="14"/>
      <x:c r="AZ10" s="14"/>
      <x:c r="BA10" s="14"/>
      <x:c r="BB10" s="14"/>
      <x:c r="BC10" s="14"/>
      <x:c r="BD10" s="14"/>
      <x:c r="BE10" s="14"/>
      <x:c r="BF10" s="14"/>
      <x:c r="BG10" s="14"/>
      <x:c r="BH10" s="14"/>
      <x:c r="BI10" s="14"/>
    </x:row>
    <x:row r="11" ht="24" customHeight="1">
      <x:c r="A11" s="14" t="str">
        <x:f>'Sheet1-指标体系'!A10</x:f>
        <x:v>风险调整收益</x:v>
      </x:c>
      <x:c r="B11" s="25" t="n">
        <x:f>'Sheet1-指标体系'!B10</x:f>
        <x:v>0.3</x:v>
      </x:c>
      <x:c r="C11" s="14" t="str">
        <x:f>'Sheet1-指标体系'!C10</x:f>
        <x:v>卡玛比率</x:v>
      </x:c>
      <x:c r="D11" s="27" t="n">
        <x:f>'Sheet1-指标体系'!G10</x:f>
        <x:v>0.3</x:v>
      </x:c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  <x:c r="AA11" s="14"/>
      <x:c r="AB11" s="14"/>
      <x:c r="AC11" s="14"/>
      <x:c r="AD11" s="14"/>
      <x:c r="AE11" s="14"/>
      <x:c r="AF11" s="14"/>
      <x:c r="AG11" s="14"/>
      <x:c r="AH11" s="14"/>
      <x:c r="AI11" s="14"/>
      <x:c r="AJ11" s="14"/>
      <x:c r="AK11" s="14"/>
      <x:c r="AL11" s="14"/>
      <x:c r="AM11" s="14"/>
      <x:c r="AN11" s="14"/>
      <x:c r="AO11" s="14"/>
      <x:c r="AP11" s="14"/>
      <x:c r="AQ11" s="14"/>
      <x:c r="AR11" s="14"/>
      <x:c r="AS11" s="14"/>
      <x:c r="AT11" s="14"/>
      <x:c r="AU11" s="14"/>
      <x:c r="AV11" s="14"/>
      <x:c r="AW11" s="14"/>
      <x:c r="AX11" s="14"/>
      <x:c r="AY11" s="14"/>
      <x:c r="AZ11" s="14"/>
      <x:c r="BA11" s="14"/>
      <x:c r="BB11" s="14"/>
      <x:c r="BC11" s="14"/>
      <x:c r="BD11" s="14"/>
      <x:c r="BE11" s="14"/>
      <x:c r="BF11" s="14"/>
      <x:c r="BG11" s="14"/>
      <x:c r="BH11" s="14"/>
      <x:c r="BI11" s="14"/>
    </x:row>
    <x:row r="12" ht="24" customHeight="1">
      <x:c r="A12" s="14" t="str">
        <x:f>'Sheet1-指标体系'!A11</x:f>
        <x:v>业绩一致性/趋势</x:v>
      </x:c>
      <x:c r="B12" s="25" t="n">
        <x:f>'Sheet1-指标体系'!B11</x:f>
        <x:v>0.1</x:v>
      </x:c>
      <x:c r="C12" s="14" t="str">
        <x:f>'Sheet1-指标体系'!C11</x:f>
        <x:v>收益趋势</x:v>
      </x:c>
      <x:c r="D12" s="27" t="n">
        <x:f>'Sheet1-指标体系'!G11</x:f>
        <x:v>0.1</x:v>
      </x:c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  <x:c r="AA12" s="14"/>
      <x:c r="AB12" s="14"/>
      <x:c r="AC12" s="14"/>
      <x:c r="AD12" s="14"/>
      <x:c r="AE12" s="14"/>
      <x:c r="AF12" s="14"/>
      <x:c r="AG12" s="14"/>
      <x:c r="AH12" s="14"/>
      <x:c r="AI12" s="14"/>
      <x:c r="AJ12" s="14"/>
      <x:c r="AK12" s="14"/>
      <x:c r="AL12" s="14"/>
      <x:c r="AM12" s="14"/>
      <x:c r="AN12" s="14"/>
      <x:c r="AO12" s="14"/>
      <x:c r="AP12" s="14"/>
      <x:c r="AQ12" s="14"/>
      <x:c r="AR12" s="14"/>
      <x:c r="AS12" s="14"/>
      <x:c r="AT12" s="14"/>
      <x:c r="AU12" s="14"/>
      <x:c r="AV12" s="14"/>
      <x:c r="AW12" s="14"/>
      <x:c r="AX12" s="14"/>
      <x:c r="AY12" s="14"/>
      <x:c r="AZ12" s="14"/>
      <x:c r="BA12" s="14"/>
      <x:c r="BB12" s="14"/>
      <x:c r="BC12" s="14"/>
      <x:c r="BD12" s="14"/>
      <x:c r="BE12" s="14"/>
      <x:c r="BF12" s="14"/>
      <x:c r="BG12" s="14"/>
      <x:c r="BH12" s="14"/>
      <x:c r="BI12" s="14"/>
    </x:row>
    <x:row r="13" ht="24" customHeight="1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  <x:c r="AA13" s="14"/>
      <x:c r="AB13" s="14"/>
      <x:c r="AC13" s="14"/>
      <x:c r="AD13" s="14"/>
      <x:c r="AE13" s="14"/>
      <x:c r="AF13" s="14"/>
      <x:c r="AG13" s="14"/>
      <x:c r="AH13" s="14"/>
      <x:c r="AI13" s="14"/>
      <x:c r="AJ13" s="14"/>
      <x:c r="AK13" s="14"/>
      <x:c r="AL13" s="14"/>
      <x:c r="AM13" s="14"/>
      <x:c r="AN13" s="14"/>
      <x:c r="AO13" s="14"/>
      <x:c r="AP13" s="14"/>
      <x:c r="AQ13" s="14"/>
      <x:c r="AR13" s="14"/>
      <x:c r="AS13" s="14"/>
      <x:c r="AT13" s="14"/>
      <x:c r="AU13" s="14"/>
      <x:c r="AV13" s="14"/>
      <x:c r="AW13" s="14"/>
      <x:c r="AX13" s="14"/>
      <x:c r="AY13" s="14"/>
      <x:c r="AZ13" s="14"/>
      <x:c r="BA13" s="14"/>
      <x:c r="BB13" s="14"/>
      <x:c r="BC13" s="14"/>
      <x:c r="BD13" s="14"/>
      <x:c r="BE13" s="14"/>
      <x:c r="BF13" s="14"/>
      <x:c r="BG13" s="14"/>
      <x:c r="BH13" s="14"/>
      <x:c r="BI13" s="14"/>
    </x:row>
    <x:row r="14" ht="24" customHeight="1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  <x:c r="AA14" s="14"/>
      <x:c r="AB14" s="14"/>
      <x:c r="AC14" s="14"/>
      <x:c r="AD14" s="14"/>
      <x:c r="AE14" s="14"/>
      <x:c r="AF14" s="14"/>
      <x:c r="AG14" s="14"/>
      <x:c r="AH14" s="14"/>
      <x:c r="AI14" s="14"/>
      <x:c r="AJ14" s="14"/>
      <x:c r="AK14" s="14"/>
      <x:c r="AL14" s="14"/>
      <x:c r="AM14" s="14"/>
      <x:c r="AN14" s="14"/>
      <x:c r="AO14" s="14"/>
      <x:c r="AP14" s="14"/>
      <x:c r="AQ14" s="14"/>
      <x:c r="AR14" s="14"/>
      <x:c r="AS14" s="14"/>
      <x:c r="AT14" s="14"/>
      <x:c r="AU14" s="14"/>
      <x:c r="AV14" s="14"/>
      <x:c r="AW14" s="14"/>
      <x:c r="AX14" s="14"/>
      <x:c r="AY14" s="14"/>
      <x:c r="AZ14" s="14"/>
      <x:c r="BA14" s="14"/>
      <x:c r="BB14" s="14"/>
      <x:c r="BC14" s="14"/>
      <x:c r="BD14" s="14"/>
      <x:c r="BE14" s="14"/>
      <x:c r="BF14" s="14"/>
      <x:c r="BG14" s="14"/>
      <x:c r="BH14" s="14"/>
      <x:c r="BI14" s="14"/>
    </x:row>
    <x:row r="15" ht="24" customHeight="1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  <x:c r="AA15" s="14"/>
      <x:c r="AB15" s="14"/>
      <x:c r="AC15" s="14"/>
      <x:c r="AD15" s="14"/>
      <x:c r="AE15" s="14"/>
      <x:c r="AF15" s="14"/>
      <x:c r="AG15" s="14"/>
      <x:c r="AH15" s="14"/>
      <x:c r="AI15" s="14"/>
      <x:c r="AJ15" s="14"/>
      <x:c r="AK15" s="14"/>
      <x:c r="AL15" s="14"/>
      <x:c r="AM15" s="14"/>
      <x:c r="AN15" s="14"/>
      <x:c r="AO15" s="14"/>
      <x:c r="AP15" s="14"/>
      <x:c r="AQ15" s="14"/>
      <x:c r="AR15" s="14"/>
      <x:c r="AS15" s="14"/>
      <x:c r="AT15" s="14"/>
      <x:c r="AU15" s="14"/>
      <x:c r="AV15" s="14"/>
      <x:c r="AW15" s="14"/>
      <x:c r="AX15" s="14"/>
      <x:c r="AY15" s="14"/>
      <x:c r="AZ15" s="14"/>
      <x:c r="BA15" s="14"/>
      <x:c r="BB15" s="14"/>
      <x:c r="BC15" s="14"/>
      <x:c r="BD15" s="14"/>
      <x:c r="BE15" s="14"/>
      <x:c r="BF15" s="14"/>
      <x:c r="BG15" s="14"/>
      <x:c r="BH15" s="14"/>
      <x:c r="BI15" s="14"/>
    </x:row>
    <x:row r="16" ht="44" customHeight="1">
      <x:c r="A16" s="20" t="str">
        <x:v>序号</x:v>
      </x:c>
      <x:c r="B16" s="21" t="str">
        <x:v>产品名称</x:v>
      </x:c>
      <x:c r="C16" s="21" t="str">
        <x:v>备案号</x:v>
      </x:c>
      <x:c r="D16" s="21" t="str">
        <x:v>管理人</x:v>
      </x:c>
      <x:c r="E16" s="21" t="str">
        <x:v>产品成立日期</x:v>
      </x:c>
      <x:c r="F16" s="21" t="str">
        <x:v>产品成立年限（年）</x:v>
      </x:c>
      <x:c r="G16" s="21" t="str">
        <x:v>入池状态</x:v>
      </x:c>
      <x:c r="H16" s="21" t="str">
        <x:v>管理规模区间（亿元）</x:v>
      </x:c>
      <x:c r="I16" s="21" t="str">
        <x:v>管理人规模分</x:v>
      </x:c>
      <x:c r="J16" s="21" t="str">
        <x:v>产品规模公示标识</x:v>
      </x:c>
      <x:c r="K16" s="21" t="str">
        <x:v>产品规模分</x:v>
      </x:c>
      <x:c r="L16" s="21" t="str">
        <x:v>成立年限分</x:v>
      </x:c>
      <x:c r="M16" s="21" t="str">
        <x:v>R_1y</x:v>
      </x:c>
      <x:c r="N16" s="21" t="str">
        <x:v>R_3y</x:v>
      </x:c>
      <x:c r="O16" s="21" t="str">
        <x:v>R_incep（补录）</x:v>
      </x:c>
      <x:c r="P16" s="21" t="str">
        <x:v>R_early</x:v>
      </x:c>
      <x:c r="Q16" s="21" t="str">
        <x:v>R_1y排名分</x:v>
      </x:c>
      <x:c r="R16" s="21" t="str">
        <x:v>R_early排名分</x:v>
      </x:c>
      <x:c r="S16" s="21" t="str">
        <x:v>年化收益分（可用折算）</x:v>
      </x:c>
      <x:c r="T16" s="21" t="str">
        <x:v>近1年月胜率</x:v>
      </x:c>
      <x:c r="U16" s="21" t="str">
        <x:v>近3年月胜率</x:v>
      </x:c>
      <x:c r="V16" s="21" t="str">
        <x:v>早期月胜率</x:v>
      </x:c>
      <x:c r="W16" s="21" t="str">
        <x:v>近1年月胜率分</x:v>
      </x:c>
      <x:c r="X16" s="21" t="str">
        <x:v>早期月胜率分</x:v>
      </x:c>
      <x:c r="Y16" s="21" t="str">
        <x:v>月度胜率分（可用折算）</x:v>
      </x:c>
      <x:c r="Z16" s="21" t="str">
        <x:v>DD_1y</x:v>
      </x:c>
      <x:c r="AA16" s="21" t="str">
        <x:v>DD_3y</x:v>
      </x:c>
      <x:c r="AB16" s="21" t="str">
        <x:v>统一最大回撤</x:v>
      </x:c>
      <x:c r="AC16" s="21" t="str">
        <x:v>最大回撤分</x:v>
      </x:c>
      <x:c r="AD16" s="21" t="str">
        <x:v>短期卡玛</x:v>
      </x:c>
      <x:c r="AE16" s="21" t="str">
        <x:v>可识别DD_long</x:v>
      </x:c>
      <x:c r="AF16" s="21" t="str">
        <x:v>长期卡玛</x:v>
      </x:c>
      <x:c r="AG16" s="21" t="str">
        <x:v>短期卡玛分</x:v>
      </x:c>
      <x:c r="AH16" s="21" t="str">
        <x:v>长期卡玛分</x:v>
      </x:c>
      <x:c r="AI16" s="21" t="str">
        <x:v>卡玛比率分（可用折算）</x:v>
      </x:c>
      <x:c r="AJ16" s="21" t="str">
        <x:v>趋势比较基准</x:v>
      </x:c>
      <x:c r="AK16" s="21" t="str">
        <x:v>收益趋势分</x:v>
      </x:c>
      <x:c r="AL16" s="21" t="str">
        <x:v>管理人及产品大类分</x:v>
      </x:c>
      <x:c r="AM16" s="21" t="str">
        <x:v>收益能力大类分</x:v>
      </x:c>
      <x:c r="AN16" s="21" t="str">
        <x:v>风险控制大类分</x:v>
      </x:c>
      <x:c r="AO16" s="21" t="str">
        <x:v>风险调整收益大类分</x:v>
      </x:c>
      <x:c r="AP16" s="21" t="str">
        <x:v>趋势大类分</x:v>
      </x:c>
      <x:c r="AQ16" s="21" t="str">
        <x:v>有效二级权重</x:v>
      </x:c>
      <x:c r="AR16" s="21" t="str">
        <x:v>加权总分（不补缺）</x:v>
      </x:c>
      <x:c r="AS16" s="21" t="str">
        <x:v>可比总分（归一）</x:v>
      </x:c>
      <x:c r="AT16" s="21" t="str">
        <x:v>唯一排名</x:v>
      </x:c>
      <x:c r="AU16" s="21" t="str">
        <x:v>数据缺口</x:v>
      </x:c>
      <x:c r="AV16" s="21" t="str">
        <x:v>严格总分</x:v>
      </x:c>
      <x:c r="AW16" s="21" t="str">
        <x:v>数据完整性</x:v>
      </x:c>
      <x:c r="AX16" s="21" t="str">
        <x:v>平台一级策略</x:v>
      </x:c>
      <x:c r="AY16" s="21" t="str">
        <x:v>平台二级策略</x:v>
      </x:c>
      <x:c r="AZ16" s="21" t="str">
        <x:v>原表策略参考</x:v>
      </x:c>
      <x:c r="BA16" s="21" t="str">
        <x:v>原表行号</x:v>
      </x:c>
      <x:c r="BB16" s="21" t="str">
        <x:v>匹配状态</x:v>
      </x:c>
      <x:c r="BC16" s="21" t="str">
        <x:v>来源URL</x:v>
      </x:c>
      <x:c r="BD16" s="21" t="str">
        <x:v>指标截止日</x:v>
      </x:c>
      <x:c r="BE16" s="21" t="str">
        <x:v>管理人规模来源</x:v>
      </x:c>
      <x:c r="BF16" s="21" t="str">
        <x:v>规模日期</x:v>
      </x:c>
      <x:c r="BG16" s="21" t="str">
        <x:v>产品标识来源</x:v>
      </x:c>
      <x:c r="BH16" s="21" t="str">
        <x:v>标识日期</x:v>
      </x:c>
      <x:c r="BI16" s="22" t="str">
        <x:v>查询备案号线索</x:v>
      </x:c>
      <x:c r="BJ16" t="str">
        <x:v>汇总展示次序</x:v>
      </x:c>
    </x:row>
    <x:row r="17" ht="44" customHeight="1">
      <x:c r="A17" s="49" t="n">
        <x:f>'Sheet5-查询核对'!A2-1</x:f>
        <x:v>1</x:v>
      </x:c>
      <x:c r="B17" s="50" t="str">
        <x:f>IF('Sheet4-原始数据'!A2="",'Sheet5-查询核对'!B2,'Sheet4-原始数据'!A2)</x:f>
        <x:v>爱凡哲九号</x:v>
      </x:c>
      <x:c r="C17" s="45" t="str">
        <x:f>IF('Sheet4-原始数据'!B2="","",'Sheet4-原始数据'!B2)</x:f>
        <x:v>SJA112</x:v>
      </x:c>
      <x:c r="D17" s="45" t="str">
        <x:f>IF('Sheet4-原始数据'!E2="","",'Sheet4-原始数据'!E2)</x:f>
        <x:v>爱凡哲投资</x:v>
      </x:c>
      <x:c r="E17" s="46" t="n">
        <x:f>IF('Sheet4-原始数据'!F2="","",'Sheet4-原始数据'!F2)</x:f>
        <x:v>43710</x:v>
      </x:c>
      <x:c r="F17" s="52" t="n">
        <x:f>IF(ISNUMBER(E17),ROUND(('Sheet1-指标体系'!$J$12-E17)/'Sheet1-指标体系'!$J$14,4),"")</x:f>
        <x:v>7.0226</x:v>
      </x:c>
      <x:c r="G17" s="14" t="str">
        <x:f>IF(C17="","未匹配",IF(NOT(ISNUMBER(F17)),"缺成立日期",IF(F17&lt;'Sheet1-指标体系'!$J$15,"不入池","入池")))</x:f>
        <x:v>入池</x:v>
      </x:c>
      <x:c r="H17" s="45" t="str">
        <x:f>IF('Sheet5-查询核对'!K2="","",'Sheet5-查询核对'!K2)</x:f>
        <x:v>20-50亿元</x:v>
      </x:c>
      <x:c r="I17" s="52" t="n">
        <x:f>IF(H17="","",IF(COUNTIF('Sheet1-指标体系'!$P$4:$P$10,H17)=0,"",INDEX('Sheet1-指标体系'!$Q$4:$Q$10,MATCH(H17,'Sheet1-指标体系'!$P$4:$P$10,0))))</x:f>
        <x:v>90</x:v>
      </x:c>
      <x:c r="J17" s="54" t="str">
        <x:f>IF(NOT(ISNUMBER('Sheet5-查询核对'!N2)),"",IF('Sheet5-查询核对'!N2=1,"低于"&amp;'Sheet1-指标体系'!$J$4&amp;"万元",IF('Sheet5-查询核对'!N2=0,"无低于"&amp;'Sheet1-指标体系'!$J$4&amp;"万元标识","")))</x:f>
        <x:v>无低于1000万元标识</x:v>
      </x:c>
      <x:c r="K17" s="52" t="n">
        <x:f>IF(NOT(ISNUMBER('Sheet5-查询核对'!N2)),"",IF('Sheet5-查询核对'!N2=1,'Sheet1-指标体系'!$J$21,IF('Sheet5-查询核对'!N2=0,'Sheet1-指标体系'!$J$18,"")))</x:f>
        <x:v>100</x:v>
      </x:c>
      <x:c r="L17" s="52" t="n">
        <x:f>IF(NOT(ISNUMBER(F17)),"",IF(F17&lt;'Sheet1-指标体系'!$J$15,"",IF(F17&lt;'Sheet1-指标体系'!$J$16,'Sheet1-指标体系'!$J$17,'Sheet1-指标体系'!$J$18)))</x:f>
        <x:v>100</x:v>
      </x:c>
      <x:c r="M17" s="47" t="n">
        <x:f>IF(ISNUMBER('Sheet4-原始数据'!G2),'Sheet4-原始数据'!G2,"")</x:f>
        <x:v>0.12390000000000001</x:v>
      </x:c>
      <x:c r="N17" s="47" t="n">
        <x:f>IF(ISNUMBER('Sheet4-原始数据'!H2),'Sheet4-原始数据'!H2,"")</x:f>
        <x:v>0.1185</x:v>
      </x:c>
      <x:c r="O17" s="47" t="n">
        <x:f>IF(ISNUMBER('Sheet5-查询核对'!Q2),'Sheet5-查询核对'!Q2,"")</x:f>
        <x:v>0.10300000000000001</x:v>
      </x:c>
      <x:c r="P17" s="44" t="n">
        <x:f>IF($G17&lt;&gt;"入池","",IF($F17&gt;='Sheet1-指标体系'!$J$16,IF(COUNT(M17,N17)&lt;&gt;2,"",IF(OR(1+M17&lt;=0,1+N17&lt;0),"",((1+N17)^'Sheet1-指标体系'!$J$16/(1+M17))^(1/('Sheet1-指标体系'!$J$16-'Sheet1-指标体系'!$J$15))-1)),IF(COUNT(M17,O17)&lt;&gt;2,"",IF(OR(F17&lt;='Sheet1-指标体系'!$J$15,1+M17&lt;=0,1+O17&lt;0),"",((1+O17)^F17/(1+M17))^(1/(F17-'Sheet1-指标体系'!$J$15))-1))))</x:f>
        <x:v>0.11580973731860245</x:v>
      </x:c>
      <x:c r="Q17" s="52" t="n">
        <x:f>IF(OR($G17&lt;&gt;"入池",NOT(ISNUMBER(M17))),"",IF(COUNTIFS($G$17:$G$99,"入池",$M$17:$M$99,"&gt;=-1E+307",$M$17:$M$99,"&lt;=1E+307")&lt;=1,'Sheet1-指标体系'!$J$18,ROUND('Sheet1-指标体系'!$J$18*(COUNTIFS($G$17:$G$99,"入池",$M$17:$M$99,"&gt;=-1E+307",$M$17:$M$99,"&lt;"&amp;M17)+COUNTIFS($G$17:$G$99,"入池",$M$17:$M$99,"&gt;=-1E+307",$M$17:$M$99,"&lt;=1E+307",$M$17:$M$99,M17)/2-0.5)/(COUNTIFS($G$17:$G$99,"入池",$M$17:$M$99,"&gt;=-1E+307",$M$17:$M$99,"&lt;=1E+307")-1),2)))</x:f>
        <x:v>73.21</x:v>
      </x:c>
      <x:c r="R17" s="52" t="n">
        <x:f>IF(OR($G17&lt;&gt;"入池",NOT(ISNUMBER(P17))),"",IF(COUNTIFS($G$17:$G$99,"入池",$P$17:$P$99,"&gt;=-1E+307",$P$17:$P$99,"&lt;=1E+307")&lt;=1,'Sheet1-指标体系'!$J$18,ROUND('Sheet1-指标体系'!$J$18*(COUNTIFS($G$17:$G$99,"入池",$P$17:$P$99,"&gt;=-1E+307",$P$17:$P$99,"&lt;"&amp;P17)+COUNTIFS($G$17:$G$99,"入池",$P$17:$P$99,"&gt;=-1E+307",$P$17:$P$99,"&lt;=1E+307",$P$17:$P$99,P17)/2-0.5)/(COUNTIFS($G$17:$G$99,"入池",$P$17:$P$99,"&gt;=-1E+307",$P$17:$P$99,"&lt;=1E+307")-1),2)))</x:f>
        <x:v>77.78</x:v>
      </x:c>
      <x:c r="S17" s="52" t="n">
        <x:f>IF(COUNT(Q17,R17)=0,"",ROUND((IF(ISNUMBER(Q17),Q17*'Sheet1-指标体系'!$G$7*'Sheet1-指标体系'!$J$8,0)+IF(ISNUMBER(R17),R17*'Sheet1-指标体系'!$G$7*'Sheet1-指标体系'!$J$9,0))/(IF(ISNUMBER(Q17),'Sheet1-指标体系'!$G$7*'Sheet1-指标体系'!$J$8,0)+IF(ISNUMBER(R17),'Sheet1-指标体系'!$G$7*'Sheet1-指标体系'!$J$9,0)),2))</x:f>
        <x:v>75.04</x:v>
      </x:c>
      <x:c r="T17" s="47" t="n">
        <x:f>IF(ISNUMBER('Sheet4-原始数据'!J2),'Sheet4-原始数据'!J2,"")</x:f>
        <x:v>0.8462000000000001</x:v>
      </x:c>
      <x:c r="U17" s="47" t="n">
        <x:f>IF(ISNUMBER('Sheet4-原始数据'!I2),'Sheet4-原始数据'!I2,"")</x:f>
        <x:v>0.8919</x:v>
      </x:c>
      <x:c r="V17" s="44" t="n">
        <x:f>IF(COUNT(T17:U17)&lt;&gt;2,"",(U17*'Sheet1-指标体系'!$J$6-T17*'Sheet1-指标体系'!$J$5)/'Sheet1-指标体系'!$J$7)</x:f>
        <x:v>0.9166541666666669</x:v>
      </x:c>
      <x:c r="W17" s="52" t="n">
        <x:f>IF(NOT(ISNUMBER(T17)),"",T17*'Sheet1-指标体系'!$J$18)</x:f>
        <x:v>84.62</x:v>
      </x:c>
      <x:c r="X17" s="52" t="n">
        <x:f>IF(G17&lt;&gt;"入池","",IF(ISNUMBER(V17),IF(AND(V17&gt;=0,V17&lt;=1),V17*'Sheet1-指标体系'!$J$18,IF(MAX(0,(F17-'Sheet1-指标体系'!$J$15)*'Sheet1-指标体系'!$J$20)&lt;'Sheet1-指标体系'!$J$19,'Sheet1-指标体系'!$J$18,"")),IF(MAX(0,(F17-'Sheet1-指标体系'!$J$15)*'Sheet1-指标体系'!$J$20)&lt;'Sheet1-指标体系'!$J$19,'Sheet1-指标体系'!$J$18,"")))</x:f>
        <x:v>91.66541666666669</x:v>
      </x:c>
      <x:c r="Y17" s="52" t="n">
        <x:f>IF(NOT(ISNUMBER(W17)),"",IF(COUNT(W17,X17)=0,"",ROUND((IF(ISNUMBER(W17),W17*'Sheet1-指标体系'!$G$8*'Sheet1-指标体系'!$J$8,0)+IF(ISNUMBER(X17),X17*'Sheet1-指标体系'!$G$8*'Sheet1-指标体系'!$J$9,0))/(IF(ISNUMBER(W17),'Sheet1-指标体系'!$G$8*'Sheet1-指标体系'!$J$8,0)+IF(ISNUMBER(X17),'Sheet1-指标体系'!$G$8*'Sheet1-指标体系'!$J$9,0)),2)))</x:f>
        <x:v>87.44</x:v>
      </x:c>
      <x:c r="Z17" s="44" t="n">
        <x:f>IF(COUNT(M17,AD17)&lt;&gt;2,"",IF(AD17=0,"",ABS(M17/AD17)))</x:f>
        <x:v>0.0035831099312008197</x:v>
      </x:c>
      <x:c r="AA17" s="47" t="n">
        <x:f>IF(ISNUMBER('Sheet4-原始数据'!K2),'Sheet4-原始数据'!K2,"")</x:f>
        <x:v>0.0129</x:v>
      </x:c>
      <x:c r="AB17" s="44" t="n">
        <x:f>IF(COUNT(Z17:AA17)=0,"",MAX(Z17:AA17))</x:f>
        <x:v>0.0129</x:v>
      </x:c>
      <x:c r="AC17" s="52" t="n">
        <x:f>IF(OR($G17&lt;&gt;"入池",NOT(ISNUMBER(AB17))),"",IF(COUNTIFS($G$17:$G$99,"入池",$AB$17:$AB$99,"&gt;=-1E+307",$AB$17:$AB$99,"&lt;=1E+307")&lt;=1,'Sheet1-指标体系'!$J$18,ROUND('Sheet1-指标体系'!$J$18*(COUNTIFS($G$17:$G$99,"入池",$AB$17:$AB$99,"&lt;=1E+307",$AB$17:$AB$99,"&gt;"&amp;AB17)+COUNTIFS($G$17:$G$99,"入池",$AB$17:$AB$99,"&gt;=-1E+307",$AB$17:$AB$99,"&lt;=1E+307",$AB$17:$AB$99,AB17)/2-0.5)/(COUNTIFS($G$17:$G$99,"入池",$AB$17:$AB$99,"&gt;=-1E+307",$AB$17:$AB$99,"&lt;=1E+307")-1),2)))</x:f>
        <x:v>70.69</x:v>
      </x:c>
      <x:c r="AD17" s="48" t="n">
        <x:f>IF(ISNUMBER('Sheet4-原始数据'!M2),'Sheet4-原始数据'!M2,"")</x:f>
        <x:v>34.5789</x:v>
      </x:c>
      <x:c r="AE17" s="44" t="n">
        <x:f>IF(COUNT(P17,AA17,Z17)&lt;&gt;3,"",IF(AA17&gt;Z17+'Sheet1-指标体系'!$J$11,AA17,""))</x:f>
        <x:v>0.0129</x:v>
      </x:c>
      <x:c r="AF17" s="52" t="n">
        <x:f>IF(COUNT(P17,AE17)&lt;&gt;2,"",IF(AE17=0,"",P17/AE17))</x:f>
        <x:v>8.977499016945925</x:v>
      </x:c>
      <x:c r="AG17" s="52" t="n">
        <x:f>IF(OR($G17&lt;&gt;"入池",NOT(ISNUMBER(AD17))),"",IF(COUNTIFS($G$17:$G$99,"入池",$AD$17:$AD$99,"&gt;=-1E+307",$AD$17:$AD$99,"&lt;=1E+307")&lt;=1,'Sheet1-指标体系'!$J$18,ROUND('Sheet1-指标体系'!$J$18*(COUNTIFS($G$17:$G$99,"入池",$AD$17:$AD$99,"&gt;=-1E+307",$AD$17:$AD$99,"&lt;"&amp;AD17)+COUNTIFS($G$17:$G$99,"入池",$AD$17:$AD$99,"&gt;=-1E+307",$AD$17:$AD$99,"&lt;=1E+307",$AD$17:$AD$99,AD17)/2-0.5)/(COUNTIFS($G$17:$G$99,"入池",$AD$17:$AD$99,"&gt;=-1E+307",$AD$17:$AD$99,"&lt;=1E+307")-1),2)))</x:f>
        <x:v>90.91</x:v>
      </x:c>
      <x:c r="AH17" s="52" t="n">
        <x:f>IF(OR($G17&lt;&gt;"入池",NOT(ISNUMBER(AF17))),"",IF(COUNTIFS($G$17:$G$99,"入池",$AF$17:$AF$99,"&gt;=-1E+307",$AF$17:$AF$99,"&lt;=1E+307")&lt;=1,'Sheet1-指标体系'!$J$18,ROUND('Sheet1-指标体系'!$J$18*(COUNTIFS($G$17:$G$99,"入池",$AF$17:$AF$99,"&gt;=-1E+307",$AF$17:$AF$99,"&lt;"&amp;AF17)+COUNTIFS($G$17:$G$99,"入池",$AF$17:$AF$99,"&gt;=-1E+307",$AF$17:$AF$99,"&lt;=1E+307",$AF$17:$AF$99,AF17)/2-0.5)/(COUNTIFS($G$17:$G$99,"入池",$AF$17:$AF$99,"&gt;=-1E+307",$AF$17:$AF$99,"&lt;=1E+307")-1),2)))</x:f>
        <x:v>82.14</x:v>
      </x:c>
      <x:c r="AI17" s="52" t="n">
        <x:f>IF(COUNT(AG17,AH17)=0,"",ROUND((IF(ISNUMBER(AG17),AG17*'Sheet1-指标体系'!$G$10*'Sheet1-指标体系'!$J$8,0)+IF(ISNUMBER(AH17),AH17*'Sheet1-指标体系'!$G$10*'Sheet1-指标体系'!$J$9,0))/(IF(ISNUMBER(AG17),'Sheet1-指标体系'!$G$10*'Sheet1-指标体系'!$J$8,0)+IF(ISNUMBER(AH17),'Sheet1-指标体系'!$G$10*'Sheet1-指标体系'!$J$9,0)),2))</x:f>
        <x:v>87.4</x:v>
      </x:c>
      <x:c r="AJ17" s="44" t="n">
        <x:f>IF(NOT(ISNUMBER(F17)),"",IF(F17&gt;='Sheet1-指标体系'!$J$16,IF(ISNUMBER(N17),N17,""),IF(ISNUMBER(O17),O17,"")))</x:f>
        <x:v>0.1185</x:v>
      </x:c>
      <x:c r="AK17" s="52" t="n">
        <x:f>IF(OR(G17&lt;&gt;"入池",COUNT(M17,AJ17)&lt;&gt;2),"",IF(M17&gt;=AJ17,'Sheet1-指标体系'!$J$18,IF(AJ17-M17&lt;'Sheet1-指标体系'!$J$10,'Sheet1-指标体系'!$J$22,'Sheet1-指标体系'!$J$23)))</x:f>
        <x:v>100</x:v>
      </x:c>
      <x:c r="AL17" s="52" t="n">
        <x:f>IF(COUNT(I17,K17,L17)=0,"",ROUND((IF(ISNUMBER(I17),I17*'Sheet1-指标体系'!$G$4,0)+IF(ISNUMBER(K17),K17*'Sheet1-指标体系'!$G$5,0)+IF(ISNUMBER(L17),L17*'Sheet1-指标体系'!$G$6,0))/(IF(ISNUMBER(I17),'Sheet1-指标体系'!$G$4,0)+IF(ISNUMBER(K17),'Sheet1-指标体系'!$G$5,0)+IF(ISNUMBER(L17),'Sheet1-指标体系'!$G$6,0)),2))</x:f>
        <x:v>96</x:v>
      </x:c>
      <x:c r="AM17" s="52" t="n">
        <x:f>IF(COUNT(Q17,R17,W17,X17)=0,"",ROUND((IF(ISNUMBER(Q17),Q17*'Sheet1-指标体系'!$G$7*'Sheet1-指标体系'!$J$8,0)+IF(ISNUMBER(R17),R17*'Sheet1-指标体系'!$G$7*'Sheet1-指标体系'!$J$9,0)+IF(ISNUMBER(W17),W17*'Sheet1-指标体系'!$G$8*'Sheet1-指标体系'!$J$8,0)+IF(ISNUMBER(X17),X17*'Sheet1-指标体系'!$G$8*'Sheet1-指标体系'!$J$9,0))/(IF(ISNUMBER(Q17),'Sheet1-指标体系'!$G$7*'Sheet1-指标体系'!$J$8,0)+IF(ISNUMBER(R17),'Sheet1-指标体系'!$G$7*'Sheet1-指标体系'!$J$9,0)+IF(ISNUMBER(W17),'Sheet1-指标体系'!$G$8*'Sheet1-指标体系'!$J$8,0)+IF(ISNUMBER(X17),'Sheet1-指标体系'!$G$8*'Sheet1-指标体系'!$J$9,0)),2))</x:f>
        <x:v>78.76</x:v>
      </x:c>
      <x:c r="AN17" s="52" t="n">
        <x:f>IF(ISNUMBER(AC17),AC17,"")</x:f>
        <x:v>70.69</x:v>
      </x:c>
      <x:c r="AO17" s="52" t="n">
        <x:f>IF(COUNT(AG17,AH17)=0,"",ROUND((IF(ISNUMBER(AG17),AG17*'Sheet1-指标体系'!$G$10*'Sheet1-指标体系'!$J$8,0)+IF(ISNUMBER(AH17),AH17*'Sheet1-指标体系'!$G$10*'Sheet1-指标体系'!$J$9,0))/(IF(ISNUMBER(AG17),'Sheet1-指标体系'!$G$10*'Sheet1-指标体系'!$J$8,0)+IF(ISNUMBER(AH17),'Sheet1-指标体系'!$G$10*'Sheet1-指标体系'!$J$9,0)),2))</x:f>
        <x:v>87.4</x:v>
      </x:c>
      <x:c r="AP17" s="52" t="n">
        <x:f>IF(ISNUMBER(AK17),AK17,"")</x:f>
        <x:v>100</x:v>
      </x:c>
      <x:c r="AQ17" s="27" t="n">
        <x:f>IF(G17&lt;&gt;"入池",0,IF(ISNUMBER(I17),'Sheet1-指标体系'!$G$4,0)+IF(ISNUMBER(K17),'Sheet1-指标体系'!$G$5,0)+IF(ISNUMBER(L17),'Sheet1-指标体系'!$G$6,0)+IF(ISNUMBER(Q17),'Sheet1-指标体系'!$G$7*'Sheet1-指标体系'!$J$8,0)+IF(ISNUMBER(R17),'Sheet1-指标体系'!$G$7*'Sheet1-指标体系'!$J$9,0)+IF(ISNUMBER(W17),'Sheet1-指标体系'!$G$8*'Sheet1-指标体系'!$J$8,0)+IF(ISNUMBER(X17),'Sheet1-指标体系'!$G$8*'Sheet1-指标体系'!$J$9,0)+IF(ISNUMBER(AC17),'Sheet1-指标体系'!$G$9,0)+IF(ISNUMBER(AG17),'Sheet1-指标体系'!$G$10*'Sheet1-指标体系'!$J$8,0)+IF(ISNUMBER(AH17),'Sheet1-指标体系'!$G$10*'Sheet1-指标体系'!$J$9,0)+IF(ISNUMBER(AK17),'Sheet1-指标体系'!$G$11,0))</x:f>
        <x:v>1</x:v>
      </x:c>
      <x:c r="AR17" s="52" t="n">
        <x:f>IF(AQ17=0,"",IF(ISNUMBER(I17),I17*'Sheet1-指标体系'!$G$4,0)+IF(ISNUMBER(K17),K17*'Sheet1-指标体系'!$G$5,0)+IF(ISNUMBER(L17),L17*'Sheet1-指标体系'!$G$6,0)+IF(ISNUMBER(Q17),Q17*'Sheet1-指标体系'!$G$7*'Sheet1-指标体系'!$J$8,0)+IF(ISNUMBER(R17),R17*'Sheet1-指标体系'!$G$7*'Sheet1-指标体系'!$J$9,0)+IF(ISNUMBER(W17),W17*'Sheet1-指标体系'!$G$8*'Sheet1-指标体系'!$J$8,0)+IF(ISNUMBER(X17),X17*'Sheet1-指标体系'!$G$8*'Sheet1-指标体系'!$J$9,0)+IF(ISNUMBER(AC17),AC17*'Sheet1-指标体系'!$G$9,0)+IF(ISNUMBER(AG17),AG17*'Sheet1-指标体系'!$G$10*'Sheet1-指标体系'!$J$8,0)+IF(ISNUMBER(AH17),AH17*'Sheet1-指标体系'!$G$10*'Sheet1-指标体系'!$J$9,0)+IF(ISNUMBER(AK17),AK17*'Sheet1-指标体系'!$G$11,0))</x:f>
        <x:v>84.04470999999998</x:v>
      </x:c>
      <x:c r="AS17" s="52" t="n">
        <x:f>IF(AQ17=0,"",ROUND(AR17/AQ17,2))</x:f>
        <x:v>84.04</x:v>
      </x:c>
      <x:c r="AT17" s="49" t="n">
        <x:f>IF(OR(G17&lt;&gt;"入池",NOT(ISNUMBER(AS17))),"",COUNTIFS($G$17:$G$99,"入池",$AS$17:$AS$99,"&gt;"&amp;AS17)+COUNTIFS($G$17:$G$99,"入池",$AS$17:$AS$99,AS17,$AQ$17:$AQ$99,"&gt;"&amp;AQ17)+COUNTIFS($G$17:G17,"入池",$AS$17:AS17,AS17,$AQ$17:AQ17,AQ17))</x:f>
        <x:v>17</x:v>
      </x:c>
      <x:c r="AU17" s="53" t="str">
        <x:f>IF(NOT(ISNUMBER(I17)),"管理人规模；","")&amp;IF(NOT(ISNUMBER(K17)),"产品规模标识；","")&amp;IF(NOT(ISNUMBER(M17)),"近一年收益；","")&amp;IF(NOT(ISNUMBER(T17)),"近一年胜率；","")&amp;IF(NOT(ISNUMBER(N17)),"近三年收益；","")&amp;IF(NOT(ISNUMBER(U17)),"近三年胜率；","")&amp;IF(NOT(ISNUMBER(AA17)),"近三年回撤；","")&amp;IF(NOT(ISNUMBER(AD17)),"近一年卡玛；","")&amp;IF(ISNUMBER(F17),IF(AND(F17&lt;'Sheet1-指标体系'!$J$16,NOT(ISNUMBER(O17))),"成立以来年化；",""),"成立日期；")&amp;IF(ISNUMBER(V17),IF(OR(V17&lt;0,V17&gt;1),"胜率窗口口径不一致；",""),"")&amp;IF(ISNUMBER(P17),IF(NOT(ISNUMBER(AE17)),"DD_long不可识别；",""),"")</x:f>
      </x:c>
      <x:c r="AV17" s="52" t="n">
        <x:f>IF(ROUND(AQ17,10)=ROUND('Sheet1-指标体系'!$J$25,10),AR17,"")</x:f>
        <x:v>84.04470999999998</x:v>
      </x:c>
      <x:c r="AW17" s="14" t="str">
        <x:f>IF(G17&lt;&gt;"入池",G17,IF(AQ17=0,"无有效评分数据",IF(ROUND(AQ17,10)=ROUND('Sheet1-指标体系'!$J$25,10),"完整赋分", "暂定分／数据不完整")))</x:f>
        <x:v>完整赋分</x:v>
      </x:c>
      <x:c r="AX17" s="45" t="str">
        <x:f>IF('Sheet4-原始数据'!C2="","",'Sheet4-原始数据'!C2)</x:f>
        <x:v>套利策略</x:v>
      </x:c>
      <x:c r="AY17" s="45" t="str">
        <x:f>IF('Sheet4-原始数据'!D2="","",'Sheet4-原始数据'!D2)</x:f>
        <x:v>期货套利</x:v>
      </x:c>
      <x:c r="AZ17" s="45" t="str">
        <x:f>IF('Sheet5-查询核对'!S2="","",'Sheet5-查询核对'!S2)</x:f>
        <x:v>套利策略—期货套利</x:v>
      </x:c>
      <x:c r="BA17" s="51" t="n">
        <x:f>IF('Sheet5-查询核对'!A2="","",'Sheet5-查询核对'!A2)</x:f>
        <x:v>2</x:v>
      </x:c>
      <x:c r="BB17" s="45" t="str">
        <x:f>IF('Sheet5-查询核对'!F2="","",'Sheet5-查询核对'!F2)</x:f>
        <x:v>备案号匹配</x:v>
      </x:c>
      <x:c r="BC17" s="50" t="str">
        <x:f>IF('Sheet5-查询核对'!I2="","",'Sheet5-查询核对'!I2)</x:f>
        <x:v>https://mp.fof99.com/fund/view/8e641c904118560b</x:v>
      </x:c>
      <x:c r="BD17" s="46" t="n">
        <x:f>IF('Sheet5-查询核对'!H2="","",'Sheet5-查询核对'!H2)</x:f>
        <x:v>46269</x:v>
      </x:c>
      <x:c r="BE17" s="50" t="str">
        <x:f>IF('Sheet5-查询核对'!L2="","",'Sheet5-查询核对'!L2)</x:f>
        <x:v>https://mp.fof99.com/fund/view/8e641c904118560b</x:v>
      </x:c>
      <x:c r="BF17" s="46" t="n">
        <x:f>IF('Sheet5-查询核对'!M2="","",'Sheet5-查询核对'!M2)</x:f>
        <x:v>46275</x:v>
      </x:c>
      <x:c r="BG17" s="50" t="str">
        <x:f>IF('Sheet5-查询核对'!O2="","",'Sheet5-查询核对'!O2)</x:f>
        <x:v>https://gs.amac.org.cn/amac-infodisc/res/pof/fund/1909051919107161.html</x:v>
      </x:c>
      <x:c r="BH17" s="46" t="n">
        <x:f>IF('Sheet5-查询核对'!P2="","",'Sheet5-查询核对'!P2)</x:f>
        <x:v>46275</x:v>
      </x:c>
      <x:c r="BI17" s="45" t="str">
        <x:f>IF('Sheet5-查询核对'!D2="","",'Sheet5-查询核对'!D2)</x:f>
        <x:v>SJA112</x:v>
      </x:c>
      <x:c r="BJ17" t="n">
        <x:f>IF(ISNUMBER(AT17),AT17,COUNT($AT$17:$AT$99)+ROWS($AT$17:AT17)-COUNT($AT$17:AT17))</x:f>
        <x:v>17</x:v>
      </x:c>
    </x:row>
    <x:row r="18" ht="44" customHeight="1">
      <x:c r="A18" s="49" t="n">
        <x:f>'Sheet5-查询核对'!A3-1</x:f>
        <x:v>2</x:v>
      </x:c>
      <x:c r="B18" s="50" t="str">
        <x:f>IF('Sheet4-原始数据'!A3="",'Sheet5-查询核对'!B3,'Sheet4-原始数据'!A3)</x:f>
        <x:v>滨风风云瑞丰1号</x:v>
      </x:c>
      <x:c r="C18" s="45" t="str">
        <x:f>IF('Sheet4-原始数据'!B3="","",'Sheet4-原始数据'!B3)</x:f>
        <x:v>SXL267</x:v>
      </x:c>
      <x:c r="D18" s="45" t="str">
        <x:f>IF('Sheet4-原始数据'!E3="","",'Sheet4-原始数据'!E3)</x:f>
        <x:v>鹰潭滨风投资</x:v>
      </x:c>
      <x:c r="E18" s="46" t="n">
        <x:f>IF('Sheet4-原始数据'!F3="","",'Sheet4-原始数据'!F3)</x:f>
        <x:v>44897</x:v>
      </x:c>
      <x:c r="F18" s="52" t="n">
        <x:f>IF(ISNUMBER(E18),ROUND(('Sheet1-指标体系'!$J$12-E18)/'Sheet1-指标体系'!$J$14,4),"")</x:f>
        <x:v>3.7728</x:v>
      </x:c>
      <x:c r="G18" s="14" t="str">
        <x:f>IF(C18="","未匹配",IF(NOT(ISNUMBER(F18)),"缺成立日期",IF(F18&lt;'Sheet1-指标体系'!$J$15,"不入池","入池")))</x:f>
        <x:v>入池</x:v>
      </x:c>
      <x:c r="H18" s="45" t="str">
        <x:f>IF('Sheet5-查询核对'!K3="","",'Sheet5-查询核对'!K3)</x:f>
        <x:v>5-10亿元</x:v>
      </x:c>
      <x:c r="I18" s="52" t="n">
        <x:f>IF(H18="","",IF(COUNTIF('Sheet1-指标体系'!$P$4:$P$10,H18)=0,"",INDEX('Sheet1-指标体系'!$Q$4:$Q$10,MATCH(H18,'Sheet1-指标体系'!$P$4:$P$10,0))))</x:f>
        <x:v>70</x:v>
      </x:c>
      <x:c r="J18" s="54" t="str">
        <x:f>IF(NOT(ISNUMBER('Sheet5-查询核对'!N3)),"",IF('Sheet5-查询核对'!N3=1,"低于"&amp;'Sheet1-指标体系'!$J$4&amp;"万元",IF('Sheet5-查询核对'!N3=0,"无低于"&amp;'Sheet1-指标体系'!$J$4&amp;"万元标识","")))</x:f>
        <x:v>无低于1000万元标识</x:v>
      </x:c>
      <x:c r="K18" s="52" t="n">
        <x:f>IF(NOT(ISNUMBER('Sheet5-查询核对'!N3)),"",IF('Sheet5-查询核对'!N3=1,'Sheet1-指标体系'!$J$21,IF('Sheet5-查询核对'!N3=0,'Sheet1-指标体系'!$J$18,"")))</x:f>
        <x:v>100</x:v>
      </x:c>
      <x:c r="L18" s="52" t="n">
        <x:f>IF(NOT(ISNUMBER(F18)),"",IF(F18&lt;'Sheet1-指标体系'!$J$15,"",IF(F18&lt;'Sheet1-指标体系'!$J$16,'Sheet1-指标体系'!$J$17,'Sheet1-指标体系'!$J$18)))</x:f>
        <x:v>100</x:v>
      </x:c>
      <x:c r="M18" s="47" t="str">
        <x:f>IF(ISNUMBER('Sheet4-原始数据'!G3),'Sheet4-原始数据'!G3,"")</x:f>
      </x:c>
      <x:c r="N18" s="47" t="str">
        <x:f>IF(ISNUMBER('Sheet4-原始数据'!H3),'Sheet4-原始数据'!H3,"")</x:f>
      </x:c>
      <x:c r="O18" s="47" t="str">
        <x:f>IF(ISNUMBER('Sheet5-查询核对'!Q3),'Sheet5-查询核对'!Q3,"")</x:f>
      </x:c>
      <x:c r="P18" s="44" t="str">
        <x:f>IF($G18&lt;&gt;"入池","",IF($F18&gt;='Sheet1-指标体系'!$J$16,IF(COUNT(M18,N18)&lt;&gt;2,"",IF(OR(1+M18&lt;=0,1+N18&lt;0),"",((1+N18)^'Sheet1-指标体系'!$J$16/(1+M18))^(1/('Sheet1-指标体系'!$J$16-'Sheet1-指标体系'!$J$15))-1)),IF(COUNT(M18,O18)&lt;&gt;2,"",IF(OR(F18&lt;='Sheet1-指标体系'!$J$15,1+M18&lt;=0,1+O18&lt;0),"",((1+O18)^F18/(1+M18))^(1/(F18-'Sheet1-指标体系'!$J$15))-1))))</x:f>
      </x:c>
      <x:c r="Q18" s="52" t="str">
        <x:f>IF(OR($G18&lt;&gt;"入池",NOT(ISNUMBER(M18))),"",IF(COUNTIFS($G$17:$G$99,"入池",$M$17:$M$99,"&gt;=-1E+307",$M$17:$M$99,"&lt;=1E+307")&lt;=1,'Sheet1-指标体系'!$J$18,ROUND('Sheet1-指标体系'!$J$18*(COUNTIFS($G$17:$G$99,"入池",$M$17:$M$99,"&gt;=-1E+307",$M$17:$M$99,"&lt;"&amp;M18)+COUNTIFS($G$17:$G$99,"入池",$M$17:$M$99,"&gt;=-1E+307",$M$17:$M$99,"&lt;=1E+307",$M$17:$M$99,M18)/2-0.5)/(COUNTIFS($G$17:$G$99,"入池",$M$17:$M$99,"&gt;=-1E+307",$M$17:$M$99,"&lt;=1E+307")-1),2)))</x:f>
      </x:c>
      <x:c r="R18" s="52" t="str">
        <x:f>IF(OR($G18&lt;&gt;"入池",NOT(ISNUMBER(P18))),"",IF(COUNTIFS($G$17:$G$99,"入池",$P$17:$P$99,"&gt;=-1E+307",$P$17:$P$99,"&lt;=1E+307")&lt;=1,'Sheet1-指标体系'!$J$18,ROUND('Sheet1-指标体系'!$J$18*(COUNTIFS($G$17:$G$99,"入池",$P$17:$P$99,"&gt;=-1E+307",$P$17:$P$99,"&lt;"&amp;P18)+COUNTIFS($G$17:$G$99,"入池",$P$17:$P$99,"&gt;=-1E+307",$P$17:$P$99,"&lt;=1E+307",$P$17:$P$99,P18)/2-0.5)/(COUNTIFS($G$17:$G$99,"入池",$P$17:$P$99,"&gt;=-1E+307",$P$17:$P$99,"&lt;=1E+307")-1),2)))</x:f>
      </x:c>
      <x:c r="S18" s="52" t="str">
        <x:f>IF(COUNT(Q18,R18)=0,"",ROUND((IF(ISNUMBER(Q18),Q18*'Sheet1-指标体系'!$G$7*'Sheet1-指标体系'!$J$8,0)+IF(ISNUMBER(R18),R18*'Sheet1-指标体系'!$G$7*'Sheet1-指标体系'!$J$9,0))/(IF(ISNUMBER(Q18),'Sheet1-指标体系'!$G$7*'Sheet1-指标体系'!$J$8,0)+IF(ISNUMBER(R18),'Sheet1-指标体系'!$G$7*'Sheet1-指标体系'!$J$9,0)),2))</x:f>
      </x:c>
      <x:c r="T18" s="47" t="str">
        <x:f>IF(ISNUMBER('Sheet4-原始数据'!J3),'Sheet4-原始数据'!J3,"")</x:f>
      </x:c>
      <x:c r="U18" s="47" t="str">
        <x:f>IF(ISNUMBER('Sheet4-原始数据'!I3),'Sheet4-原始数据'!I3,"")</x:f>
      </x:c>
      <x:c r="V18" s="44" t="str">
        <x:f>IF(COUNT(T18:U18)&lt;&gt;2,"",(U18*'Sheet1-指标体系'!$J$6-T18*'Sheet1-指标体系'!$J$5)/'Sheet1-指标体系'!$J$7)</x:f>
      </x:c>
      <x:c r="W18" s="52" t="str">
        <x:f>IF(NOT(ISNUMBER(T18)),"",T18*'Sheet1-指标体系'!$J$18)</x:f>
      </x:c>
      <x:c r="X18" s="52" t="str">
        <x:f>IF(G18&lt;&gt;"入池","",IF(ISNUMBER(V18),IF(AND(V18&gt;=0,V18&lt;=1),V18*'Sheet1-指标体系'!$J$18,IF(MAX(0,(F18-'Sheet1-指标体系'!$J$15)*'Sheet1-指标体系'!$J$20)&lt;'Sheet1-指标体系'!$J$19,'Sheet1-指标体系'!$J$18,"")),IF(MAX(0,(F18-'Sheet1-指标体系'!$J$15)*'Sheet1-指标体系'!$J$20)&lt;'Sheet1-指标体系'!$J$19,'Sheet1-指标体系'!$J$18,"")))</x:f>
      </x:c>
      <x:c r="Y18" s="52" t="str">
        <x:f>IF(NOT(ISNUMBER(W18)),"",IF(COUNT(W18,X18)=0,"",ROUND((IF(ISNUMBER(W18),W18*'Sheet1-指标体系'!$G$8*'Sheet1-指标体系'!$J$8,0)+IF(ISNUMBER(X18),X18*'Sheet1-指标体系'!$G$8*'Sheet1-指标体系'!$J$9,0))/(IF(ISNUMBER(W18),'Sheet1-指标体系'!$G$8*'Sheet1-指标体系'!$J$8,0)+IF(ISNUMBER(X18),'Sheet1-指标体系'!$G$8*'Sheet1-指标体系'!$J$9,0)),2)))</x:f>
      </x:c>
      <x:c r="Z18" s="44" t="str">
        <x:f>IF(COUNT(M18,AD18)&lt;&gt;2,"",IF(AD18=0,"",ABS(M18/AD18)))</x:f>
      </x:c>
      <x:c r="AA18" s="47" t="str">
        <x:f>IF(ISNUMBER('Sheet4-原始数据'!K3),'Sheet4-原始数据'!K3,"")</x:f>
      </x:c>
      <x:c r="AB18" s="44" t="str">
        <x:f>IF(COUNT(Z18:AA18)=0,"",MAX(Z18:AA18))</x:f>
      </x:c>
      <x:c r="AC18" s="52" t="str">
        <x:f>IF(OR($G18&lt;&gt;"入池",NOT(ISNUMBER(AB18))),"",IF(COUNTIFS($G$17:$G$99,"入池",$AB$17:$AB$99,"&gt;=-1E+307",$AB$17:$AB$99,"&lt;=1E+307")&lt;=1,'Sheet1-指标体系'!$J$18,ROUND('Sheet1-指标体系'!$J$18*(COUNTIFS($G$17:$G$99,"入池",$AB$17:$AB$99,"&lt;=1E+307",$AB$17:$AB$99,"&gt;"&amp;AB18)+COUNTIFS($G$17:$G$99,"入池",$AB$17:$AB$99,"&gt;=-1E+307",$AB$17:$AB$99,"&lt;=1E+307",$AB$17:$AB$99,AB18)/2-0.5)/(COUNTIFS($G$17:$G$99,"入池",$AB$17:$AB$99,"&gt;=-1E+307",$AB$17:$AB$99,"&lt;=1E+307")-1),2)))</x:f>
      </x:c>
      <x:c r="AD18" s="48" t="str">
        <x:f>IF(ISNUMBER('Sheet4-原始数据'!M3),'Sheet4-原始数据'!M3,"")</x:f>
      </x:c>
      <x:c r="AE18" s="44" t="str">
        <x:f>IF(COUNT(P18,AA18,Z18)&lt;&gt;3,"",IF(AA18&gt;Z18+'Sheet1-指标体系'!$J$11,AA18,""))</x:f>
      </x:c>
      <x:c r="AF18" s="52" t="str">
        <x:f>IF(COUNT(P18,AE18)&lt;&gt;2,"",IF(AE18=0,"",P18/AE18))</x:f>
      </x:c>
      <x:c r="AG18" s="52" t="str">
        <x:f>IF(OR($G18&lt;&gt;"入池",NOT(ISNUMBER(AD18))),"",IF(COUNTIFS($G$17:$G$99,"入池",$AD$17:$AD$99,"&gt;=-1E+307",$AD$17:$AD$99,"&lt;=1E+307")&lt;=1,'Sheet1-指标体系'!$J$18,ROUND('Sheet1-指标体系'!$J$18*(COUNTIFS($G$17:$G$99,"入池",$AD$17:$AD$99,"&gt;=-1E+307",$AD$17:$AD$99,"&lt;"&amp;AD18)+COUNTIFS($G$17:$G$99,"入池",$AD$17:$AD$99,"&gt;=-1E+307",$AD$17:$AD$99,"&lt;=1E+307",$AD$17:$AD$99,AD18)/2-0.5)/(COUNTIFS($G$17:$G$99,"入池",$AD$17:$AD$99,"&gt;=-1E+307",$AD$17:$AD$99,"&lt;=1E+307")-1),2)))</x:f>
      </x:c>
      <x:c r="AH18" s="52" t="str">
        <x:f>IF(OR($G18&lt;&gt;"入池",NOT(ISNUMBER(AF18))),"",IF(COUNTIFS($G$17:$G$99,"入池",$AF$17:$AF$99,"&gt;=-1E+307",$AF$17:$AF$99,"&lt;=1E+307")&lt;=1,'Sheet1-指标体系'!$J$18,ROUND('Sheet1-指标体系'!$J$18*(COUNTIFS($G$17:$G$99,"入池",$AF$17:$AF$99,"&gt;=-1E+307",$AF$17:$AF$99,"&lt;"&amp;AF18)+COUNTIFS($G$17:$G$99,"入池",$AF$17:$AF$99,"&gt;=-1E+307",$AF$17:$AF$99,"&lt;=1E+307",$AF$17:$AF$99,AF18)/2-0.5)/(COUNTIFS($G$17:$G$99,"入池",$AF$17:$AF$99,"&gt;=-1E+307",$AF$17:$AF$99,"&lt;=1E+307")-1),2)))</x:f>
      </x:c>
      <x:c r="AI18" s="52" t="str">
        <x:f>IF(COUNT(AG18,AH18)=0,"",ROUND((IF(ISNUMBER(AG18),AG18*'Sheet1-指标体系'!$G$10*'Sheet1-指标体系'!$J$8,0)+IF(ISNUMBER(AH18),AH18*'Sheet1-指标体系'!$G$10*'Sheet1-指标体系'!$J$9,0))/(IF(ISNUMBER(AG18),'Sheet1-指标体系'!$G$10*'Sheet1-指标体系'!$J$8,0)+IF(ISNUMBER(AH18),'Sheet1-指标体系'!$G$10*'Sheet1-指标体系'!$J$9,0)),2))</x:f>
      </x:c>
      <x:c r="AJ18" s="44" t="str">
        <x:f>IF(NOT(ISNUMBER(F18)),"",IF(F18&gt;='Sheet1-指标体系'!$J$16,IF(ISNUMBER(N18),N18,""),IF(ISNUMBER(O18),O18,"")))</x:f>
      </x:c>
      <x:c r="AK18" s="52" t="str">
        <x:f>IF(OR(G18&lt;&gt;"入池",COUNT(M18,AJ18)&lt;&gt;2),"",IF(M18&gt;=AJ18,'Sheet1-指标体系'!$J$18,IF(AJ18-M18&lt;'Sheet1-指标体系'!$J$10,'Sheet1-指标体系'!$J$22,'Sheet1-指标体系'!$J$23)))</x:f>
      </x:c>
      <x:c r="AL18" s="52" t="n">
        <x:f>IF(COUNT(I18,K18,L18)=0,"",ROUND((IF(ISNUMBER(I18),I18*'Sheet1-指标体系'!$G$4,0)+IF(ISNUMBER(K18),K18*'Sheet1-指标体系'!$G$5,0)+IF(ISNUMBER(L18),L18*'Sheet1-指标体系'!$G$6,0))/(IF(ISNUMBER(I18),'Sheet1-指标体系'!$G$4,0)+IF(ISNUMBER(K18),'Sheet1-指标体系'!$G$5,0)+IF(ISNUMBER(L18),'Sheet1-指标体系'!$G$6,0)),2))</x:f>
        <x:v>88</x:v>
      </x:c>
      <x:c r="AM18" s="52" t="str">
        <x:f>IF(COUNT(Q18,R18,W18,X18)=0,"",ROUND((IF(ISNUMBER(Q18),Q18*'Sheet1-指标体系'!$G$7*'Sheet1-指标体系'!$J$8,0)+IF(ISNUMBER(R18),R18*'Sheet1-指标体系'!$G$7*'Sheet1-指标体系'!$J$9,0)+IF(ISNUMBER(W18),W18*'Sheet1-指标体系'!$G$8*'Sheet1-指标体系'!$J$8,0)+IF(ISNUMBER(X18),X18*'Sheet1-指标体系'!$G$8*'Sheet1-指标体系'!$J$9,0))/(IF(ISNUMBER(Q18),'Sheet1-指标体系'!$G$7*'Sheet1-指标体系'!$J$8,0)+IF(ISNUMBER(R18),'Sheet1-指标体系'!$G$7*'Sheet1-指标体系'!$J$9,0)+IF(ISNUMBER(W18),'Sheet1-指标体系'!$G$8*'Sheet1-指标体系'!$J$8,0)+IF(ISNUMBER(X18),'Sheet1-指标体系'!$G$8*'Sheet1-指标体系'!$J$9,0)),2))</x:f>
      </x:c>
      <x:c r="AN18" s="52" t="str">
        <x:f>IF(ISNUMBER(AC18),AC18,"")</x:f>
      </x:c>
      <x:c r="AO18" s="52" t="str">
        <x:f>IF(COUNT(AG18,AH18)=0,"",ROUND((IF(ISNUMBER(AG18),AG18*'Sheet1-指标体系'!$G$10*'Sheet1-指标体系'!$J$8,0)+IF(ISNUMBER(AH18),AH18*'Sheet1-指标体系'!$G$10*'Sheet1-指标体系'!$J$9,0))/(IF(ISNUMBER(AG18),'Sheet1-指标体系'!$G$10*'Sheet1-指标体系'!$J$8,0)+IF(ISNUMBER(AH18),'Sheet1-指标体系'!$G$10*'Sheet1-指标体系'!$J$9,0)),2))</x:f>
      </x:c>
      <x:c r="AP18" s="52" t="str">
        <x:f>IF(ISNUMBER(AK18),AK18,"")</x:f>
      </x:c>
      <x:c r="AQ18" s="27" t="n">
        <x:f>IF(G18&lt;&gt;"入池",0,IF(ISNUMBER(I18),'Sheet1-指标体系'!$G$4,0)+IF(ISNUMBER(K18),'Sheet1-指标体系'!$G$5,0)+IF(ISNUMBER(L18),'Sheet1-指标体系'!$G$6,0)+IF(ISNUMBER(Q18),'Sheet1-指标体系'!$G$7*'Sheet1-指标体系'!$J$8,0)+IF(ISNUMBER(R18),'Sheet1-指标体系'!$G$7*'Sheet1-指标体系'!$J$9,0)+IF(ISNUMBER(W18),'Sheet1-指标体系'!$G$8*'Sheet1-指标体系'!$J$8,0)+IF(ISNUMBER(X18),'Sheet1-指标体系'!$G$8*'Sheet1-指标体系'!$J$9,0)+IF(ISNUMBER(AC18),'Sheet1-指标体系'!$G$9,0)+IF(ISNUMBER(AG18),'Sheet1-指标体系'!$G$10*'Sheet1-指标体系'!$J$8,0)+IF(ISNUMBER(AH18),'Sheet1-指标体系'!$G$10*'Sheet1-指标体系'!$J$9,0)+IF(ISNUMBER(AK18),'Sheet1-指标体系'!$G$11,0))</x:f>
        <x:v>0.15</x:v>
      </x:c>
      <x:c r="AR18" s="52" t="n">
        <x:f>IF(AQ18=0,"",IF(ISNUMBER(I18),I18*'Sheet1-指标体系'!$G$4,0)+IF(ISNUMBER(K18),K18*'Sheet1-指标体系'!$G$5,0)+IF(ISNUMBER(L18),L18*'Sheet1-指标体系'!$G$6,0)+IF(ISNUMBER(Q18),Q18*'Sheet1-指标体系'!$G$7*'Sheet1-指标体系'!$J$8,0)+IF(ISNUMBER(R18),R18*'Sheet1-指标体系'!$G$7*'Sheet1-指标体系'!$J$9,0)+IF(ISNUMBER(W18),W18*'Sheet1-指标体系'!$G$8*'Sheet1-指标体系'!$J$8,0)+IF(ISNUMBER(X18),X18*'Sheet1-指标体系'!$G$8*'Sheet1-指标体系'!$J$9,0)+IF(ISNUMBER(AC18),AC18*'Sheet1-指标体系'!$G$9,0)+IF(ISNUMBER(AG18),AG18*'Sheet1-指标体系'!$G$10*'Sheet1-指标体系'!$J$8,0)+IF(ISNUMBER(AH18),AH18*'Sheet1-指标体系'!$G$10*'Sheet1-指标体系'!$J$9,0)+IF(ISNUMBER(AK18),AK18*'Sheet1-指标体系'!$G$11,0))</x:f>
        <x:v>13.2</x:v>
      </x:c>
      <x:c r="AS18" s="52" t="n">
        <x:f>IF(AQ18=0,"",ROUND(AR18/AQ18,2))</x:f>
        <x:v>88</x:v>
      </x:c>
      <x:c r="AT18" s="49" t="n">
        <x:f>IF(OR(G18&lt;&gt;"入池",NOT(ISNUMBER(AS18))),"",COUNTIFS($G$17:$G$99,"入池",$AS$17:$AS$99,"&gt;"&amp;AS18)+COUNTIFS($G$17:$G$99,"入池",$AS$17:$AS$99,AS18,$AQ$17:$AQ$99,"&gt;"&amp;AQ18)+COUNTIFS($G$17:G18,"入池",$AS$17:AS18,AS18,$AQ$17:AQ18,AQ18))</x:f>
        <x:v>8</x:v>
      </x:c>
      <x:c r="AU18" s="53" t="str">
        <x:f>IF(NOT(ISNUMBER(I18)),"管理人规模；","")&amp;IF(NOT(ISNUMBER(K18)),"产品规模标识；","")&amp;IF(NOT(ISNUMBER(M18)),"近一年收益；","")&amp;IF(NOT(ISNUMBER(T18)),"近一年胜率；","")&amp;IF(NOT(ISNUMBER(N18)),"近三年收益；","")&amp;IF(NOT(ISNUMBER(U18)),"近三年胜率；","")&amp;IF(NOT(ISNUMBER(AA18)),"近三年回撤；","")&amp;IF(NOT(ISNUMBER(AD18)),"近一年卡玛；","")&amp;IF(ISNUMBER(F18),IF(AND(F18&lt;'Sheet1-指标体系'!$J$16,NOT(ISNUMBER(O18))),"成立以来年化；",""),"成立日期；")&amp;IF(ISNUMBER(V18),IF(OR(V18&lt;0,V18&gt;1),"胜率窗口口径不一致；",""),"")&amp;IF(ISNUMBER(P18),IF(NOT(ISNUMBER(AE18)),"DD_long不可识别；",""),"")</x:f>
        <x:v>近一年收益；近一年胜率；近三年收益；近三年胜率；近三年回撤；近一年卡玛；</x:v>
      </x:c>
      <x:c r="AV18" s="52" t="str">
        <x:f>IF(ROUND(AQ18,10)=ROUND('Sheet1-指标体系'!$J$25,10),AR18,"")</x:f>
      </x:c>
      <x:c r="AW18" s="14" t="str">
        <x:f>IF(G18&lt;&gt;"入池",G18,IF(AQ18=0,"无有效评分数据",IF(ROUND(AQ18,10)=ROUND('Sheet1-指标体系'!$J$25,10),"完整赋分", "暂定分／数据不完整")))</x:f>
        <x:v>暂定分／数据不完整</x:v>
      </x:c>
      <x:c r="AX18" s="45" t="str">
        <x:f>IF('Sheet4-原始数据'!C3="","",'Sheet4-原始数据'!C3)</x:f>
        <x:v>期货策略</x:v>
      </x:c>
      <x:c r="AY18" s="45" t="str">
        <x:f>IF('Sheet4-原始数据'!D3="","",'Sheet4-原始数据'!D3)</x:f>
        <x:v>量化期货</x:v>
      </x:c>
      <x:c r="AZ18" s="45" t="str">
        <x:f>IF('Sheet5-查询核对'!S3="","",'Sheet5-查询核对'!S3)</x:f>
        <x:v>管理期货—量化CTA</x:v>
      </x:c>
      <x:c r="BA18" s="51" t="n">
        <x:f>IF('Sheet5-查询核对'!A3="","",'Sheet5-查询核对'!A3)</x:f>
        <x:v>3</x:v>
      </x:c>
      <x:c r="BB18" s="45" t="str">
        <x:f>IF('Sheet5-查询核对'!F3="","",'Sheet5-查询核对'!F3)</x:f>
        <x:v>备案号匹配</x:v>
      </x:c>
      <x:c r="BC18" s="50" t="str">
        <x:f>IF('Sheet5-查询核对'!I3="","",'Sheet5-查询核对'!I3)</x:f>
        <x:v>https://mp.fof99.com/fund/view/b03271229e00ba58</x:v>
      </x:c>
      <x:c r="BD18" s="46" t="n">
        <x:f>IF('Sheet5-查询核对'!H3="","",'Sheet5-查询核对'!H3)</x:f>
        <x:v>46269</x:v>
      </x:c>
      <x:c r="BE18" s="50" t="str">
        <x:f>IF('Sheet5-查询核对'!L3="","",'Sheet5-查询核对'!L3)</x:f>
        <x:v>https://mp.fof99.com/fund/view/b03271229e00ba58</x:v>
      </x:c>
      <x:c r="BF18" s="46" t="n">
        <x:f>IF('Sheet5-查询核对'!M3="","",'Sheet5-查询核对'!M3)</x:f>
        <x:v>46275</x:v>
      </x:c>
      <x:c r="BG18" s="50" t="str">
        <x:f>IF('Sheet5-查询核对'!O3="","",'Sheet5-查询核对'!O3)</x:f>
        <x:v>https://gs.amac.org.cn/amac-infodisc/res/pof/fund/2212071732101603.html</x:v>
      </x:c>
      <x:c r="BH18" s="46" t="n">
        <x:f>IF('Sheet5-查询核对'!P3="","",'Sheet5-查询核对'!P3)</x:f>
        <x:v>46275</x:v>
      </x:c>
      <x:c r="BI18" s="45" t="str">
        <x:f>IF('Sheet5-查询核对'!D3="","",'Sheet5-查询核对'!D3)</x:f>
        <x:v>SXL267</x:v>
      </x:c>
      <x:c r="BJ18" t="n">
        <x:f>IF(ISNUMBER(AT18),AT18,COUNT($AT$17:$AT$99)+ROWS($AT$17:AT18)-COUNT($AT$17:AT18))</x:f>
        <x:v>8</x:v>
      </x:c>
    </x:row>
    <x:row r="19" ht="44" customHeight="1">
      <x:c r="A19" s="49" t="n">
        <x:f>'Sheet5-查询核对'!A4-1</x:f>
        <x:v>3</x:v>
      </x:c>
      <x:c r="B19" s="50" t="str">
        <x:f>IF('Sheet4-原始数据'!A4="",'Sheet5-查询核对'!B4,'Sheet4-原始数据'!A4)</x:f>
        <x:v>博牛转债策略2号</x:v>
      </x:c>
      <x:c r="C19" s="45" t="str">
        <x:f>IF('Sheet4-原始数据'!B4="","",'Sheet4-原始数据'!B4)</x:f>
        <x:v>SVY871</x:v>
      </x:c>
      <x:c r="D19" s="45" t="str">
        <x:f>IF('Sheet4-原始数据'!E4="","",'Sheet4-原始数据'!E4)</x:f>
        <x:v>广州博牛</x:v>
      </x:c>
      <x:c r="E19" s="46" t="n">
        <x:f>IF('Sheet4-原始数据'!F4="","",'Sheet4-原始数据'!F4)</x:f>
        <x:v>44788</x:v>
      </x:c>
      <x:c r="F19" s="52" t="n">
        <x:f>IF(ISNUMBER(E19),ROUND(('Sheet1-指标体系'!$J$12-E19)/'Sheet1-指标体系'!$J$14,4),"")</x:f>
        <x:v>4.0712</x:v>
      </x:c>
      <x:c r="G19" s="14" t="str">
        <x:f>IF(C19="","未匹配",IF(NOT(ISNUMBER(F19)),"缺成立日期",IF(F19&lt;'Sheet1-指标体系'!$J$15,"不入池","入池")))</x:f>
        <x:v>入池</x:v>
      </x:c>
      <x:c r="H19" s="45" t="str">
        <x:f>IF('Sheet5-查询核对'!K4="","",'Sheet5-查询核对'!K4)</x:f>
        <x:v>5-10亿元</x:v>
      </x:c>
      <x:c r="I19" s="52" t="n">
        <x:f>IF(H19="","",IF(COUNTIF('Sheet1-指标体系'!$P$4:$P$10,H19)=0,"",INDEX('Sheet1-指标体系'!$Q$4:$Q$10,MATCH(H19,'Sheet1-指标体系'!$P$4:$P$10,0))))</x:f>
        <x:v>70</x:v>
      </x:c>
      <x:c r="J19" s="54" t="str">
        <x:f>IF(NOT(ISNUMBER('Sheet5-查询核对'!N4)),"",IF('Sheet5-查询核对'!N4=1,"低于"&amp;'Sheet1-指标体系'!$J$4&amp;"万元",IF('Sheet5-查询核对'!N4=0,"无低于"&amp;'Sheet1-指标体系'!$J$4&amp;"万元标识","")))</x:f>
        <x:v>无低于1000万元标识</x:v>
      </x:c>
      <x:c r="K19" s="52" t="n">
        <x:f>IF(NOT(ISNUMBER('Sheet5-查询核对'!N4)),"",IF('Sheet5-查询核对'!N4=1,'Sheet1-指标体系'!$J$21,IF('Sheet5-查询核对'!N4=0,'Sheet1-指标体系'!$J$18,"")))</x:f>
        <x:v>100</x:v>
      </x:c>
      <x:c r="L19" s="52" t="n">
        <x:f>IF(NOT(ISNUMBER(F19)),"",IF(F19&lt;'Sheet1-指标体系'!$J$15,"",IF(F19&lt;'Sheet1-指标体系'!$J$16,'Sheet1-指标体系'!$J$17,'Sheet1-指标体系'!$J$18)))</x:f>
        <x:v>100</x:v>
      </x:c>
      <x:c r="M19" s="47" t="n">
        <x:f>IF(ISNUMBER('Sheet4-原始数据'!G4),'Sheet4-原始数据'!G4,"")</x:f>
        <x:v>-0.0148</x:v>
      </x:c>
      <x:c r="N19" s="47" t="n">
        <x:f>IF(ISNUMBER('Sheet4-原始数据'!H4),'Sheet4-原始数据'!H4,"")</x:f>
        <x:v>0.042699999999999995</x:v>
      </x:c>
      <x:c r="O19" s="47" t="n">
        <x:f>IF(ISNUMBER('Sheet5-查询核对'!Q4),'Sheet5-查询核对'!Q4,"")</x:f>
        <x:v>0.0478</x:v>
      </x:c>
      <x:c r="P19" s="44" t="n">
        <x:f>IF($G19&lt;&gt;"入池","",IF($F19&gt;='Sheet1-指标体系'!$J$16,IF(COUNT(M19,N19)&lt;&gt;2,"",IF(OR(1+M19&lt;=0,1+N19&lt;0),"",((1+N19)^'Sheet1-指标体系'!$J$16/(1+M19))^(1/('Sheet1-指标体系'!$J$16-'Sheet1-指标体系'!$J$15))-1)),IF(COUNT(M19,O19)&lt;&gt;2,"",IF(OR(F19&lt;='Sheet1-指标体系'!$J$15,1+M19&lt;=0,1+O19&lt;0),"",((1+O19)^F19/(1+M19))^(1/(F19-'Sheet1-指标体系'!$J$15))-1))))</x:f>
        <x:v>0.07269648795027783</x:v>
      </x:c>
      <x:c r="Q19" s="52" t="n">
        <x:f>IF(OR($G19&lt;&gt;"入池",NOT(ISNUMBER(M19))),"",IF(COUNTIFS($G$17:$G$99,"入池",$M$17:$M$99,"&gt;=-1E+307",$M$17:$M$99,"&lt;=1E+307")&lt;=1,'Sheet1-指标体系'!$J$18,ROUND('Sheet1-指标体系'!$J$18*(COUNTIFS($G$17:$G$99,"入池",$M$17:$M$99,"&gt;=-1E+307",$M$17:$M$99,"&lt;"&amp;M19)+COUNTIFS($G$17:$G$99,"入池",$M$17:$M$99,"&gt;=-1E+307",$M$17:$M$99,"&lt;=1E+307",$M$17:$M$99,M19)/2-0.5)/(COUNTIFS($G$17:$G$99,"入池",$M$17:$M$99,"&gt;=-1E+307",$M$17:$M$99,"&lt;=1E+307")-1),2)))</x:f>
        <x:v>0</x:v>
      </x:c>
      <x:c r="R19" s="52" t="n">
        <x:f>IF(OR($G19&lt;&gt;"入池",NOT(ISNUMBER(P19))),"",IF(COUNTIFS($G$17:$G$99,"入池",$P$17:$P$99,"&gt;=-1E+307",$P$17:$P$99,"&lt;=1E+307")&lt;=1,'Sheet1-指标体系'!$J$18,ROUND('Sheet1-指标体系'!$J$18*(COUNTIFS($G$17:$G$99,"入池",$P$17:$P$99,"&gt;=-1E+307",$P$17:$P$99,"&lt;"&amp;P19)+COUNTIFS($G$17:$G$99,"入池",$P$17:$P$99,"&gt;=-1E+307",$P$17:$P$99,"&lt;=1E+307",$P$17:$P$99,P19)/2-0.5)/(COUNTIFS($G$17:$G$99,"入池",$P$17:$P$99,"&gt;=-1E+307",$P$17:$P$99,"&lt;=1E+307")-1),2)))</x:f>
        <x:v>46.3</x:v>
      </x:c>
      <x:c r="S19" s="52" t="n">
        <x:f>IF(COUNT(Q19,R19)=0,"",ROUND((IF(ISNUMBER(Q19),Q19*'Sheet1-指标体系'!$G$7*'Sheet1-指标体系'!$J$8,0)+IF(ISNUMBER(R19),R19*'Sheet1-指标体系'!$G$7*'Sheet1-指标体系'!$J$9,0))/(IF(ISNUMBER(Q19),'Sheet1-指标体系'!$G$7*'Sheet1-指标体系'!$J$8,0)+IF(ISNUMBER(R19),'Sheet1-指标体系'!$G$7*'Sheet1-指标体系'!$J$9,0)),2))</x:f>
        <x:v>18.52</x:v>
      </x:c>
      <x:c r="T19" s="47" t="n">
        <x:f>IF(ISNUMBER('Sheet4-原始数据'!J4),'Sheet4-原始数据'!J4,"")</x:f>
        <x:v>0.3077</x:v>
      </x:c>
      <x:c r="U19" s="47" t="n">
        <x:f>IF(ISNUMBER('Sheet4-原始数据'!I4),'Sheet4-原始数据'!I4,"")</x:f>
        <x:v>0.5946</x:v>
      </x:c>
      <x:c r="V19" s="44" t="n">
        <x:f>IF(COUNT(T19:U19)&lt;&gt;2,"",(U19*'Sheet1-指标体系'!$J$6-T19*'Sheet1-指标体系'!$J$5)/'Sheet1-指标体系'!$J$7)</x:f>
        <x:v>0.7500041666666667</x:v>
      </x:c>
      <x:c r="W19" s="52" t="n">
        <x:f>IF(NOT(ISNUMBER(T19)),"",T19*'Sheet1-指标体系'!$J$18)</x:f>
        <x:v>30.769999999999996</x:v>
      </x:c>
      <x:c r="X19" s="52" t="n">
        <x:f>IF(G19&lt;&gt;"入池","",IF(ISNUMBER(V19),IF(AND(V19&gt;=0,V19&lt;=1),V19*'Sheet1-指标体系'!$J$18,IF(MAX(0,(F19-'Sheet1-指标体系'!$J$15)*'Sheet1-指标体系'!$J$20)&lt;'Sheet1-指标体系'!$J$19,'Sheet1-指标体系'!$J$18,"")),IF(MAX(0,(F19-'Sheet1-指标体系'!$J$15)*'Sheet1-指标体系'!$J$20)&lt;'Sheet1-指标体系'!$J$19,'Sheet1-指标体系'!$J$18,"")))</x:f>
        <x:v>75.00041666666667</x:v>
      </x:c>
      <x:c r="Y19" s="52" t="n">
        <x:f>IF(NOT(ISNUMBER(W19)),"",IF(COUNT(W19,X19)=0,"",ROUND((IF(ISNUMBER(W19),W19*'Sheet1-指标体系'!$G$8*'Sheet1-指标体系'!$J$8,0)+IF(ISNUMBER(X19),X19*'Sheet1-指标体系'!$G$8*'Sheet1-指标体系'!$J$9,0))/(IF(ISNUMBER(W19),'Sheet1-指标体系'!$G$8*'Sheet1-指标体系'!$J$8,0)+IF(ISNUMBER(X19),'Sheet1-指标体系'!$G$8*'Sheet1-指标体系'!$J$9,0)),2)))</x:f>
        <x:v>48.46</x:v>
      </x:c>
      <x:c r="Z19" s="44" t="n">
        <x:f>IF(COUNT(M19,AD19)&lt;&gt;2,"",IF(AD19=0,"",ABS(M19/AD19)))</x:f>
        <x:v>0.044875682231655556</x:v>
      </x:c>
      <x:c r="AA19" s="47" t="n">
        <x:f>IF(ISNUMBER('Sheet4-原始数据'!K4),'Sheet4-原始数据'!K4,"")</x:f>
        <x:v>0.045</x:v>
      </x:c>
      <x:c r="AB19" s="44" t="n">
        <x:f>IF(COUNT(Z19:AA19)=0,"",MAX(Z19:AA19))</x:f>
        <x:v>0.045</x:v>
      </x:c>
      <x:c r="AC19" s="52" t="n">
        <x:f>IF(OR($G19&lt;&gt;"入池",NOT(ISNUMBER(AB19))),"",IF(COUNTIFS($G$17:$G$99,"入池",$AB$17:$AB$99,"&gt;=-1E+307",$AB$17:$AB$99,"&lt;=1E+307")&lt;=1,'Sheet1-指标体系'!$J$18,ROUND('Sheet1-指标体系'!$J$18*(COUNTIFS($G$17:$G$99,"入池",$AB$17:$AB$99,"&lt;=1E+307",$AB$17:$AB$99,"&gt;"&amp;AB19)+COUNTIFS($G$17:$G$99,"入池",$AB$17:$AB$99,"&gt;=-1E+307",$AB$17:$AB$99,"&lt;=1E+307",$AB$17:$AB$99,AB19)/2-0.5)/(COUNTIFS($G$17:$G$99,"入池",$AB$17:$AB$99,"&gt;=-1E+307",$AB$17:$AB$99,"&lt;=1E+307")-1),2)))</x:f>
        <x:v>20.69</x:v>
      </x:c>
      <x:c r="AD19" s="48" t="n">
        <x:f>IF(ISNUMBER('Sheet4-原始数据'!M4),'Sheet4-原始数据'!M4,"")</x:f>
        <x:v>-0.3298</x:v>
      </x:c>
      <x:c r="AE19" s="44" t="n">
        <x:f>IF(COUNT(P19,AA19,Z19)&lt;&gt;3,"",IF(AA19&gt;Z19+'Sheet1-指标体系'!$J$11,AA19,""))</x:f>
        <x:v>0.045</x:v>
      </x:c>
      <x:c r="AF19" s="52" t="n">
        <x:f>IF(COUNT(P19,AE19)&lt;&gt;2,"",IF(AE19=0,"",P19/AE19))</x:f>
        <x:v>1.615477510006174</x:v>
      </x:c>
      <x:c r="AG19" s="52" t="n">
        <x:f>IF(OR($G19&lt;&gt;"入池",NOT(ISNUMBER(AD19))),"",IF(COUNTIFS($G$17:$G$99,"入池",$AD$17:$AD$99,"&gt;=-1E+307",$AD$17:$AD$99,"&lt;=1E+307")&lt;=1,'Sheet1-指标体系'!$J$18,ROUND('Sheet1-指标体系'!$J$18*(COUNTIFS($G$17:$G$99,"入池",$AD$17:$AD$99,"&gt;=-1E+307",$AD$17:$AD$99,"&lt;"&amp;AD19)+COUNTIFS($G$17:$G$99,"入池",$AD$17:$AD$99,"&gt;=-1E+307",$AD$17:$AD$99,"&lt;=1E+307",$AD$17:$AD$99,AD19)/2-0.5)/(COUNTIFS($G$17:$G$99,"入池",$AD$17:$AD$99,"&gt;=-1E+307",$AD$17:$AD$99,"&lt;=1E+307")-1),2)))</x:f>
        <x:v>0</x:v>
      </x:c>
      <x:c r="AH19" s="52" t="n">
        <x:f>IF(OR($G19&lt;&gt;"入池",NOT(ISNUMBER(AF19))),"",IF(COUNTIFS($G$17:$G$99,"入池",$AF$17:$AF$99,"&gt;=-1E+307",$AF$17:$AF$99,"&lt;=1E+307")&lt;=1,'Sheet1-指标体系'!$J$18,ROUND('Sheet1-指标体系'!$J$18*(COUNTIFS($G$17:$G$99,"入池",$AF$17:$AF$99,"&gt;=-1E+307",$AF$17:$AF$99,"&lt;"&amp;AF19)+COUNTIFS($G$17:$G$99,"入池",$AF$17:$AF$99,"&gt;=-1E+307",$AF$17:$AF$99,"&lt;=1E+307",$AF$17:$AF$99,AF19)/2-0.5)/(COUNTIFS($G$17:$G$99,"入池",$AF$17:$AF$99,"&gt;=-1E+307",$AF$17:$AF$99,"&lt;=1E+307")-1),2)))</x:f>
        <x:v>28.57</x:v>
      </x:c>
      <x:c r="AI19" s="52" t="n">
        <x:f>IF(COUNT(AG19,AH19)=0,"",ROUND((IF(ISNUMBER(AG19),AG19*'Sheet1-指标体系'!$G$10*'Sheet1-指标体系'!$J$8,0)+IF(ISNUMBER(AH19),AH19*'Sheet1-指标体系'!$G$10*'Sheet1-指标体系'!$J$9,0))/(IF(ISNUMBER(AG19),'Sheet1-指标体系'!$G$10*'Sheet1-指标体系'!$J$8,0)+IF(ISNUMBER(AH19),'Sheet1-指标体系'!$G$10*'Sheet1-指标体系'!$J$9,0)),2))</x:f>
        <x:v>11.43</x:v>
      </x:c>
      <x:c r="AJ19" s="44" t="n">
        <x:f>IF(NOT(ISNUMBER(F19)),"",IF(F19&gt;='Sheet1-指标体系'!$J$16,IF(ISNUMBER(N19),N19,""),IF(ISNUMBER(O19),O19,"")))</x:f>
        <x:v>0.042699999999999995</x:v>
      </x:c>
      <x:c r="AK19" s="52" t="n">
        <x:f>IF(OR(G19&lt;&gt;"入池",COUNT(M19,AJ19)&lt;&gt;2),"",IF(M19&gt;=AJ19,'Sheet1-指标体系'!$J$18,IF(AJ19-M19&lt;'Sheet1-指标体系'!$J$10,'Sheet1-指标体系'!$J$22,'Sheet1-指标体系'!$J$23)))</x:f>
        <x:v>80</x:v>
      </x:c>
      <x:c r="AL19" s="52" t="n">
        <x:f>IF(COUNT(I19,K19,L19)=0,"",ROUND((IF(ISNUMBER(I19),I19*'Sheet1-指标体系'!$G$4,0)+IF(ISNUMBER(K19),K19*'Sheet1-指标体系'!$G$5,0)+IF(ISNUMBER(L19),L19*'Sheet1-指标体系'!$G$6,0))/(IF(ISNUMBER(I19),'Sheet1-指标体系'!$G$4,0)+IF(ISNUMBER(K19),'Sheet1-指标体系'!$G$5,0)+IF(ISNUMBER(L19),'Sheet1-指标体系'!$G$6,0)),2))</x:f>
        <x:v>88</x:v>
      </x:c>
      <x:c r="AM19" s="52" t="n">
        <x:f>IF(COUNT(Q19,R19,W19,X19)=0,"",ROUND((IF(ISNUMBER(Q19),Q19*'Sheet1-指标体系'!$G$7*'Sheet1-指标体系'!$J$8,0)+IF(ISNUMBER(R19),R19*'Sheet1-指标体系'!$G$7*'Sheet1-指标体系'!$J$9,0)+IF(ISNUMBER(W19),W19*'Sheet1-指标体系'!$G$8*'Sheet1-指标体系'!$J$8,0)+IF(ISNUMBER(X19),X19*'Sheet1-指标体系'!$G$8*'Sheet1-指标体系'!$J$9,0))/(IF(ISNUMBER(Q19),'Sheet1-指标体系'!$G$7*'Sheet1-指标体系'!$J$8,0)+IF(ISNUMBER(R19),'Sheet1-指标体系'!$G$7*'Sheet1-指标体系'!$J$9,0)+IF(ISNUMBER(W19),'Sheet1-指标体系'!$G$8*'Sheet1-指标体系'!$J$8,0)+IF(ISNUMBER(X19),'Sheet1-指标体系'!$G$8*'Sheet1-指标体系'!$J$9,0)),2))</x:f>
        <x:v>27.5</x:v>
      </x:c>
      <x:c r="AN19" s="52" t="n">
        <x:f>IF(ISNUMBER(AC19),AC19,"")</x:f>
        <x:v>20.69</x:v>
      </x:c>
      <x:c r="AO19" s="52" t="n">
        <x:f>IF(COUNT(AG19,AH19)=0,"",ROUND((IF(ISNUMBER(AG19),AG19*'Sheet1-指标体系'!$G$10*'Sheet1-指标体系'!$J$8,0)+IF(ISNUMBER(AH19),AH19*'Sheet1-指标体系'!$G$10*'Sheet1-指标体系'!$J$9,0))/(IF(ISNUMBER(AG19),'Sheet1-指标体系'!$G$10*'Sheet1-指标体系'!$J$8,0)+IF(ISNUMBER(AH19),'Sheet1-指标体系'!$G$10*'Sheet1-指标体系'!$J$9,0)),2))</x:f>
        <x:v>11.43</x:v>
      </x:c>
      <x:c r="AP19" s="52" t="n">
        <x:f>IF(ISNUMBER(AK19),AK19,"")</x:f>
        <x:v>80</x:v>
      </x:c>
      <x:c r="AQ19" s="27" t="n">
        <x:f>IF(G19&lt;&gt;"入池",0,IF(ISNUMBER(I19),'Sheet1-指标体系'!$G$4,0)+IF(ISNUMBER(K19),'Sheet1-指标体系'!$G$5,0)+IF(ISNUMBER(L19),'Sheet1-指标体系'!$G$6,0)+IF(ISNUMBER(Q19),'Sheet1-指标体系'!$G$7*'Sheet1-指标体系'!$J$8,0)+IF(ISNUMBER(R19),'Sheet1-指标体系'!$G$7*'Sheet1-指标体系'!$J$9,0)+IF(ISNUMBER(W19),'Sheet1-指标体系'!$G$8*'Sheet1-指标体系'!$J$8,0)+IF(ISNUMBER(X19),'Sheet1-指标体系'!$G$8*'Sheet1-指标体系'!$J$9,0)+IF(ISNUMBER(AC19),'Sheet1-指标体系'!$G$9,0)+IF(ISNUMBER(AG19),'Sheet1-指标体系'!$G$10*'Sheet1-指标体系'!$J$8,0)+IF(ISNUMBER(AH19),'Sheet1-指标体系'!$G$10*'Sheet1-指标体系'!$J$9,0)+IF(ISNUMBER(AK19),'Sheet1-指标体系'!$G$11,0))</x:f>
        <x:v>1</x:v>
      </x:c>
      <x:c r="AR19" s="52" t="n">
        <x:f>IF(AQ19=0,"",IF(ISNUMBER(I19),I19*'Sheet1-指标体系'!$G$4,0)+IF(ISNUMBER(K19),K19*'Sheet1-指标体系'!$G$5,0)+IF(ISNUMBER(L19),L19*'Sheet1-指标体系'!$G$6,0)+IF(ISNUMBER(Q19),Q19*'Sheet1-指标体系'!$G$7*'Sheet1-指标体系'!$J$8,0)+IF(ISNUMBER(R19),R19*'Sheet1-指标体系'!$G$7*'Sheet1-指标体系'!$J$9,0)+IF(ISNUMBER(W19),W19*'Sheet1-指标体系'!$G$8*'Sheet1-指标体系'!$J$8,0)+IF(ISNUMBER(X19),X19*'Sheet1-指标体系'!$G$8*'Sheet1-指标体系'!$J$9,0)+IF(ISNUMBER(AC19),AC19*'Sheet1-指标体系'!$G$9,0)+IF(ISNUMBER(AG19),AG19*'Sheet1-指标体系'!$G$10*'Sheet1-指标体系'!$J$8,0)+IF(ISNUMBER(AH19),AH19*'Sheet1-指标体系'!$G$10*'Sheet1-指标体系'!$J$9,0)+IF(ISNUMBER(AK19),AK19*'Sheet1-指标体系'!$G$11,0))</x:f>
        <x:v>35.301429999999996</x:v>
      </x:c>
      <x:c r="AS19" s="52" t="n">
        <x:f>IF(AQ19=0,"",ROUND(AR19/AQ19,2))</x:f>
        <x:v>35.3</x:v>
      </x:c>
      <x:c r="AT19" s="49" t="n">
        <x:f>IF(OR(G19&lt;&gt;"入池",NOT(ISNUMBER(AS19))),"",COUNTIFS($G$17:$G$99,"入池",$AS$17:$AS$99,"&gt;"&amp;AS19)+COUNTIFS($G$17:$G$99,"入池",$AS$17:$AS$99,AS19,$AQ$17:$AQ$99,"&gt;"&amp;AQ19)+COUNTIFS($G$17:G19,"入池",$AS$17:AS19,AS19,$AQ$17:AQ19,AQ19))</x:f>
        <x:v>76</x:v>
      </x:c>
      <x:c r="AU19" s="53" t="str">
        <x:f>IF(NOT(ISNUMBER(I19)),"管理人规模；","")&amp;IF(NOT(ISNUMBER(K19)),"产品规模标识；","")&amp;IF(NOT(ISNUMBER(M19)),"近一年收益；","")&amp;IF(NOT(ISNUMBER(T19)),"近一年胜率；","")&amp;IF(NOT(ISNUMBER(N19)),"近三年收益；","")&amp;IF(NOT(ISNUMBER(U19)),"近三年胜率；","")&amp;IF(NOT(ISNUMBER(AA19)),"近三年回撤；","")&amp;IF(NOT(ISNUMBER(AD19)),"近一年卡玛；","")&amp;IF(ISNUMBER(F19),IF(AND(F19&lt;'Sheet1-指标体系'!$J$16,NOT(ISNUMBER(O19))),"成立以来年化；",""),"成立日期；")&amp;IF(ISNUMBER(V19),IF(OR(V19&lt;0,V19&gt;1),"胜率窗口口径不一致；",""),"")&amp;IF(ISNUMBER(P19),IF(NOT(ISNUMBER(AE19)),"DD_long不可识别；",""),"")</x:f>
      </x:c>
      <x:c r="AV19" s="52" t="n">
        <x:f>IF(ROUND(AQ19,10)=ROUND('Sheet1-指标体系'!$J$25,10),AR19,"")</x:f>
        <x:v>35.301429999999996</x:v>
      </x:c>
      <x:c r="AW19" s="14" t="str">
        <x:f>IF(G19&lt;&gt;"入池",G19,IF(AQ19=0,"无有效评分数据",IF(ROUND(AQ19,10)=ROUND('Sheet1-指标体系'!$J$25,10),"完整赋分", "暂定分／数据不完整")))</x:f>
        <x:v>完整赋分</x:v>
      </x:c>
      <x:c r="AX19" s="45" t="str">
        <x:f>IF('Sheet4-原始数据'!C4="","",'Sheet4-原始数据'!C4)</x:f>
        <x:v>套利策略</x:v>
      </x:c>
      <x:c r="AY19" s="45" t="str">
        <x:f>IF('Sheet4-原始数据'!D4="","",'Sheet4-原始数据'!D4)</x:f>
        <x:v>可转债套利</x:v>
      </x:c>
      <x:c r="AZ19" s="45" t="str">
        <x:f>IF('Sheet5-查询核对'!S4="","",'Sheet5-查询核对'!S4)</x:f>
        <x:v>套利策略—可转债套利</x:v>
      </x:c>
      <x:c r="BA19" s="51" t="n">
        <x:f>IF('Sheet5-查询核对'!A4="","",'Sheet5-查询核对'!A4)</x:f>
        <x:v>4</x:v>
      </x:c>
      <x:c r="BB19" s="45" t="str">
        <x:f>IF('Sheet5-查询核对'!F4="","",'Sheet5-查询核对'!F4)</x:f>
        <x:v>备案号匹配</x:v>
      </x:c>
      <x:c r="BC19" s="50" t="str">
        <x:f>IF('Sheet5-查询核对'!I4="","",'Sheet5-查询核对'!I4)</x:f>
        <x:v>https://mp.fof99.com/fund/view/9b20523c2bad1cdc</x:v>
      </x:c>
      <x:c r="BD19" s="46" t="n">
        <x:f>IF('Sheet5-查询核对'!H4="","",'Sheet5-查询核对'!H4)</x:f>
        <x:v>46269</x:v>
      </x:c>
      <x:c r="BE19" s="50" t="str">
        <x:f>IF('Sheet5-查询核对'!L4="","",'Sheet5-查询核对'!L4)</x:f>
        <x:v>https://mp.fof99.com/fund/view/9b20523c2bad1cdc</x:v>
      </x:c>
      <x:c r="BF19" s="46" t="n">
        <x:f>IF('Sheet5-查询核对'!M4="","",'Sheet5-查询核对'!M4)</x:f>
        <x:v>46275</x:v>
      </x:c>
      <x:c r="BG19" s="50" t="str">
        <x:f>IF('Sheet5-查询核对'!O4="","",'Sheet5-查询核对'!O4)</x:f>
        <x:v>https://gs.amac.org.cn/amac-infodisc/res/pof/fund/2208121907108282.html</x:v>
      </x:c>
      <x:c r="BH19" s="46" t="n">
        <x:f>IF('Sheet5-查询核对'!P4="","",'Sheet5-查询核对'!P4)</x:f>
        <x:v>46275</x:v>
      </x:c>
      <x:c r="BI19" s="45" t="str">
        <x:f>IF('Sheet5-查询核对'!D4="","",'Sheet5-查询核对'!D4)</x:f>
        <x:v>SVY871</x:v>
      </x:c>
      <x:c r="BJ19" t="n">
        <x:f>IF(ISNUMBER(AT19),AT19,COUNT($AT$17:$AT$99)+ROWS($AT$17:AT19)-COUNT($AT$17:AT19))</x:f>
        <x:v>76</x:v>
      </x:c>
    </x:row>
    <x:row r="20" ht="44" customHeight="1">
      <x:c r="A20" s="49" t="n">
        <x:f>'Sheet5-查询核对'!A5-1</x:f>
        <x:v>4</x:v>
      </x:c>
      <x:c r="B20" s="50" t="str">
        <x:f>IF('Sheet4-原始数据'!A5="",'Sheet5-查询核对'!B5,'Sheet4-原始数据'!A5)</x:f>
        <x:v>博润小牛3号</x:v>
      </x:c>
      <x:c r="C20" s="45" t="str">
        <x:f>IF('Sheet4-原始数据'!B5="","",'Sheet4-原始数据'!B5)</x:f>
        <x:v>STV728</x:v>
      </x:c>
      <x:c r="D20" s="45" t="str">
        <x:f>IF('Sheet4-原始数据'!E5="","",'Sheet4-原始数据'!E5)</x:f>
        <x:v>北京博润银泰投资</x:v>
      </x:c>
      <x:c r="E20" s="46" t="n">
        <x:f>IF('Sheet4-原始数据'!F5="","",'Sheet4-原始数据'!F5)</x:f>
        <x:v>44624</x:v>
      </x:c>
      <x:c r="F20" s="52" t="n">
        <x:f>IF(ISNUMBER(E20),ROUND(('Sheet1-指标体系'!$J$12-E20)/'Sheet1-指标体系'!$J$14,4),"")</x:f>
        <x:v>4.5202</x:v>
      </x:c>
      <x:c r="G20" s="14" t="str">
        <x:f>IF(C20="","未匹配",IF(NOT(ISNUMBER(F20)),"缺成立日期",IF(F20&lt;'Sheet1-指标体系'!$J$15,"不入池","入池")))</x:f>
        <x:v>入池</x:v>
      </x:c>
      <x:c r="H20" s="45" t="str">
        <x:f>IF('Sheet5-查询核对'!K5="","",'Sheet5-查询核对'!K5)</x:f>
        <x:v>100亿元以上</x:v>
      </x:c>
      <x:c r="I20" s="52" t="n">
        <x:f>IF(H20="","",IF(COUNTIF('Sheet1-指标体系'!$P$4:$P$10,H20)=0,"",INDEX('Sheet1-指标体系'!$Q$4:$Q$10,MATCH(H20,'Sheet1-指标体系'!$P$4:$P$10,0))))</x:f>
        <x:v>100</x:v>
      </x:c>
      <x:c r="J20" s="54" t="str">
        <x:f>IF(NOT(ISNUMBER('Sheet5-查询核对'!N5)),"",IF('Sheet5-查询核对'!N5=1,"低于"&amp;'Sheet1-指标体系'!$J$4&amp;"万元",IF('Sheet5-查询核对'!N5=0,"无低于"&amp;'Sheet1-指标体系'!$J$4&amp;"万元标识","")))</x:f>
        <x:v>无低于1000万元标识</x:v>
      </x:c>
      <x:c r="K20" s="52" t="n">
        <x:f>IF(NOT(ISNUMBER('Sheet5-查询核对'!N5)),"",IF('Sheet5-查询核对'!N5=1,'Sheet1-指标体系'!$J$21,IF('Sheet5-查询核对'!N5=0,'Sheet1-指标体系'!$J$18,"")))</x:f>
        <x:v>100</x:v>
      </x:c>
      <x:c r="L20" s="52" t="n">
        <x:f>IF(NOT(ISNUMBER(F20)),"",IF(F20&lt;'Sheet1-指标体系'!$J$15,"",IF(F20&lt;'Sheet1-指标体系'!$J$16,'Sheet1-指标体系'!$J$17,'Sheet1-指标体系'!$J$18)))</x:f>
        <x:v>100</x:v>
      </x:c>
      <x:c r="M20" s="47" t="n">
        <x:f>IF(ISNUMBER('Sheet4-原始数据'!G5),'Sheet4-原始数据'!G5,"")</x:f>
        <x:v>0.1551</x:v>
      </x:c>
      <x:c r="N20" s="47" t="n">
        <x:f>IF(ISNUMBER('Sheet4-原始数据'!H5),'Sheet4-原始数据'!H5,"")</x:f>
        <x:v>0.168</x:v>
      </x:c>
      <x:c r="O20" s="47" t="n">
        <x:f>IF(ISNUMBER('Sheet5-查询核对'!Q5),'Sheet5-查询核对'!Q5,"")</x:f>
        <x:v>0.1427</x:v>
      </x:c>
      <x:c r="P20" s="44" t="n">
        <x:f>IF($G20&lt;&gt;"入池","",IF($F20&gt;='Sheet1-指标体系'!$J$16,IF(COUNT(M20,N20)&lt;&gt;2,"",IF(OR(1+M20&lt;=0,1+N20&lt;0),"",((1+N20)^'Sheet1-指标体系'!$J$16/(1+M20))^(1/('Sheet1-指标体系'!$J$16-'Sheet1-指标体系'!$J$15))-1)),IF(COUNT(M20,O20)&lt;&gt;2,"",IF(OR(F20&lt;='Sheet1-指标体系'!$J$15,1+M20&lt;=0,1+O20&lt;0),"",((1+O20)^F20/(1+M20))^(1/(F20-'Sheet1-指标体系'!$J$15))-1))))</x:f>
        <x:v>0.17450392440565743</x:v>
      </x:c>
      <x:c r="Q20" s="52" t="n">
        <x:f>IF(OR($G20&lt;&gt;"入池",NOT(ISNUMBER(M20))),"",IF(COUNTIFS($G$17:$G$99,"入池",$M$17:$M$99,"&gt;=-1E+307",$M$17:$M$99,"&lt;=1E+307")&lt;=1,'Sheet1-指标体系'!$J$18,ROUND('Sheet1-指标体系'!$J$18*(COUNTIFS($G$17:$G$99,"入池",$M$17:$M$99,"&gt;=-1E+307",$M$17:$M$99,"&lt;"&amp;M20)+COUNTIFS($G$17:$G$99,"入池",$M$17:$M$99,"&gt;=-1E+307",$M$17:$M$99,"&lt;=1E+307",$M$17:$M$99,M20)/2-0.5)/(COUNTIFS($G$17:$G$99,"入池",$M$17:$M$99,"&gt;=-1E+307",$M$17:$M$99,"&lt;=1E+307")-1),2)))</x:f>
        <x:v>82.14</x:v>
      </x:c>
      <x:c r="R20" s="52" t="n">
        <x:f>IF(OR($G20&lt;&gt;"入池",NOT(ISNUMBER(P20))),"",IF(COUNTIFS($G$17:$G$99,"入池",$P$17:$P$99,"&gt;=-1E+307",$P$17:$P$99,"&lt;=1E+307")&lt;=1,'Sheet1-指标体系'!$J$18,ROUND('Sheet1-指标体系'!$J$18*(COUNTIFS($G$17:$G$99,"入池",$P$17:$P$99,"&gt;=-1E+307",$P$17:$P$99,"&lt;"&amp;P20)+COUNTIFS($G$17:$G$99,"入池",$P$17:$P$99,"&gt;=-1E+307",$P$17:$P$99,"&lt;=1E+307",$P$17:$P$99,P20)/2-0.5)/(COUNTIFS($G$17:$G$99,"入池",$P$17:$P$99,"&gt;=-1E+307",$P$17:$P$99,"&lt;=1E+307")-1),2)))</x:f>
        <x:v>96.3</x:v>
      </x:c>
      <x:c r="S20" s="52" t="n">
        <x:f>IF(COUNT(Q20,R20)=0,"",ROUND((IF(ISNUMBER(Q20),Q20*'Sheet1-指标体系'!$G$7*'Sheet1-指标体系'!$J$8,0)+IF(ISNUMBER(R20),R20*'Sheet1-指标体系'!$G$7*'Sheet1-指标体系'!$J$9,0))/(IF(ISNUMBER(Q20),'Sheet1-指标体系'!$G$7*'Sheet1-指标体系'!$J$8,0)+IF(ISNUMBER(R20),'Sheet1-指标体系'!$G$7*'Sheet1-指标体系'!$J$9,0)),2))</x:f>
        <x:v>87.8</x:v>
      </x:c>
      <x:c r="T20" s="47" t="n">
        <x:f>IF(ISNUMBER('Sheet4-原始数据'!J5),'Sheet4-原始数据'!J5,"")</x:f>
        <x:v>0.8462000000000001</x:v>
      </x:c>
      <x:c r="U20" s="47" t="n">
        <x:f>IF(ISNUMBER('Sheet4-原始数据'!I5),'Sheet4-原始数据'!I5,"")</x:f>
        <x:v>0.8378</x:v>
      </x:c>
      <x:c r="V20" s="44" t="n">
        <x:f>IF(COUNT(T20:U20)&lt;&gt;2,"",(U20*'Sheet1-指标体系'!$J$6-T20*'Sheet1-指标体系'!$J$5)/'Sheet1-指标体系'!$J$7)</x:f>
        <x:v>0.8332499999999999</x:v>
      </x:c>
      <x:c r="W20" s="52" t="n">
        <x:f>IF(NOT(ISNUMBER(T20)),"",T20*'Sheet1-指标体系'!$J$18)</x:f>
        <x:v>84.62</x:v>
      </x:c>
      <x:c r="X20" s="52" t="n">
        <x:f>IF(G20&lt;&gt;"入池","",IF(ISNUMBER(V20),IF(AND(V20&gt;=0,V20&lt;=1),V20*'Sheet1-指标体系'!$J$18,IF(MAX(0,(F20-'Sheet1-指标体系'!$J$15)*'Sheet1-指标体系'!$J$20)&lt;'Sheet1-指标体系'!$J$19,'Sheet1-指标体系'!$J$18,"")),IF(MAX(0,(F20-'Sheet1-指标体系'!$J$15)*'Sheet1-指标体系'!$J$20)&lt;'Sheet1-指标体系'!$J$19,'Sheet1-指标体系'!$J$18,"")))</x:f>
        <x:v>83.32499999999999</x:v>
      </x:c>
      <x:c r="Y20" s="52" t="n">
        <x:f>IF(NOT(ISNUMBER(W20)),"",IF(COUNT(W20,X20)=0,"",ROUND((IF(ISNUMBER(W20),W20*'Sheet1-指标体系'!$G$8*'Sheet1-指标体系'!$J$8,0)+IF(ISNUMBER(X20),X20*'Sheet1-指标体系'!$G$8*'Sheet1-指标体系'!$J$9,0))/(IF(ISNUMBER(W20),'Sheet1-指标体系'!$G$8*'Sheet1-指标体系'!$J$8,0)+IF(ISNUMBER(X20),'Sheet1-指标体系'!$G$8*'Sheet1-指标体系'!$J$9,0)),2)))</x:f>
        <x:v>84.1</x:v>
      </x:c>
      <x:c r="Z20" s="44" t="n">
        <x:f>IF(COUNT(M20,AD20)&lt;&gt;2,"",IF(AD20=0,"",ABS(M20/AD20)))</x:f>
        <x:v>0.021523730224812652</x:v>
      </x:c>
      <x:c r="AA20" s="47" t="n">
        <x:f>IF(ISNUMBER('Sheet4-原始数据'!K5),'Sheet4-原始数据'!K5,"")</x:f>
        <x:v>0.0223</x:v>
      </x:c>
      <x:c r="AB20" s="44" t="n">
        <x:f>IF(COUNT(Z20:AA20)=0,"",MAX(Z20:AA20))</x:f>
        <x:v>0.0223</x:v>
      </x:c>
      <x:c r="AC20" s="52" t="n">
        <x:f>IF(OR($G20&lt;&gt;"入池",NOT(ISNUMBER(AB20))),"",IF(COUNTIFS($G$17:$G$99,"入池",$AB$17:$AB$99,"&gt;=-1E+307",$AB$17:$AB$99,"&lt;=1E+307")&lt;=1,'Sheet1-指标体系'!$J$18,ROUND('Sheet1-指标体系'!$J$18*(COUNTIFS($G$17:$G$99,"入池",$AB$17:$AB$99,"&lt;=1E+307",$AB$17:$AB$99,"&gt;"&amp;AB20)+COUNTIFS($G$17:$G$99,"入池",$AB$17:$AB$99,"&gt;=-1E+307",$AB$17:$AB$99,"&lt;=1E+307",$AB$17:$AB$99,AB20)/2-0.5)/(COUNTIFS($G$17:$G$99,"入池",$AB$17:$AB$99,"&gt;=-1E+307",$AB$17:$AB$99,"&lt;=1E+307")-1),2)))</x:f>
        <x:v>56.9</x:v>
      </x:c>
      <x:c r="AD20" s="48" t="n">
        <x:f>IF(ISNUMBER('Sheet4-原始数据'!M5),'Sheet4-原始数据'!M5,"")</x:f>
        <x:v>7.206</x:v>
      </x:c>
      <x:c r="AE20" s="44" t="n">
        <x:f>IF(COUNT(P20,AA20,Z20)&lt;&gt;3,"",IF(AA20&gt;Z20+'Sheet1-指标体系'!$J$11,AA20,""))</x:f>
        <x:v>0.0223</x:v>
      </x:c>
      <x:c r="AF20" s="52" t="n">
        <x:f>IF(COUNT(P20,AE20)&lt;&gt;2,"",IF(AE20=0,"",P20/AE20))</x:f>
        <x:v>7.825288089939795</x:v>
      </x:c>
      <x:c r="AG20" s="52" t="n">
        <x:f>IF(OR($G20&lt;&gt;"入池",NOT(ISNUMBER(AD20))),"",IF(COUNTIFS($G$17:$G$99,"入池",$AD$17:$AD$99,"&gt;=-1E+307",$AD$17:$AD$99,"&lt;=1E+307")&lt;=1,'Sheet1-指标体系'!$J$18,ROUND('Sheet1-指标体系'!$J$18*(COUNTIFS($G$17:$G$99,"入池",$AD$17:$AD$99,"&gt;=-1E+307",$AD$17:$AD$99,"&lt;"&amp;AD20)+COUNTIFS($G$17:$G$99,"入池",$AD$17:$AD$99,"&gt;=-1E+307",$AD$17:$AD$99,"&lt;=1E+307",$AD$17:$AD$99,AD20)/2-0.5)/(COUNTIFS($G$17:$G$99,"入池",$AD$17:$AD$99,"&gt;=-1E+307",$AD$17:$AD$99,"&lt;=1E+307")-1),2)))</x:f>
        <x:v>47.27</x:v>
      </x:c>
      <x:c r="AH20" s="52" t="n">
        <x:f>IF(OR($G20&lt;&gt;"入池",NOT(ISNUMBER(AF20))),"",IF(COUNTIFS($G$17:$G$99,"入池",$AF$17:$AF$99,"&gt;=-1E+307",$AF$17:$AF$99,"&lt;=1E+307")&lt;=1,'Sheet1-指标体系'!$J$18,ROUND('Sheet1-指标体系'!$J$18*(COUNTIFS($G$17:$G$99,"入池",$AF$17:$AF$99,"&gt;=-1E+307",$AF$17:$AF$99,"&lt;"&amp;AF20)+COUNTIFS($G$17:$G$99,"入池",$AF$17:$AF$99,"&gt;=-1E+307",$AF$17:$AF$99,"&lt;=1E+307",$AF$17:$AF$99,AF20)/2-0.5)/(COUNTIFS($G$17:$G$99,"入池",$AF$17:$AF$99,"&gt;=-1E+307",$AF$17:$AF$99,"&lt;=1E+307")-1),2)))</x:f>
        <x:v>78.57</x:v>
      </x:c>
      <x:c r="AI20" s="52" t="n">
        <x:f>IF(COUNT(AG20,AH20)=0,"",ROUND((IF(ISNUMBER(AG20),AG20*'Sheet1-指标体系'!$G$10*'Sheet1-指标体系'!$J$8,0)+IF(ISNUMBER(AH20),AH20*'Sheet1-指标体系'!$G$10*'Sheet1-指标体系'!$J$9,0))/(IF(ISNUMBER(AG20),'Sheet1-指标体系'!$G$10*'Sheet1-指标体系'!$J$8,0)+IF(ISNUMBER(AH20),'Sheet1-指标体系'!$G$10*'Sheet1-指标体系'!$J$9,0)),2))</x:f>
        <x:v>59.79</x:v>
      </x:c>
      <x:c r="AJ20" s="44" t="n">
        <x:f>IF(NOT(ISNUMBER(F20)),"",IF(F20&gt;='Sheet1-指标体系'!$J$16,IF(ISNUMBER(N20),N20,""),IF(ISNUMBER(O20),O20,"")))</x:f>
        <x:v>0.168</x:v>
      </x:c>
      <x:c r="AK20" s="52" t="n">
        <x:f>IF(OR(G20&lt;&gt;"入池",COUNT(M20,AJ20)&lt;&gt;2),"",IF(M20&gt;=AJ20,'Sheet1-指标体系'!$J$18,IF(AJ20-M20&lt;'Sheet1-指标体系'!$J$10,'Sheet1-指标体系'!$J$22,'Sheet1-指标体系'!$J$23)))</x:f>
        <x:v>80</x:v>
      </x:c>
      <x:c r="AL20" s="52" t="n">
        <x:f>IF(COUNT(I20,K20,L20)=0,"",ROUND((IF(ISNUMBER(I20),I20*'Sheet1-指标体系'!$G$4,0)+IF(ISNUMBER(K20),K20*'Sheet1-指标体系'!$G$5,0)+IF(ISNUMBER(L20),L20*'Sheet1-指标体系'!$G$6,0))/(IF(ISNUMBER(I20),'Sheet1-指标体系'!$G$4,0)+IF(ISNUMBER(K20),'Sheet1-指标体系'!$G$5,0)+IF(ISNUMBER(L20),'Sheet1-指标体系'!$G$6,0)),2))</x:f>
        <x:v>100</x:v>
      </x:c>
      <x:c r="AM20" s="52" t="n">
        <x:f>IF(COUNT(Q20,R20,W20,X20)=0,"",ROUND((IF(ISNUMBER(Q20),Q20*'Sheet1-指标体系'!$G$7*'Sheet1-指标体系'!$J$8,0)+IF(ISNUMBER(R20),R20*'Sheet1-指标体系'!$G$7*'Sheet1-指标体系'!$J$9,0)+IF(ISNUMBER(W20),W20*'Sheet1-指标体系'!$G$8*'Sheet1-指标体系'!$J$8,0)+IF(ISNUMBER(X20),X20*'Sheet1-指标体系'!$G$8*'Sheet1-指标体系'!$J$9,0))/(IF(ISNUMBER(Q20),'Sheet1-指标体系'!$G$7*'Sheet1-指标体系'!$J$8,0)+IF(ISNUMBER(R20),'Sheet1-指标体系'!$G$7*'Sheet1-指标体系'!$J$9,0)+IF(ISNUMBER(W20),'Sheet1-指标体系'!$G$8*'Sheet1-指标体系'!$J$8,0)+IF(ISNUMBER(X20),'Sheet1-指标体系'!$G$8*'Sheet1-指标体系'!$J$9,0)),2))</x:f>
        <x:v>86.69</x:v>
      </x:c>
      <x:c r="AN20" s="52" t="n">
        <x:f>IF(ISNUMBER(AC20),AC20,"")</x:f>
        <x:v>56.9</x:v>
      </x:c>
      <x:c r="AO20" s="52" t="n">
        <x:f>IF(COUNT(AG20,AH20)=0,"",ROUND((IF(ISNUMBER(AG20),AG20*'Sheet1-指标体系'!$G$10*'Sheet1-指标体系'!$J$8,0)+IF(ISNUMBER(AH20),AH20*'Sheet1-指标体系'!$G$10*'Sheet1-指标体系'!$J$9,0))/(IF(ISNUMBER(AG20),'Sheet1-指标体系'!$G$10*'Sheet1-指标体系'!$J$8,0)+IF(ISNUMBER(AH20),'Sheet1-指标体系'!$G$10*'Sheet1-指标体系'!$J$9,0)),2))</x:f>
        <x:v>59.79</x:v>
      </x:c>
      <x:c r="AP20" s="52" t="n">
        <x:f>IF(ISNUMBER(AK20),AK20,"")</x:f>
        <x:v>80</x:v>
      </x:c>
      <x:c r="AQ20" s="27" t="n">
        <x:f>IF(G20&lt;&gt;"入池",0,IF(ISNUMBER(I20),'Sheet1-指标体系'!$G$4,0)+IF(ISNUMBER(K20),'Sheet1-指标体系'!$G$5,0)+IF(ISNUMBER(L20),'Sheet1-指标体系'!$G$6,0)+IF(ISNUMBER(Q20),'Sheet1-指标体系'!$G$7*'Sheet1-指标体系'!$J$8,0)+IF(ISNUMBER(R20),'Sheet1-指标体系'!$G$7*'Sheet1-指标体系'!$J$9,0)+IF(ISNUMBER(W20),'Sheet1-指标体系'!$G$8*'Sheet1-指标体系'!$J$8,0)+IF(ISNUMBER(X20),'Sheet1-指标体系'!$G$8*'Sheet1-指标体系'!$J$9,0)+IF(ISNUMBER(AC20),'Sheet1-指标体系'!$G$9,0)+IF(ISNUMBER(AG20),'Sheet1-指标体系'!$G$10*'Sheet1-指标体系'!$J$8,0)+IF(ISNUMBER(AH20),'Sheet1-指标体系'!$G$10*'Sheet1-指标体系'!$J$9,0)+IF(ISNUMBER(AK20),'Sheet1-指标体系'!$G$11,0))</x:f>
        <x:v>1</x:v>
      </x:c>
      <x:c r="AR20" s="52" t="n">
        <x:f>IF(AQ20=0,"",IF(ISNUMBER(I20),I20*'Sheet1-指标体系'!$G$4,0)+IF(ISNUMBER(K20),K20*'Sheet1-指标体系'!$G$5,0)+IF(ISNUMBER(L20),L20*'Sheet1-指标体系'!$G$6,0)+IF(ISNUMBER(Q20),Q20*'Sheet1-指标体系'!$G$7*'Sheet1-指标体系'!$J$8,0)+IF(ISNUMBER(R20),R20*'Sheet1-指标体系'!$G$7*'Sheet1-指标体系'!$J$9,0)+IF(ISNUMBER(W20),W20*'Sheet1-指标体系'!$G$8*'Sheet1-指标体系'!$J$8,0)+IF(ISNUMBER(X20),X20*'Sheet1-指标体系'!$G$8*'Sheet1-指标体系'!$J$9,0)+IF(ISNUMBER(AC20),AC20*'Sheet1-指标体系'!$G$9,0)+IF(ISNUMBER(AG20),AG20*'Sheet1-指标体系'!$G$10*'Sheet1-指标体系'!$J$8,0)+IF(ISNUMBER(AH20),AH20*'Sheet1-指标体系'!$G$10*'Sheet1-指标体系'!$J$9,0)+IF(ISNUMBER(AK20),AK20*'Sheet1-指标体系'!$G$11,0))</x:f>
        <x:v>72.50068</x:v>
      </x:c>
      <x:c r="AS20" s="52" t="n">
        <x:f>IF(AQ20=0,"",ROUND(AR20/AQ20,2))</x:f>
        <x:v>72.5</x:v>
      </x:c>
      <x:c r="AT20" s="49" t="n">
        <x:f>IF(OR(G20&lt;&gt;"入池",NOT(ISNUMBER(AS20))),"",COUNTIFS($G$17:$G$99,"入池",$AS$17:$AS$99,"&gt;"&amp;AS20)+COUNTIFS($G$17:$G$99,"入池",$AS$17:$AS$99,AS20,$AQ$17:$AQ$99,"&gt;"&amp;AQ20)+COUNTIFS($G$17:G20,"入池",$AS$17:AS20,AS20,$AQ$17:AQ20,AQ20))</x:f>
        <x:v>38</x:v>
      </x:c>
      <x:c r="AU20" s="53" t="str">
        <x:f>IF(NOT(ISNUMBER(I20)),"管理人规模；","")&amp;IF(NOT(ISNUMBER(K20)),"产品规模标识；","")&amp;IF(NOT(ISNUMBER(M20)),"近一年收益；","")&amp;IF(NOT(ISNUMBER(T20)),"近一年胜率；","")&amp;IF(NOT(ISNUMBER(N20)),"近三年收益；","")&amp;IF(NOT(ISNUMBER(U20)),"近三年胜率；","")&amp;IF(NOT(ISNUMBER(AA20)),"近三年回撤；","")&amp;IF(NOT(ISNUMBER(AD20)),"近一年卡玛；","")&amp;IF(ISNUMBER(F20),IF(AND(F20&lt;'Sheet1-指标体系'!$J$16,NOT(ISNUMBER(O20))),"成立以来年化；",""),"成立日期；")&amp;IF(ISNUMBER(V20),IF(OR(V20&lt;0,V20&gt;1),"胜率窗口口径不一致；",""),"")&amp;IF(ISNUMBER(P20),IF(NOT(ISNUMBER(AE20)),"DD_long不可识别；",""),"")</x:f>
      </x:c>
      <x:c r="AV20" s="52" t="n">
        <x:f>IF(ROUND(AQ20,10)=ROUND('Sheet1-指标体系'!$J$25,10),AR20,"")</x:f>
        <x:v>72.50068</x:v>
      </x:c>
      <x:c r="AW20" s="14" t="str">
        <x:f>IF(G20&lt;&gt;"入池",G20,IF(AQ20=0,"无有效评分数据",IF(ROUND(AQ20,10)=ROUND('Sheet1-指标体系'!$J$25,10),"完整赋分", "暂定分／数据不完整")))</x:f>
        <x:v>完整赋分</x:v>
      </x:c>
      <x:c r="AX20" s="45" t="str">
        <x:f>IF('Sheet4-原始数据'!C5="","",'Sheet4-原始数据'!C5)</x:f>
        <x:v>套利策略</x:v>
      </x:c>
      <x:c r="AY20" s="45" t="str">
        <x:f>IF('Sheet4-原始数据'!D5="","",'Sheet4-原始数据'!D5)</x:f>
        <x:v>基金套利</x:v>
      </x:c>
      <x:c r="AZ20" s="45" t="str">
        <x:f>IF('Sheet5-查询核对'!S5="","",'Sheet5-查询核对'!S5)</x:f>
        <x:v>套利策略—基金套利</x:v>
      </x:c>
      <x:c r="BA20" s="51" t="n">
        <x:f>IF('Sheet5-查询核对'!A5="","",'Sheet5-查询核对'!A5)</x:f>
        <x:v>5</x:v>
      </x:c>
      <x:c r="BB20" s="45" t="str">
        <x:f>IF('Sheet5-查询核对'!F5="","",'Sheet5-查询核对'!F5)</x:f>
        <x:v>备案号匹配</x:v>
      </x:c>
      <x:c r="BC20" s="50" t="str">
        <x:f>IF('Sheet5-查询核对'!I5="","",'Sheet5-查询核对'!I5)</x:f>
        <x:v>https://mp.fof99.com/fund/view/783b8a029943d82b</x:v>
      </x:c>
      <x:c r="BD20" s="46" t="n">
        <x:f>IF('Sheet5-查询核对'!H5="","",'Sheet5-查询核对'!H5)</x:f>
        <x:v>46269</x:v>
      </x:c>
      <x:c r="BE20" s="50" t="str">
        <x:f>IF('Sheet5-查询核对'!L5="","",'Sheet5-查询核对'!L5)</x:f>
        <x:v>https://mp.fof99.com/fund/view/783b8a029943d82b</x:v>
      </x:c>
      <x:c r="BF20" s="46" t="n">
        <x:f>IF('Sheet5-查询核对'!M5="","",'Sheet5-查询核对'!M5)</x:f>
        <x:v>46275</x:v>
      </x:c>
      <x:c r="BG20" s="50" t="str">
        <x:f>IF('Sheet5-查询核对'!O5="","",'Sheet5-查询核对'!O5)</x:f>
        <x:v>https://gs.amac.org.cn/amac-infodisc/res/pof/fund/2203041707107702.html</x:v>
      </x:c>
      <x:c r="BH20" s="46" t="n">
        <x:f>IF('Sheet5-查询核对'!P5="","",'Sheet5-查询核对'!P5)</x:f>
        <x:v>46275</x:v>
      </x:c>
      <x:c r="BI20" s="45" t="str">
        <x:f>IF('Sheet5-查询核对'!D5="","",'Sheet5-查询核对'!D5)</x:f>
        <x:v>STV728</x:v>
      </x:c>
      <x:c r="BJ20" t="n">
        <x:f>IF(ISNUMBER(AT20),AT20,COUNT($AT$17:$AT$99)+ROWS($AT$17:AT20)-COUNT($AT$17:AT20))</x:f>
        <x:v>38</x:v>
      </x:c>
    </x:row>
    <x:row r="21" ht="44" customHeight="1">
      <x:c r="A21" s="49" t="n">
        <x:f>'Sheet5-查询核对'!A6-1</x:f>
        <x:v>5</x:v>
      </x:c>
      <x:c r="B21" s="50" t="str">
        <x:f>IF('Sheet4-原始数据'!A6="",'Sheet5-查询核对'!B6,'Sheet4-原始数据'!A6)</x:f>
        <x:v>博润易量稳健1号</x:v>
      </x:c>
      <x:c r="C21" s="45" t="str">
        <x:f>IF('Sheet4-原始数据'!B6="","",'Sheet4-原始数据'!B6)</x:f>
        <x:v>SXL913</x:v>
      </x:c>
      <x:c r="D21" s="45" t="str">
        <x:f>IF('Sheet4-原始数据'!E6="","",'Sheet4-原始数据'!E6)</x:f>
        <x:v>北京博润银泰投资</x:v>
      </x:c>
      <x:c r="E21" s="46" t="n">
        <x:f>IF('Sheet4-原始数据'!F6="","",'Sheet4-原始数据'!F6)</x:f>
        <x:v>44895</x:v>
      </x:c>
      <x:c r="F21" s="52" t="n">
        <x:f>IF(ISNUMBER(E21),ROUND(('Sheet1-指标体系'!$J$12-E21)/'Sheet1-指标体系'!$J$14,4),"")</x:f>
        <x:v>3.7782</x:v>
      </x:c>
      <x:c r="G21" s="14" t="str">
        <x:f>IF(C21="","未匹配",IF(NOT(ISNUMBER(F21)),"缺成立日期",IF(F21&lt;'Sheet1-指标体系'!$J$15,"不入池","入池")))</x:f>
        <x:v>入池</x:v>
      </x:c>
      <x:c r="H21" s="45" t="str">
        <x:f>IF('Sheet5-查询核对'!K6="","",'Sheet5-查询核对'!K6)</x:f>
        <x:v>100亿元以上</x:v>
      </x:c>
      <x:c r="I21" s="52" t="n">
        <x:f>IF(H21="","",IF(COUNTIF('Sheet1-指标体系'!$P$4:$P$10,H21)=0,"",INDEX('Sheet1-指标体系'!$Q$4:$Q$10,MATCH(H21,'Sheet1-指标体系'!$P$4:$P$10,0))))</x:f>
        <x:v>100</x:v>
      </x:c>
      <x:c r="J21" s="54" t="str">
        <x:f>IF(NOT(ISNUMBER('Sheet5-查询核对'!N6)),"",IF('Sheet5-查询核对'!N6=1,"低于"&amp;'Sheet1-指标体系'!$J$4&amp;"万元",IF('Sheet5-查询核对'!N6=0,"无低于"&amp;'Sheet1-指标体系'!$J$4&amp;"万元标识","")))</x:f>
        <x:v>无低于1000万元标识</x:v>
      </x:c>
      <x:c r="K21" s="52" t="n">
        <x:f>IF(NOT(ISNUMBER('Sheet5-查询核对'!N6)),"",IF('Sheet5-查询核对'!N6=1,'Sheet1-指标体系'!$J$21,IF('Sheet5-查询核对'!N6=0,'Sheet1-指标体系'!$J$18,"")))</x:f>
        <x:v>100</x:v>
      </x:c>
      <x:c r="L21" s="52" t="n">
        <x:f>IF(NOT(ISNUMBER(F21)),"",IF(F21&lt;'Sheet1-指标体系'!$J$15,"",IF(F21&lt;'Sheet1-指标体系'!$J$16,'Sheet1-指标体系'!$J$17,'Sheet1-指标体系'!$J$18)))</x:f>
        <x:v>100</x:v>
      </x:c>
      <x:c r="M21" s="47" t="n">
        <x:f>IF(ISNUMBER('Sheet4-原始数据'!G6),'Sheet4-原始数据'!G6,"")</x:f>
        <x:v>0.08289999999999999</x:v>
      </x:c>
      <x:c r="N21" s="47" t="n">
        <x:f>IF(ISNUMBER('Sheet4-原始数据'!H6),'Sheet4-原始数据'!H6,"")</x:f>
        <x:v>0.054299999999999994</x:v>
      </x:c>
      <x:c r="O21" s="47" t="n">
        <x:f>IF(ISNUMBER('Sheet5-查询核对'!Q6),'Sheet5-查询核对'!Q6,"")</x:f>
        <x:v>0.042300000000000004</x:v>
      </x:c>
      <x:c r="P21" s="44" t="n">
        <x:f>IF($G21&lt;&gt;"入池","",IF($F21&gt;='Sheet1-指标体系'!$J$16,IF(COUNT(M21,N21)&lt;&gt;2,"",IF(OR(1+M21&lt;=0,1+N21&lt;0),"",((1+N21)^'Sheet1-指标体系'!$J$16/(1+M21))^(1/('Sheet1-指标体系'!$J$16-'Sheet1-指标体系'!$J$15))-1)),IF(COUNT(M21,O21)&lt;&gt;2,"",IF(OR(F21&lt;='Sheet1-指标体系'!$J$15,1+M21&lt;=0,1+O21&lt;0),"",((1+O21)^F21/(1+M21))^(1/(F21-'Sheet1-指标体系'!$J$15))-1))))</x:f>
        <x:v>0.04028451262858179</x:v>
      </x:c>
      <x:c r="Q21" s="52" t="n">
        <x:f>IF(OR($G21&lt;&gt;"入池",NOT(ISNUMBER(M21))),"",IF(COUNTIFS($G$17:$G$99,"入池",$M$17:$M$99,"&gt;=-1E+307",$M$17:$M$99,"&lt;=1E+307")&lt;=1,'Sheet1-指标体系'!$J$18,ROUND('Sheet1-指标体系'!$J$18*(COUNTIFS($G$17:$G$99,"入池",$M$17:$M$99,"&gt;=-1E+307",$M$17:$M$99,"&lt;"&amp;M21)+COUNTIFS($G$17:$G$99,"入池",$M$17:$M$99,"&gt;=-1E+307",$M$17:$M$99,"&lt;=1E+307",$M$17:$M$99,M21)/2-0.5)/(COUNTIFS($G$17:$G$99,"入池",$M$17:$M$99,"&gt;=-1E+307",$M$17:$M$99,"&lt;=1E+307")-1),2)))</x:f>
        <x:v>44.64</x:v>
      </x:c>
      <x:c r="R21" s="52" t="n">
        <x:f>IF(OR($G21&lt;&gt;"入池",NOT(ISNUMBER(P21))),"",IF(COUNTIFS($G$17:$G$99,"入池",$P$17:$P$99,"&gt;=-1E+307",$P$17:$P$99,"&lt;=1E+307")&lt;=1,'Sheet1-指标体系'!$J$18,ROUND('Sheet1-指标体系'!$J$18*(COUNTIFS($G$17:$G$99,"入池",$P$17:$P$99,"&gt;=-1E+307",$P$17:$P$99,"&lt;"&amp;P21)+COUNTIFS($G$17:$G$99,"入池",$P$17:$P$99,"&gt;=-1E+307",$P$17:$P$99,"&lt;=1E+307",$P$17:$P$99,P21)/2-0.5)/(COUNTIFS($G$17:$G$99,"入池",$P$17:$P$99,"&gt;=-1E+307",$P$17:$P$99,"&lt;=1E+307")-1),2)))</x:f>
        <x:v>14.81</x:v>
      </x:c>
      <x:c r="S21" s="52" t="n">
        <x:f>IF(COUNT(Q21,R21)=0,"",ROUND((IF(ISNUMBER(Q21),Q21*'Sheet1-指标体系'!$G$7*'Sheet1-指标体系'!$J$8,0)+IF(ISNUMBER(R21),R21*'Sheet1-指标体系'!$G$7*'Sheet1-指标体系'!$J$9,0))/(IF(ISNUMBER(Q21),'Sheet1-指标体系'!$G$7*'Sheet1-指标体系'!$J$8,0)+IF(ISNUMBER(R21),'Sheet1-指标体系'!$G$7*'Sheet1-指标体系'!$J$9,0)),2))</x:f>
        <x:v>32.71</x:v>
      </x:c>
      <x:c r="T21" s="47" t="n">
        <x:f>IF(ISNUMBER('Sheet4-原始数据'!J6),'Sheet4-原始数据'!J6,"")</x:f>
        <x:v>0.5385</x:v>
      </x:c>
      <x:c r="U21" s="47" t="n">
        <x:f>IF(ISNUMBER('Sheet4-原始数据'!I6),'Sheet4-原始数据'!I6,"")</x:f>
        <x:v>0.6215999999999999</x:v>
      </x:c>
      <x:c r="V21" s="44" t="n">
        <x:f>IF(COUNT(T21:U21)&lt;&gt;2,"",(U21*'Sheet1-指标体系'!$J$6-T21*'Sheet1-指标体系'!$J$5)/'Sheet1-指标体系'!$J$7)</x:f>
        <x:v>0.6666124999999999</x:v>
      </x:c>
      <x:c r="W21" s="52" t="n">
        <x:f>IF(NOT(ISNUMBER(T21)),"",T21*'Sheet1-指标体系'!$J$18)</x:f>
        <x:v>53.849999999999994</x:v>
      </x:c>
      <x:c r="X21" s="52" t="n">
        <x:f>IF(G21&lt;&gt;"入池","",IF(ISNUMBER(V21),IF(AND(V21&gt;=0,V21&lt;=1),V21*'Sheet1-指标体系'!$J$18,IF(MAX(0,(F21-'Sheet1-指标体系'!$J$15)*'Sheet1-指标体系'!$J$20)&lt;'Sheet1-指标体系'!$J$19,'Sheet1-指标体系'!$J$18,"")),IF(MAX(0,(F21-'Sheet1-指标体系'!$J$15)*'Sheet1-指标体系'!$J$20)&lt;'Sheet1-指标体系'!$J$19,'Sheet1-指标体系'!$J$18,"")))</x:f>
        <x:v>66.66125</x:v>
      </x:c>
      <x:c r="Y21" s="52" t="n">
        <x:f>IF(NOT(ISNUMBER(W21)),"",IF(COUNT(W21,X21)=0,"",ROUND((IF(ISNUMBER(W21),W21*'Sheet1-指标体系'!$G$8*'Sheet1-指标体系'!$J$8,0)+IF(ISNUMBER(X21),X21*'Sheet1-指标体系'!$G$8*'Sheet1-指标体系'!$J$9,0))/(IF(ISNUMBER(W21),'Sheet1-指标体系'!$G$8*'Sheet1-指标体系'!$J$8,0)+IF(ISNUMBER(X21),'Sheet1-指标体系'!$G$8*'Sheet1-指标体系'!$J$9,0)),2)))</x:f>
        <x:v>58.97</x:v>
      </x:c>
      <x:c r="Z21" s="44" t="n">
        <x:f>IF(COUNT(M21,AD21)&lt;&gt;2,"",IF(AD21=0,"",ABS(M21/AD21)))</x:f>
        <x:v>0.0367790594498669</x:v>
      </x:c>
      <x:c r="AA21" s="47" t="n">
        <x:f>IF(ISNUMBER('Sheet4-原始数据'!K6),'Sheet4-原始数据'!K6,"")</x:f>
        <x:v>0.0368</x:v>
      </x:c>
      <x:c r="AB21" s="44" t="n">
        <x:f>IF(COUNT(Z21:AA21)=0,"",MAX(Z21:AA21))</x:f>
        <x:v>0.0368</x:v>
      </x:c>
      <x:c r="AC21" s="52" t="n">
        <x:f>IF(OR($G21&lt;&gt;"入池",NOT(ISNUMBER(AB21))),"",IF(COUNTIFS($G$17:$G$99,"入池",$AB$17:$AB$99,"&gt;=-1E+307",$AB$17:$AB$99,"&lt;=1E+307")&lt;=1,'Sheet1-指标体系'!$J$18,ROUND('Sheet1-指标体系'!$J$18*(COUNTIFS($G$17:$G$99,"入池",$AB$17:$AB$99,"&lt;=1E+307",$AB$17:$AB$99,"&gt;"&amp;AB21)+COUNTIFS($G$17:$G$99,"入池",$AB$17:$AB$99,"&gt;=-1E+307",$AB$17:$AB$99,"&lt;=1E+307",$AB$17:$AB$99,AB21)/2-0.5)/(COUNTIFS($G$17:$G$99,"入池",$AB$17:$AB$99,"&gt;=-1E+307",$AB$17:$AB$99,"&lt;=1E+307")-1),2)))</x:f>
        <x:v>31.03</x:v>
      </x:c>
      <x:c r="AD21" s="48" t="n">
        <x:f>IF(ISNUMBER('Sheet4-原始数据'!M6),'Sheet4-原始数据'!M6,"")</x:f>
        <x:v>2.254</x:v>
      </x:c>
      <x:c r="AE21" s="44" t="str">
        <x:f>IF(COUNT(P21,AA21,Z21)&lt;&gt;3,"",IF(AA21&gt;Z21+'Sheet1-指标体系'!$J$11,AA21,""))</x:f>
      </x:c>
      <x:c r="AF21" s="52" t="str">
        <x:f>IF(COUNT(P21,AE21)&lt;&gt;2,"",IF(AE21=0,"",P21/AE21))</x:f>
      </x:c>
      <x:c r="AG21" s="52" t="n">
        <x:f>IF(OR($G21&lt;&gt;"入池",NOT(ISNUMBER(AD21))),"",IF(COUNTIFS($G$17:$G$99,"入池",$AD$17:$AD$99,"&gt;=-1E+307",$AD$17:$AD$99,"&lt;=1E+307")&lt;=1,'Sheet1-指标体系'!$J$18,ROUND('Sheet1-指标体系'!$J$18*(COUNTIFS($G$17:$G$99,"入池",$AD$17:$AD$99,"&gt;=-1E+307",$AD$17:$AD$99,"&lt;"&amp;AD21)+COUNTIFS($G$17:$G$99,"入池",$AD$17:$AD$99,"&gt;=-1E+307",$AD$17:$AD$99,"&lt;=1E+307",$AD$17:$AD$99,AD21)/2-0.5)/(COUNTIFS($G$17:$G$99,"入池",$AD$17:$AD$99,"&gt;=-1E+307",$AD$17:$AD$99,"&lt;=1E+307")-1),2)))</x:f>
        <x:v>14.55</x:v>
      </x:c>
      <x:c r="AH21" s="52" t="str">
        <x:f>IF(OR($G21&lt;&gt;"入池",NOT(ISNUMBER(AF21))),"",IF(COUNTIFS($G$17:$G$99,"入池",$AF$17:$AF$99,"&gt;=-1E+307",$AF$17:$AF$99,"&lt;=1E+307")&lt;=1,'Sheet1-指标体系'!$J$18,ROUND('Sheet1-指标体系'!$J$18*(COUNTIFS($G$17:$G$99,"入池",$AF$17:$AF$99,"&gt;=-1E+307",$AF$17:$AF$99,"&lt;"&amp;AF21)+COUNTIFS($G$17:$G$99,"入池",$AF$17:$AF$99,"&gt;=-1E+307",$AF$17:$AF$99,"&lt;=1E+307",$AF$17:$AF$99,AF21)/2-0.5)/(COUNTIFS($G$17:$G$99,"入池",$AF$17:$AF$99,"&gt;=-1E+307",$AF$17:$AF$99,"&lt;=1E+307")-1),2)))</x:f>
      </x:c>
      <x:c r="AI21" s="52" t="n">
        <x:f>IF(COUNT(AG21,AH21)=0,"",ROUND((IF(ISNUMBER(AG21),AG21*'Sheet1-指标体系'!$G$10*'Sheet1-指标体系'!$J$8,0)+IF(ISNUMBER(AH21),AH21*'Sheet1-指标体系'!$G$10*'Sheet1-指标体系'!$J$9,0))/(IF(ISNUMBER(AG21),'Sheet1-指标体系'!$G$10*'Sheet1-指标体系'!$J$8,0)+IF(ISNUMBER(AH21),'Sheet1-指标体系'!$G$10*'Sheet1-指标体系'!$J$9,0)),2))</x:f>
        <x:v>14.55</x:v>
      </x:c>
      <x:c r="AJ21" s="44" t="n">
        <x:f>IF(NOT(ISNUMBER(F21)),"",IF(F21&gt;='Sheet1-指标体系'!$J$16,IF(ISNUMBER(N21),N21,""),IF(ISNUMBER(O21),O21,"")))</x:f>
        <x:v>0.054299999999999994</x:v>
      </x:c>
      <x:c r="AK21" s="52" t="n">
        <x:f>IF(OR(G21&lt;&gt;"入池",COUNT(M21,AJ21)&lt;&gt;2),"",IF(M21&gt;=AJ21,'Sheet1-指标体系'!$J$18,IF(AJ21-M21&lt;'Sheet1-指标体系'!$J$10,'Sheet1-指标体系'!$J$22,'Sheet1-指标体系'!$J$23)))</x:f>
        <x:v>100</x:v>
      </x:c>
      <x:c r="AL21" s="52" t="n">
        <x:f>IF(COUNT(I21,K21,L21)=0,"",ROUND((IF(ISNUMBER(I21),I21*'Sheet1-指标体系'!$G$4,0)+IF(ISNUMBER(K21),K21*'Sheet1-指标体系'!$G$5,0)+IF(ISNUMBER(L21),L21*'Sheet1-指标体系'!$G$6,0))/(IF(ISNUMBER(I21),'Sheet1-指标体系'!$G$4,0)+IF(ISNUMBER(K21),'Sheet1-指标体系'!$G$5,0)+IF(ISNUMBER(L21),'Sheet1-指标体系'!$G$6,0)),2))</x:f>
        <x:v>100</x:v>
      </x:c>
      <x:c r="AM21" s="52" t="n">
        <x:f>IF(COUNT(Q21,R21,W21,X21)=0,"",ROUND((IF(ISNUMBER(Q21),Q21*'Sheet1-指标体系'!$G$7*'Sheet1-指标体系'!$J$8,0)+IF(ISNUMBER(R21),R21*'Sheet1-指标体系'!$G$7*'Sheet1-指标体系'!$J$9,0)+IF(ISNUMBER(W21),W21*'Sheet1-指标体系'!$G$8*'Sheet1-指标体系'!$J$8,0)+IF(ISNUMBER(X21),X21*'Sheet1-指标体系'!$G$8*'Sheet1-指标体系'!$J$9,0))/(IF(ISNUMBER(Q21),'Sheet1-指标体系'!$G$7*'Sheet1-指标体系'!$J$8,0)+IF(ISNUMBER(R21),'Sheet1-指标体系'!$G$7*'Sheet1-指标体系'!$J$9,0)+IF(ISNUMBER(W21),'Sheet1-指标体系'!$G$8*'Sheet1-指标体系'!$J$8,0)+IF(ISNUMBER(X21),'Sheet1-指标体系'!$G$8*'Sheet1-指标体系'!$J$9,0)),2))</x:f>
        <x:v>40.59</x:v>
      </x:c>
      <x:c r="AN21" s="52" t="n">
        <x:f>IF(ISNUMBER(AC21),AC21,"")</x:f>
        <x:v>31.03</x:v>
      </x:c>
      <x:c r="AO21" s="52" t="n">
        <x:f>IF(COUNT(AG21,AH21)=0,"",ROUND((IF(ISNUMBER(AG21),AG21*'Sheet1-指标体系'!$G$10*'Sheet1-指标体系'!$J$8,0)+IF(ISNUMBER(AH21),AH21*'Sheet1-指标体系'!$G$10*'Sheet1-指标体系'!$J$9,0))/(IF(ISNUMBER(AG21),'Sheet1-指标体系'!$G$10*'Sheet1-指标体系'!$J$8,0)+IF(ISNUMBER(AH21),'Sheet1-指标体系'!$G$10*'Sheet1-指标体系'!$J$9,0)),2))</x:f>
        <x:v>14.55</x:v>
      </x:c>
      <x:c r="AP21" s="52" t="n">
        <x:f>IF(ISNUMBER(AK21),AK21,"")</x:f>
        <x:v>100</x:v>
      </x:c>
      <x:c r="AQ21" s="27" t="n">
        <x:f>IF(G21&lt;&gt;"入池",0,IF(ISNUMBER(I21),'Sheet1-指标体系'!$G$4,0)+IF(ISNUMBER(K21),'Sheet1-指标体系'!$G$5,0)+IF(ISNUMBER(L21),'Sheet1-指标体系'!$G$6,0)+IF(ISNUMBER(Q21),'Sheet1-指标体系'!$G$7*'Sheet1-指标体系'!$J$8,0)+IF(ISNUMBER(R21),'Sheet1-指标体系'!$G$7*'Sheet1-指标体系'!$J$9,0)+IF(ISNUMBER(W21),'Sheet1-指标体系'!$G$8*'Sheet1-指标体系'!$J$8,0)+IF(ISNUMBER(X21),'Sheet1-指标体系'!$G$8*'Sheet1-指标体系'!$J$9,0)+IF(ISNUMBER(AC21),'Sheet1-指标体系'!$G$9,0)+IF(ISNUMBER(AG21),'Sheet1-指标体系'!$G$10*'Sheet1-指标体系'!$J$8,0)+IF(ISNUMBER(AH21),'Sheet1-指标体系'!$G$10*'Sheet1-指标体系'!$J$9,0)+IF(ISNUMBER(AK21),'Sheet1-指标体系'!$G$11,0))</x:f>
        <x:v>0.88</x:v>
      </x:c>
      <x:c r="AR21" s="52" t="n">
        <x:f>IF(AQ21=0,"",IF(ISNUMBER(I21),I21*'Sheet1-指标体系'!$G$4,0)+IF(ISNUMBER(K21),K21*'Sheet1-指标体系'!$G$5,0)+IF(ISNUMBER(L21),L21*'Sheet1-指标体系'!$G$6,0)+IF(ISNUMBER(Q21),Q21*'Sheet1-指标体系'!$G$7*'Sheet1-指标体系'!$J$8,0)+IF(ISNUMBER(R21),R21*'Sheet1-指标体系'!$G$7*'Sheet1-指标体系'!$J$9,0)+IF(ISNUMBER(W21),W21*'Sheet1-指标体系'!$G$8*'Sheet1-指标体系'!$J$8,0)+IF(ISNUMBER(X21),X21*'Sheet1-指标体系'!$G$8*'Sheet1-指标体系'!$J$9,0)+IF(ISNUMBER(AC21),AC21*'Sheet1-指标体系'!$G$9,0)+IF(ISNUMBER(AG21),AG21*'Sheet1-指标体系'!$G$10*'Sheet1-指标体系'!$J$8,0)+IF(ISNUMBER(AH21),AH21*'Sheet1-指标体系'!$G$10*'Sheet1-指标体系'!$J$9,0)+IF(ISNUMBER(AK21),AK21*'Sheet1-指标体系'!$G$11,0))</x:f>
        <x:v>43.49409</x:v>
      </x:c>
      <x:c r="AS21" s="52" t="n">
        <x:f>IF(AQ21=0,"",ROUND(AR21/AQ21,2))</x:f>
        <x:v>49.43</x:v>
      </x:c>
      <x:c r="AT21" s="49" t="n">
        <x:f>IF(OR(G21&lt;&gt;"入池",NOT(ISNUMBER(AS21))),"",COUNTIFS($G$17:$G$99,"入池",$AS$17:$AS$99,"&gt;"&amp;AS21)+COUNTIFS($G$17:$G$99,"入池",$AS$17:$AS$99,AS21,$AQ$17:$AQ$99,"&gt;"&amp;AQ21)+COUNTIFS($G$17:G21,"入池",$AS$17:AS21,AS21,$AQ$17:AQ21,AQ21))</x:f>
        <x:v>64</x:v>
      </x:c>
      <x:c r="AU21" s="53" t="str">
        <x:f>IF(NOT(ISNUMBER(I21)),"管理人规模；","")&amp;IF(NOT(ISNUMBER(K21)),"产品规模标识；","")&amp;IF(NOT(ISNUMBER(M21)),"近一年收益；","")&amp;IF(NOT(ISNUMBER(T21)),"近一年胜率；","")&amp;IF(NOT(ISNUMBER(N21)),"近三年收益；","")&amp;IF(NOT(ISNUMBER(U21)),"近三年胜率；","")&amp;IF(NOT(ISNUMBER(AA21)),"近三年回撤；","")&amp;IF(NOT(ISNUMBER(AD21)),"近一年卡玛；","")&amp;IF(ISNUMBER(F21),IF(AND(F21&lt;'Sheet1-指标体系'!$J$16,NOT(ISNUMBER(O21))),"成立以来年化；",""),"成立日期；")&amp;IF(ISNUMBER(V21),IF(OR(V21&lt;0,V21&gt;1),"胜率窗口口径不一致；",""),"")&amp;IF(ISNUMBER(P21),IF(NOT(ISNUMBER(AE21)),"DD_long不可识别；",""),"")</x:f>
        <x:v>DD_long不可识别；</x:v>
      </x:c>
      <x:c r="AV21" s="52" t="str">
        <x:f>IF(ROUND(AQ21,10)=ROUND('Sheet1-指标体系'!$J$25,10),AR21,"")</x:f>
      </x:c>
      <x:c r="AW21" s="14" t="str">
        <x:f>IF(G21&lt;&gt;"入池",G21,IF(AQ21=0,"无有效评分数据",IF(ROUND(AQ21,10)=ROUND('Sheet1-指标体系'!$J$25,10),"完整赋分", "暂定分／数据不完整")))</x:f>
        <x:v>暂定分／数据不完整</x:v>
      </x:c>
      <x:c r="AX21" s="45" t="str">
        <x:f>IF('Sheet4-原始数据'!C6="","",'Sheet4-原始数据'!C6)</x:f>
        <x:v>套利策略</x:v>
      </x:c>
      <x:c r="AY21" s="45" t="str">
        <x:f>IF('Sheet4-原始数据'!D6="","",'Sheet4-原始数据'!D6)</x:f>
        <x:v>期货套利</x:v>
      </x:c>
      <x:c r="AZ21" s="45" t="str">
        <x:f>IF('Sheet5-查询核对'!S6="","",'Sheet5-查询核对'!S6)</x:f>
        <x:v>套利策略—期货套利</x:v>
      </x:c>
      <x:c r="BA21" s="51" t="n">
        <x:f>IF('Sheet5-查询核对'!A6="","",'Sheet5-查询核对'!A6)</x:f>
        <x:v>6</x:v>
      </x:c>
      <x:c r="BB21" s="45" t="str">
        <x:f>IF('Sheet5-查询核对'!F6="","",'Sheet5-查询核对'!F6)</x:f>
        <x:v>备案号匹配</x:v>
      </x:c>
      <x:c r="BC21" s="50" t="str">
        <x:f>IF('Sheet5-查询核对'!I6="","",'Sheet5-查询核对'!I6)</x:f>
        <x:v>https://mp.fof99.com/fund/view/66f7dd55b7f90b97</x:v>
      </x:c>
      <x:c r="BD21" s="46" t="n">
        <x:f>IF('Sheet5-查询核对'!H6="","",'Sheet5-查询核对'!H6)</x:f>
        <x:v>46269</x:v>
      </x:c>
      <x:c r="BE21" s="50" t="str">
        <x:f>IF('Sheet5-查询核对'!L6="","",'Sheet5-查询核对'!L6)</x:f>
        <x:v>https://mp.fof99.com/fund/view/66f7dd55b7f90b97</x:v>
      </x:c>
      <x:c r="BF21" s="46" t="n">
        <x:f>IF('Sheet5-查询核对'!M6="","",'Sheet5-查询核对'!M6)</x:f>
        <x:v>46275</x:v>
      </x:c>
      <x:c r="BG21" s="50" t="str">
        <x:f>IF('Sheet5-查询核对'!O6="","",'Sheet5-查询核对'!O6)</x:f>
        <x:v>https://gs.amac.org.cn/amac-infodisc/res/pof/fund/2211291710107928.html</x:v>
      </x:c>
      <x:c r="BH21" s="46" t="n">
        <x:f>IF('Sheet5-查询核对'!P6="","",'Sheet5-查询核对'!P6)</x:f>
        <x:v>46275</x:v>
      </x:c>
      <x:c r="BI21" s="45" t="str">
        <x:f>IF('Sheet5-查询核对'!D6="","",'Sheet5-查询核对'!D6)</x:f>
        <x:v>SXL913</x:v>
      </x:c>
      <x:c r="BJ21" t="n">
        <x:f>IF(ISNUMBER(AT21),AT21,COUNT($AT$17:$AT$99)+ROWS($AT$17:AT21)-COUNT($AT$17:AT21))</x:f>
        <x:v>64</x:v>
      </x:c>
    </x:row>
    <x:row r="22" ht="44" customHeight="1">
      <x:c r="A22" s="49" t="n">
        <x:f>'Sheet5-查询核对'!A7-1</x:f>
        <x:v>6</x:v>
      </x:c>
      <x:c r="B22" s="50" t="str">
        <x:f>IF('Sheet4-原始数据'!A7="",'Sheet5-查询核对'!B7,'Sheet4-原始数据'!A7)</x:f>
        <x:v>博弈树金选套利2号</x:v>
      </x:c>
      <x:c r="C22" s="45" t="str">
        <x:f>IF('Sheet4-原始数据'!B7="","",'Sheet4-原始数据'!B7)</x:f>
        <x:v>SXR086</x:v>
      </x:c>
      <x:c r="D22" s="45" t="str">
        <x:f>IF('Sheet4-原始数据'!E7="","",'Sheet4-原始数据'!E7)</x:f>
        <x:v>广东丰煜</x:v>
      </x:c>
      <x:c r="E22" s="46" t="n">
        <x:f>IF('Sheet4-原始数据'!F7="","",'Sheet4-原始数据'!F7)</x:f>
        <x:v>44867</x:v>
      </x:c>
      <x:c r="F22" s="52" t="n">
        <x:f>IF(ISNUMBER(E22),ROUND(('Sheet1-指标体系'!$J$12-E22)/'Sheet1-指标体系'!$J$14,4),"")</x:f>
        <x:v>3.8549</x:v>
      </x:c>
      <x:c r="G22" s="14" t="str">
        <x:f>IF(C22="","未匹配",IF(NOT(ISNUMBER(F22)),"缺成立日期",IF(F22&lt;'Sheet1-指标体系'!$J$15,"不入池","入池")))</x:f>
        <x:v>入池</x:v>
      </x:c>
      <x:c r="H22" s="45" t="str">
        <x:f>IF('Sheet5-查询核对'!K7="","",'Sheet5-查询核对'!K7)</x:f>
        <x:v>0-5亿元</x:v>
      </x:c>
      <x:c r="I22" s="52" t="n">
        <x:f>IF(H22="","",IF(COUNTIF('Sheet1-指标体系'!$P$4:$P$10,H22)=0,"",INDEX('Sheet1-指标体系'!$Q$4:$Q$10,MATCH(H22,'Sheet1-指标体系'!$P$4:$P$10,0))))</x:f>
        <x:v>60</x:v>
      </x:c>
      <x:c r="J22" s="54" t="str">
        <x:f>IF(NOT(ISNUMBER('Sheet5-查询核对'!N7)),"",IF('Sheet5-查询核对'!N7=1,"低于"&amp;'Sheet1-指标体系'!$J$4&amp;"万元",IF('Sheet5-查询核对'!N7=0,"无低于"&amp;'Sheet1-指标体系'!$J$4&amp;"万元标识","")))</x:f>
        <x:v>无低于1000万元标识</x:v>
      </x:c>
      <x:c r="K22" s="52" t="n">
        <x:f>IF(NOT(ISNUMBER('Sheet5-查询核对'!N7)),"",IF('Sheet5-查询核对'!N7=1,'Sheet1-指标体系'!$J$21,IF('Sheet5-查询核对'!N7=0,'Sheet1-指标体系'!$J$18,"")))</x:f>
        <x:v>100</x:v>
      </x:c>
      <x:c r="L22" s="52" t="n">
        <x:f>IF(NOT(ISNUMBER(F22)),"",IF(F22&lt;'Sheet1-指标体系'!$J$15,"",IF(F22&lt;'Sheet1-指标体系'!$J$16,'Sheet1-指标体系'!$J$17,'Sheet1-指标体系'!$J$18)))</x:f>
        <x:v>100</x:v>
      </x:c>
      <x:c r="M22" s="47" t="n">
        <x:f>IF(ISNUMBER('Sheet4-原始数据'!G7),'Sheet4-原始数据'!G7,"")</x:f>
        <x:v>0.2516</x:v>
      </x:c>
      <x:c r="N22" s="47" t="n">
        <x:f>IF(ISNUMBER('Sheet4-原始数据'!H7),'Sheet4-原始数据'!H7,"")</x:f>
        <x:v>0.1281</x:v>
      </x:c>
      <x:c r="O22" s="47" t="n">
        <x:f>IF(ISNUMBER('Sheet5-查询核对'!Q7),'Sheet5-查询核对'!Q7,"")</x:f>
        <x:v>0.12279999999999999</x:v>
      </x:c>
      <x:c r="P22" s="44" t="n">
        <x:f>IF($G22&lt;&gt;"入池","",IF($F22&gt;='Sheet1-指标体系'!$J$16,IF(COUNT(M22,N22)&lt;&gt;2,"",IF(OR(1+M22&lt;=0,1+N22&lt;0),"",((1+N22)^'Sheet1-指标体系'!$J$16/(1+M22))^(1/('Sheet1-指标体系'!$J$16-'Sheet1-指标体系'!$J$15))-1)),IF(COUNT(M22,O22)&lt;&gt;2,"",IF(OR(F22&lt;='Sheet1-指标体系'!$J$15,1+M22&lt;=0,1+O22&lt;0),"",((1+O22)^F22/(1+M22))^(1/(F22-'Sheet1-指标体系'!$J$15))-1))))</x:f>
        <x:v>0.07099790573780229</x:v>
      </x:c>
      <x:c r="Q22" s="52" t="n">
        <x:f>IF(OR($G22&lt;&gt;"入池",NOT(ISNUMBER(M22))),"",IF(COUNTIFS($G$17:$G$99,"入池",$M$17:$M$99,"&gt;=-1E+307",$M$17:$M$99,"&lt;=1E+307")&lt;=1,'Sheet1-指标体系'!$J$18,ROUND('Sheet1-指标体系'!$J$18*(COUNTIFS($G$17:$G$99,"入池",$M$17:$M$99,"&gt;=-1E+307",$M$17:$M$99,"&lt;"&amp;M22)+COUNTIFS($G$17:$G$99,"入池",$M$17:$M$99,"&gt;=-1E+307",$M$17:$M$99,"&lt;=1E+307",$M$17:$M$99,M22)/2-0.5)/(COUNTIFS($G$17:$G$99,"入池",$M$17:$M$99,"&gt;=-1E+307",$M$17:$M$99,"&lt;=1E+307")-1),2)))</x:f>
        <x:v>94.64</x:v>
      </x:c>
      <x:c r="R22" s="52" t="n">
        <x:f>IF(OR($G22&lt;&gt;"入池",NOT(ISNUMBER(P22))),"",IF(COUNTIFS($G$17:$G$99,"入池",$P$17:$P$99,"&gt;=-1E+307",$P$17:$P$99,"&lt;=1E+307")&lt;=1,'Sheet1-指标体系'!$J$18,ROUND('Sheet1-指标体系'!$J$18*(COUNTIFS($G$17:$G$99,"入池",$P$17:$P$99,"&gt;=-1E+307",$P$17:$P$99,"&lt;"&amp;P22)+COUNTIFS($G$17:$G$99,"入池",$P$17:$P$99,"&gt;=-1E+307",$P$17:$P$99,"&lt;=1E+307",$P$17:$P$99,P22)/2-0.5)/(COUNTIFS($G$17:$G$99,"入池",$P$17:$P$99,"&gt;=-1E+307",$P$17:$P$99,"&lt;=1E+307")-1),2)))</x:f>
        <x:v>44.44</x:v>
      </x:c>
      <x:c r="S22" s="52" t="n">
        <x:f>IF(COUNT(Q22,R22)=0,"",ROUND((IF(ISNUMBER(Q22),Q22*'Sheet1-指标体系'!$G$7*'Sheet1-指标体系'!$J$8,0)+IF(ISNUMBER(R22),R22*'Sheet1-指标体系'!$G$7*'Sheet1-指标体系'!$J$9,0))/(IF(ISNUMBER(Q22),'Sheet1-指标体系'!$G$7*'Sheet1-指标体系'!$J$8,0)+IF(ISNUMBER(R22),'Sheet1-指标体系'!$G$7*'Sheet1-指标体系'!$J$9,0)),2))</x:f>
        <x:v>74.56</x:v>
      </x:c>
      <x:c r="T22" s="47" t="n">
        <x:f>IF(ISNUMBER('Sheet4-原始数据'!J7),'Sheet4-原始数据'!J7,"")</x:f>
        <x:v>0.7692</x:v>
      </x:c>
      <x:c r="U22" s="47" t="n">
        <x:f>IF(ISNUMBER('Sheet4-原始数据'!I7),'Sheet4-原始数据'!I7,"")</x:f>
        <x:v>0.7297</x:v>
      </x:c>
      <x:c r="V22" s="44" t="n">
        <x:f>IF(COUNT(T22:U22)&lt;&gt;2,"",(U22*'Sheet1-指标体系'!$J$6-T22*'Sheet1-指标体系'!$J$5)/'Sheet1-指标体系'!$J$7)</x:f>
        <x:v>0.7083041666666666</x:v>
      </x:c>
      <x:c r="W22" s="52" t="n">
        <x:f>IF(NOT(ISNUMBER(T22)),"",T22*'Sheet1-指标体系'!$J$18)</x:f>
        <x:v>76.92</x:v>
      </x:c>
      <x:c r="X22" s="52" t="n">
        <x:f>IF(G22&lt;&gt;"入池","",IF(ISNUMBER(V22),IF(AND(V22&gt;=0,V22&lt;=1),V22*'Sheet1-指标体系'!$J$18,IF(MAX(0,(F22-'Sheet1-指标体系'!$J$15)*'Sheet1-指标体系'!$J$20)&lt;'Sheet1-指标体系'!$J$19,'Sheet1-指标体系'!$J$18,"")),IF(MAX(0,(F22-'Sheet1-指标体系'!$J$15)*'Sheet1-指标体系'!$J$20)&lt;'Sheet1-指标体系'!$J$19,'Sheet1-指标体系'!$J$18,"")))</x:f>
        <x:v>70.83041666666666</x:v>
      </x:c>
      <x:c r="Y22" s="52" t="n">
        <x:f>IF(NOT(ISNUMBER(W22)),"",IF(COUNT(W22,X22)=0,"",ROUND((IF(ISNUMBER(W22),W22*'Sheet1-指标体系'!$G$8*'Sheet1-指标体系'!$J$8,0)+IF(ISNUMBER(X22),X22*'Sheet1-指标体系'!$G$8*'Sheet1-指标体系'!$J$9,0))/(IF(ISNUMBER(W22),'Sheet1-指标体系'!$G$8*'Sheet1-指标体系'!$J$8,0)+IF(ISNUMBER(X22),'Sheet1-指标体系'!$G$8*'Sheet1-指标体系'!$J$9,0)),2)))</x:f>
        <x:v>74.48</x:v>
      </x:c>
      <x:c r="Z22" s="44" t="n">
        <x:f>IF(COUNT(M22,AD22)&lt;&gt;2,"",IF(AD22=0,"",ABS(M22/AD22)))</x:f>
        <x:v>0.041000570357695755</x:v>
      </x:c>
      <x:c r="AA22" s="47" t="n">
        <x:f>IF(ISNUMBER('Sheet4-原始数据'!K7),'Sheet4-原始数据'!K7,"")</x:f>
        <x:v>0.040999999999999995</x:v>
      </x:c>
      <x:c r="AB22" s="44" t="n">
        <x:f>IF(COUNT(Z22:AA22)=0,"",MAX(Z22:AA22))</x:f>
        <x:v>0.041000570357695755</x:v>
      </x:c>
      <x:c r="AC22" s="52" t="n">
        <x:f>IF(OR($G22&lt;&gt;"入池",NOT(ISNUMBER(AB22))),"",IF(COUNTIFS($G$17:$G$99,"入池",$AB$17:$AB$99,"&gt;=-1E+307",$AB$17:$AB$99,"&lt;=1E+307")&lt;=1,'Sheet1-指标体系'!$J$18,ROUND('Sheet1-指标体系'!$J$18*(COUNTIFS($G$17:$G$99,"入池",$AB$17:$AB$99,"&lt;=1E+307",$AB$17:$AB$99,"&gt;"&amp;AB22)+COUNTIFS($G$17:$G$99,"入池",$AB$17:$AB$99,"&gt;=-1E+307",$AB$17:$AB$99,"&lt;=1E+307",$AB$17:$AB$99,AB22)/2-0.5)/(COUNTIFS($G$17:$G$99,"入池",$AB$17:$AB$99,"&gt;=-1E+307",$AB$17:$AB$99,"&lt;=1E+307")-1),2)))</x:f>
        <x:v>22.41</x:v>
      </x:c>
      <x:c r="AD22" s="48" t="n">
        <x:f>IF(ISNUMBER('Sheet4-原始数据'!M7),'Sheet4-原始数据'!M7,"")</x:f>
        <x:v>6.1365</x:v>
      </x:c>
      <x:c r="AE22" s="44" t="str">
        <x:f>IF(COUNT(P22,AA22,Z22)&lt;&gt;3,"",IF(AA22&gt;Z22+'Sheet1-指标体系'!$J$11,AA22,""))</x:f>
      </x:c>
      <x:c r="AF22" s="52" t="str">
        <x:f>IF(COUNT(P22,AE22)&lt;&gt;2,"",IF(AE22=0,"",P22/AE22))</x:f>
      </x:c>
      <x:c r="AG22" s="52" t="n">
        <x:f>IF(OR($G22&lt;&gt;"入池",NOT(ISNUMBER(AD22))),"",IF(COUNTIFS($G$17:$G$99,"入池",$AD$17:$AD$99,"&gt;=-1E+307",$AD$17:$AD$99,"&lt;=1E+307")&lt;=1,'Sheet1-指标体系'!$J$18,ROUND('Sheet1-指标体系'!$J$18*(COUNTIFS($G$17:$G$99,"入池",$AD$17:$AD$99,"&gt;=-1E+307",$AD$17:$AD$99,"&lt;"&amp;AD22)+COUNTIFS($G$17:$G$99,"入池",$AD$17:$AD$99,"&gt;=-1E+307",$AD$17:$AD$99,"&lt;=1E+307",$AD$17:$AD$99,AD22)/2-0.5)/(COUNTIFS($G$17:$G$99,"入池",$AD$17:$AD$99,"&gt;=-1E+307",$AD$17:$AD$99,"&lt;=1E+307")-1),2)))</x:f>
        <x:v>43.64</x:v>
      </x:c>
      <x:c r="AH22" s="52" t="str">
        <x:f>IF(OR($G22&lt;&gt;"入池",NOT(ISNUMBER(AF22))),"",IF(COUNTIFS($G$17:$G$99,"入池",$AF$17:$AF$99,"&gt;=-1E+307",$AF$17:$AF$99,"&lt;=1E+307")&lt;=1,'Sheet1-指标体系'!$J$18,ROUND('Sheet1-指标体系'!$J$18*(COUNTIFS($G$17:$G$99,"入池",$AF$17:$AF$99,"&gt;=-1E+307",$AF$17:$AF$99,"&lt;"&amp;AF22)+COUNTIFS($G$17:$G$99,"入池",$AF$17:$AF$99,"&gt;=-1E+307",$AF$17:$AF$99,"&lt;=1E+307",$AF$17:$AF$99,AF22)/2-0.5)/(COUNTIFS($G$17:$G$99,"入池",$AF$17:$AF$99,"&gt;=-1E+307",$AF$17:$AF$99,"&lt;=1E+307")-1),2)))</x:f>
      </x:c>
      <x:c r="AI22" s="52" t="n">
        <x:f>IF(COUNT(AG22,AH22)=0,"",ROUND((IF(ISNUMBER(AG22),AG22*'Sheet1-指标体系'!$G$10*'Sheet1-指标体系'!$J$8,0)+IF(ISNUMBER(AH22),AH22*'Sheet1-指标体系'!$G$10*'Sheet1-指标体系'!$J$9,0))/(IF(ISNUMBER(AG22),'Sheet1-指标体系'!$G$10*'Sheet1-指标体系'!$J$8,0)+IF(ISNUMBER(AH22),'Sheet1-指标体系'!$G$10*'Sheet1-指标体系'!$J$9,0)),2))</x:f>
        <x:v>43.64</x:v>
      </x:c>
      <x:c r="AJ22" s="44" t="n">
        <x:f>IF(NOT(ISNUMBER(F22)),"",IF(F22&gt;='Sheet1-指标体系'!$J$16,IF(ISNUMBER(N22),N22,""),IF(ISNUMBER(O22),O22,"")))</x:f>
        <x:v>0.1281</x:v>
      </x:c>
      <x:c r="AK22" s="52" t="n">
        <x:f>IF(OR(G22&lt;&gt;"入池",COUNT(M22,AJ22)&lt;&gt;2),"",IF(M22&gt;=AJ22,'Sheet1-指标体系'!$J$18,IF(AJ22-M22&lt;'Sheet1-指标体系'!$J$10,'Sheet1-指标体系'!$J$22,'Sheet1-指标体系'!$J$23)))</x:f>
        <x:v>100</x:v>
      </x:c>
      <x:c r="AL22" s="52" t="n">
        <x:f>IF(COUNT(I22,K22,L22)=0,"",ROUND((IF(ISNUMBER(I22),I22*'Sheet1-指标体系'!$G$4,0)+IF(ISNUMBER(K22),K22*'Sheet1-指标体系'!$G$5,0)+IF(ISNUMBER(L22),L22*'Sheet1-指标体系'!$G$6,0))/(IF(ISNUMBER(I22),'Sheet1-指标体系'!$G$4,0)+IF(ISNUMBER(K22),'Sheet1-指标体系'!$G$5,0)+IF(ISNUMBER(L22),'Sheet1-指标体系'!$G$6,0)),2))</x:f>
        <x:v>84</x:v>
      </x:c>
      <x:c r="AM22" s="52" t="n">
        <x:f>IF(COUNT(Q22,R22,W22,X22)=0,"",ROUND((IF(ISNUMBER(Q22),Q22*'Sheet1-指标体系'!$G$7*'Sheet1-指标体系'!$J$8,0)+IF(ISNUMBER(R22),R22*'Sheet1-指标体系'!$G$7*'Sheet1-指标体系'!$J$9,0)+IF(ISNUMBER(W22),W22*'Sheet1-指标体系'!$G$8*'Sheet1-指标体系'!$J$8,0)+IF(ISNUMBER(X22),X22*'Sheet1-指标体系'!$G$8*'Sheet1-指标体系'!$J$9,0))/(IF(ISNUMBER(Q22),'Sheet1-指标体系'!$G$7*'Sheet1-指标体系'!$J$8,0)+IF(ISNUMBER(R22),'Sheet1-指标体系'!$G$7*'Sheet1-指标体系'!$J$9,0)+IF(ISNUMBER(W22),'Sheet1-指标体系'!$G$8*'Sheet1-指标体系'!$J$8,0)+IF(ISNUMBER(X22),'Sheet1-指标体系'!$G$8*'Sheet1-指标体系'!$J$9,0)),2))</x:f>
        <x:v>74.54</x:v>
      </x:c>
      <x:c r="AN22" s="52" t="n">
        <x:f>IF(ISNUMBER(AC22),AC22,"")</x:f>
        <x:v>22.41</x:v>
      </x:c>
      <x:c r="AO22" s="52" t="n">
        <x:f>IF(COUNT(AG22,AH22)=0,"",ROUND((IF(ISNUMBER(AG22),AG22*'Sheet1-指标体系'!$G$10*'Sheet1-指标体系'!$J$8,0)+IF(ISNUMBER(AH22),AH22*'Sheet1-指标体系'!$G$10*'Sheet1-指标体系'!$J$9,0))/(IF(ISNUMBER(AG22),'Sheet1-指标体系'!$G$10*'Sheet1-指标体系'!$J$8,0)+IF(ISNUMBER(AH22),'Sheet1-指标体系'!$G$10*'Sheet1-指标体系'!$J$9,0)),2))</x:f>
        <x:v>43.64</x:v>
      </x:c>
      <x:c r="AP22" s="52" t="n">
        <x:f>IF(ISNUMBER(AK22),AK22,"")</x:f>
        <x:v>100</x:v>
      </x:c>
      <x:c r="AQ22" s="27" t="n">
        <x:f>IF(G22&lt;&gt;"入池",0,IF(ISNUMBER(I22),'Sheet1-指标体系'!$G$4,0)+IF(ISNUMBER(K22),'Sheet1-指标体系'!$G$5,0)+IF(ISNUMBER(L22),'Sheet1-指标体系'!$G$6,0)+IF(ISNUMBER(Q22),'Sheet1-指标体系'!$G$7*'Sheet1-指标体系'!$J$8,0)+IF(ISNUMBER(R22),'Sheet1-指标体系'!$G$7*'Sheet1-指标体系'!$J$9,0)+IF(ISNUMBER(W22),'Sheet1-指标体系'!$G$8*'Sheet1-指标体系'!$J$8,0)+IF(ISNUMBER(X22),'Sheet1-指标体系'!$G$8*'Sheet1-指标体系'!$J$9,0)+IF(ISNUMBER(AC22),'Sheet1-指标体系'!$G$9,0)+IF(ISNUMBER(AG22),'Sheet1-指标体系'!$G$10*'Sheet1-指标体系'!$J$8,0)+IF(ISNUMBER(AH22),'Sheet1-指标体系'!$G$10*'Sheet1-指标体系'!$J$9,0)+IF(ISNUMBER(AK22),'Sheet1-指标体系'!$G$11,0))</x:f>
        <x:v>0.88</x:v>
      </x:c>
      <x:c r="AR22" s="52" t="n">
        <x:f>IF(AQ22=0,"",IF(ISNUMBER(I22),I22*'Sheet1-指标体系'!$G$4,0)+IF(ISNUMBER(K22),K22*'Sheet1-指标体系'!$G$5,0)+IF(ISNUMBER(L22),L22*'Sheet1-指标体系'!$G$6,0)+IF(ISNUMBER(Q22),Q22*'Sheet1-指标体系'!$G$7*'Sheet1-指标体系'!$J$8,0)+IF(ISNUMBER(R22),R22*'Sheet1-指标体系'!$G$7*'Sheet1-指标体系'!$J$9,0)+IF(ISNUMBER(W22),W22*'Sheet1-指标体系'!$G$8*'Sheet1-指标体系'!$J$8,0)+IF(ISNUMBER(X22),X22*'Sheet1-指标体系'!$G$8*'Sheet1-指标体系'!$J$9,0)+IF(ISNUMBER(AC22),AC22*'Sheet1-指标体系'!$G$9,0)+IF(ISNUMBER(AG22),AG22*'Sheet1-指标体系'!$G$10*'Sheet1-指标体系'!$J$8,0)+IF(ISNUMBER(AH22),AH22*'Sheet1-指标体系'!$G$10*'Sheet1-指标体系'!$J$9,0)+IF(ISNUMBER(AK22),AK22*'Sheet1-指标体系'!$G$11,0))</x:f>
        <x:v>50.965149999999994</x:v>
      </x:c>
      <x:c r="AS22" s="52" t="n">
        <x:f>IF(AQ22=0,"",ROUND(AR22/AQ22,2))</x:f>
        <x:v>57.91</x:v>
      </x:c>
      <x:c r="AT22" s="49" t="n">
        <x:f>IF(OR(G22&lt;&gt;"入池",NOT(ISNUMBER(AS22))),"",COUNTIFS($G$17:$G$99,"入池",$AS$17:$AS$99,"&gt;"&amp;AS22)+COUNTIFS($G$17:$G$99,"入池",$AS$17:$AS$99,AS22,$AQ$17:$AQ$99,"&gt;"&amp;AQ22)+COUNTIFS($G$17:G22,"入池",$AS$17:AS22,AS22,$AQ$17:AQ22,AQ22))</x:f>
        <x:v>53</x:v>
      </x:c>
      <x:c r="AU22" s="53" t="str">
        <x:f>IF(NOT(ISNUMBER(I22)),"管理人规模；","")&amp;IF(NOT(ISNUMBER(K22)),"产品规模标识；","")&amp;IF(NOT(ISNUMBER(M22)),"近一年收益；","")&amp;IF(NOT(ISNUMBER(T22)),"近一年胜率；","")&amp;IF(NOT(ISNUMBER(N22)),"近三年收益；","")&amp;IF(NOT(ISNUMBER(U22)),"近三年胜率；","")&amp;IF(NOT(ISNUMBER(AA22)),"近三年回撤；","")&amp;IF(NOT(ISNUMBER(AD22)),"近一年卡玛；","")&amp;IF(ISNUMBER(F22),IF(AND(F22&lt;'Sheet1-指标体系'!$J$16,NOT(ISNUMBER(O22))),"成立以来年化；",""),"成立日期；")&amp;IF(ISNUMBER(V22),IF(OR(V22&lt;0,V22&gt;1),"胜率窗口口径不一致；",""),"")&amp;IF(ISNUMBER(P22),IF(NOT(ISNUMBER(AE22)),"DD_long不可识别；",""),"")</x:f>
        <x:v>DD_long不可识别；</x:v>
      </x:c>
      <x:c r="AV22" s="52" t="str">
        <x:f>IF(ROUND(AQ22,10)=ROUND('Sheet1-指标体系'!$J$25,10),AR22,"")</x:f>
      </x:c>
      <x:c r="AW22" s="14" t="str">
        <x:f>IF(G22&lt;&gt;"入池",G22,IF(AQ22=0,"无有效评分数据",IF(ROUND(AQ22,10)=ROUND('Sheet1-指标体系'!$J$25,10),"完整赋分", "暂定分／数据不完整")))</x:f>
        <x:v>暂定分／数据不完整</x:v>
      </x:c>
      <x:c r="AX22" s="45" t="str">
        <x:f>IF('Sheet4-原始数据'!C7="","",'Sheet4-原始数据'!C7)</x:f>
        <x:v>套利策略</x:v>
      </x:c>
      <x:c r="AY22" s="45" t="str">
        <x:f>IF('Sheet4-原始数据'!D7="","",'Sheet4-原始数据'!D7)</x:f>
        <x:v>期货套利</x:v>
      </x:c>
      <x:c r="AZ22" s="45" t="str">
        <x:f>IF('Sheet5-查询核对'!S7="","",'Sheet5-查询核对'!S7)</x:f>
        <x:v>套利策略—期货套利</x:v>
      </x:c>
      <x:c r="BA22" s="51" t="n">
        <x:f>IF('Sheet5-查询核对'!A7="","",'Sheet5-查询核对'!A7)</x:f>
        <x:v>7</x:v>
      </x:c>
      <x:c r="BB22" s="45" t="str">
        <x:f>IF('Sheet5-查询核对'!F7="","",'Sheet5-查询核对'!F7)</x:f>
        <x:v>备案号匹配</x:v>
      </x:c>
      <x:c r="BC22" s="50" t="str">
        <x:f>IF('Sheet5-查询核对'!I7="","",'Sheet5-查询核对'!I7)</x:f>
        <x:v>https://mp.fof99.com/fund/view/068bcb639f441262</x:v>
      </x:c>
      <x:c r="BD22" s="46" t="n">
        <x:f>IF('Sheet5-查询核对'!H7="","",'Sheet5-查询核对'!H7)</x:f>
        <x:v>46269</x:v>
      </x:c>
      <x:c r="BE22" s="50" t="str">
        <x:f>IF('Sheet5-查询核对'!L7="","",'Sheet5-查询核对'!L7)</x:f>
        <x:v>https://mp.fof99.com/fund/view/068bcb639f441262</x:v>
      </x:c>
      <x:c r="BF22" s="46" t="n">
        <x:f>IF('Sheet5-查询核对'!M7="","",'Sheet5-查询核对'!M7)</x:f>
        <x:v>46275</x:v>
      </x:c>
      <x:c r="BG22" s="50" t="str">
        <x:f>IF('Sheet5-查询核对'!O7="","",'Sheet5-查询核对'!O7)</x:f>
        <x:v>https://gs.amac.org.cn/amac-infodisc/res/pof/fund/2211100902114438.html</x:v>
      </x:c>
      <x:c r="BH22" s="46" t="n">
        <x:f>IF('Sheet5-查询核对'!P7="","",'Sheet5-查询核对'!P7)</x:f>
        <x:v>46275</x:v>
      </x:c>
      <x:c r="BI22" s="45" t="str">
        <x:f>IF('Sheet5-查询核对'!D7="","",'Sheet5-查询核对'!D7)</x:f>
        <x:v>SXR086</x:v>
      </x:c>
      <x:c r="BJ22" t="n">
        <x:f>IF(ISNUMBER(AT22),AT22,COUNT($AT$17:$AT$99)+ROWS($AT$17:AT22)-COUNT($AT$17:AT22))</x:f>
        <x:v>53</x:v>
      </x:c>
    </x:row>
    <x:row r="23" ht="44" customHeight="1">
      <x:c r="A23" s="49" t="n">
        <x:f>'Sheet5-查询核对'!A8-1</x:f>
        <x:v>7</x:v>
      </x:c>
      <x:c r="B23" s="50" t="str">
        <x:f>IF('Sheet4-原始数据'!A8="",'Sheet5-查询核对'!B8,'Sheet4-原始数据'!A8)</x:f>
        <x:v>常行7号</x:v>
      </x:c>
      <x:c r="C23" s="45" t="str">
        <x:f>IF('Sheet4-原始数据'!B8="","",'Sheet4-原始数据'!B8)</x:f>
        <x:v>SQH214</x:v>
      </x:c>
      <x:c r="D23" s="45" t="str">
        <x:f>IF('Sheet4-原始数据'!E8="","",'Sheet4-原始数据'!E8)</x:f>
        <x:v>江苏常行投资</x:v>
      </x:c>
      <x:c r="E23" s="46" t="n">
        <x:f>IF('Sheet4-原始数据'!F8="","",'Sheet4-原始数据'!F8)</x:f>
        <x:v>44288</x:v>
      </x:c>
      <x:c r="F23" s="52" t="n">
        <x:f>IF(ISNUMBER(E23),ROUND(('Sheet1-指标体系'!$J$12-E23)/'Sheet1-指标体系'!$J$14,4),"")</x:f>
        <x:v>5.4401</x:v>
      </x:c>
      <x:c r="G23" s="14" t="str">
        <x:f>IF(C23="","未匹配",IF(NOT(ISNUMBER(F23)),"缺成立日期",IF(F23&lt;'Sheet1-指标体系'!$J$15,"不入池","入池")))</x:f>
        <x:v>入池</x:v>
      </x:c>
      <x:c r="H23" s="45" t="str">
        <x:f>IF('Sheet5-查询核对'!K8="","",'Sheet5-查询核对'!K8)</x:f>
        <x:v>5-10亿元</x:v>
      </x:c>
      <x:c r="I23" s="52" t="n">
        <x:f>IF(H23="","",IF(COUNTIF('Sheet1-指标体系'!$P$4:$P$10,H23)=0,"",INDEX('Sheet1-指标体系'!$Q$4:$Q$10,MATCH(H23,'Sheet1-指标体系'!$P$4:$P$10,0))))</x:f>
        <x:v>70</x:v>
      </x:c>
      <x:c r="J23" s="54" t="str">
        <x:f>IF(NOT(ISNUMBER('Sheet5-查询核对'!N8)),"",IF('Sheet5-查询核对'!N8=1,"低于"&amp;'Sheet1-指标体系'!$J$4&amp;"万元",IF('Sheet5-查询核对'!N8=0,"无低于"&amp;'Sheet1-指标体系'!$J$4&amp;"万元标识","")))</x:f>
        <x:v>无低于1000万元标识</x:v>
      </x:c>
      <x:c r="K23" s="52" t="n">
        <x:f>IF(NOT(ISNUMBER('Sheet5-查询核对'!N8)),"",IF('Sheet5-查询核对'!N8=1,'Sheet1-指标体系'!$J$21,IF('Sheet5-查询核对'!N8=0,'Sheet1-指标体系'!$J$18,"")))</x:f>
        <x:v>100</x:v>
      </x:c>
      <x:c r="L23" s="52" t="n">
        <x:f>IF(NOT(ISNUMBER(F23)),"",IF(F23&lt;'Sheet1-指标体系'!$J$15,"",IF(F23&lt;'Sheet1-指标体系'!$J$16,'Sheet1-指标体系'!$J$17,'Sheet1-指标体系'!$J$18)))</x:f>
        <x:v>100</x:v>
      </x:c>
      <x:c r="M23" s="47" t="str">
        <x:f>IF(ISNUMBER('Sheet4-原始数据'!G8),'Sheet4-原始数据'!G8,"")</x:f>
      </x:c>
      <x:c r="N23" s="47" t="str">
        <x:f>IF(ISNUMBER('Sheet4-原始数据'!H8),'Sheet4-原始数据'!H8,"")</x:f>
      </x:c>
      <x:c r="O23" s="47" t="str">
        <x:f>IF(ISNUMBER('Sheet5-查询核对'!Q8),'Sheet5-查询核对'!Q8,"")</x:f>
      </x:c>
      <x:c r="P23" s="44" t="str">
        <x:f>IF($G23&lt;&gt;"入池","",IF($F23&gt;='Sheet1-指标体系'!$J$16,IF(COUNT(M23,N23)&lt;&gt;2,"",IF(OR(1+M23&lt;=0,1+N23&lt;0),"",((1+N23)^'Sheet1-指标体系'!$J$16/(1+M23))^(1/('Sheet1-指标体系'!$J$16-'Sheet1-指标体系'!$J$15))-1)),IF(COUNT(M23,O23)&lt;&gt;2,"",IF(OR(F23&lt;='Sheet1-指标体系'!$J$15,1+M23&lt;=0,1+O23&lt;0),"",((1+O23)^F23/(1+M23))^(1/(F23-'Sheet1-指标体系'!$J$15))-1))))</x:f>
      </x:c>
      <x:c r="Q23" s="52" t="str">
        <x:f>IF(OR($G23&lt;&gt;"入池",NOT(ISNUMBER(M23))),"",IF(COUNTIFS($G$17:$G$99,"入池",$M$17:$M$99,"&gt;=-1E+307",$M$17:$M$99,"&lt;=1E+307")&lt;=1,'Sheet1-指标体系'!$J$18,ROUND('Sheet1-指标体系'!$J$18*(COUNTIFS($G$17:$G$99,"入池",$M$17:$M$99,"&gt;=-1E+307",$M$17:$M$99,"&lt;"&amp;M23)+COUNTIFS($G$17:$G$99,"入池",$M$17:$M$99,"&gt;=-1E+307",$M$17:$M$99,"&lt;=1E+307",$M$17:$M$99,M23)/2-0.5)/(COUNTIFS($G$17:$G$99,"入池",$M$17:$M$99,"&gt;=-1E+307",$M$17:$M$99,"&lt;=1E+307")-1),2)))</x:f>
      </x:c>
      <x:c r="R23" s="52" t="str">
        <x:f>IF(OR($G23&lt;&gt;"入池",NOT(ISNUMBER(P23))),"",IF(COUNTIFS($G$17:$G$99,"入池",$P$17:$P$99,"&gt;=-1E+307",$P$17:$P$99,"&lt;=1E+307")&lt;=1,'Sheet1-指标体系'!$J$18,ROUND('Sheet1-指标体系'!$J$18*(COUNTIFS($G$17:$G$99,"入池",$P$17:$P$99,"&gt;=-1E+307",$P$17:$P$99,"&lt;"&amp;P23)+COUNTIFS($G$17:$G$99,"入池",$P$17:$P$99,"&gt;=-1E+307",$P$17:$P$99,"&lt;=1E+307",$P$17:$P$99,P23)/2-0.5)/(COUNTIFS($G$17:$G$99,"入池",$P$17:$P$99,"&gt;=-1E+307",$P$17:$P$99,"&lt;=1E+307")-1),2)))</x:f>
      </x:c>
      <x:c r="S23" s="52" t="str">
        <x:f>IF(COUNT(Q23,R23)=0,"",ROUND((IF(ISNUMBER(Q23),Q23*'Sheet1-指标体系'!$G$7*'Sheet1-指标体系'!$J$8,0)+IF(ISNUMBER(R23),R23*'Sheet1-指标体系'!$G$7*'Sheet1-指标体系'!$J$9,0))/(IF(ISNUMBER(Q23),'Sheet1-指标体系'!$G$7*'Sheet1-指标体系'!$J$8,0)+IF(ISNUMBER(R23),'Sheet1-指标体系'!$G$7*'Sheet1-指标体系'!$J$9,0)),2))</x:f>
      </x:c>
      <x:c r="T23" s="47" t="str">
        <x:f>IF(ISNUMBER('Sheet4-原始数据'!J8),'Sheet4-原始数据'!J8,"")</x:f>
      </x:c>
      <x:c r="U23" s="47" t="str">
        <x:f>IF(ISNUMBER('Sheet4-原始数据'!I8),'Sheet4-原始数据'!I8,"")</x:f>
      </x:c>
      <x:c r="V23" s="44" t="str">
        <x:f>IF(COUNT(T23:U23)&lt;&gt;2,"",(U23*'Sheet1-指标体系'!$J$6-T23*'Sheet1-指标体系'!$J$5)/'Sheet1-指标体系'!$J$7)</x:f>
      </x:c>
      <x:c r="W23" s="52" t="str">
        <x:f>IF(NOT(ISNUMBER(T23)),"",T23*'Sheet1-指标体系'!$J$18)</x:f>
      </x:c>
      <x:c r="X23" s="52" t="str">
        <x:f>IF(G23&lt;&gt;"入池","",IF(ISNUMBER(V23),IF(AND(V23&gt;=0,V23&lt;=1),V23*'Sheet1-指标体系'!$J$18,IF(MAX(0,(F23-'Sheet1-指标体系'!$J$15)*'Sheet1-指标体系'!$J$20)&lt;'Sheet1-指标体系'!$J$19,'Sheet1-指标体系'!$J$18,"")),IF(MAX(0,(F23-'Sheet1-指标体系'!$J$15)*'Sheet1-指标体系'!$J$20)&lt;'Sheet1-指标体系'!$J$19,'Sheet1-指标体系'!$J$18,"")))</x:f>
      </x:c>
      <x:c r="Y23" s="52" t="str">
        <x:f>IF(NOT(ISNUMBER(W23)),"",IF(COUNT(W23,X23)=0,"",ROUND((IF(ISNUMBER(W23),W23*'Sheet1-指标体系'!$G$8*'Sheet1-指标体系'!$J$8,0)+IF(ISNUMBER(X23),X23*'Sheet1-指标体系'!$G$8*'Sheet1-指标体系'!$J$9,0))/(IF(ISNUMBER(W23),'Sheet1-指标体系'!$G$8*'Sheet1-指标体系'!$J$8,0)+IF(ISNUMBER(X23),'Sheet1-指标体系'!$G$8*'Sheet1-指标体系'!$J$9,0)),2)))</x:f>
      </x:c>
      <x:c r="Z23" s="44" t="str">
        <x:f>IF(COUNT(M23,AD23)&lt;&gt;2,"",IF(AD23=0,"",ABS(M23/AD23)))</x:f>
      </x:c>
      <x:c r="AA23" s="47" t="str">
        <x:f>IF(ISNUMBER('Sheet4-原始数据'!K8),'Sheet4-原始数据'!K8,"")</x:f>
      </x:c>
      <x:c r="AB23" s="44" t="str">
        <x:f>IF(COUNT(Z23:AA23)=0,"",MAX(Z23:AA23))</x:f>
      </x:c>
      <x:c r="AC23" s="52" t="str">
        <x:f>IF(OR($G23&lt;&gt;"入池",NOT(ISNUMBER(AB23))),"",IF(COUNTIFS($G$17:$G$99,"入池",$AB$17:$AB$99,"&gt;=-1E+307",$AB$17:$AB$99,"&lt;=1E+307")&lt;=1,'Sheet1-指标体系'!$J$18,ROUND('Sheet1-指标体系'!$J$18*(COUNTIFS($G$17:$G$99,"入池",$AB$17:$AB$99,"&lt;=1E+307",$AB$17:$AB$99,"&gt;"&amp;AB23)+COUNTIFS($G$17:$G$99,"入池",$AB$17:$AB$99,"&gt;=-1E+307",$AB$17:$AB$99,"&lt;=1E+307",$AB$17:$AB$99,AB23)/2-0.5)/(COUNTIFS($G$17:$G$99,"入池",$AB$17:$AB$99,"&gt;=-1E+307",$AB$17:$AB$99,"&lt;=1E+307")-1),2)))</x:f>
      </x:c>
      <x:c r="AD23" s="48" t="str">
        <x:f>IF(ISNUMBER('Sheet4-原始数据'!M8),'Sheet4-原始数据'!M8,"")</x:f>
      </x:c>
      <x:c r="AE23" s="44" t="str">
        <x:f>IF(COUNT(P23,AA23,Z23)&lt;&gt;3,"",IF(AA23&gt;Z23+'Sheet1-指标体系'!$J$11,AA23,""))</x:f>
      </x:c>
      <x:c r="AF23" s="52" t="str">
        <x:f>IF(COUNT(P23,AE23)&lt;&gt;2,"",IF(AE23=0,"",P23/AE23))</x:f>
      </x:c>
      <x:c r="AG23" s="52" t="str">
        <x:f>IF(OR($G23&lt;&gt;"入池",NOT(ISNUMBER(AD23))),"",IF(COUNTIFS($G$17:$G$99,"入池",$AD$17:$AD$99,"&gt;=-1E+307",$AD$17:$AD$99,"&lt;=1E+307")&lt;=1,'Sheet1-指标体系'!$J$18,ROUND('Sheet1-指标体系'!$J$18*(COUNTIFS($G$17:$G$99,"入池",$AD$17:$AD$99,"&gt;=-1E+307",$AD$17:$AD$99,"&lt;"&amp;AD23)+COUNTIFS($G$17:$G$99,"入池",$AD$17:$AD$99,"&gt;=-1E+307",$AD$17:$AD$99,"&lt;=1E+307",$AD$17:$AD$99,AD23)/2-0.5)/(COUNTIFS($G$17:$G$99,"入池",$AD$17:$AD$99,"&gt;=-1E+307",$AD$17:$AD$99,"&lt;=1E+307")-1),2)))</x:f>
      </x:c>
      <x:c r="AH23" s="52" t="str">
        <x:f>IF(OR($G23&lt;&gt;"入池",NOT(ISNUMBER(AF23))),"",IF(COUNTIFS($G$17:$G$99,"入池",$AF$17:$AF$99,"&gt;=-1E+307",$AF$17:$AF$99,"&lt;=1E+307")&lt;=1,'Sheet1-指标体系'!$J$18,ROUND('Sheet1-指标体系'!$J$18*(COUNTIFS($G$17:$G$99,"入池",$AF$17:$AF$99,"&gt;=-1E+307",$AF$17:$AF$99,"&lt;"&amp;AF23)+COUNTIFS($G$17:$G$99,"入池",$AF$17:$AF$99,"&gt;=-1E+307",$AF$17:$AF$99,"&lt;=1E+307",$AF$17:$AF$99,AF23)/2-0.5)/(COUNTIFS($G$17:$G$99,"入池",$AF$17:$AF$99,"&gt;=-1E+307",$AF$17:$AF$99,"&lt;=1E+307")-1),2)))</x:f>
      </x:c>
      <x:c r="AI23" s="52" t="str">
        <x:f>IF(COUNT(AG23,AH23)=0,"",ROUND((IF(ISNUMBER(AG23),AG23*'Sheet1-指标体系'!$G$10*'Sheet1-指标体系'!$J$8,0)+IF(ISNUMBER(AH23),AH23*'Sheet1-指标体系'!$G$10*'Sheet1-指标体系'!$J$9,0))/(IF(ISNUMBER(AG23),'Sheet1-指标体系'!$G$10*'Sheet1-指标体系'!$J$8,0)+IF(ISNUMBER(AH23),'Sheet1-指标体系'!$G$10*'Sheet1-指标体系'!$J$9,0)),2))</x:f>
      </x:c>
      <x:c r="AJ23" s="44" t="str">
        <x:f>IF(NOT(ISNUMBER(F23)),"",IF(F23&gt;='Sheet1-指标体系'!$J$16,IF(ISNUMBER(N23),N23,""),IF(ISNUMBER(O23),O23,"")))</x:f>
      </x:c>
      <x:c r="AK23" s="52" t="str">
        <x:f>IF(OR(G23&lt;&gt;"入池",COUNT(M23,AJ23)&lt;&gt;2),"",IF(M23&gt;=AJ23,'Sheet1-指标体系'!$J$18,IF(AJ23-M23&lt;'Sheet1-指标体系'!$J$10,'Sheet1-指标体系'!$J$22,'Sheet1-指标体系'!$J$23)))</x:f>
      </x:c>
      <x:c r="AL23" s="52" t="n">
        <x:f>IF(COUNT(I23,K23,L23)=0,"",ROUND((IF(ISNUMBER(I23),I23*'Sheet1-指标体系'!$G$4,0)+IF(ISNUMBER(K23),K23*'Sheet1-指标体系'!$G$5,0)+IF(ISNUMBER(L23),L23*'Sheet1-指标体系'!$G$6,0))/(IF(ISNUMBER(I23),'Sheet1-指标体系'!$G$4,0)+IF(ISNUMBER(K23),'Sheet1-指标体系'!$G$5,0)+IF(ISNUMBER(L23),'Sheet1-指标体系'!$G$6,0)),2))</x:f>
        <x:v>88</x:v>
      </x:c>
      <x:c r="AM23" s="52" t="str">
        <x:f>IF(COUNT(Q23,R23,W23,X23)=0,"",ROUND((IF(ISNUMBER(Q23),Q23*'Sheet1-指标体系'!$G$7*'Sheet1-指标体系'!$J$8,0)+IF(ISNUMBER(R23),R23*'Sheet1-指标体系'!$G$7*'Sheet1-指标体系'!$J$9,0)+IF(ISNUMBER(W23),W23*'Sheet1-指标体系'!$G$8*'Sheet1-指标体系'!$J$8,0)+IF(ISNUMBER(X23),X23*'Sheet1-指标体系'!$G$8*'Sheet1-指标体系'!$J$9,0))/(IF(ISNUMBER(Q23),'Sheet1-指标体系'!$G$7*'Sheet1-指标体系'!$J$8,0)+IF(ISNUMBER(R23),'Sheet1-指标体系'!$G$7*'Sheet1-指标体系'!$J$9,0)+IF(ISNUMBER(W23),'Sheet1-指标体系'!$G$8*'Sheet1-指标体系'!$J$8,0)+IF(ISNUMBER(X23),'Sheet1-指标体系'!$G$8*'Sheet1-指标体系'!$J$9,0)),2))</x:f>
      </x:c>
      <x:c r="AN23" s="52" t="str">
        <x:f>IF(ISNUMBER(AC23),AC23,"")</x:f>
      </x:c>
      <x:c r="AO23" s="52" t="str">
        <x:f>IF(COUNT(AG23,AH23)=0,"",ROUND((IF(ISNUMBER(AG23),AG23*'Sheet1-指标体系'!$G$10*'Sheet1-指标体系'!$J$8,0)+IF(ISNUMBER(AH23),AH23*'Sheet1-指标体系'!$G$10*'Sheet1-指标体系'!$J$9,0))/(IF(ISNUMBER(AG23),'Sheet1-指标体系'!$G$10*'Sheet1-指标体系'!$J$8,0)+IF(ISNUMBER(AH23),'Sheet1-指标体系'!$G$10*'Sheet1-指标体系'!$J$9,0)),2))</x:f>
      </x:c>
      <x:c r="AP23" s="52" t="str">
        <x:f>IF(ISNUMBER(AK23),AK23,"")</x:f>
      </x:c>
      <x:c r="AQ23" s="27" t="n">
        <x:f>IF(G23&lt;&gt;"入池",0,IF(ISNUMBER(I23),'Sheet1-指标体系'!$G$4,0)+IF(ISNUMBER(K23),'Sheet1-指标体系'!$G$5,0)+IF(ISNUMBER(L23),'Sheet1-指标体系'!$G$6,0)+IF(ISNUMBER(Q23),'Sheet1-指标体系'!$G$7*'Sheet1-指标体系'!$J$8,0)+IF(ISNUMBER(R23),'Sheet1-指标体系'!$G$7*'Sheet1-指标体系'!$J$9,0)+IF(ISNUMBER(W23),'Sheet1-指标体系'!$G$8*'Sheet1-指标体系'!$J$8,0)+IF(ISNUMBER(X23),'Sheet1-指标体系'!$G$8*'Sheet1-指标体系'!$J$9,0)+IF(ISNUMBER(AC23),'Sheet1-指标体系'!$G$9,0)+IF(ISNUMBER(AG23),'Sheet1-指标体系'!$G$10*'Sheet1-指标体系'!$J$8,0)+IF(ISNUMBER(AH23),'Sheet1-指标体系'!$G$10*'Sheet1-指标体系'!$J$9,0)+IF(ISNUMBER(AK23),'Sheet1-指标体系'!$G$11,0))</x:f>
        <x:v>0.15</x:v>
      </x:c>
      <x:c r="AR23" s="52" t="n">
        <x:f>IF(AQ23=0,"",IF(ISNUMBER(I23),I23*'Sheet1-指标体系'!$G$4,0)+IF(ISNUMBER(K23),K23*'Sheet1-指标体系'!$G$5,0)+IF(ISNUMBER(L23),L23*'Sheet1-指标体系'!$G$6,0)+IF(ISNUMBER(Q23),Q23*'Sheet1-指标体系'!$G$7*'Sheet1-指标体系'!$J$8,0)+IF(ISNUMBER(R23),R23*'Sheet1-指标体系'!$G$7*'Sheet1-指标体系'!$J$9,0)+IF(ISNUMBER(W23),W23*'Sheet1-指标体系'!$G$8*'Sheet1-指标体系'!$J$8,0)+IF(ISNUMBER(X23),X23*'Sheet1-指标体系'!$G$8*'Sheet1-指标体系'!$J$9,0)+IF(ISNUMBER(AC23),AC23*'Sheet1-指标体系'!$G$9,0)+IF(ISNUMBER(AG23),AG23*'Sheet1-指标体系'!$G$10*'Sheet1-指标体系'!$J$8,0)+IF(ISNUMBER(AH23),AH23*'Sheet1-指标体系'!$G$10*'Sheet1-指标体系'!$J$9,0)+IF(ISNUMBER(AK23),AK23*'Sheet1-指标体系'!$G$11,0))</x:f>
        <x:v>13.2</x:v>
      </x:c>
      <x:c r="AS23" s="52" t="n">
        <x:f>IF(AQ23=0,"",ROUND(AR23/AQ23,2))</x:f>
        <x:v>88</x:v>
      </x:c>
      <x:c r="AT23" s="49" t="n">
        <x:f>IF(OR(G23&lt;&gt;"入池",NOT(ISNUMBER(AS23))),"",COUNTIFS($G$17:$G$99,"入池",$AS$17:$AS$99,"&gt;"&amp;AS23)+COUNTIFS($G$17:$G$99,"入池",$AS$17:$AS$99,AS23,$AQ$17:$AQ$99,"&gt;"&amp;AQ23)+COUNTIFS($G$17:G23,"入池",$AS$17:AS23,AS23,$AQ$17:AQ23,AQ23))</x:f>
        <x:v>9</x:v>
      </x:c>
      <x:c r="AU23" s="53" t="str">
        <x:f>IF(NOT(ISNUMBER(I23)),"管理人规模；","")&amp;IF(NOT(ISNUMBER(K23)),"产品规模标识；","")&amp;IF(NOT(ISNUMBER(M23)),"近一年收益；","")&amp;IF(NOT(ISNUMBER(T23)),"近一年胜率；","")&amp;IF(NOT(ISNUMBER(N23)),"近三年收益；","")&amp;IF(NOT(ISNUMBER(U23)),"近三年胜率；","")&amp;IF(NOT(ISNUMBER(AA23)),"近三年回撤；","")&amp;IF(NOT(ISNUMBER(AD23)),"近一年卡玛；","")&amp;IF(ISNUMBER(F23),IF(AND(F23&lt;'Sheet1-指标体系'!$J$16,NOT(ISNUMBER(O23))),"成立以来年化；",""),"成立日期；")&amp;IF(ISNUMBER(V23),IF(OR(V23&lt;0,V23&gt;1),"胜率窗口口径不一致；",""),"")&amp;IF(ISNUMBER(P23),IF(NOT(ISNUMBER(AE23)),"DD_long不可识别；",""),"")</x:f>
        <x:v>近一年收益；近一年胜率；近三年收益；近三年胜率；近三年回撤；近一年卡玛；</x:v>
      </x:c>
      <x:c r="AV23" s="52" t="str">
        <x:f>IF(ROUND(AQ23,10)=ROUND('Sheet1-指标体系'!$J$25,10),AR23,"")</x:f>
      </x:c>
      <x:c r="AW23" s="14" t="str">
        <x:f>IF(G23&lt;&gt;"入池",G23,IF(AQ23=0,"无有效评分数据",IF(ROUND(AQ23,10)=ROUND('Sheet1-指标体系'!$J$25,10),"完整赋分", "暂定分／数据不完整")))</x:f>
        <x:v>暂定分／数据不完整</x:v>
      </x:c>
      <x:c r="AX23" s="45" t="str">
        <x:f>IF('Sheet4-原始数据'!C8="","",'Sheet4-原始数据'!C8)</x:f>
        <x:v>套利策略</x:v>
      </x:c>
      <x:c r="AY23" s="45" t="str">
        <x:f>IF('Sheet4-原始数据'!D8="","",'Sheet4-原始数据'!D8)</x:f>
        <x:v>期货套利</x:v>
      </x:c>
      <x:c r="AZ23" s="45" t="str">
        <x:f>IF('Sheet5-查询核对'!S8="","",'Sheet5-查询核对'!S8)</x:f>
        <x:v>套利策略—期货套利</x:v>
      </x:c>
      <x:c r="BA23" s="51" t="n">
        <x:f>IF('Sheet5-查询核对'!A8="","",'Sheet5-查询核对'!A8)</x:f>
        <x:v>8</x:v>
      </x:c>
      <x:c r="BB23" s="45" t="str">
        <x:f>IF('Sheet5-查询核对'!F8="","",'Sheet5-查询核对'!F8)</x:f>
        <x:v>备案号匹配</x:v>
      </x:c>
      <x:c r="BC23" s="50" t="str">
        <x:f>IF('Sheet5-查询核对'!I8="","",'Sheet5-查询核对'!I8)</x:f>
        <x:v>https://mp.fof99.com/fund/view/11dff1146ece63b4</x:v>
      </x:c>
      <x:c r="BD23" s="46" t="n">
        <x:f>IF('Sheet5-查询核对'!H8="","",'Sheet5-查询核对'!H8)</x:f>
        <x:v>46269</x:v>
      </x:c>
      <x:c r="BE23" s="50" t="str">
        <x:f>IF('Sheet5-查询核对'!L8="","",'Sheet5-查询核对'!L8)</x:f>
        <x:v>https://mp.fof99.com/fund/view/11dff1146ece63b4</x:v>
      </x:c>
      <x:c r="BF23" s="46" t="n">
        <x:f>IF('Sheet5-查询核对'!M8="","",'Sheet5-查询核对'!M8)</x:f>
        <x:v>46275</x:v>
      </x:c>
      <x:c r="BG23" s="50" t="str">
        <x:f>IF('Sheet5-查询核对'!O8="","",'Sheet5-查询核对'!O8)</x:f>
        <x:v>https://gs.amac.org.cn/amac-infodisc/res/pof/fund/2104131319108374.html</x:v>
      </x:c>
      <x:c r="BH23" s="46" t="n">
        <x:f>IF('Sheet5-查询核对'!P8="","",'Sheet5-查询核对'!P8)</x:f>
        <x:v>46275</x:v>
      </x:c>
      <x:c r="BI23" s="45" t="str">
        <x:f>IF('Sheet5-查询核对'!D8="","",'Sheet5-查询核对'!D8)</x:f>
        <x:v>SQH214</x:v>
      </x:c>
      <x:c r="BJ23" t="n">
        <x:f>IF(ISNUMBER(AT23),AT23,COUNT($AT$17:$AT$99)+ROWS($AT$17:AT23)-COUNT($AT$17:AT23))</x:f>
        <x:v>9</x:v>
      </x:c>
    </x:row>
    <x:row r="24" ht="44" customHeight="1">
      <x:c r="A24" s="49" t="n">
        <x:f>'Sheet5-查询核对'!A9-1</x:f>
        <x:v>8</x:v>
      </x:c>
      <x:c r="B24" s="50" t="str">
        <x:f>IF('Sheet4-原始数据'!A9="",'Sheet5-查询核对'!B9,'Sheet4-原始数据'!A9)</x:f>
        <x:v>辰元稳健2号</x:v>
      </x:c>
      <x:c r="C24" s="45" t="str">
        <x:f>IF('Sheet4-原始数据'!B9="","",'Sheet4-原始数据'!B9)</x:f>
        <x:v>SZJ724</x:v>
      </x:c>
      <x:c r="D24" s="45" t="str">
        <x:f>IF('Sheet4-原始数据'!E9="","",'Sheet4-原始数据'!E9)</x:f>
        <x:v>广东辰元</x:v>
      </x:c>
      <x:c r="E24" s="46" t="n">
        <x:f>IF('Sheet4-原始数据'!F9="","",'Sheet4-原始数据'!F9)</x:f>
        <x:v>44967</x:v>
      </x:c>
      <x:c r="F24" s="52" t="n">
        <x:f>IF(ISNUMBER(E24),ROUND(('Sheet1-指标体系'!$J$12-E24)/'Sheet1-指标体系'!$J$14,4),"")</x:f>
        <x:v>3.5811</x:v>
      </x:c>
      <x:c r="G24" s="14" t="str">
        <x:f>IF(C24="","未匹配",IF(NOT(ISNUMBER(F24)),"缺成立日期",IF(F24&lt;'Sheet1-指标体系'!$J$15,"不入池","入池")))</x:f>
        <x:v>入池</x:v>
      </x:c>
      <x:c r="H24" s="45" t="str">
        <x:f>IF('Sheet5-查询核对'!K9="","",'Sheet5-查询核对'!K9)</x:f>
        <x:v>20-50亿元</x:v>
      </x:c>
      <x:c r="I24" s="52" t="n">
        <x:f>IF(H24="","",IF(COUNTIF('Sheet1-指标体系'!$P$4:$P$10,H24)=0,"",INDEX('Sheet1-指标体系'!$Q$4:$Q$10,MATCH(H24,'Sheet1-指标体系'!$P$4:$P$10,0))))</x:f>
        <x:v>90</x:v>
      </x:c>
      <x:c r="J24" s="54" t="str">
        <x:f>IF(NOT(ISNUMBER('Sheet5-查询核对'!N9)),"",IF('Sheet5-查询核对'!N9=1,"低于"&amp;'Sheet1-指标体系'!$J$4&amp;"万元",IF('Sheet5-查询核对'!N9=0,"无低于"&amp;'Sheet1-指标体系'!$J$4&amp;"万元标识","")))</x:f>
        <x:v>无低于1000万元标识</x:v>
      </x:c>
      <x:c r="K24" s="52" t="n">
        <x:f>IF(NOT(ISNUMBER('Sheet5-查询核对'!N9)),"",IF('Sheet5-查询核对'!N9=1,'Sheet1-指标体系'!$J$21,IF('Sheet5-查询核对'!N9=0,'Sheet1-指标体系'!$J$18,"")))</x:f>
        <x:v>100</x:v>
      </x:c>
      <x:c r="L24" s="52" t="n">
        <x:f>IF(NOT(ISNUMBER(F24)),"",IF(F24&lt;'Sheet1-指标体系'!$J$15,"",IF(F24&lt;'Sheet1-指标体系'!$J$16,'Sheet1-指标体系'!$J$17,'Sheet1-指标体系'!$J$18)))</x:f>
        <x:v>100</x:v>
      </x:c>
      <x:c r="M24" s="47" t="n">
        <x:f>IF(ISNUMBER('Sheet4-原始数据'!G9),'Sheet4-原始数据'!G9,"")</x:f>
        <x:v>0.0253</x:v>
      </x:c>
      <x:c r="N24" s="47" t="n">
        <x:f>IF(ISNUMBER('Sheet4-原始数据'!H9),'Sheet4-原始数据'!H9,"")</x:f>
        <x:v>0.061399999999999996</x:v>
      </x:c>
      <x:c r="O24" s="47" t="n">
        <x:f>IF(ISNUMBER('Sheet5-查询核对'!Q9),'Sheet5-查询核对'!Q9,"")</x:f>
        <x:v>0.0696</x:v>
      </x:c>
      <x:c r="P24" s="44" t="n">
        <x:f>IF($G24&lt;&gt;"入池","",IF($F24&gt;='Sheet1-指标体系'!$J$16,IF(COUNT(M24,N24)&lt;&gt;2,"",IF(OR(1+M24&lt;=0,1+N24&lt;0),"",((1+N24)^'Sheet1-指标体系'!$J$16/(1+M24))^(1/('Sheet1-指标体系'!$J$16-'Sheet1-指标体系'!$J$15))-1)),IF(COUNT(M24,O24)&lt;&gt;2,"",IF(OR(F24&lt;='Sheet1-指标体系'!$J$15,1+M24&lt;=0,1+O24&lt;0),"",((1+O24)^F24/(1+M24))^(1/(F24-'Sheet1-指标体系'!$J$15))-1))))</x:f>
        <x:v>0.07992388388753313</x:v>
      </x:c>
      <x:c r="Q24" s="52" t="n">
        <x:f>IF(OR($G24&lt;&gt;"入池",NOT(ISNUMBER(M24))),"",IF(COUNTIFS($G$17:$G$99,"入池",$M$17:$M$99,"&gt;=-1E+307",$M$17:$M$99,"&lt;=1E+307")&lt;=1,'Sheet1-指标体系'!$J$18,ROUND('Sheet1-指标体系'!$J$18*(COUNTIFS($G$17:$G$99,"入池",$M$17:$M$99,"&gt;=-1E+307",$M$17:$M$99,"&lt;"&amp;M24)+COUNTIFS($G$17:$G$99,"入池",$M$17:$M$99,"&gt;=-1E+307",$M$17:$M$99,"&lt;=1E+307",$M$17:$M$99,M24)/2-0.5)/(COUNTIFS($G$17:$G$99,"入池",$M$17:$M$99,"&gt;=-1E+307",$M$17:$M$99,"&lt;=1E+307")-1),2)))</x:f>
        <x:v>5.36</x:v>
      </x:c>
      <x:c r="R24" s="52" t="n">
        <x:f>IF(OR($G24&lt;&gt;"入池",NOT(ISNUMBER(P24))),"",IF(COUNTIFS($G$17:$G$99,"入池",$P$17:$P$99,"&gt;=-1E+307",$P$17:$P$99,"&lt;=1E+307")&lt;=1,'Sheet1-指标体系'!$J$18,ROUND('Sheet1-指标体系'!$J$18*(COUNTIFS($G$17:$G$99,"入池",$P$17:$P$99,"&gt;=-1E+307",$P$17:$P$99,"&lt;"&amp;P24)+COUNTIFS($G$17:$G$99,"入池",$P$17:$P$99,"&gt;=-1E+307",$P$17:$P$99,"&lt;=1E+307",$P$17:$P$99,P24)/2-0.5)/(COUNTIFS($G$17:$G$99,"入池",$P$17:$P$99,"&gt;=-1E+307",$P$17:$P$99,"&lt;=1E+307")-1),2)))</x:f>
        <x:v>55.56</x:v>
      </x:c>
      <x:c r="S24" s="52" t="n">
        <x:f>IF(COUNT(Q24,R24)=0,"",ROUND((IF(ISNUMBER(Q24),Q24*'Sheet1-指标体系'!$G$7*'Sheet1-指标体系'!$J$8,0)+IF(ISNUMBER(R24),R24*'Sheet1-指标体系'!$G$7*'Sheet1-指标体系'!$J$9,0))/(IF(ISNUMBER(Q24),'Sheet1-指标体系'!$G$7*'Sheet1-指标体系'!$J$8,0)+IF(ISNUMBER(R24),'Sheet1-指标体系'!$G$7*'Sheet1-指标体系'!$J$9,0)),2))</x:f>
        <x:v>25.44</x:v>
      </x:c>
      <x:c r="T24" s="47" t="n">
        <x:f>IF(ISNUMBER('Sheet4-原始数据'!J9),'Sheet4-原始数据'!J9,"")</x:f>
        <x:v>0.6154</x:v>
      </x:c>
      <x:c r="U24" s="47" t="n">
        <x:f>IF(ISNUMBER('Sheet4-原始数据'!I9),'Sheet4-原始数据'!I9,"")</x:f>
        <x:v>0.8378</x:v>
      </x:c>
      <x:c r="V24" s="44" t="n">
        <x:f>IF(COUNT(T24:U24)&lt;&gt;2,"",(U24*'Sheet1-指标体系'!$J$6-T24*'Sheet1-指标体系'!$J$5)/'Sheet1-指标体系'!$J$7)</x:f>
        <x:v>0.9582666666666667</x:v>
      </x:c>
      <x:c r="W24" s="52" t="n">
        <x:f>IF(NOT(ISNUMBER(T24)),"",T24*'Sheet1-指标体系'!$J$18)</x:f>
        <x:v>61.53999999999999</x:v>
      </x:c>
      <x:c r="X24" s="52" t="n">
        <x:f>IF(G24&lt;&gt;"入池","",IF(ISNUMBER(V24),IF(AND(V24&gt;=0,V24&lt;=1),V24*'Sheet1-指标体系'!$J$18,IF(MAX(0,(F24-'Sheet1-指标体系'!$J$15)*'Sheet1-指标体系'!$J$20)&lt;'Sheet1-指标体系'!$J$19,'Sheet1-指标体系'!$J$18,"")),IF(MAX(0,(F24-'Sheet1-指标体系'!$J$15)*'Sheet1-指标体系'!$J$20)&lt;'Sheet1-指标体系'!$J$19,'Sheet1-指标体系'!$J$18,"")))</x:f>
        <x:v>95.82666666666667</x:v>
      </x:c>
      <x:c r="Y24" s="52" t="n">
        <x:f>IF(NOT(ISNUMBER(W24)),"",IF(COUNT(W24,X24)=0,"",ROUND((IF(ISNUMBER(W24),W24*'Sheet1-指标体系'!$G$8*'Sheet1-指标体系'!$J$8,0)+IF(ISNUMBER(X24),X24*'Sheet1-指标体系'!$G$8*'Sheet1-指标体系'!$J$9,0))/(IF(ISNUMBER(W24),'Sheet1-指标体系'!$G$8*'Sheet1-指标体系'!$J$8,0)+IF(ISNUMBER(X24),'Sheet1-指标体系'!$G$8*'Sheet1-指标体系'!$J$9,0)),2)))</x:f>
        <x:v>75.25</x:v>
      </x:c>
      <x:c r="Z24" s="44" t="n">
        <x:f>IF(COUNT(M24,AD24)&lt;&gt;2,"",IF(AD24=0,"",ABS(M24/AD24)))</x:f>
        <x:v>0.004940634275894392</x:v>
      </x:c>
      <x:c r="AA24" s="47" t="n">
        <x:f>IF(ISNUMBER('Sheet4-原始数据'!K9),'Sheet4-原始数据'!K9,"")</x:f>
        <x:v>0.0062</x:v>
      </x:c>
      <x:c r="AB24" s="44" t="n">
        <x:f>IF(COUNT(Z24:AA24)=0,"",MAX(Z24:AA24))</x:f>
        <x:v>0.0062</x:v>
      </x:c>
      <x:c r="AC24" s="52" t="n">
        <x:f>IF(OR($G24&lt;&gt;"入池",NOT(ISNUMBER(AB24))),"",IF(COUNTIFS($G$17:$G$99,"入池",$AB$17:$AB$99,"&gt;=-1E+307",$AB$17:$AB$99,"&lt;=1E+307")&lt;=1,'Sheet1-指标体系'!$J$18,ROUND('Sheet1-指标体系'!$J$18*(COUNTIFS($G$17:$G$99,"入池",$AB$17:$AB$99,"&lt;=1E+307",$AB$17:$AB$99,"&gt;"&amp;AB24)+COUNTIFS($G$17:$G$99,"入池",$AB$17:$AB$99,"&gt;=-1E+307",$AB$17:$AB$99,"&lt;=1E+307",$AB$17:$AB$99,AB24)/2-0.5)/(COUNTIFS($G$17:$G$99,"入池",$AB$17:$AB$99,"&gt;=-1E+307",$AB$17:$AB$99,"&lt;=1E+307")-1),2)))</x:f>
        <x:v>86.21</x:v>
      </x:c>
      <x:c r="AD24" s="48" t="n">
        <x:f>IF(ISNUMBER('Sheet4-原始数据'!M9),'Sheet4-原始数据'!M9,"")</x:f>
        <x:v>5.1208</x:v>
      </x:c>
      <x:c r="AE24" s="44" t="n">
        <x:f>IF(COUNT(P24,AA24,Z24)&lt;&gt;3,"",IF(AA24&gt;Z24+'Sheet1-指标体系'!$J$11,AA24,""))</x:f>
        <x:v>0.0062</x:v>
      </x:c>
      <x:c r="AF24" s="52" t="n">
        <x:f>IF(COUNT(P24,AE24)&lt;&gt;2,"",IF(AE24=0,"",P24/AE24))</x:f>
        <x:v>12.890949014118247</x:v>
      </x:c>
      <x:c r="AG24" s="52" t="n">
        <x:f>IF(OR($G24&lt;&gt;"入池",NOT(ISNUMBER(AD24))),"",IF(COUNTIFS($G$17:$G$99,"入池",$AD$17:$AD$99,"&gt;=-1E+307",$AD$17:$AD$99,"&lt;=1E+307")&lt;=1,'Sheet1-指标体系'!$J$18,ROUND('Sheet1-指标体系'!$J$18*(COUNTIFS($G$17:$G$99,"入池",$AD$17:$AD$99,"&gt;=-1E+307",$AD$17:$AD$99,"&lt;"&amp;AD24)+COUNTIFS($G$17:$G$99,"入池",$AD$17:$AD$99,"&gt;=-1E+307",$AD$17:$AD$99,"&lt;=1E+307",$AD$17:$AD$99,AD24)/2-0.5)/(COUNTIFS($G$17:$G$99,"入池",$AD$17:$AD$99,"&gt;=-1E+307",$AD$17:$AD$99,"&lt;=1E+307")-1),2)))</x:f>
        <x:v>34.55</x:v>
      </x:c>
      <x:c r="AH24" s="52" t="n">
        <x:f>IF(OR($G24&lt;&gt;"入池",NOT(ISNUMBER(AF24))),"",IF(COUNTIFS($G$17:$G$99,"入池",$AF$17:$AF$99,"&gt;=-1E+307",$AF$17:$AF$99,"&lt;=1E+307")&lt;=1,'Sheet1-指标体系'!$J$18,ROUND('Sheet1-指标体系'!$J$18*(COUNTIFS($G$17:$G$99,"入池",$AF$17:$AF$99,"&gt;=-1E+307",$AF$17:$AF$99,"&lt;"&amp;AF24)+COUNTIFS($G$17:$G$99,"入池",$AF$17:$AF$99,"&gt;=-1E+307",$AF$17:$AF$99,"&lt;=1E+307",$AF$17:$AF$99,AF24)/2-0.5)/(COUNTIFS($G$17:$G$99,"入池",$AF$17:$AF$99,"&gt;=-1E+307",$AF$17:$AF$99,"&lt;=1E+307")-1),2)))</x:f>
        <x:v>89.29</x:v>
      </x:c>
      <x:c r="AI24" s="52" t="n">
        <x:f>IF(COUNT(AG24,AH24)=0,"",ROUND((IF(ISNUMBER(AG24),AG24*'Sheet1-指标体系'!$G$10*'Sheet1-指标体系'!$J$8,0)+IF(ISNUMBER(AH24),AH24*'Sheet1-指标体系'!$G$10*'Sheet1-指标体系'!$J$9,0))/(IF(ISNUMBER(AG24),'Sheet1-指标体系'!$G$10*'Sheet1-指标体系'!$J$8,0)+IF(ISNUMBER(AH24),'Sheet1-指标体系'!$G$10*'Sheet1-指标体系'!$J$9,0)),2))</x:f>
        <x:v>56.45</x:v>
      </x:c>
      <x:c r="AJ24" s="44" t="n">
        <x:f>IF(NOT(ISNUMBER(F24)),"",IF(F24&gt;='Sheet1-指标体系'!$J$16,IF(ISNUMBER(N24),N24,""),IF(ISNUMBER(O24),O24,"")))</x:f>
        <x:v>0.061399999999999996</x:v>
      </x:c>
      <x:c r="AK24" s="52" t="n">
        <x:f>IF(OR(G24&lt;&gt;"入池",COUNT(M24,AJ24)&lt;&gt;2),"",IF(M24&gt;=AJ24,'Sheet1-指标体系'!$J$18,IF(AJ24-M24&lt;'Sheet1-指标体系'!$J$10,'Sheet1-指标体系'!$J$22,'Sheet1-指标体系'!$J$23)))</x:f>
        <x:v>80</x:v>
      </x:c>
      <x:c r="AL24" s="52" t="n">
        <x:f>IF(COUNT(I24,K24,L24)=0,"",ROUND((IF(ISNUMBER(I24),I24*'Sheet1-指标体系'!$G$4,0)+IF(ISNUMBER(K24),K24*'Sheet1-指标体系'!$G$5,0)+IF(ISNUMBER(L24),L24*'Sheet1-指标体系'!$G$6,0))/(IF(ISNUMBER(I24),'Sheet1-指标体系'!$G$4,0)+IF(ISNUMBER(K24),'Sheet1-指标体系'!$G$5,0)+IF(ISNUMBER(L24),'Sheet1-指标体系'!$G$6,0)),2))</x:f>
        <x:v>96</x:v>
      </x:c>
      <x:c r="AM24" s="52" t="n">
        <x:f>IF(COUNT(Q24,R24,W24,X24)=0,"",ROUND((IF(ISNUMBER(Q24),Q24*'Sheet1-指标体系'!$G$7*'Sheet1-指标体系'!$J$8,0)+IF(ISNUMBER(R24),R24*'Sheet1-指标体系'!$G$7*'Sheet1-指标体系'!$J$9,0)+IF(ISNUMBER(W24),W24*'Sheet1-指标体系'!$G$8*'Sheet1-指标体系'!$J$8,0)+IF(ISNUMBER(X24),X24*'Sheet1-指标体系'!$G$8*'Sheet1-指标体系'!$J$9,0))/(IF(ISNUMBER(Q24),'Sheet1-指标体系'!$G$7*'Sheet1-指标体系'!$J$8,0)+IF(ISNUMBER(R24),'Sheet1-指标体系'!$G$7*'Sheet1-指标体系'!$J$9,0)+IF(ISNUMBER(W24),'Sheet1-指标体系'!$G$8*'Sheet1-指标体系'!$J$8,0)+IF(ISNUMBER(X24),'Sheet1-指标体系'!$G$8*'Sheet1-指标体系'!$J$9,0)),2))</x:f>
        <x:v>40.38</x:v>
      </x:c>
      <x:c r="AN24" s="52" t="n">
        <x:f>IF(ISNUMBER(AC24),AC24,"")</x:f>
        <x:v>86.21</x:v>
      </x:c>
      <x:c r="AO24" s="52" t="n">
        <x:f>IF(COUNT(AG24,AH24)=0,"",ROUND((IF(ISNUMBER(AG24),AG24*'Sheet1-指标体系'!$G$10*'Sheet1-指标体系'!$J$8,0)+IF(ISNUMBER(AH24),AH24*'Sheet1-指标体系'!$G$10*'Sheet1-指标体系'!$J$9,0))/(IF(ISNUMBER(AG24),'Sheet1-指标体系'!$G$10*'Sheet1-指标体系'!$J$8,0)+IF(ISNUMBER(AH24),'Sheet1-指标体系'!$G$10*'Sheet1-指标体系'!$J$9,0)),2))</x:f>
        <x:v>56.45</x:v>
      </x:c>
      <x:c r="AP24" s="52" t="n">
        <x:f>IF(ISNUMBER(AK24),AK24,"")</x:f>
        <x:v>80</x:v>
      </x:c>
      <x:c r="AQ24" s="27" t="n">
        <x:f>IF(G24&lt;&gt;"入池",0,IF(ISNUMBER(I24),'Sheet1-指标体系'!$G$4,0)+IF(ISNUMBER(K24),'Sheet1-指标体系'!$G$5,0)+IF(ISNUMBER(L24),'Sheet1-指标体系'!$G$6,0)+IF(ISNUMBER(Q24),'Sheet1-指标体系'!$G$7*'Sheet1-指标体系'!$J$8,0)+IF(ISNUMBER(R24),'Sheet1-指标体系'!$G$7*'Sheet1-指标体系'!$J$9,0)+IF(ISNUMBER(W24),'Sheet1-指标体系'!$G$8*'Sheet1-指标体系'!$J$8,0)+IF(ISNUMBER(X24),'Sheet1-指标体系'!$G$8*'Sheet1-指标体系'!$J$9,0)+IF(ISNUMBER(AC24),'Sheet1-指标体系'!$G$9,0)+IF(ISNUMBER(AG24),'Sheet1-指标体系'!$G$10*'Sheet1-指标体系'!$J$8,0)+IF(ISNUMBER(AH24),'Sheet1-指标体系'!$G$10*'Sheet1-指标体系'!$J$9,0)+IF(ISNUMBER(AK24),'Sheet1-指标体系'!$G$11,0))</x:f>
        <x:v>1</x:v>
      </x:c>
      <x:c r="AR24" s="52" t="n">
        <x:f>IF(AQ24=0,"",IF(ISNUMBER(I24),I24*'Sheet1-指标体系'!$G$4,0)+IF(ISNUMBER(K24),K24*'Sheet1-指标体系'!$G$5,0)+IF(ISNUMBER(L24),L24*'Sheet1-指标体系'!$G$6,0)+IF(ISNUMBER(Q24),Q24*'Sheet1-指标体系'!$G$7*'Sheet1-指标体系'!$J$8,0)+IF(ISNUMBER(R24),R24*'Sheet1-指标体系'!$G$7*'Sheet1-指标体系'!$J$9,0)+IF(ISNUMBER(W24),W24*'Sheet1-指标体系'!$G$8*'Sheet1-指标体系'!$J$8,0)+IF(ISNUMBER(X24),X24*'Sheet1-指标体系'!$G$8*'Sheet1-指标体系'!$J$9,0)+IF(ISNUMBER(AC24),AC24*'Sheet1-指标体系'!$G$9,0)+IF(ISNUMBER(AG24),AG24*'Sheet1-指标体系'!$G$10*'Sheet1-指标体系'!$J$8,0)+IF(ISNUMBER(AH24),AH24*'Sheet1-指标体系'!$G$10*'Sheet1-指标体系'!$J$9,0)+IF(ISNUMBER(AK24),AK24*'Sheet1-指标体系'!$G$11,0))</x:f>
        <x:v>68.96318000000001</x:v>
      </x:c>
      <x:c r="AS24" s="52" t="n">
        <x:f>IF(AQ24=0,"",ROUND(AR24/AQ24,2))</x:f>
        <x:v>68.96</x:v>
      </x:c>
      <x:c r="AT24" s="49" t="n">
        <x:f>IF(OR(G24&lt;&gt;"入池",NOT(ISNUMBER(AS24))),"",COUNTIFS($G$17:$G$99,"入池",$AS$17:$AS$99,"&gt;"&amp;AS24)+COUNTIFS($G$17:$G$99,"入池",$AS$17:$AS$99,AS24,$AQ$17:$AQ$99,"&gt;"&amp;AQ24)+COUNTIFS($G$17:G24,"入池",$AS$17:AS24,AS24,$AQ$17:AQ24,AQ24))</x:f>
        <x:v>43</x:v>
      </x:c>
      <x:c r="AU24" s="53" t="str">
        <x:f>IF(NOT(ISNUMBER(I24)),"管理人规模；","")&amp;IF(NOT(ISNUMBER(K24)),"产品规模标识；","")&amp;IF(NOT(ISNUMBER(M24)),"近一年收益；","")&amp;IF(NOT(ISNUMBER(T24)),"近一年胜率；","")&amp;IF(NOT(ISNUMBER(N24)),"近三年收益；","")&amp;IF(NOT(ISNUMBER(U24)),"近三年胜率；","")&amp;IF(NOT(ISNUMBER(AA24)),"近三年回撤；","")&amp;IF(NOT(ISNUMBER(AD24)),"近一年卡玛；","")&amp;IF(ISNUMBER(F24),IF(AND(F24&lt;'Sheet1-指标体系'!$J$16,NOT(ISNUMBER(O24))),"成立以来年化；",""),"成立日期；")&amp;IF(ISNUMBER(V24),IF(OR(V24&lt;0,V24&gt;1),"胜率窗口口径不一致；",""),"")&amp;IF(ISNUMBER(P24),IF(NOT(ISNUMBER(AE24)),"DD_long不可识别；",""),"")</x:f>
      </x:c>
      <x:c r="AV24" s="52" t="n">
        <x:f>IF(ROUND(AQ24,10)=ROUND('Sheet1-指标体系'!$J$25,10),AR24,"")</x:f>
        <x:v>68.96318000000001</x:v>
      </x:c>
      <x:c r="AW24" s="14" t="str">
        <x:f>IF(G24&lt;&gt;"入池",G24,IF(AQ24=0,"无有效评分数据",IF(ROUND(AQ24,10)=ROUND('Sheet1-指标体系'!$J$25,10),"完整赋分", "暂定分／数据不完整")))</x:f>
        <x:v>完整赋分</x:v>
      </x:c>
      <x:c r="AX24" s="45" t="str">
        <x:f>IF('Sheet4-原始数据'!C9="","",'Sheet4-原始数据'!C9)</x:f>
        <x:v>套利策略</x:v>
      </x:c>
      <x:c r="AY24" s="45" t="str">
        <x:f>IF('Sheet4-原始数据'!D9="","",'Sheet4-原始数据'!D9)</x:f>
        <x:v>混合套利</x:v>
      </x:c>
      <x:c r="AZ24" s="45" t="str">
        <x:f>IF('Sheet5-查询核对'!S9="","",'Sheet5-查询核对'!S9)</x:f>
        <x:v>套利策略—混合套利</x:v>
      </x:c>
      <x:c r="BA24" s="51" t="n">
        <x:f>IF('Sheet5-查询核对'!A9="","",'Sheet5-查询核对'!A9)</x:f>
        <x:v>9</x:v>
      </x:c>
      <x:c r="BB24" s="45" t="str">
        <x:f>IF('Sheet5-查询核对'!F9="","",'Sheet5-查询核对'!F9)</x:f>
        <x:v>备案号匹配</x:v>
      </x:c>
      <x:c r="BC24" s="50" t="str">
        <x:f>IF('Sheet5-查询核对'!I9="","",'Sheet5-查询核对'!I9)</x:f>
        <x:v>https://mp.fof99.com/fund/view/dfc323b7729ef01d</x:v>
      </x:c>
      <x:c r="BD24" s="46" t="n">
        <x:f>IF('Sheet5-查询核对'!H9="","",'Sheet5-查询核对'!H9)</x:f>
        <x:v>46269</x:v>
      </x:c>
      <x:c r="BE24" s="50" t="str">
        <x:f>IF('Sheet5-查询核对'!L9="","",'Sheet5-查询核对'!L9)</x:f>
        <x:v>https://mp.fof99.com/fund/view/dfc323b7729ef01d</x:v>
      </x:c>
      <x:c r="BF24" s="46" t="n">
        <x:f>IF('Sheet5-查询核对'!M9="","",'Sheet5-查询核对'!M9)</x:f>
        <x:v>46275</x:v>
      </x:c>
      <x:c r="BG24" s="50" t="str">
        <x:f>IF('Sheet5-查询核对'!O9="","",'Sheet5-查询核对'!O9)</x:f>
        <x:v>https://gs.amac.org.cn/amac-infodisc/res/pof/fund/2302151739100614.html</x:v>
      </x:c>
      <x:c r="BH24" s="46" t="n">
        <x:f>IF('Sheet5-查询核对'!P9="","",'Sheet5-查询核对'!P9)</x:f>
        <x:v>46275</x:v>
      </x:c>
      <x:c r="BI24" s="45" t="str">
        <x:f>IF('Sheet5-查询核对'!D9="","",'Sheet5-查询核对'!D9)</x:f>
        <x:v>SZJ724</x:v>
      </x:c>
      <x:c r="BJ24" t="n">
        <x:f>IF(ISNUMBER(AT24),AT24,COUNT($AT$17:$AT$99)+ROWS($AT$17:AT24)-COUNT($AT$17:AT24))</x:f>
        <x:v>43</x:v>
      </x:c>
    </x:row>
    <x:row r="25" ht="44" customHeight="1">
      <x:c r="A25" s="49" t="n">
        <x:f>'Sheet5-查询核对'!A10-1</x:f>
        <x:v>9</x:v>
      </x:c>
      <x:c r="B25" s="50" t="str">
        <x:f>IF('Sheet4-原始数据'!A10="",'Sheet5-查询核对'!B10,'Sheet4-原始数据'!A10)</x:f>
        <x:v>辰元优选稳健</x:v>
      </x:c>
      <x:c r="C25" s="45" t="str">
        <x:f>IF('Sheet4-原始数据'!B10="","",'Sheet4-原始数据'!B10)</x:f>
        <x:v>SZH690</x:v>
      </x:c>
      <x:c r="D25" s="45" t="str">
        <x:f>IF('Sheet4-原始数据'!E10="","",'Sheet4-原始数据'!E10)</x:f>
        <x:v>广东辰元</x:v>
      </x:c>
      <x:c r="E25" s="46" t="n">
        <x:f>IF('Sheet4-原始数据'!F10="","",'Sheet4-原始数据'!F10)</x:f>
        <x:v>44966</x:v>
      </x:c>
      <x:c r="F25" s="52" t="n">
        <x:f>IF(ISNUMBER(E25),ROUND(('Sheet1-指标体系'!$J$12-E25)/'Sheet1-指标体系'!$J$14,4),"")</x:f>
        <x:v>3.5838</x:v>
      </x:c>
      <x:c r="G25" s="14" t="str">
        <x:f>IF(C25="","未匹配",IF(NOT(ISNUMBER(F25)),"缺成立日期",IF(F25&lt;'Sheet1-指标体系'!$J$15,"不入池","入池")))</x:f>
        <x:v>入池</x:v>
      </x:c>
      <x:c r="H25" s="45" t="str">
        <x:f>IF('Sheet5-查询核对'!K10="","",'Sheet5-查询核对'!K10)</x:f>
        <x:v>20-50亿元</x:v>
      </x:c>
      <x:c r="I25" s="52" t="n">
        <x:f>IF(H25="","",IF(COUNTIF('Sheet1-指标体系'!$P$4:$P$10,H25)=0,"",INDEX('Sheet1-指标体系'!$Q$4:$Q$10,MATCH(H25,'Sheet1-指标体系'!$P$4:$P$10,0))))</x:f>
        <x:v>90</x:v>
      </x:c>
      <x:c r="J25" s="54" t="str">
        <x:f>IF(NOT(ISNUMBER('Sheet5-查询核对'!N10)),"",IF('Sheet5-查询核对'!N10=1,"低于"&amp;'Sheet1-指标体系'!$J$4&amp;"万元",IF('Sheet5-查询核对'!N10=0,"无低于"&amp;'Sheet1-指标体系'!$J$4&amp;"万元标识","")))</x:f>
        <x:v>无低于1000万元标识</x:v>
      </x:c>
      <x:c r="K25" s="52" t="n">
        <x:f>IF(NOT(ISNUMBER('Sheet5-查询核对'!N10)),"",IF('Sheet5-查询核对'!N10=1,'Sheet1-指标体系'!$J$21,IF('Sheet5-查询核对'!N10=0,'Sheet1-指标体系'!$J$18,"")))</x:f>
        <x:v>100</x:v>
      </x:c>
      <x:c r="L25" s="52" t="n">
        <x:f>IF(NOT(ISNUMBER(F25)),"",IF(F25&lt;'Sheet1-指标体系'!$J$15,"",IF(F25&lt;'Sheet1-指标体系'!$J$16,'Sheet1-指标体系'!$J$17,'Sheet1-指标体系'!$J$18)))</x:f>
        <x:v>100</x:v>
      </x:c>
      <x:c r="M25" s="47" t="n">
        <x:f>IF(ISNUMBER('Sheet4-原始数据'!G10),'Sheet4-原始数据'!G10,"")</x:f>
        <x:v>0.028399999999999998</x:v>
      </x:c>
      <x:c r="N25" s="47" t="n">
        <x:f>IF(ISNUMBER('Sheet4-原始数据'!H10),'Sheet4-原始数据'!H10,"")</x:f>
        <x:v>0.0638</x:v>
      </x:c>
      <x:c r="O25" s="47" t="n">
        <x:f>IF(ISNUMBER('Sheet5-查询核对'!Q10),'Sheet5-查询核对'!Q10,"")</x:f>
        <x:v>0.07139999999999999</x:v>
      </x:c>
      <x:c r="P25" s="44" t="n">
        <x:f>IF($G25&lt;&gt;"入池","",IF($F25&gt;='Sheet1-指标体系'!$J$16,IF(COUNT(M25,N25)&lt;&gt;2,"",IF(OR(1+M25&lt;=0,1+N25&lt;0),"",((1+N25)^'Sheet1-指标体系'!$J$16/(1+M25))^(1/('Sheet1-指标体系'!$J$16-'Sheet1-指标体系'!$J$15))-1)),IF(COUNT(M25,O25)&lt;&gt;2,"",IF(OR(F25&lt;='Sheet1-指标体系'!$J$15,1+M25&lt;=0,1+O25&lt;0),"",((1+O25)^F25/(1+M25))^(1/(F25-'Sheet1-指标体系'!$J$15))-1))))</x:f>
        <x:v>0.0819543690837723</x:v>
      </x:c>
      <x:c r="Q25" s="52" t="n">
        <x:f>IF(OR($G25&lt;&gt;"入池",NOT(ISNUMBER(M25))),"",IF(COUNTIFS($G$17:$G$99,"入池",$M$17:$M$99,"&gt;=-1E+307",$M$17:$M$99,"&lt;=1E+307")&lt;=1,'Sheet1-指标体系'!$J$18,ROUND('Sheet1-指标体系'!$J$18*(COUNTIFS($G$17:$G$99,"入池",$M$17:$M$99,"&gt;=-1E+307",$M$17:$M$99,"&lt;"&amp;M25)+COUNTIFS($G$17:$G$99,"入池",$M$17:$M$99,"&gt;=-1E+307",$M$17:$M$99,"&lt;=1E+307",$M$17:$M$99,M25)/2-0.5)/(COUNTIFS($G$17:$G$99,"入池",$M$17:$M$99,"&gt;=-1E+307",$M$17:$M$99,"&lt;=1E+307")-1),2)))</x:f>
        <x:v>10.71</x:v>
      </x:c>
      <x:c r="R25" s="52" t="n">
        <x:f>IF(OR($G25&lt;&gt;"入池",NOT(ISNUMBER(P25))),"",IF(COUNTIFS($G$17:$G$99,"入池",$P$17:$P$99,"&gt;=-1E+307",$P$17:$P$99,"&lt;=1E+307")&lt;=1,'Sheet1-指标体系'!$J$18,ROUND('Sheet1-指标体系'!$J$18*(COUNTIFS($G$17:$G$99,"入池",$P$17:$P$99,"&gt;=-1E+307",$P$17:$P$99,"&lt;"&amp;P25)+COUNTIFS($G$17:$G$99,"入池",$P$17:$P$99,"&gt;=-1E+307",$P$17:$P$99,"&lt;=1E+307",$P$17:$P$99,P25)/2-0.5)/(COUNTIFS($G$17:$G$99,"入池",$P$17:$P$99,"&gt;=-1E+307",$P$17:$P$99,"&lt;=1E+307")-1),2)))</x:f>
        <x:v>61.11</x:v>
      </x:c>
      <x:c r="S25" s="52" t="n">
        <x:f>IF(COUNT(Q25,R25)=0,"",ROUND((IF(ISNUMBER(Q25),Q25*'Sheet1-指标体系'!$G$7*'Sheet1-指标体系'!$J$8,0)+IF(ISNUMBER(R25),R25*'Sheet1-指标体系'!$G$7*'Sheet1-指标体系'!$J$9,0))/(IF(ISNUMBER(Q25),'Sheet1-指标体系'!$G$7*'Sheet1-指标体系'!$J$8,0)+IF(ISNUMBER(R25),'Sheet1-指标体系'!$G$7*'Sheet1-指标体系'!$J$9,0)),2))</x:f>
        <x:v>30.87</x:v>
      </x:c>
      <x:c r="T25" s="47" t="n">
        <x:f>IF(ISNUMBER('Sheet4-原始数据'!J10),'Sheet4-原始数据'!J10,"")</x:f>
        <x:v>0.6154</x:v>
      </x:c>
      <x:c r="U25" s="47" t="n">
        <x:f>IF(ISNUMBER('Sheet4-原始数据'!I10),'Sheet4-原始数据'!I10,"")</x:f>
        <x:v>0.8378</x:v>
      </x:c>
      <x:c r="V25" s="44" t="n">
        <x:f>IF(COUNT(T25:U25)&lt;&gt;2,"",(U25*'Sheet1-指标体系'!$J$6-T25*'Sheet1-指标体系'!$J$5)/'Sheet1-指标体系'!$J$7)</x:f>
        <x:v>0.9582666666666667</x:v>
      </x:c>
      <x:c r="W25" s="52" t="n">
        <x:f>IF(NOT(ISNUMBER(T25)),"",T25*'Sheet1-指标体系'!$J$18)</x:f>
        <x:v>61.53999999999999</x:v>
      </x:c>
      <x:c r="X25" s="52" t="n">
        <x:f>IF(G25&lt;&gt;"入池","",IF(ISNUMBER(V25),IF(AND(V25&gt;=0,V25&lt;=1),V25*'Sheet1-指标体系'!$J$18,IF(MAX(0,(F25-'Sheet1-指标体系'!$J$15)*'Sheet1-指标体系'!$J$20)&lt;'Sheet1-指标体系'!$J$19,'Sheet1-指标体系'!$J$18,"")),IF(MAX(0,(F25-'Sheet1-指标体系'!$J$15)*'Sheet1-指标体系'!$J$20)&lt;'Sheet1-指标体系'!$J$19,'Sheet1-指标体系'!$J$18,"")))</x:f>
        <x:v>95.82666666666667</x:v>
      </x:c>
      <x:c r="Y25" s="52" t="n">
        <x:f>IF(NOT(ISNUMBER(W25)),"",IF(COUNT(W25,X25)=0,"",ROUND((IF(ISNUMBER(W25),W25*'Sheet1-指标体系'!$G$8*'Sheet1-指标体系'!$J$8,0)+IF(ISNUMBER(X25),X25*'Sheet1-指标体系'!$G$8*'Sheet1-指标体系'!$J$9,0))/(IF(ISNUMBER(W25),'Sheet1-指标体系'!$G$8*'Sheet1-指标体系'!$J$8,0)+IF(ISNUMBER(X25),'Sheet1-指标体系'!$G$8*'Sheet1-指标体系'!$J$9,0)),2)))</x:f>
        <x:v>75.25</x:v>
      </x:c>
      <x:c r="Z25" s="44" t="n">
        <x:f>IF(COUNT(M25,AD25)&lt;&gt;2,"",IF(AD25=0,"",ABS(M25/AD25)))</x:f>
        <x:v>0.004215275922462671</x:v>
      </x:c>
      <x:c r="AA25" s="47" t="n">
        <x:f>IF(ISNUMBER('Sheet4-原始数据'!K10),'Sheet4-原始数据'!K10,"")</x:f>
        <x:v>0.0042</x:v>
      </x:c>
      <x:c r="AB25" s="44" t="n">
        <x:f>IF(COUNT(Z25:AA25)=0,"",MAX(Z25:AA25))</x:f>
        <x:v>0.004215275922462671</x:v>
      </x:c>
      <x:c r="AC25" s="52" t="n">
        <x:f>IF(OR($G25&lt;&gt;"入池",NOT(ISNUMBER(AB25))),"",IF(COUNTIFS($G$17:$G$99,"入池",$AB$17:$AB$99,"&gt;=-1E+307",$AB$17:$AB$99,"&lt;=1E+307")&lt;=1,'Sheet1-指标体系'!$J$18,ROUND('Sheet1-指标体系'!$J$18*(COUNTIFS($G$17:$G$99,"入池",$AB$17:$AB$99,"&lt;=1E+307",$AB$17:$AB$99,"&gt;"&amp;AB25)+COUNTIFS($G$17:$G$99,"入池",$AB$17:$AB$99,"&gt;=-1E+307",$AB$17:$AB$99,"&lt;=1E+307",$AB$17:$AB$99,AB25)/2-0.5)/(COUNTIFS($G$17:$G$99,"入池",$AB$17:$AB$99,"&gt;=-1E+307",$AB$17:$AB$99,"&lt;=1E+307")-1),2)))</x:f>
        <x:v>94.83</x:v>
      </x:c>
      <x:c r="AD25" s="48" t="n">
        <x:f>IF(ISNUMBER('Sheet4-原始数据'!M10),'Sheet4-原始数据'!M10,"")</x:f>
        <x:v>6.7374</x:v>
      </x:c>
      <x:c r="AE25" s="44" t="str">
        <x:f>IF(COUNT(P25,AA25,Z25)&lt;&gt;3,"",IF(AA25&gt;Z25+'Sheet1-指标体系'!$J$11,AA25,""))</x:f>
      </x:c>
      <x:c r="AF25" s="52" t="str">
        <x:f>IF(COUNT(P25,AE25)&lt;&gt;2,"",IF(AE25=0,"",P25/AE25))</x:f>
      </x:c>
      <x:c r="AG25" s="52" t="n">
        <x:f>IF(OR($G25&lt;&gt;"入池",NOT(ISNUMBER(AD25))),"",IF(COUNTIFS($G$17:$G$99,"入池",$AD$17:$AD$99,"&gt;=-1E+307",$AD$17:$AD$99,"&lt;=1E+307")&lt;=1,'Sheet1-指标体系'!$J$18,ROUND('Sheet1-指标体系'!$J$18*(COUNTIFS($G$17:$G$99,"入池",$AD$17:$AD$99,"&gt;=-1E+307",$AD$17:$AD$99,"&lt;"&amp;AD25)+COUNTIFS($G$17:$G$99,"入池",$AD$17:$AD$99,"&gt;=-1E+307",$AD$17:$AD$99,"&lt;=1E+307",$AD$17:$AD$99,AD25)/2-0.5)/(COUNTIFS($G$17:$G$99,"入池",$AD$17:$AD$99,"&gt;=-1E+307",$AD$17:$AD$99,"&lt;=1E+307")-1),2)))</x:f>
        <x:v>45.45</x:v>
      </x:c>
      <x:c r="AH25" s="52" t="str">
        <x:f>IF(OR($G25&lt;&gt;"入池",NOT(ISNUMBER(AF25))),"",IF(COUNTIFS($G$17:$G$99,"入池",$AF$17:$AF$99,"&gt;=-1E+307",$AF$17:$AF$99,"&lt;=1E+307")&lt;=1,'Sheet1-指标体系'!$J$18,ROUND('Sheet1-指标体系'!$J$18*(COUNTIFS($G$17:$G$99,"入池",$AF$17:$AF$99,"&gt;=-1E+307",$AF$17:$AF$99,"&lt;"&amp;AF25)+COUNTIFS($G$17:$G$99,"入池",$AF$17:$AF$99,"&gt;=-1E+307",$AF$17:$AF$99,"&lt;=1E+307",$AF$17:$AF$99,AF25)/2-0.5)/(COUNTIFS($G$17:$G$99,"入池",$AF$17:$AF$99,"&gt;=-1E+307",$AF$17:$AF$99,"&lt;=1E+307")-1),2)))</x:f>
      </x:c>
      <x:c r="AI25" s="52" t="n">
        <x:f>IF(COUNT(AG25,AH25)=0,"",ROUND((IF(ISNUMBER(AG25),AG25*'Sheet1-指标体系'!$G$10*'Sheet1-指标体系'!$J$8,0)+IF(ISNUMBER(AH25),AH25*'Sheet1-指标体系'!$G$10*'Sheet1-指标体系'!$J$9,0))/(IF(ISNUMBER(AG25),'Sheet1-指标体系'!$G$10*'Sheet1-指标体系'!$J$8,0)+IF(ISNUMBER(AH25),'Sheet1-指标体系'!$G$10*'Sheet1-指标体系'!$J$9,0)),2))</x:f>
        <x:v>45.45</x:v>
      </x:c>
      <x:c r="AJ25" s="44" t="n">
        <x:f>IF(NOT(ISNUMBER(F25)),"",IF(F25&gt;='Sheet1-指标体系'!$J$16,IF(ISNUMBER(N25),N25,""),IF(ISNUMBER(O25),O25,"")))</x:f>
        <x:v>0.0638</x:v>
      </x:c>
      <x:c r="AK25" s="52" t="n">
        <x:f>IF(OR(G25&lt;&gt;"入池",COUNT(M25,AJ25)&lt;&gt;2),"",IF(M25&gt;=AJ25,'Sheet1-指标体系'!$J$18,IF(AJ25-M25&lt;'Sheet1-指标体系'!$J$10,'Sheet1-指标体系'!$J$22,'Sheet1-指标体系'!$J$23)))</x:f>
        <x:v>80</x:v>
      </x:c>
      <x:c r="AL25" s="52" t="n">
        <x:f>IF(COUNT(I25,K25,L25)=0,"",ROUND((IF(ISNUMBER(I25),I25*'Sheet1-指标体系'!$G$4,0)+IF(ISNUMBER(K25),K25*'Sheet1-指标体系'!$G$5,0)+IF(ISNUMBER(L25),L25*'Sheet1-指标体系'!$G$6,0))/(IF(ISNUMBER(I25),'Sheet1-指标体系'!$G$4,0)+IF(ISNUMBER(K25),'Sheet1-指标体系'!$G$5,0)+IF(ISNUMBER(L25),'Sheet1-指标体系'!$G$6,0)),2))</x:f>
        <x:v>96</x:v>
      </x:c>
      <x:c r="AM25" s="52" t="n">
        <x:f>IF(COUNT(Q25,R25,W25,X25)=0,"",ROUND((IF(ISNUMBER(Q25),Q25*'Sheet1-指标体系'!$G$7*'Sheet1-指标体系'!$J$8,0)+IF(ISNUMBER(R25),R25*'Sheet1-指标体系'!$G$7*'Sheet1-指标体系'!$J$9,0)+IF(ISNUMBER(W25),W25*'Sheet1-指标体系'!$G$8*'Sheet1-指标体系'!$J$8,0)+IF(ISNUMBER(X25),X25*'Sheet1-指标体系'!$G$8*'Sheet1-指标体系'!$J$9,0))/(IF(ISNUMBER(Q25),'Sheet1-指标体系'!$G$7*'Sheet1-指标体系'!$J$8,0)+IF(ISNUMBER(R25),'Sheet1-指标体系'!$G$7*'Sheet1-指标体系'!$J$9,0)+IF(ISNUMBER(W25),'Sheet1-指标体系'!$G$8*'Sheet1-指标体系'!$J$8,0)+IF(ISNUMBER(X25),'Sheet1-指标体系'!$G$8*'Sheet1-指标体系'!$J$9,0)),2))</x:f>
        <x:v>44.19</x:v>
      </x:c>
      <x:c r="AN25" s="52" t="n">
        <x:f>IF(ISNUMBER(AC25),AC25,"")</x:f>
        <x:v>94.83</x:v>
      </x:c>
      <x:c r="AO25" s="52" t="n">
        <x:f>IF(COUNT(AG25,AH25)=0,"",ROUND((IF(ISNUMBER(AG25),AG25*'Sheet1-指标体系'!$G$10*'Sheet1-指标体系'!$J$8,0)+IF(ISNUMBER(AH25),AH25*'Sheet1-指标体系'!$G$10*'Sheet1-指标体系'!$J$9,0))/(IF(ISNUMBER(AG25),'Sheet1-指标体系'!$G$10*'Sheet1-指标体系'!$J$8,0)+IF(ISNUMBER(AH25),'Sheet1-指标体系'!$G$10*'Sheet1-指标体系'!$J$9,0)),2))</x:f>
        <x:v>45.45</x:v>
      </x:c>
      <x:c r="AP25" s="52" t="n">
        <x:f>IF(ISNUMBER(AK25),AK25,"")</x:f>
        <x:v>80</x:v>
      </x:c>
      <x:c r="AQ25" s="27" t="n">
        <x:f>IF(G25&lt;&gt;"入池",0,IF(ISNUMBER(I25),'Sheet1-指标体系'!$G$4,0)+IF(ISNUMBER(K25),'Sheet1-指标体系'!$G$5,0)+IF(ISNUMBER(L25),'Sheet1-指标体系'!$G$6,0)+IF(ISNUMBER(Q25),'Sheet1-指标体系'!$G$7*'Sheet1-指标体系'!$J$8,0)+IF(ISNUMBER(R25),'Sheet1-指标体系'!$G$7*'Sheet1-指标体系'!$J$9,0)+IF(ISNUMBER(W25),'Sheet1-指标体系'!$G$8*'Sheet1-指标体系'!$J$8,0)+IF(ISNUMBER(X25),'Sheet1-指标体系'!$G$8*'Sheet1-指标体系'!$J$9,0)+IF(ISNUMBER(AC25),'Sheet1-指标体系'!$G$9,0)+IF(ISNUMBER(AG25),'Sheet1-指标体系'!$G$10*'Sheet1-指标体系'!$J$8,0)+IF(ISNUMBER(AH25),'Sheet1-指标体系'!$G$10*'Sheet1-指标体系'!$J$9,0)+IF(ISNUMBER(AK25),'Sheet1-指标体系'!$G$11,0))</x:f>
        <x:v>0.88</x:v>
      </x:c>
      <x:c r="AR25" s="52" t="n">
        <x:f>IF(AQ25=0,"",IF(ISNUMBER(I25),I25*'Sheet1-指标体系'!$G$4,0)+IF(ISNUMBER(K25),K25*'Sheet1-指标体系'!$G$5,0)+IF(ISNUMBER(L25),L25*'Sheet1-指标体系'!$G$6,0)+IF(ISNUMBER(Q25),Q25*'Sheet1-指标体系'!$G$7*'Sheet1-指标体系'!$J$8,0)+IF(ISNUMBER(R25),R25*'Sheet1-指标体系'!$G$7*'Sheet1-指标体系'!$J$9,0)+IF(ISNUMBER(W25),W25*'Sheet1-指标体系'!$G$8*'Sheet1-指标体系'!$J$8,0)+IF(ISNUMBER(X25),X25*'Sheet1-指标体系'!$G$8*'Sheet1-指标体系'!$J$9,0)+IF(ISNUMBER(AC25),AC25*'Sheet1-指标体系'!$G$9,0)+IF(ISNUMBER(AG25),AG25*'Sheet1-指标体系'!$G$10*'Sheet1-指标体系'!$J$8,0)+IF(ISNUMBER(AH25),AH25*'Sheet1-指标体系'!$G$10*'Sheet1-指标体系'!$J$9,0)+IF(ISNUMBER(AK25),AK25*'Sheet1-指标体系'!$G$11,0))</x:f>
        <x:v>63.12558</x:v>
      </x:c>
      <x:c r="AS25" s="52" t="n">
        <x:f>IF(AQ25=0,"",ROUND(AR25/AQ25,2))</x:f>
        <x:v>71.73</x:v>
      </x:c>
      <x:c r="AT25" s="49" t="n">
        <x:f>IF(OR(G25&lt;&gt;"入池",NOT(ISNUMBER(AS25))),"",COUNTIFS($G$17:$G$99,"入池",$AS$17:$AS$99,"&gt;"&amp;AS25)+COUNTIFS($G$17:$G$99,"入池",$AS$17:$AS$99,AS25,$AQ$17:$AQ$99,"&gt;"&amp;AQ25)+COUNTIFS($G$17:G25,"入池",$AS$17:AS25,AS25,$AQ$17:AQ25,AQ25))</x:f>
        <x:v>40</x:v>
      </x:c>
      <x:c r="AU25" s="53" t="str">
        <x:f>IF(NOT(ISNUMBER(I25)),"管理人规模；","")&amp;IF(NOT(ISNUMBER(K25)),"产品规模标识；","")&amp;IF(NOT(ISNUMBER(M25)),"近一年收益；","")&amp;IF(NOT(ISNUMBER(T25)),"近一年胜率；","")&amp;IF(NOT(ISNUMBER(N25)),"近三年收益；","")&amp;IF(NOT(ISNUMBER(U25)),"近三年胜率；","")&amp;IF(NOT(ISNUMBER(AA25)),"近三年回撤；","")&amp;IF(NOT(ISNUMBER(AD25)),"近一年卡玛；","")&amp;IF(ISNUMBER(F25),IF(AND(F25&lt;'Sheet1-指标体系'!$J$16,NOT(ISNUMBER(O25))),"成立以来年化；",""),"成立日期；")&amp;IF(ISNUMBER(V25),IF(OR(V25&lt;0,V25&gt;1),"胜率窗口口径不一致；",""),"")&amp;IF(ISNUMBER(P25),IF(NOT(ISNUMBER(AE25)),"DD_long不可识别；",""),"")</x:f>
        <x:v>DD_long不可识别；</x:v>
      </x:c>
      <x:c r="AV25" s="52" t="str">
        <x:f>IF(ROUND(AQ25,10)=ROUND('Sheet1-指标体系'!$J$25,10),AR25,"")</x:f>
      </x:c>
      <x:c r="AW25" s="14" t="str">
        <x:f>IF(G25&lt;&gt;"入池",G25,IF(AQ25=0,"无有效评分数据",IF(ROUND(AQ25,10)=ROUND('Sheet1-指标体系'!$J$25,10),"完整赋分", "暂定分／数据不完整")))</x:f>
        <x:v>暂定分／数据不完整</x:v>
      </x:c>
      <x:c r="AX25" s="45" t="str">
        <x:f>IF('Sheet4-原始数据'!C10="","",'Sheet4-原始数据'!C10)</x:f>
        <x:v>套利策略</x:v>
      </x:c>
      <x:c r="AY25" s="45" t="str">
        <x:f>IF('Sheet4-原始数据'!D10="","",'Sheet4-原始数据'!D10)</x:f>
        <x:v>混合套利</x:v>
      </x:c>
      <x:c r="AZ25" s="45" t="str">
        <x:f>IF('Sheet5-查询核对'!S10="","",'Sheet5-查询核对'!S10)</x:f>
        <x:v>套利策略—混合套利</x:v>
      </x:c>
      <x:c r="BA25" s="51" t="n">
        <x:f>IF('Sheet5-查询核对'!A10="","",'Sheet5-查询核对'!A10)</x:f>
        <x:v>10</x:v>
      </x:c>
      <x:c r="BB25" s="45" t="str">
        <x:f>IF('Sheet5-查询核对'!F10="","",'Sheet5-查询核对'!F10)</x:f>
        <x:v>备案号匹配</x:v>
      </x:c>
      <x:c r="BC25" s="50" t="str">
        <x:f>IF('Sheet5-查询核对'!I10="","",'Sheet5-查询核对'!I10)</x:f>
        <x:v>https://mp.fof99.com/fund/view/3712ae883b81c7b6</x:v>
      </x:c>
      <x:c r="BD25" s="46" t="n">
        <x:f>IF('Sheet5-查询核对'!H10="","",'Sheet5-查询核对'!H10)</x:f>
        <x:v>46269</x:v>
      </x:c>
      <x:c r="BE25" s="50" t="str">
        <x:f>IF('Sheet5-查询核对'!L10="","",'Sheet5-查询核对'!L10)</x:f>
        <x:v>https://mp.fof99.com/fund/view/3712ae883b81c7b6</x:v>
      </x:c>
      <x:c r="BF25" s="46" t="n">
        <x:f>IF('Sheet5-查询核对'!M10="","",'Sheet5-查询核对'!M10)</x:f>
        <x:v>46275</x:v>
      </x:c>
      <x:c r="BG25" s="50" t="str">
        <x:f>IF('Sheet5-查询核对'!O10="","",'Sheet5-查询核对'!O10)</x:f>
        <x:v>https://gs.amac.org.cn/amac-infodisc/res/pof/fund/2302141700101335.html</x:v>
      </x:c>
      <x:c r="BH25" s="46" t="n">
        <x:f>IF('Sheet5-查询核对'!P10="","",'Sheet5-查询核对'!P10)</x:f>
        <x:v>46275</x:v>
      </x:c>
      <x:c r="BI25" s="45" t="str">
        <x:f>IF('Sheet5-查询核对'!D10="","",'Sheet5-查询核对'!D10)</x:f>
        <x:v>SZH690</x:v>
      </x:c>
      <x:c r="BJ25" t="n">
        <x:f>IF(ISNUMBER(AT25),AT25,COUNT($AT$17:$AT$99)+ROWS($AT$17:AT25)-COUNT($AT$17:AT25))</x:f>
        <x:v>40</x:v>
      </x:c>
    </x:row>
    <x:row r="26" ht="44" customHeight="1">
      <x:c r="A26" s="49" t="n">
        <x:f>'Sheet5-查询核对'!A11-1</x:f>
        <x:v>10</x:v>
      </x:c>
      <x:c r="B26" s="50" t="str">
        <x:f>IF('Sheet4-原始数据'!A11="",'Sheet5-查询核对'!B11,'Sheet4-原始数据'!A11)</x:f>
        <x:v>晨翰11号</x:v>
      </x:c>
      <x:c r="C26" s="45" t="str">
        <x:f>IF('Sheet4-原始数据'!B11="","",'Sheet4-原始数据'!B11)</x:f>
        <x:v>SVT598</x:v>
      </x:c>
      <x:c r="D26" s="45" t="str">
        <x:f>IF('Sheet4-原始数据'!E11="","",'Sheet4-原始数据'!E11)</x:f>
        <x:v>晋江晨翰</x:v>
      </x:c>
      <x:c r="E26" s="46" t="n">
        <x:f>IF('Sheet4-原始数据'!F11="","",'Sheet4-原始数据'!F11)</x:f>
        <x:v>44722</x:v>
      </x:c>
      <x:c r="F26" s="52" t="n">
        <x:f>IF(ISNUMBER(E26),ROUND(('Sheet1-指标体系'!$J$12-E26)/'Sheet1-指标体系'!$J$14,4),"")</x:f>
        <x:v>4.2519</x:v>
      </x:c>
      <x:c r="G26" s="14" t="str">
        <x:f>IF(C26="","未匹配",IF(NOT(ISNUMBER(F26)),"缺成立日期",IF(F26&lt;'Sheet1-指标体系'!$J$15,"不入池","入池")))</x:f>
        <x:v>入池</x:v>
      </x:c>
      <x:c r="H26" s="45" t="str">
        <x:f>IF('Sheet5-查询核对'!K11="","",'Sheet5-查询核对'!K11)</x:f>
        <x:v>5-10亿元</x:v>
      </x:c>
      <x:c r="I26" s="52" t="n">
        <x:f>IF(H26="","",IF(COUNTIF('Sheet1-指标体系'!$P$4:$P$10,H26)=0,"",INDEX('Sheet1-指标体系'!$Q$4:$Q$10,MATCH(H26,'Sheet1-指标体系'!$P$4:$P$10,0))))</x:f>
        <x:v>70</x:v>
      </x:c>
      <x:c r="J26" s="54" t="str">
        <x:f>IF(NOT(ISNUMBER('Sheet5-查询核对'!N11)),"",IF('Sheet5-查询核对'!N11=1,"低于"&amp;'Sheet1-指标体系'!$J$4&amp;"万元",IF('Sheet5-查询核对'!N11=0,"无低于"&amp;'Sheet1-指标体系'!$J$4&amp;"万元标识","")))</x:f>
        <x:v>无低于1000万元标识</x:v>
      </x:c>
      <x:c r="K26" s="52" t="n">
        <x:f>IF(NOT(ISNUMBER('Sheet5-查询核对'!N11)),"",IF('Sheet5-查询核对'!N11=1,'Sheet1-指标体系'!$J$21,IF('Sheet5-查询核对'!N11=0,'Sheet1-指标体系'!$J$18,"")))</x:f>
        <x:v>100</x:v>
      </x:c>
      <x:c r="L26" s="52" t="n">
        <x:f>IF(NOT(ISNUMBER(F26)),"",IF(F26&lt;'Sheet1-指标体系'!$J$15,"",IF(F26&lt;'Sheet1-指标体系'!$J$16,'Sheet1-指标体系'!$J$17,'Sheet1-指标体系'!$J$18)))</x:f>
        <x:v>100</x:v>
      </x:c>
      <x:c r="M26" s="47" t="n">
        <x:f>IF(ISNUMBER('Sheet4-原始数据'!G11),'Sheet4-原始数据'!G11,"")</x:f>
        <x:v>0.0344</x:v>
      </x:c>
      <x:c r="N26" s="47" t="n">
        <x:f>IF(ISNUMBER('Sheet4-原始数据'!H11),'Sheet4-原始数据'!H11,"")</x:f>
        <x:v>0.0333</x:v>
      </x:c>
      <x:c r="O26" s="47" t="n">
        <x:f>IF(ISNUMBER('Sheet5-查询核对'!Q11),'Sheet5-查询核对'!Q11,"")</x:f>
        <x:v>0.061900000000000004</x:v>
      </x:c>
      <x:c r="P26" s="44" t="n">
        <x:f>IF($G26&lt;&gt;"入池","",IF($F26&gt;='Sheet1-指标体系'!$J$16,IF(COUNT(M26,N26)&lt;&gt;2,"",IF(OR(1+M26&lt;=0,1+N26&lt;0),"",((1+N26)^'Sheet1-指标体系'!$J$16/(1+M26))^(1/('Sheet1-指标体系'!$J$16-'Sheet1-指标体系'!$J$15))-1)),IF(COUNT(M26,O26)&lt;&gt;2,"",IF(OR(F26&lt;='Sheet1-指标体系'!$J$15,1+M26&lt;=0,1+O26&lt;0),"",((1+O26)^F26/(1+M26))^(1/(F26-'Sheet1-指标体系'!$J$15))-1))))</x:f>
        <x:v>0.032750438737870535</x:v>
      </x:c>
      <x:c r="Q26" s="52" t="n">
        <x:f>IF(OR($G26&lt;&gt;"入池",NOT(ISNUMBER(M26))),"",IF(COUNTIFS($G$17:$G$99,"入池",$M$17:$M$99,"&gt;=-1E+307",$M$17:$M$99,"&lt;=1E+307")&lt;=1,'Sheet1-指标体系'!$J$18,ROUND('Sheet1-指标体系'!$J$18*(COUNTIFS($G$17:$G$99,"入池",$M$17:$M$99,"&gt;=-1E+307",$M$17:$M$99,"&lt;"&amp;M26)+COUNTIFS($G$17:$G$99,"入池",$M$17:$M$99,"&gt;=-1E+307",$M$17:$M$99,"&lt;=1E+307",$M$17:$M$99,M26)/2-0.5)/(COUNTIFS($G$17:$G$99,"入池",$M$17:$M$99,"&gt;=-1E+307",$M$17:$M$99,"&lt;=1E+307")-1),2)))</x:f>
        <x:v>14.29</x:v>
      </x:c>
      <x:c r="R26" s="52" t="n">
        <x:f>IF(OR($G26&lt;&gt;"入池",NOT(ISNUMBER(P26))),"",IF(COUNTIFS($G$17:$G$99,"入池",$P$17:$P$99,"&gt;=-1E+307",$P$17:$P$99,"&lt;=1E+307")&lt;=1,'Sheet1-指标体系'!$J$18,ROUND('Sheet1-指标体系'!$J$18*(COUNTIFS($G$17:$G$99,"入池",$P$17:$P$99,"&gt;=-1E+307",$P$17:$P$99,"&lt;"&amp;P26)+COUNTIFS($G$17:$G$99,"入池",$P$17:$P$99,"&gt;=-1E+307",$P$17:$P$99,"&lt;=1E+307",$P$17:$P$99,P26)/2-0.5)/(COUNTIFS($G$17:$G$99,"入池",$P$17:$P$99,"&gt;=-1E+307",$P$17:$P$99,"&lt;=1E+307")-1),2)))</x:f>
        <x:v>9.26</x:v>
      </x:c>
      <x:c r="S26" s="52" t="n">
        <x:f>IF(COUNT(Q26,R26)=0,"",ROUND((IF(ISNUMBER(Q26),Q26*'Sheet1-指标体系'!$G$7*'Sheet1-指标体系'!$J$8,0)+IF(ISNUMBER(R26),R26*'Sheet1-指标体系'!$G$7*'Sheet1-指标体系'!$J$9,0))/(IF(ISNUMBER(Q26),'Sheet1-指标体系'!$G$7*'Sheet1-指标体系'!$J$8,0)+IF(ISNUMBER(R26),'Sheet1-指标体系'!$G$7*'Sheet1-指标体系'!$J$9,0)),2))</x:f>
        <x:v>12.28</x:v>
      </x:c>
      <x:c r="T26" s="47" t="n">
        <x:f>IF(ISNUMBER('Sheet4-原始数据'!J11),'Sheet4-原始数据'!J11,"")</x:f>
        <x:v>0.5385</x:v>
      </x:c>
      <x:c r="U26" s="47" t="n">
        <x:f>IF(ISNUMBER('Sheet4-原始数据'!I11),'Sheet4-原始数据'!I11,"")</x:f>
        <x:v>0.6215999999999999</x:v>
      </x:c>
      <x:c r="V26" s="44" t="n">
        <x:f>IF(COUNT(T26:U26)&lt;&gt;2,"",(U26*'Sheet1-指标体系'!$J$6-T26*'Sheet1-指标体系'!$J$5)/'Sheet1-指标体系'!$J$7)</x:f>
        <x:v>0.6666124999999999</x:v>
      </x:c>
      <x:c r="W26" s="52" t="n">
        <x:f>IF(NOT(ISNUMBER(T26)),"",T26*'Sheet1-指标体系'!$J$18)</x:f>
        <x:v>53.849999999999994</x:v>
      </x:c>
      <x:c r="X26" s="52" t="n">
        <x:f>IF(G26&lt;&gt;"入池","",IF(ISNUMBER(V26),IF(AND(V26&gt;=0,V26&lt;=1),V26*'Sheet1-指标体系'!$J$18,IF(MAX(0,(F26-'Sheet1-指标体系'!$J$15)*'Sheet1-指标体系'!$J$20)&lt;'Sheet1-指标体系'!$J$19,'Sheet1-指标体系'!$J$18,"")),IF(MAX(0,(F26-'Sheet1-指标体系'!$J$15)*'Sheet1-指标体系'!$J$20)&lt;'Sheet1-指标体系'!$J$19,'Sheet1-指标体系'!$J$18,"")))</x:f>
        <x:v>66.66125</x:v>
      </x:c>
      <x:c r="Y26" s="52" t="n">
        <x:f>IF(NOT(ISNUMBER(W26)),"",IF(COUNT(W26,X26)=0,"",ROUND((IF(ISNUMBER(W26),W26*'Sheet1-指标体系'!$G$8*'Sheet1-指标体系'!$J$8,0)+IF(ISNUMBER(X26),X26*'Sheet1-指标体系'!$G$8*'Sheet1-指标体系'!$J$9,0))/(IF(ISNUMBER(W26),'Sheet1-指标体系'!$G$8*'Sheet1-指标体系'!$J$8,0)+IF(ISNUMBER(X26),'Sheet1-指标体系'!$G$8*'Sheet1-指标体系'!$J$9,0)),2)))</x:f>
        <x:v>58.97</x:v>
      </x:c>
      <x:c r="Z26" s="44" t="n">
        <x:f>IF(COUNT(M26,AD26)&lt;&gt;2,"",IF(AD26=0,"",ABS(M26/AD26)))</x:f>
        <x:v>0.01522258606956368</x:v>
      </x:c>
      <x:c r="AA26" s="47" t="n">
        <x:f>IF(ISNUMBER('Sheet4-原始数据'!K11),'Sheet4-原始数据'!K11,"")</x:f>
        <x:v>0.0239</x:v>
      </x:c>
      <x:c r="AB26" s="44" t="n">
        <x:f>IF(COUNT(Z26:AA26)=0,"",MAX(Z26:AA26))</x:f>
        <x:v>0.0239</x:v>
      </x:c>
      <x:c r="AC26" s="52" t="n">
        <x:f>IF(OR($G26&lt;&gt;"入池",NOT(ISNUMBER(AB26))),"",IF(COUNTIFS($G$17:$G$99,"入池",$AB$17:$AB$99,"&gt;=-1E+307",$AB$17:$AB$99,"&lt;=1E+307")&lt;=1,'Sheet1-指标体系'!$J$18,ROUND('Sheet1-指标体系'!$J$18*(COUNTIFS($G$17:$G$99,"入池",$AB$17:$AB$99,"&lt;=1E+307",$AB$17:$AB$99,"&gt;"&amp;AB26)+COUNTIFS($G$17:$G$99,"入池",$AB$17:$AB$99,"&gt;=-1E+307",$AB$17:$AB$99,"&lt;=1E+307",$AB$17:$AB$99,AB26)/2-0.5)/(COUNTIFS($G$17:$G$99,"入池",$AB$17:$AB$99,"&gt;=-1E+307",$AB$17:$AB$99,"&lt;=1E+307")-1),2)))</x:f>
        <x:v>51.72</x:v>
      </x:c>
      <x:c r="AD26" s="48" t="n">
        <x:f>IF(ISNUMBER('Sheet4-原始数据'!M11),'Sheet4-原始数据'!M11,"")</x:f>
        <x:v>2.2598</x:v>
      </x:c>
      <x:c r="AE26" s="44" t="n">
        <x:f>IF(COUNT(P26,AA26,Z26)&lt;&gt;3,"",IF(AA26&gt;Z26+'Sheet1-指标体系'!$J$11,AA26,""))</x:f>
        <x:v>0.0239</x:v>
      </x:c>
      <x:c r="AF26" s="52" t="n">
        <x:f>IF(COUNT(P26,AE26)&lt;&gt;2,"",IF(AE26=0,"",P26/AE26))</x:f>
        <x:v>1.3703112442623655</x:v>
      </x:c>
      <x:c r="AG26" s="52" t="n">
        <x:f>IF(OR($G26&lt;&gt;"入池",NOT(ISNUMBER(AD26))),"",IF(COUNTIFS($G$17:$G$99,"入池",$AD$17:$AD$99,"&gt;=-1E+307",$AD$17:$AD$99,"&lt;=1E+307")&lt;=1,'Sheet1-指标体系'!$J$18,ROUND('Sheet1-指标体系'!$J$18*(COUNTIFS($G$17:$G$99,"入池",$AD$17:$AD$99,"&gt;=-1E+307",$AD$17:$AD$99,"&lt;"&amp;AD26)+COUNTIFS($G$17:$G$99,"入池",$AD$17:$AD$99,"&gt;=-1E+307",$AD$17:$AD$99,"&lt;=1E+307",$AD$17:$AD$99,AD26)/2-0.5)/(COUNTIFS($G$17:$G$99,"入池",$AD$17:$AD$99,"&gt;=-1E+307",$AD$17:$AD$99,"&lt;=1E+307")-1),2)))</x:f>
        <x:v>16.36</x:v>
      </x:c>
      <x:c r="AH26" s="52" t="n">
        <x:f>IF(OR($G26&lt;&gt;"入池",NOT(ISNUMBER(AF26))),"",IF(COUNTIFS($G$17:$G$99,"入池",$AF$17:$AF$99,"&gt;=-1E+307",$AF$17:$AF$99,"&lt;=1E+307")&lt;=1,'Sheet1-指标体系'!$J$18,ROUND('Sheet1-指标体系'!$J$18*(COUNTIFS($G$17:$G$99,"入池",$AF$17:$AF$99,"&gt;=-1E+307",$AF$17:$AF$99,"&lt;"&amp;AF26)+COUNTIFS($G$17:$G$99,"入池",$AF$17:$AF$99,"&gt;=-1E+307",$AF$17:$AF$99,"&lt;=1E+307",$AF$17:$AF$99,AF26)/2-0.5)/(COUNTIFS($G$17:$G$99,"入池",$AF$17:$AF$99,"&gt;=-1E+307",$AF$17:$AF$99,"&lt;=1E+307")-1),2)))</x:f>
        <x:v>17.86</x:v>
      </x:c>
      <x:c r="AI26" s="52" t="n">
        <x:f>IF(COUNT(AG26,AH26)=0,"",ROUND((IF(ISNUMBER(AG26),AG26*'Sheet1-指标体系'!$G$10*'Sheet1-指标体系'!$J$8,0)+IF(ISNUMBER(AH26),AH26*'Sheet1-指标体系'!$G$10*'Sheet1-指标体系'!$J$9,0))/(IF(ISNUMBER(AG26),'Sheet1-指标体系'!$G$10*'Sheet1-指标体系'!$J$8,0)+IF(ISNUMBER(AH26),'Sheet1-指标体系'!$G$10*'Sheet1-指标体系'!$J$9,0)),2))</x:f>
        <x:v>16.96</x:v>
      </x:c>
      <x:c r="AJ26" s="44" t="n">
        <x:f>IF(NOT(ISNUMBER(F26)),"",IF(F26&gt;='Sheet1-指标体系'!$J$16,IF(ISNUMBER(N26),N26,""),IF(ISNUMBER(O26),O26,"")))</x:f>
        <x:v>0.0333</x:v>
      </x:c>
      <x:c r="AK26" s="52" t="n">
        <x:f>IF(OR(G26&lt;&gt;"入池",COUNT(M26,AJ26)&lt;&gt;2),"",IF(M26&gt;=AJ26,'Sheet1-指标体系'!$J$18,IF(AJ26-M26&lt;'Sheet1-指标体系'!$J$10,'Sheet1-指标体系'!$J$22,'Sheet1-指标体系'!$J$23)))</x:f>
        <x:v>100</x:v>
      </x:c>
      <x:c r="AL26" s="52" t="n">
        <x:f>IF(COUNT(I26,K26,L26)=0,"",ROUND((IF(ISNUMBER(I26),I26*'Sheet1-指标体系'!$G$4,0)+IF(ISNUMBER(K26),K26*'Sheet1-指标体系'!$G$5,0)+IF(ISNUMBER(L26),L26*'Sheet1-指标体系'!$G$6,0))/(IF(ISNUMBER(I26),'Sheet1-指标体系'!$G$4,0)+IF(ISNUMBER(K26),'Sheet1-指标体系'!$G$5,0)+IF(ISNUMBER(L26),'Sheet1-指标体系'!$G$6,0)),2))</x:f>
        <x:v>88</x:v>
      </x:c>
      <x:c r="AM26" s="52" t="n">
        <x:f>IF(COUNT(Q26,R26,W26,X26)=0,"",ROUND((IF(ISNUMBER(Q26),Q26*'Sheet1-指标体系'!$G$7*'Sheet1-指标体系'!$J$8,0)+IF(ISNUMBER(R26),R26*'Sheet1-指标体系'!$G$7*'Sheet1-指标体系'!$J$9,0)+IF(ISNUMBER(W26),W26*'Sheet1-指标体系'!$G$8*'Sheet1-指标体系'!$J$8,0)+IF(ISNUMBER(X26),X26*'Sheet1-指标体系'!$G$8*'Sheet1-指标体系'!$J$9,0))/(IF(ISNUMBER(Q26),'Sheet1-指标体系'!$G$7*'Sheet1-指标体系'!$J$8,0)+IF(ISNUMBER(R26),'Sheet1-指标体系'!$G$7*'Sheet1-指标体系'!$J$9,0)+IF(ISNUMBER(W26),'Sheet1-指标体系'!$G$8*'Sheet1-指标体系'!$J$8,0)+IF(ISNUMBER(X26),'Sheet1-指标体系'!$G$8*'Sheet1-指标体系'!$J$9,0)),2))</x:f>
        <x:v>26.29</x:v>
      </x:c>
      <x:c r="AN26" s="52" t="n">
        <x:f>IF(ISNUMBER(AC26),AC26,"")</x:f>
        <x:v>51.72</x:v>
      </x:c>
      <x:c r="AO26" s="52" t="n">
        <x:f>IF(COUNT(AG26,AH26)=0,"",ROUND((IF(ISNUMBER(AG26),AG26*'Sheet1-指标体系'!$G$10*'Sheet1-指标体系'!$J$8,0)+IF(ISNUMBER(AH26),AH26*'Sheet1-指标体系'!$G$10*'Sheet1-指标体系'!$J$9,0))/(IF(ISNUMBER(AG26),'Sheet1-指标体系'!$G$10*'Sheet1-指标体系'!$J$8,0)+IF(ISNUMBER(AH26),'Sheet1-指标体系'!$G$10*'Sheet1-指标体系'!$J$9,0)),2))</x:f>
        <x:v>16.96</x:v>
      </x:c>
      <x:c r="AP26" s="52" t="n">
        <x:f>IF(ISNUMBER(AK26),AK26,"")</x:f>
        <x:v>100</x:v>
      </x:c>
      <x:c r="AQ26" s="27" t="n">
        <x:f>IF(G26&lt;&gt;"入池",0,IF(ISNUMBER(I26),'Sheet1-指标体系'!$G$4,0)+IF(ISNUMBER(K26),'Sheet1-指标体系'!$G$5,0)+IF(ISNUMBER(L26),'Sheet1-指标体系'!$G$6,0)+IF(ISNUMBER(Q26),'Sheet1-指标体系'!$G$7*'Sheet1-指标体系'!$J$8,0)+IF(ISNUMBER(R26),'Sheet1-指标体系'!$G$7*'Sheet1-指标体系'!$J$9,0)+IF(ISNUMBER(W26),'Sheet1-指标体系'!$G$8*'Sheet1-指标体系'!$J$8,0)+IF(ISNUMBER(X26),'Sheet1-指标体系'!$G$8*'Sheet1-指标体系'!$J$9,0)+IF(ISNUMBER(AC26),'Sheet1-指标体系'!$G$9,0)+IF(ISNUMBER(AG26),'Sheet1-指标体系'!$G$10*'Sheet1-指标体系'!$J$8,0)+IF(ISNUMBER(AH26),'Sheet1-指标体系'!$G$10*'Sheet1-指标体系'!$J$9,0)+IF(ISNUMBER(AK26),'Sheet1-指标体系'!$G$11,0))</x:f>
        <x:v>1</x:v>
      </x:c>
      <x:c r="AR26" s="52" t="n">
        <x:f>IF(AQ26=0,"",IF(ISNUMBER(I26),I26*'Sheet1-指标体系'!$G$4,0)+IF(ISNUMBER(K26),K26*'Sheet1-指标体系'!$G$5,0)+IF(ISNUMBER(L26),L26*'Sheet1-指标体系'!$G$6,0)+IF(ISNUMBER(Q26),Q26*'Sheet1-指标体系'!$G$7*'Sheet1-指标体系'!$J$8,0)+IF(ISNUMBER(R26),R26*'Sheet1-指标体系'!$G$7*'Sheet1-指标体系'!$J$9,0)+IF(ISNUMBER(W26),W26*'Sheet1-指标体系'!$G$8*'Sheet1-指标体系'!$J$8,0)+IF(ISNUMBER(X26),X26*'Sheet1-指标体系'!$G$8*'Sheet1-指标体系'!$J$9,0)+IF(ISNUMBER(AC26),AC26*'Sheet1-指标体系'!$G$9,0)+IF(ISNUMBER(AG26),AG26*'Sheet1-指标体系'!$G$10*'Sheet1-指标体系'!$J$8,0)+IF(ISNUMBER(AH26),AH26*'Sheet1-指标体系'!$G$10*'Sheet1-指标体系'!$J$9,0)+IF(ISNUMBER(AK26),AK26*'Sheet1-指标体系'!$G$11,0))</x:f>
        <x:v>46.47539</x:v>
      </x:c>
      <x:c r="AS26" s="52" t="n">
        <x:f>IF(AQ26=0,"",ROUND(AR26/AQ26,2))</x:f>
        <x:v>46.48</x:v>
      </x:c>
      <x:c r="AT26" s="49" t="n">
        <x:f>IF(OR(G26&lt;&gt;"入池",NOT(ISNUMBER(AS26))),"",COUNTIFS($G$17:$G$99,"入池",$AS$17:$AS$99,"&gt;"&amp;AS26)+COUNTIFS($G$17:$G$99,"入池",$AS$17:$AS$99,AS26,$AQ$17:$AQ$99,"&gt;"&amp;AQ26)+COUNTIFS($G$17:G26,"入池",$AS$17:AS26,AS26,$AQ$17:AQ26,AQ26))</x:f>
        <x:v>67</x:v>
      </x:c>
      <x:c r="AU26" s="53" t="str">
        <x:f>IF(NOT(ISNUMBER(I26)),"管理人规模；","")&amp;IF(NOT(ISNUMBER(K26)),"产品规模标识；","")&amp;IF(NOT(ISNUMBER(M26)),"近一年收益；","")&amp;IF(NOT(ISNUMBER(T26)),"近一年胜率；","")&amp;IF(NOT(ISNUMBER(N26)),"近三年收益；","")&amp;IF(NOT(ISNUMBER(U26)),"近三年胜率；","")&amp;IF(NOT(ISNUMBER(AA26)),"近三年回撤；","")&amp;IF(NOT(ISNUMBER(AD26)),"近一年卡玛；","")&amp;IF(ISNUMBER(F26),IF(AND(F26&lt;'Sheet1-指标体系'!$J$16,NOT(ISNUMBER(O26))),"成立以来年化；",""),"成立日期；")&amp;IF(ISNUMBER(V26),IF(OR(V26&lt;0,V26&gt;1),"胜率窗口口径不一致；",""),"")&amp;IF(ISNUMBER(P26),IF(NOT(ISNUMBER(AE26)),"DD_long不可识别；",""),"")</x:f>
      </x:c>
      <x:c r="AV26" s="52" t="n">
        <x:f>IF(ROUND(AQ26,10)=ROUND('Sheet1-指标体系'!$J$25,10),AR26,"")</x:f>
        <x:v>46.47539</x:v>
      </x:c>
      <x:c r="AW26" s="14" t="str">
        <x:f>IF(G26&lt;&gt;"入池",G26,IF(AQ26=0,"无有效评分数据",IF(ROUND(AQ26,10)=ROUND('Sheet1-指标体系'!$J$25,10),"完整赋分", "暂定分／数据不完整")))</x:f>
        <x:v>完整赋分</x:v>
      </x:c>
      <x:c r="AX26" s="45" t="str">
        <x:f>IF('Sheet4-原始数据'!C11="","",'Sheet4-原始数据'!C11)</x:f>
        <x:v>套利策略</x:v>
      </x:c>
      <x:c r="AY26" s="45" t="str">
        <x:f>IF('Sheet4-原始数据'!D11="","",'Sheet4-原始数据'!D11)</x:f>
        <x:v>期货套利</x:v>
      </x:c>
      <x:c r="AZ26" s="45" t="str">
        <x:f>IF('Sheet5-查询核对'!S11="","",'Sheet5-查询核对'!S11)</x:f>
        <x:v>套利策略—期货套利</x:v>
      </x:c>
      <x:c r="BA26" s="51" t="n">
        <x:f>IF('Sheet5-查询核对'!A11="","",'Sheet5-查询核对'!A11)</x:f>
        <x:v>11</x:v>
      </x:c>
      <x:c r="BB26" s="45" t="str">
        <x:f>IF('Sheet5-查询核对'!F11="","",'Sheet5-查询核对'!F11)</x:f>
        <x:v>备案号匹配</x:v>
      </x:c>
      <x:c r="BC26" s="50" t="str">
        <x:f>IF('Sheet5-查询核对'!I11="","",'Sheet5-查询核对'!I11)</x:f>
        <x:v>https://mp.fof99.com/fund/view/f56d280c5131a6c9</x:v>
      </x:c>
      <x:c r="BD26" s="46" t="n">
        <x:f>IF('Sheet5-查询核对'!H11="","",'Sheet5-查询核对'!H11)</x:f>
        <x:v>46269</x:v>
      </x:c>
      <x:c r="BE26" s="50" t="str">
        <x:f>IF('Sheet5-查询核对'!L11="","",'Sheet5-查询核对'!L11)</x:f>
        <x:v>https://mp.fof99.com/fund/view/f56d280c5131a6c9</x:v>
      </x:c>
      <x:c r="BF26" s="46" t="n">
        <x:f>IF('Sheet5-查询核对'!M11="","",'Sheet5-查询核对'!M11)</x:f>
        <x:v>46275</x:v>
      </x:c>
      <x:c r="BG26" s="50" t="str">
        <x:f>IF('Sheet5-查询核对'!O11="","",'Sheet5-查询核对'!O11)</x:f>
        <x:v>https://gs.amac.org.cn/amac-infodisc/res/pof/fund/2206171628103559.html</x:v>
      </x:c>
      <x:c r="BH26" s="46" t="n">
        <x:f>IF('Sheet5-查询核对'!P11="","",'Sheet5-查询核对'!P11)</x:f>
        <x:v>46275</x:v>
      </x:c>
      <x:c r="BI26" s="45" t="str">
        <x:f>IF('Sheet5-查询核对'!D11="","",'Sheet5-查询核对'!D11)</x:f>
        <x:v>SVT598</x:v>
      </x:c>
      <x:c r="BJ26" t="n">
        <x:f>IF(ISNUMBER(AT26),AT26,COUNT($AT$17:$AT$99)+ROWS($AT$17:AT26)-COUNT($AT$17:AT26))</x:f>
        <x:v>67</x:v>
      </x:c>
    </x:row>
    <x:row r="27" ht="44" customHeight="1">
      <x:c r="A27" s="49" t="n">
        <x:f>'Sheet5-查询核对'!A12-1</x:f>
        <x:v>11</x:v>
      </x:c>
      <x:c r="B27" s="50" t="str">
        <x:f>IF('Sheet4-原始数据'!A12="",'Sheet5-查询核对'!B12,'Sheet4-原始数据'!A12)</x:f>
        <x:v>晨翰6号</x:v>
      </x:c>
      <x:c r="C27" s="45" t="str">
        <x:f>IF('Sheet4-原始数据'!B12="","",'Sheet4-原始数据'!B12)</x:f>
        <x:v>STS460</x:v>
      </x:c>
      <x:c r="D27" s="45" t="str">
        <x:f>IF('Sheet4-原始数据'!E12="","",'Sheet4-原始数据'!E12)</x:f>
        <x:v>晋江晨翰</x:v>
      </x:c>
      <x:c r="E27" s="46" t="n">
        <x:f>IF('Sheet4-原始数据'!F12="","",'Sheet4-原始数据'!F12)</x:f>
        <x:v>44575</x:v>
      </x:c>
      <x:c r="F27" s="52" t="n">
        <x:f>IF(ISNUMBER(E27),ROUND(('Sheet1-指标体系'!$J$12-E27)/'Sheet1-指标体系'!$J$14,4),"")</x:f>
        <x:v>4.6543</x:v>
      </x:c>
      <x:c r="G27" s="14" t="str">
        <x:f>IF(C27="","未匹配",IF(NOT(ISNUMBER(F27)),"缺成立日期",IF(F27&lt;'Sheet1-指标体系'!$J$15,"不入池","入池")))</x:f>
        <x:v>入池</x:v>
      </x:c>
      <x:c r="H27" s="45" t="str">
        <x:f>IF('Sheet5-查询核对'!K12="","",'Sheet5-查询核对'!K12)</x:f>
        <x:v>5-10亿元</x:v>
      </x:c>
      <x:c r="I27" s="52" t="n">
        <x:f>IF(H27="","",IF(COUNTIF('Sheet1-指标体系'!$P$4:$P$10,H27)=0,"",INDEX('Sheet1-指标体系'!$Q$4:$Q$10,MATCH(H27,'Sheet1-指标体系'!$P$4:$P$10,0))))</x:f>
        <x:v>70</x:v>
      </x:c>
      <x:c r="J27" s="54" t="str">
        <x:f>IF(NOT(ISNUMBER('Sheet5-查询核对'!N12)),"",IF('Sheet5-查询核对'!N12=1,"低于"&amp;'Sheet1-指标体系'!$J$4&amp;"万元",IF('Sheet5-查询核对'!N12=0,"无低于"&amp;'Sheet1-指标体系'!$J$4&amp;"万元标识","")))</x:f>
        <x:v>无低于1000万元标识</x:v>
      </x:c>
      <x:c r="K27" s="52" t="n">
        <x:f>IF(NOT(ISNUMBER('Sheet5-查询核对'!N12)),"",IF('Sheet5-查询核对'!N12=1,'Sheet1-指标体系'!$J$21,IF('Sheet5-查询核对'!N12=0,'Sheet1-指标体系'!$J$18,"")))</x:f>
        <x:v>100</x:v>
      </x:c>
      <x:c r="L27" s="52" t="n">
        <x:f>IF(NOT(ISNUMBER(F27)),"",IF(F27&lt;'Sheet1-指标体系'!$J$15,"",IF(F27&lt;'Sheet1-指标体系'!$J$16,'Sheet1-指标体系'!$J$17,'Sheet1-指标体系'!$J$18)))</x:f>
        <x:v>100</x:v>
      </x:c>
      <x:c r="M27" s="47" t="n">
        <x:f>IF(ISNUMBER('Sheet4-原始数据'!G12),'Sheet4-原始数据'!G12,"")</x:f>
        <x:v>0.0864</x:v>
      </x:c>
      <x:c r="N27" s="47" t="n">
        <x:f>IF(ISNUMBER('Sheet4-原始数据'!H12),'Sheet4-原始数据'!H12,"")</x:f>
        <x:v>0.054000000000000006</x:v>
      </x:c>
      <x:c r="O27" s="47" t="n">
        <x:f>IF(ISNUMBER('Sheet5-查询核对'!Q12),'Sheet5-查询核对'!Q12,"")</x:f>
        <x:v>0.0915</x:v>
      </x:c>
      <x:c r="P27" s="44" t="n">
        <x:f>IF($G27&lt;&gt;"入池","",IF($F27&gt;='Sheet1-指标体系'!$J$16,IF(COUNT(M27,N27)&lt;&gt;2,"",IF(OR(1+M27&lt;=0,1+N27&lt;0),"",((1+N27)^'Sheet1-指标体系'!$J$16/(1+M27))^(1/('Sheet1-指标体系'!$J$16-'Sheet1-指标体系'!$J$15))-1)),IF(COUNT(M27,O27)&lt;&gt;2,"",IF(OR(F27&lt;='Sheet1-指标体系'!$J$15,1+M27&lt;=0,1+O27&lt;0),"",((1+O27)^F27/(1+M27))^(1/(F27-'Sheet1-指标体系'!$J$15))-1))))</x:f>
        <x:v>0.038164174263683126</x:v>
      </x:c>
      <x:c r="Q27" s="52" t="n">
        <x:f>IF(OR($G27&lt;&gt;"入池",NOT(ISNUMBER(M27))),"",IF(COUNTIFS($G$17:$G$99,"入池",$M$17:$M$99,"&gt;=-1E+307",$M$17:$M$99,"&lt;=1E+307")&lt;=1,'Sheet1-指标体系'!$J$18,ROUND('Sheet1-指标体系'!$J$18*(COUNTIFS($G$17:$G$99,"入池",$M$17:$M$99,"&gt;=-1E+307",$M$17:$M$99,"&lt;"&amp;M27)+COUNTIFS($G$17:$G$99,"入池",$M$17:$M$99,"&gt;=-1E+307",$M$17:$M$99,"&lt;=1E+307",$M$17:$M$99,M27)/2-0.5)/(COUNTIFS($G$17:$G$99,"入池",$M$17:$M$99,"&gt;=-1E+307",$M$17:$M$99,"&lt;=1E+307")-1),2)))</x:f>
        <x:v>50</x:v>
      </x:c>
      <x:c r="R27" s="52" t="n">
        <x:f>IF(OR($G27&lt;&gt;"入池",NOT(ISNUMBER(P27))),"",IF(COUNTIFS($G$17:$G$99,"入池",$P$17:$P$99,"&gt;=-1E+307",$P$17:$P$99,"&lt;=1E+307")&lt;=1,'Sheet1-指标体系'!$J$18,ROUND('Sheet1-指标体系'!$J$18*(COUNTIFS($G$17:$G$99,"入池",$P$17:$P$99,"&gt;=-1E+307",$P$17:$P$99,"&lt;"&amp;P27)+COUNTIFS($G$17:$G$99,"入池",$P$17:$P$99,"&gt;=-1E+307",$P$17:$P$99,"&lt;=1E+307",$P$17:$P$99,P27)/2-0.5)/(COUNTIFS($G$17:$G$99,"入池",$P$17:$P$99,"&gt;=-1E+307",$P$17:$P$99,"&lt;=1E+307")-1),2)))</x:f>
        <x:v>12.96</x:v>
      </x:c>
      <x:c r="S27" s="52" t="n">
        <x:f>IF(COUNT(Q27,R27)=0,"",ROUND((IF(ISNUMBER(Q27),Q27*'Sheet1-指标体系'!$G$7*'Sheet1-指标体系'!$J$8,0)+IF(ISNUMBER(R27),R27*'Sheet1-指标体系'!$G$7*'Sheet1-指标体系'!$J$9,0))/(IF(ISNUMBER(Q27),'Sheet1-指标体系'!$G$7*'Sheet1-指标体系'!$J$8,0)+IF(ISNUMBER(R27),'Sheet1-指标体系'!$G$7*'Sheet1-指标体系'!$J$9,0)),2))</x:f>
        <x:v>35.18</x:v>
      </x:c>
      <x:c r="T27" s="47" t="n">
        <x:f>IF(ISNUMBER('Sheet4-原始数据'!J12),'Sheet4-原始数据'!J12,"")</x:f>
        <x:v>0.46149999999999997</x:v>
      </x:c>
      <x:c r="U27" s="47" t="n">
        <x:f>IF(ISNUMBER('Sheet4-原始数据'!I12),'Sheet4-原始数据'!I12,"")</x:f>
        <x:v>0.5405</x:v>
      </x:c>
      <x:c r="V27" s="44" t="n">
        <x:f>IF(COUNT(T27:U27)&lt;&gt;2,"",(U27*'Sheet1-指标体系'!$J$6-T27*'Sheet1-指标体系'!$J$5)/'Sheet1-指标体系'!$J$7)</x:f>
        <x:v>0.5832916666666667</x:v>
      </x:c>
      <x:c r="W27" s="52" t="n">
        <x:f>IF(NOT(ISNUMBER(T27)),"",T27*'Sheet1-指标体系'!$J$18)</x:f>
        <x:v>46.15</x:v>
      </x:c>
      <x:c r="X27" s="52" t="n">
        <x:f>IF(G27&lt;&gt;"入池","",IF(ISNUMBER(V27),IF(AND(V27&gt;=0,V27&lt;=1),V27*'Sheet1-指标体系'!$J$18,IF(MAX(0,(F27-'Sheet1-指标体系'!$J$15)*'Sheet1-指标体系'!$J$20)&lt;'Sheet1-指标体系'!$J$19,'Sheet1-指标体系'!$J$18,"")),IF(MAX(0,(F27-'Sheet1-指标体系'!$J$15)*'Sheet1-指标体系'!$J$20)&lt;'Sheet1-指标体系'!$J$19,'Sheet1-指标体系'!$J$18,"")))</x:f>
        <x:v>58.329166666666666</x:v>
      </x:c>
      <x:c r="Y27" s="52" t="n">
        <x:f>IF(NOT(ISNUMBER(W27)),"",IF(COUNT(W27,X27)=0,"",ROUND((IF(ISNUMBER(W27),W27*'Sheet1-指标体系'!$G$8*'Sheet1-指标体系'!$J$8,0)+IF(ISNUMBER(X27),X27*'Sheet1-指标体系'!$G$8*'Sheet1-指标体系'!$J$9,0))/(IF(ISNUMBER(W27),'Sheet1-指标体系'!$G$8*'Sheet1-指标体系'!$J$8,0)+IF(ISNUMBER(X27),'Sheet1-指标体系'!$G$8*'Sheet1-指标体系'!$J$9,0)),2)))</x:f>
        <x:v>51.02</x:v>
      </x:c>
      <x:c r="Z27" s="44" t="n">
        <x:f>IF(COUNT(M27,AD27)&lt;&gt;2,"",IF(AD27=0,"",ABS(M27/AD27)))</x:f>
        <x:v>0.0502998195261105</x:v>
      </x:c>
      <x:c r="AA27" s="47" t="n">
        <x:f>IF(ISNUMBER('Sheet4-原始数据'!K12),'Sheet4-原始数据'!K12,"")</x:f>
        <x:v>0.050300000000000004</x:v>
      </x:c>
      <x:c r="AB27" s="44" t="n">
        <x:f>IF(COUNT(Z27:AA27)=0,"",MAX(Z27:AA27))</x:f>
        <x:v>0.050300000000000004</x:v>
      </x:c>
      <x:c r="AC27" s="52" t="n">
        <x:f>IF(OR($G27&lt;&gt;"入池",NOT(ISNUMBER(AB27))),"",IF(COUNTIFS($G$17:$G$99,"入池",$AB$17:$AB$99,"&gt;=-1E+307",$AB$17:$AB$99,"&lt;=1E+307")&lt;=1,'Sheet1-指标体系'!$J$18,ROUND('Sheet1-指标体系'!$J$18*(COUNTIFS($G$17:$G$99,"入池",$AB$17:$AB$99,"&lt;=1E+307",$AB$17:$AB$99,"&gt;"&amp;AB27)+COUNTIFS($G$17:$G$99,"入池",$AB$17:$AB$99,"&gt;=-1E+307",$AB$17:$AB$99,"&lt;=1E+307",$AB$17:$AB$99,AB27)/2-0.5)/(COUNTIFS($G$17:$G$99,"入池",$AB$17:$AB$99,"&gt;=-1E+307",$AB$17:$AB$99,"&lt;=1E+307")-1),2)))</x:f>
        <x:v>15.52</x:v>
      </x:c>
      <x:c r="AD27" s="48" t="n">
        <x:f>IF(ISNUMBER('Sheet4-原始数据'!M12),'Sheet4-原始数据'!M12,"")</x:f>
        <x:v>1.7177</x:v>
      </x:c>
      <x:c r="AE27" s="44" t="str">
        <x:f>IF(COUNT(P27,AA27,Z27)&lt;&gt;3,"",IF(AA27&gt;Z27+'Sheet1-指标体系'!$J$11,AA27,""))</x:f>
      </x:c>
      <x:c r="AF27" s="52" t="str">
        <x:f>IF(COUNT(P27,AE27)&lt;&gt;2,"",IF(AE27=0,"",P27/AE27))</x:f>
      </x:c>
      <x:c r="AG27" s="52" t="n">
        <x:f>IF(OR($G27&lt;&gt;"入池",NOT(ISNUMBER(AD27))),"",IF(COUNTIFS($G$17:$G$99,"入池",$AD$17:$AD$99,"&gt;=-1E+307",$AD$17:$AD$99,"&lt;=1E+307")&lt;=1,'Sheet1-指标体系'!$J$18,ROUND('Sheet1-指标体系'!$J$18*(COUNTIFS($G$17:$G$99,"入池",$AD$17:$AD$99,"&gt;=-1E+307",$AD$17:$AD$99,"&lt;"&amp;AD27)+COUNTIFS($G$17:$G$99,"入池",$AD$17:$AD$99,"&gt;=-1E+307",$AD$17:$AD$99,"&lt;=1E+307",$AD$17:$AD$99,AD27)/2-0.5)/(COUNTIFS($G$17:$G$99,"入池",$AD$17:$AD$99,"&gt;=-1E+307",$AD$17:$AD$99,"&lt;=1E+307")-1),2)))</x:f>
        <x:v>10.91</x:v>
      </x:c>
      <x:c r="AH27" s="52" t="str">
        <x:f>IF(OR($G27&lt;&gt;"入池",NOT(ISNUMBER(AF27))),"",IF(COUNTIFS($G$17:$G$99,"入池",$AF$17:$AF$99,"&gt;=-1E+307",$AF$17:$AF$99,"&lt;=1E+307")&lt;=1,'Sheet1-指标体系'!$J$18,ROUND('Sheet1-指标体系'!$J$18*(COUNTIFS($G$17:$G$99,"入池",$AF$17:$AF$99,"&gt;=-1E+307",$AF$17:$AF$99,"&lt;"&amp;AF27)+COUNTIFS($G$17:$G$99,"入池",$AF$17:$AF$99,"&gt;=-1E+307",$AF$17:$AF$99,"&lt;=1E+307",$AF$17:$AF$99,AF27)/2-0.5)/(COUNTIFS($G$17:$G$99,"入池",$AF$17:$AF$99,"&gt;=-1E+307",$AF$17:$AF$99,"&lt;=1E+307")-1),2)))</x:f>
      </x:c>
      <x:c r="AI27" s="52" t="n">
        <x:f>IF(COUNT(AG27,AH27)=0,"",ROUND((IF(ISNUMBER(AG27),AG27*'Sheet1-指标体系'!$G$10*'Sheet1-指标体系'!$J$8,0)+IF(ISNUMBER(AH27),AH27*'Sheet1-指标体系'!$G$10*'Sheet1-指标体系'!$J$9,0))/(IF(ISNUMBER(AG27),'Sheet1-指标体系'!$G$10*'Sheet1-指标体系'!$J$8,0)+IF(ISNUMBER(AH27),'Sheet1-指标体系'!$G$10*'Sheet1-指标体系'!$J$9,0)),2))</x:f>
        <x:v>10.91</x:v>
      </x:c>
      <x:c r="AJ27" s="44" t="n">
        <x:f>IF(NOT(ISNUMBER(F27)),"",IF(F27&gt;='Sheet1-指标体系'!$J$16,IF(ISNUMBER(N27),N27,""),IF(ISNUMBER(O27),O27,"")))</x:f>
        <x:v>0.054000000000000006</x:v>
      </x:c>
      <x:c r="AK27" s="52" t="n">
        <x:f>IF(OR(G27&lt;&gt;"入池",COUNT(M27,AJ27)&lt;&gt;2),"",IF(M27&gt;=AJ27,'Sheet1-指标体系'!$J$18,IF(AJ27-M27&lt;'Sheet1-指标体系'!$J$10,'Sheet1-指标体系'!$J$22,'Sheet1-指标体系'!$J$23)))</x:f>
        <x:v>100</x:v>
      </x:c>
      <x:c r="AL27" s="52" t="n">
        <x:f>IF(COUNT(I27,K27,L27)=0,"",ROUND((IF(ISNUMBER(I27),I27*'Sheet1-指标体系'!$G$4,0)+IF(ISNUMBER(K27),K27*'Sheet1-指标体系'!$G$5,0)+IF(ISNUMBER(L27),L27*'Sheet1-指标体系'!$G$6,0))/(IF(ISNUMBER(I27),'Sheet1-指标体系'!$G$4,0)+IF(ISNUMBER(K27),'Sheet1-指标体系'!$G$5,0)+IF(ISNUMBER(L27),'Sheet1-指标体系'!$G$6,0)),2))</x:f>
        <x:v>88</x:v>
      </x:c>
      <x:c r="AM27" s="52" t="n">
        <x:f>IF(COUNT(Q27,R27,W27,X27)=0,"",ROUND((IF(ISNUMBER(Q27),Q27*'Sheet1-指标体系'!$G$7*'Sheet1-指标体系'!$J$8,0)+IF(ISNUMBER(R27),R27*'Sheet1-指标体系'!$G$7*'Sheet1-指标体系'!$J$9,0)+IF(ISNUMBER(W27),W27*'Sheet1-指标体系'!$G$8*'Sheet1-指标体系'!$J$8,0)+IF(ISNUMBER(X27),X27*'Sheet1-指标体系'!$G$8*'Sheet1-指标体系'!$J$9,0))/(IF(ISNUMBER(Q27),'Sheet1-指标体系'!$G$7*'Sheet1-指标体系'!$J$8,0)+IF(ISNUMBER(R27),'Sheet1-指标体系'!$G$7*'Sheet1-指标体系'!$J$9,0)+IF(ISNUMBER(W27),'Sheet1-指标体系'!$G$8*'Sheet1-指标体系'!$J$8,0)+IF(ISNUMBER(X27),'Sheet1-指标体系'!$G$8*'Sheet1-指标体系'!$J$9,0)),2))</x:f>
        <x:v>39.94</x:v>
      </x:c>
      <x:c r="AN27" s="52" t="n">
        <x:f>IF(ISNUMBER(AC27),AC27,"")</x:f>
        <x:v>15.52</x:v>
      </x:c>
      <x:c r="AO27" s="52" t="n">
        <x:f>IF(COUNT(AG27,AH27)=0,"",ROUND((IF(ISNUMBER(AG27),AG27*'Sheet1-指标体系'!$G$10*'Sheet1-指标体系'!$J$8,0)+IF(ISNUMBER(AH27),AH27*'Sheet1-指标体系'!$G$10*'Sheet1-指标体系'!$J$9,0))/(IF(ISNUMBER(AG27),'Sheet1-指标体系'!$G$10*'Sheet1-指标体系'!$J$8,0)+IF(ISNUMBER(AH27),'Sheet1-指标体系'!$G$10*'Sheet1-指标体系'!$J$9,0)),2))</x:f>
        <x:v>10.91</x:v>
      </x:c>
      <x:c r="AP27" s="52" t="n">
        <x:f>IF(ISNUMBER(AK27),AK27,"")</x:f>
        <x:v>100</x:v>
      </x:c>
      <x:c r="AQ27" s="27" t="n">
        <x:f>IF(G27&lt;&gt;"入池",0,IF(ISNUMBER(I27),'Sheet1-指标体系'!$G$4,0)+IF(ISNUMBER(K27),'Sheet1-指标体系'!$G$5,0)+IF(ISNUMBER(L27),'Sheet1-指标体系'!$G$6,0)+IF(ISNUMBER(Q27),'Sheet1-指标体系'!$G$7*'Sheet1-指标体系'!$J$8,0)+IF(ISNUMBER(R27),'Sheet1-指标体系'!$G$7*'Sheet1-指标体系'!$J$9,0)+IF(ISNUMBER(W27),'Sheet1-指标体系'!$G$8*'Sheet1-指标体系'!$J$8,0)+IF(ISNUMBER(X27),'Sheet1-指标体系'!$G$8*'Sheet1-指标体系'!$J$9,0)+IF(ISNUMBER(AC27),'Sheet1-指标体系'!$G$9,0)+IF(ISNUMBER(AG27),'Sheet1-指标体系'!$G$10*'Sheet1-指标体系'!$J$8,0)+IF(ISNUMBER(AH27),'Sheet1-指标体系'!$G$10*'Sheet1-指标体系'!$J$9,0)+IF(ISNUMBER(AK27),'Sheet1-指标体系'!$G$11,0))</x:f>
        <x:v>0.88</x:v>
      </x:c>
      <x:c r="AR27" s="52" t="n">
        <x:f>IF(AQ27=0,"",IF(ISNUMBER(I27),I27*'Sheet1-指标体系'!$G$4,0)+IF(ISNUMBER(K27),K27*'Sheet1-指标体系'!$G$5,0)+IF(ISNUMBER(L27),L27*'Sheet1-指标体系'!$G$6,0)+IF(ISNUMBER(Q27),Q27*'Sheet1-指标体系'!$G$7*'Sheet1-指标体系'!$J$8,0)+IF(ISNUMBER(R27),R27*'Sheet1-指标体系'!$G$7*'Sheet1-指标体系'!$J$9,0)+IF(ISNUMBER(W27),W27*'Sheet1-指标体系'!$G$8*'Sheet1-指标体系'!$J$8,0)+IF(ISNUMBER(X27),X27*'Sheet1-指标体系'!$G$8*'Sheet1-指标体系'!$J$9,0)+IF(ISNUMBER(AC27),AC27*'Sheet1-指标体系'!$G$9,0)+IF(ISNUMBER(AG27),AG27*'Sheet1-指标体系'!$G$10*'Sheet1-指标体系'!$J$8,0)+IF(ISNUMBER(AH27),AH27*'Sheet1-指标体系'!$G$10*'Sheet1-指标体系'!$J$9,0)+IF(ISNUMBER(AK27),AK27*'Sheet1-指标体系'!$G$11,0))</x:f>
        <x:v>37.03086</x:v>
      </x:c>
      <x:c r="AS27" s="52" t="n">
        <x:f>IF(AQ27=0,"",ROUND(AR27/AQ27,2))</x:f>
        <x:v>42.08</x:v>
      </x:c>
      <x:c r="AT27" s="49" t="n">
        <x:f>IF(OR(G27&lt;&gt;"入池",NOT(ISNUMBER(AS27))),"",COUNTIFS($G$17:$G$99,"入池",$AS$17:$AS$99,"&gt;"&amp;AS27)+COUNTIFS($G$17:$G$99,"入池",$AS$17:$AS$99,AS27,$AQ$17:$AQ$99,"&gt;"&amp;AQ27)+COUNTIFS($G$17:G27,"入池",$AS$17:AS27,AS27,$AQ$17:AQ27,AQ27))</x:f>
        <x:v>69</x:v>
      </x:c>
      <x:c r="AU27" s="53" t="str">
        <x:f>IF(NOT(ISNUMBER(I27)),"管理人规模；","")&amp;IF(NOT(ISNUMBER(K27)),"产品规模标识；","")&amp;IF(NOT(ISNUMBER(M27)),"近一年收益；","")&amp;IF(NOT(ISNUMBER(T27)),"近一年胜率；","")&amp;IF(NOT(ISNUMBER(N27)),"近三年收益；","")&amp;IF(NOT(ISNUMBER(U27)),"近三年胜率；","")&amp;IF(NOT(ISNUMBER(AA27)),"近三年回撤；","")&amp;IF(NOT(ISNUMBER(AD27)),"近一年卡玛；","")&amp;IF(ISNUMBER(F27),IF(AND(F27&lt;'Sheet1-指标体系'!$J$16,NOT(ISNUMBER(O27))),"成立以来年化；",""),"成立日期；")&amp;IF(ISNUMBER(V27),IF(OR(V27&lt;0,V27&gt;1),"胜率窗口口径不一致；",""),"")&amp;IF(ISNUMBER(P27),IF(NOT(ISNUMBER(AE27)),"DD_long不可识别；",""),"")</x:f>
        <x:v>DD_long不可识别；</x:v>
      </x:c>
      <x:c r="AV27" s="52" t="str">
        <x:f>IF(ROUND(AQ27,10)=ROUND('Sheet1-指标体系'!$J$25,10),AR27,"")</x:f>
      </x:c>
      <x:c r="AW27" s="14" t="str">
        <x:f>IF(G27&lt;&gt;"入池",G27,IF(AQ27=0,"无有效评分数据",IF(ROUND(AQ27,10)=ROUND('Sheet1-指标体系'!$J$25,10),"完整赋分", "暂定分／数据不完整")))</x:f>
        <x:v>暂定分／数据不完整</x:v>
      </x:c>
      <x:c r="AX27" s="45" t="str">
        <x:f>IF('Sheet4-原始数据'!C12="","",'Sheet4-原始数据'!C12)</x:f>
        <x:v>套利策略</x:v>
      </x:c>
      <x:c r="AY27" s="45" t="str">
        <x:f>IF('Sheet4-原始数据'!D12="","",'Sheet4-原始数据'!D12)</x:f>
        <x:v>期货套利</x:v>
      </x:c>
      <x:c r="AZ27" s="45" t="str">
        <x:f>IF('Sheet5-查询核对'!S12="","",'Sheet5-查询核对'!S12)</x:f>
        <x:v>套利策略—期货套利</x:v>
      </x:c>
      <x:c r="BA27" s="51" t="n">
        <x:f>IF('Sheet5-查询核对'!A12="","",'Sheet5-查询核对'!A12)</x:f>
        <x:v>12</x:v>
      </x:c>
      <x:c r="BB27" s="45" t="str">
        <x:f>IF('Sheet5-查询核对'!F12="","",'Sheet5-查询核对'!F12)</x:f>
        <x:v>备案号匹配</x:v>
      </x:c>
      <x:c r="BC27" s="50" t="str">
        <x:f>IF('Sheet5-查询核对'!I12="","",'Sheet5-查询核对'!I12)</x:f>
        <x:v>https://mp.fof99.com/fund/view/99bf55b582e27685</x:v>
      </x:c>
      <x:c r="BD27" s="46" t="n">
        <x:f>IF('Sheet5-查询核对'!H12="","",'Sheet5-查询核对'!H12)</x:f>
        <x:v>46269</x:v>
      </x:c>
      <x:c r="BE27" s="50" t="str">
        <x:f>IF('Sheet5-查询核对'!L12="","",'Sheet5-查询核对'!L12)</x:f>
        <x:v>https://mp.fof99.com/fund/view/99bf55b582e27685</x:v>
      </x:c>
      <x:c r="BF27" s="46" t="n">
        <x:f>IF('Sheet5-查询核对'!M12="","",'Sheet5-查询核对'!M12)</x:f>
        <x:v>46275</x:v>
      </x:c>
      <x:c r="BG27" s="50" t="str">
        <x:f>IF('Sheet5-查询核对'!O12="","",'Sheet5-查询核对'!O12)</x:f>
        <x:v>https://gs.amac.org.cn/amac-infodisc/res/pof/fund/2201191737119713.html</x:v>
      </x:c>
      <x:c r="BH27" s="46" t="n">
        <x:f>IF('Sheet5-查询核对'!P12="","",'Sheet5-查询核对'!P12)</x:f>
        <x:v>46275</x:v>
      </x:c>
      <x:c r="BI27" s="45" t="str">
        <x:f>IF('Sheet5-查询核对'!D12="","",'Sheet5-查询核对'!D12)</x:f>
        <x:v>STS460</x:v>
      </x:c>
      <x:c r="BJ27" t="n">
        <x:f>IF(ISNUMBER(AT27),AT27,COUNT($AT$17:$AT$99)+ROWS($AT$17:AT27)-COUNT($AT$17:AT27))</x:f>
        <x:v>69</x:v>
      </x:c>
    </x:row>
    <x:row r="28" ht="44" customHeight="1">
      <x:c r="A28" s="49" t="n">
        <x:f>'Sheet5-查询核对'!A13-1</x:f>
        <x:v>12</x:v>
      </x:c>
      <x:c r="B28" s="50" t="str">
        <x:f>IF('Sheet4-原始数据'!A13="",'Sheet5-查询核对'!B13,'Sheet4-原始数据'!A13)</x:f>
        <x:v>刀锋期权套利</x:v>
      </x:c>
      <x:c r="C28" s="45" t="str">
        <x:f>IF('Sheet4-原始数据'!B13="","",'Sheet4-原始数据'!B13)</x:f>
        <x:v>SGR366</x:v>
      </x:c>
      <x:c r="D28" s="45" t="str">
        <x:f>IF('Sheet4-原始数据'!E13="","",'Sheet4-原始数据'!E13)</x:f>
        <x:v>深圳刀锋</x:v>
      </x:c>
      <x:c r="E28" s="46" t="n">
        <x:f>IF('Sheet4-原始数据'!F13="","",'Sheet4-原始数据'!F13)</x:f>
        <x:v>43627</x:v>
      </x:c>
      <x:c r="F28" s="52" t="n">
        <x:f>IF(ISNUMBER(E28),ROUND(('Sheet1-指标体系'!$J$12-E28)/'Sheet1-指标体系'!$J$14,4),"")</x:f>
        <x:v>7.2498</x:v>
      </x:c>
      <x:c r="G28" s="14" t="str">
        <x:f>IF(C28="","未匹配",IF(NOT(ISNUMBER(F28)),"缺成立日期",IF(F28&lt;'Sheet1-指标体系'!$J$15,"不入池","入池")))</x:f>
        <x:v>入池</x:v>
      </x:c>
      <x:c r="H28" s="45" t="str">
        <x:f>IF('Sheet5-查询核对'!K13="","",'Sheet5-查询核对'!K13)</x:f>
        <x:v>0-5亿元</x:v>
      </x:c>
      <x:c r="I28" s="52" t="n">
        <x:f>IF(H28="","",IF(COUNTIF('Sheet1-指标体系'!$P$4:$P$10,H28)=0,"",INDEX('Sheet1-指标体系'!$Q$4:$Q$10,MATCH(H28,'Sheet1-指标体系'!$P$4:$P$10,0))))</x:f>
        <x:v>60</x:v>
      </x:c>
      <x:c r="J28" s="54" t="str">
        <x:f>IF(NOT(ISNUMBER('Sheet5-查询核对'!N13)),"",IF('Sheet5-查询核对'!N13=1,"低于"&amp;'Sheet1-指标体系'!$J$4&amp;"万元",IF('Sheet5-查询核对'!N13=0,"无低于"&amp;'Sheet1-指标体系'!$J$4&amp;"万元标识","")))</x:f>
        <x:v>无低于1000万元标识</x:v>
      </x:c>
      <x:c r="K28" s="52" t="n">
        <x:f>IF(NOT(ISNUMBER('Sheet5-查询核对'!N13)),"",IF('Sheet5-查询核对'!N13=1,'Sheet1-指标体系'!$J$21,IF('Sheet5-查询核对'!N13=0,'Sheet1-指标体系'!$J$18,"")))</x:f>
        <x:v>100</x:v>
      </x:c>
      <x:c r="L28" s="52" t="n">
        <x:f>IF(NOT(ISNUMBER(F28)),"",IF(F28&lt;'Sheet1-指标体系'!$J$15,"",IF(F28&lt;'Sheet1-指标体系'!$J$16,'Sheet1-指标体系'!$J$17,'Sheet1-指标体系'!$J$18)))</x:f>
        <x:v>100</x:v>
      </x:c>
      <x:c r="M28" s="47" t="n">
        <x:f>IF(ISNUMBER('Sheet4-原始数据'!G13),'Sheet4-原始数据'!G13,"")</x:f>
        <x:v>0.08560000000000001</x:v>
      </x:c>
      <x:c r="N28" s="47" t="n">
        <x:f>IF(ISNUMBER('Sheet4-原始数据'!H13),'Sheet4-原始数据'!H13,"")</x:f>
        <x:v>0.09359999999999999</x:v>
      </x:c>
      <x:c r="O28" s="47" t="n">
        <x:f>IF(ISNUMBER('Sheet5-查询核对'!Q13),'Sheet5-查询核对'!Q13,"")</x:f>
        <x:v>0.0252</x:v>
      </x:c>
      <x:c r="P28" s="44" t="n">
        <x:f>IF($G28&lt;&gt;"入池","",IF($F28&gt;='Sheet1-指标体系'!$J$16,IF(COUNT(M28,N28)&lt;&gt;2,"",IF(OR(1+M28&lt;=0,1+N28&lt;0),"",((1+N28)^'Sheet1-指标体系'!$J$16/(1+M28))^(1/('Sheet1-指标体系'!$J$16-'Sheet1-指标体系'!$J$15))-1)),IF(COUNT(M28,O28)&lt;&gt;2,"",IF(OR(F28&lt;='Sheet1-指标体系'!$J$15,1+M28&lt;=0,1+O28&lt;0),"",((1+O28)^F28/(1+M28))^(1/(F28-'Sheet1-指标体系'!$J$15))-1))))</x:f>
        <x:v>0.09762208051250143</x:v>
      </x:c>
      <x:c r="Q28" s="52" t="n">
        <x:f>IF(OR($G28&lt;&gt;"入池",NOT(ISNUMBER(M28))),"",IF(COUNTIFS($G$17:$G$99,"入池",$M$17:$M$99,"&gt;=-1E+307",$M$17:$M$99,"&lt;=1E+307")&lt;=1,'Sheet1-指标体系'!$J$18,ROUND('Sheet1-指标体系'!$J$18*(COUNTIFS($G$17:$G$99,"入池",$M$17:$M$99,"&gt;=-1E+307",$M$17:$M$99,"&lt;"&amp;M28)+COUNTIFS($G$17:$G$99,"入池",$M$17:$M$99,"&gt;=-1E+307",$M$17:$M$99,"&lt;=1E+307",$M$17:$M$99,M28)/2-0.5)/(COUNTIFS($G$17:$G$99,"入池",$M$17:$M$99,"&gt;=-1E+307",$M$17:$M$99,"&lt;=1E+307")-1),2)))</x:f>
        <x:v>46.43</x:v>
      </x:c>
      <x:c r="R28" s="52" t="n">
        <x:f>IF(OR($G28&lt;&gt;"入池",NOT(ISNUMBER(P28))),"",IF(COUNTIFS($G$17:$G$99,"入池",$P$17:$P$99,"&gt;=-1E+307",$P$17:$P$99,"&lt;=1E+307")&lt;=1,'Sheet1-指标体系'!$J$18,ROUND('Sheet1-指标体系'!$J$18*(COUNTIFS($G$17:$G$99,"入池",$P$17:$P$99,"&gt;=-1E+307",$P$17:$P$99,"&lt;"&amp;P28)+COUNTIFS($G$17:$G$99,"入池",$P$17:$P$99,"&gt;=-1E+307",$P$17:$P$99,"&lt;=1E+307",$P$17:$P$99,P28)/2-0.5)/(COUNTIFS($G$17:$G$99,"入池",$P$17:$P$99,"&gt;=-1E+307",$P$17:$P$99,"&lt;=1E+307")-1),2)))</x:f>
        <x:v>70.37</x:v>
      </x:c>
      <x:c r="S28" s="52" t="n">
        <x:f>IF(COUNT(Q28,R28)=0,"",ROUND((IF(ISNUMBER(Q28),Q28*'Sheet1-指标体系'!$G$7*'Sheet1-指标体系'!$J$8,0)+IF(ISNUMBER(R28),R28*'Sheet1-指标体系'!$G$7*'Sheet1-指标体系'!$J$9,0))/(IF(ISNUMBER(Q28),'Sheet1-指标体系'!$G$7*'Sheet1-指标体系'!$J$8,0)+IF(ISNUMBER(R28),'Sheet1-指标体系'!$G$7*'Sheet1-指标体系'!$J$9,0)),2))</x:f>
        <x:v>56.01</x:v>
      </x:c>
      <x:c r="T28" s="47" t="n">
        <x:f>IF(ISNUMBER('Sheet4-原始数据'!J13),'Sheet4-原始数据'!J13,"")</x:f>
        <x:v>0.8462000000000001</x:v>
      </x:c>
      <x:c r="U28" s="47" t="n">
        <x:f>IF(ISNUMBER('Sheet4-原始数据'!I13),'Sheet4-原始数据'!I13,"")</x:f>
        <x:v>0.8108</x:v>
      </x:c>
      <x:c r="V28" s="44" t="n">
        <x:f>IF(COUNT(T28:U28)&lt;&gt;2,"",(U28*'Sheet1-指标体系'!$J$6-T28*'Sheet1-指标体系'!$J$5)/'Sheet1-指标体系'!$J$7)</x:f>
        <x:v>0.7916249999999998</x:v>
      </x:c>
      <x:c r="W28" s="52" t="n">
        <x:f>IF(NOT(ISNUMBER(T28)),"",T28*'Sheet1-指标体系'!$J$18)</x:f>
        <x:v>84.62</x:v>
      </x:c>
      <x:c r="X28" s="52" t="n">
        <x:f>IF(G28&lt;&gt;"入池","",IF(ISNUMBER(V28),IF(AND(V28&gt;=0,V28&lt;=1),V28*'Sheet1-指标体系'!$J$18,IF(MAX(0,(F28-'Sheet1-指标体系'!$J$15)*'Sheet1-指标体系'!$J$20)&lt;'Sheet1-指标体系'!$J$19,'Sheet1-指标体系'!$J$18,"")),IF(MAX(0,(F28-'Sheet1-指标体系'!$J$15)*'Sheet1-指标体系'!$J$20)&lt;'Sheet1-指标体系'!$J$19,'Sheet1-指标体系'!$J$18,"")))</x:f>
        <x:v>79.16249999999998</x:v>
      </x:c>
      <x:c r="Y28" s="52" t="n">
        <x:f>IF(NOT(ISNUMBER(W28)),"",IF(COUNT(W28,X28)=0,"",ROUND((IF(ISNUMBER(W28),W28*'Sheet1-指标体系'!$G$8*'Sheet1-指标体系'!$J$8,0)+IF(ISNUMBER(X28),X28*'Sheet1-指标体系'!$G$8*'Sheet1-指标体系'!$J$9,0))/(IF(ISNUMBER(W28),'Sheet1-指标体系'!$G$8*'Sheet1-指标体系'!$J$8,0)+IF(ISNUMBER(X28),'Sheet1-指标体系'!$G$8*'Sheet1-指标体系'!$J$9,0)),2)))</x:f>
        <x:v>82.44</x:v>
      </x:c>
      <x:c r="Z28" s="44" t="n">
        <x:f>IF(COUNT(M28,AD28)&lt;&gt;2,"",IF(AD28=0,"",ABS(M28/AD28)))</x:f>
        <x:v>0.03601177955405974</x:v>
      </x:c>
      <x:c r="AA28" s="47" t="n">
        <x:f>IF(ISNUMBER('Sheet4-原始数据'!K13),'Sheet4-原始数据'!K13,"")</x:f>
        <x:v>0.1121</x:v>
      </x:c>
      <x:c r="AB28" s="44" t="n">
        <x:f>IF(COUNT(Z28:AA28)=0,"",MAX(Z28:AA28))</x:f>
        <x:v>0.1121</x:v>
      </x:c>
      <x:c r="AC28" s="52" t="n">
        <x:f>IF(OR($G28&lt;&gt;"入池",NOT(ISNUMBER(AB28))),"",IF(COUNTIFS($G$17:$G$99,"入池",$AB$17:$AB$99,"&gt;=-1E+307",$AB$17:$AB$99,"&lt;=1E+307")&lt;=1,'Sheet1-指标体系'!$J$18,ROUND('Sheet1-指标体系'!$J$18*(COUNTIFS($G$17:$G$99,"入池",$AB$17:$AB$99,"&lt;=1E+307",$AB$17:$AB$99,"&gt;"&amp;AB28)+COUNTIFS($G$17:$G$99,"入池",$AB$17:$AB$99,"&gt;=-1E+307",$AB$17:$AB$99,"&lt;=1E+307",$AB$17:$AB$99,AB28)/2-0.5)/(COUNTIFS($G$17:$G$99,"入池",$AB$17:$AB$99,"&gt;=-1E+307",$AB$17:$AB$99,"&lt;=1E+307")-1),2)))</x:f>
        <x:v>5.17</x:v>
      </x:c>
      <x:c r="AD28" s="48" t="n">
        <x:f>IF(ISNUMBER('Sheet4-原始数据'!M13),'Sheet4-原始数据'!M13,"")</x:f>
        <x:v>2.377</x:v>
      </x:c>
      <x:c r="AE28" s="44" t="n">
        <x:f>IF(COUNT(P28,AA28,Z28)&lt;&gt;3,"",IF(AA28&gt;Z28+'Sheet1-指标体系'!$J$11,AA28,""))</x:f>
        <x:v>0.1121</x:v>
      </x:c>
      <x:c r="AF28" s="52" t="n">
        <x:f>IF(COUNT(P28,AE28)&lt;&gt;2,"",IF(AE28=0,"",P28/AE28))</x:f>
        <x:v>0.8708481758474703</x:v>
      </x:c>
      <x:c r="AG28" s="52" t="n">
        <x:f>IF(OR($G28&lt;&gt;"入池",NOT(ISNUMBER(AD28))),"",IF(COUNTIFS($G$17:$G$99,"入池",$AD$17:$AD$99,"&gt;=-1E+307",$AD$17:$AD$99,"&lt;=1E+307")&lt;=1,'Sheet1-指标体系'!$J$18,ROUND('Sheet1-指标体系'!$J$18*(COUNTIFS($G$17:$G$99,"入池",$AD$17:$AD$99,"&gt;=-1E+307",$AD$17:$AD$99,"&lt;"&amp;AD28)+COUNTIFS($G$17:$G$99,"入池",$AD$17:$AD$99,"&gt;=-1E+307",$AD$17:$AD$99,"&lt;=1E+307",$AD$17:$AD$99,AD28)/2-0.5)/(COUNTIFS($G$17:$G$99,"入池",$AD$17:$AD$99,"&gt;=-1E+307",$AD$17:$AD$99,"&lt;=1E+307")-1),2)))</x:f>
        <x:v>18.18</x:v>
      </x:c>
      <x:c r="AH28" s="52" t="n">
        <x:f>IF(OR($G28&lt;&gt;"入池",NOT(ISNUMBER(AF28))),"",IF(COUNTIFS($G$17:$G$99,"入池",$AF$17:$AF$99,"&gt;=-1E+307",$AF$17:$AF$99,"&lt;=1E+307")&lt;=1,'Sheet1-指标体系'!$J$18,ROUND('Sheet1-指标体系'!$J$18*(COUNTIFS($G$17:$G$99,"入池",$AF$17:$AF$99,"&gt;=-1E+307",$AF$17:$AF$99,"&lt;"&amp;AF28)+COUNTIFS($G$17:$G$99,"入池",$AF$17:$AF$99,"&gt;=-1E+307",$AF$17:$AF$99,"&lt;=1E+307",$AF$17:$AF$99,AF28)/2-0.5)/(COUNTIFS($G$17:$G$99,"入池",$AF$17:$AF$99,"&gt;=-1E+307",$AF$17:$AF$99,"&lt;=1E+307")-1),2)))</x:f>
        <x:v>7.14</x:v>
      </x:c>
      <x:c r="AI28" s="52" t="n">
        <x:f>IF(COUNT(AG28,AH28)=0,"",ROUND((IF(ISNUMBER(AG28),AG28*'Sheet1-指标体系'!$G$10*'Sheet1-指标体系'!$J$8,0)+IF(ISNUMBER(AH28),AH28*'Sheet1-指标体系'!$G$10*'Sheet1-指标体系'!$J$9,0))/(IF(ISNUMBER(AG28),'Sheet1-指标体系'!$G$10*'Sheet1-指标体系'!$J$8,0)+IF(ISNUMBER(AH28),'Sheet1-指标体系'!$G$10*'Sheet1-指标体系'!$J$9,0)),2))</x:f>
        <x:v>13.76</x:v>
      </x:c>
      <x:c r="AJ28" s="44" t="n">
        <x:f>IF(NOT(ISNUMBER(F28)),"",IF(F28&gt;='Sheet1-指标体系'!$J$16,IF(ISNUMBER(N28),N28,""),IF(ISNUMBER(O28),O28,"")))</x:f>
        <x:v>0.09359999999999999</x:v>
      </x:c>
      <x:c r="AK28" s="52" t="n">
        <x:f>IF(OR(G28&lt;&gt;"入池",COUNT(M28,AJ28)&lt;&gt;2),"",IF(M28&gt;=AJ28,'Sheet1-指标体系'!$J$18,IF(AJ28-M28&lt;'Sheet1-指标体系'!$J$10,'Sheet1-指标体系'!$J$22,'Sheet1-指标体系'!$J$23)))</x:f>
        <x:v>80</x:v>
      </x:c>
      <x:c r="AL28" s="52" t="n">
        <x:f>IF(COUNT(I28,K28,L28)=0,"",ROUND((IF(ISNUMBER(I28),I28*'Sheet1-指标体系'!$G$4,0)+IF(ISNUMBER(K28),K28*'Sheet1-指标体系'!$G$5,0)+IF(ISNUMBER(L28),L28*'Sheet1-指标体系'!$G$6,0))/(IF(ISNUMBER(I28),'Sheet1-指标体系'!$G$4,0)+IF(ISNUMBER(K28),'Sheet1-指标体系'!$G$5,0)+IF(ISNUMBER(L28),'Sheet1-指标体系'!$G$6,0)),2))</x:f>
        <x:v>84</x:v>
      </x:c>
      <x:c r="AM28" s="52" t="n">
        <x:f>IF(COUNT(Q28,R28,W28,X28)=0,"",ROUND((IF(ISNUMBER(Q28),Q28*'Sheet1-指标体系'!$G$7*'Sheet1-指标体系'!$J$8,0)+IF(ISNUMBER(R28),R28*'Sheet1-指标体系'!$G$7*'Sheet1-指标体系'!$J$9,0)+IF(ISNUMBER(W28),W28*'Sheet1-指标体系'!$G$8*'Sheet1-指标体系'!$J$8,0)+IF(ISNUMBER(X28),X28*'Sheet1-指标体系'!$G$8*'Sheet1-指标体系'!$J$9,0))/(IF(ISNUMBER(Q28),'Sheet1-指标体系'!$G$7*'Sheet1-指标体系'!$J$8,0)+IF(ISNUMBER(R28),'Sheet1-指标体系'!$G$7*'Sheet1-指标体系'!$J$9,0)+IF(ISNUMBER(W28),'Sheet1-指标体系'!$G$8*'Sheet1-指标体系'!$J$8,0)+IF(ISNUMBER(X28),'Sheet1-指标体系'!$G$8*'Sheet1-指标体系'!$J$9,0)),2))</x:f>
        <x:v>63.94</x:v>
      </x:c>
      <x:c r="AN28" s="52" t="n">
        <x:f>IF(ISNUMBER(AC28),AC28,"")</x:f>
        <x:v>5.17</x:v>
      </x:c>
      <x:c r="AO28" s="52" t="n">
        <x:f>IF(COUNT(AG28,AH28)=0,"",ROUND((IF(ISNUMBER(AG28),AG28*'Sheet1-指标体系'!$G$10*'Sheet1-指标体系'!$J$8,0)+IF(ISNUMBER(AH28),AH28*'Sheet1-指标体系'!$G$10*'Sheet1-指标体系'!$J$9,0))/(IF(ISNUMBER(AG28),'Sheet1-指标体系'!$G$10*'Sheet1-指标体系'!$J$8,0)+IF(ISNUMBER(AH28),'Sheet1-指标体系'!$G$10*'Sheet1-指标体系'!$J$9,0)),2))</x:f>
        <x:v>13.76</x:v>
      </x:c>
      <x:c r="AP28" s="52" t="n">
        <x:f>IF(ISNUMBER(AK28),AK28,"")</x:f>
        <x:v>80</x:v>
      </x:c>
      <x:c r="AQ28" s="27" t="n">
        <x:f>IF(G28&lt;&gt;"入池",0,IF(ISNUMBER(I28),'Sheet1-指标体系'!$G$4,0)+IF(ISNUMBER(K28),'Sheet1-指标体系'!$G$5,0)+IF(ISNUMBER(L28),'Sheet1-指标体系'!$G$6,0)+IF(ISNUMBER(Q28),'Sheet1-指标体系'!$G$7*'Sheet1-指标体系'!$J$8,0)+IF(ISNUMBER(R28),'Sheet1-指标体系'!$G$7*'Sheet1-指标体系'!$J$9,0)+IF(ISNUMBER(W28),'Sheet1-指标体系'!$G$8*'Sheet1-指标体系'!$J$8,0)+IF(ISNUMBER(X28),'Sheet1-指标体系'!$G$8*'Sheet1-指标体系'!$J$9,0)+IF(ISNUMBER(AC28),'Sheet1-指标体系'!$G$9,0)+IF(ISNUMBER(AG28),'Sheet1-指标体系'!$G$10*'Sheet1-指标体系'!$J$8,0)+IF(ISNUMBER(AH28),'Sheet1-指标体系'!$G$10*'Sheet1-指标体系'!$J$9,0)+IF(ISNUMBER(AK28),'Sheet1-指标体系'!$G$11,0))</x:f>
        <x:v>1</x:v>
      </x:c>
      <x:c r="AR28" s="52" t="n">
        <x:f>IF(AQ28=0,"",IF(ISNUMBER(I28),I28*'Sheet1-指标体系'!$G$4,0)+IF(ISNUMBER(K28),K28*'Sheet1-指标体系'!$G$5,0)+IF(ISNUMBER(L28),L28*'Sheet1-指标体系'!$G$6,0)+IF(ISNUMBER(Q28),Q28*'Sheet1-指标体系'!$G$7*'Sheet1-指标体系'!$J$8,0)+IF(ISNUMBER(R28),R28*'Sheet1-指标体系'!$G$7*'Sheet1-指标体系'!$J$9,0)+IF(ISNUMBER(W28),W28*'Sheet1-指标体系'!$G$8*'Sheet1-指标体系'!$J$8,0)+IF(ISNUMBER(X28),X28*'Sheet1-指标体系'!$G$8*'Sheet1-指标体系'!$J$9,0)+IF(ISNUMBER(AC28),AC28*'Sheet1-指标体系'!$G$9,0)+IF(ISNUMBER(AG28),AG28*'Sheet1-指标体系'!$G$10*'Sheet1-指标体系'!$J$8,0)+IF(ISNUMBER(AH28),AH28*'Sheet1-指标体系'!$G$10*'Sheet1-指标体系'!$J$9,0)+IF(ISNUMBER(AK28),AK28*'Sheet1-指标体系'!$G$11,0))</x:f>
        <x:v>38.80876</x:v>
      </x:c>
      <x:c r="AS28" s="52" t="n">
        <x:f>IF(AQ28=0,"",ROUND(AR28/AQ28,2))</x:f>
        <x:v>38.81</x:v>
      </x:c>
      <x:c r="AT28" s="49" t="n">
        <x:f>IF(OR(G28&lt;&gt;"入池",NOT(ISNUMBER(AS28))),"",COUNTIFS($G$17:$G$99,"入池",$AS$17:$AS$99,"&gt;"&amp;AS28)+COUNTIFS($G$17:$G$99,"入池",$AS$17:$AS$99,AS28,$AQ$17:$AQ$99,"&gt;"&amp;AQ28)+COUNTIFS($G$17:G28,"入池",$AS$17:AS28,AS28,$AQ$17:AQ28,AQ28))</x:f>
        <x:v>74</x:v>
      </x:c>
      <x:c r="AU28" s="53" t="str">
        <x:f>IF(NOT(ISNUMBER(I28)),"管理人规模；","")&amp;IF(NOT(ISNUMBER(K28)),"产品规模标识；","")&amp;IF(NOT(ISNUMBER(M28)),"近一年收益；","")&amp;IF(NOT(ISNUMBER(T28)),"近一年胜率；","")&amp;IF(NOT(ISNUMBER(N28)),"近三年收益；","")&amp;IF(NOT(ISNUMBER(U28)),"近三年胜率；","")&amp;IF(NOT(ISNUMBER(AA28)),"近三年回撤；","")&amp;IF(NOT(ISNUMBER(AD28)),"近一年卡玛；","")&amp;IF(ISNUMBER(F28),IF(AND(F28&lt;'Sheet1-指标体系'!$J$16,NOT(ISNUMBER(O28))),"成立以来年化；",""),"成立日期；")&amp;IF(ISNUMBER(V28),IF(OR(V28&lt;0,V28&gt;1),"胜率窗口口径不一致；",""),"")&amp;IF(ISNUMBER(P28),IF(NOT(ISNUMBER(AE28)),"DD_long不可识别；",""),"")</x:f>
      </x:c>
      <x:c r="AV28" s="52" t="n">
        <x:f>IF(ROUND(AQ28,10)=ROUND('Sheet1-指标体系'!$J$25,10),AR28,"")</x:f>
        <x:v>38.80876</x:v>
      </x:c>
      <x:c r="AW28" s="14" t="str">
        <x:f>IF(G28&lt;&gt;"入池",G28,IF(AQ28=0,"无有效评分数据",IF(ROUND(AQ28,10)=ROUND('Sheet1-指标体系'!$J$25,10),"完整赋分", "暂定分／数据不完整")))</x:f>
        <x:v>完整赋分</x:v>
      </x:c>
      <x:c r="AX28" s="45" t="str">
        <x:f>IF('Sheet4-原始数据'!C13="","",'Sheet4-原始数据'!C13)</x:f>
        <x:v>期权策略</x:v>
      </x:c>
      <x:c r="AY28" s="45" t="str">
        <x:f>IF('Sheet4-原始数据'!D13="","",'Sheet4-原始数据'!D13)</x:f>
        <x:v>场内期权</x:v>
      </x:c>
      <x:c r="AZ28" s="45" t="str">
        <x:f>IF('Sheet5-查询核对'!S13="","",'Sheet5-查询核对'!S13)</x:f>
        <x:v>期权策略</x:v>
      </x:c>
      <x:c r="BA28" s="51" t="n">
        <x:f>IF('Sheet5-查询核对'!A13="","",'Sheet5-查询核对'!A13)</x:f>
        <x:v>13</x:v>
      </x:c>
      <x:c r="BB28" s="45" t="str">
        <x:f>IF('Sheet5-查询核对'!F13="","",'Sheet5-查询核对'!F13)</x:f>
        <x:v>备案号匹配</x:v>
      </x:c>
      <x:c r="BC28" s="50" t="str">
        <x:f>IF('Sheet5-查询核对'!I13="","",'Sheet5-查询核对'!I13)</x:f>
        <x:v>https://mp.fof99.com/fund/view/fbf1de225e3e65af</x:v>
      </x:c>
      <x:c r="BD28" s="46" t="n">
        <x:f>IF('Sheet5-查询核对'!H13="","",'Sheet5-查询核对'!H13)</x:f>
        <x:v>46269</x:v>
      </x:c>
      <x:c r="BE28" s="50" t="str">
        <x:f>IF('Sheet5-查询核对'!L13="","",'Sheet5-查询核对'!L13)</x:f>
        <x:v>https://mp.fof99.com/fund/view/fbf1de225e3e65af</x:v>
      </x:c>
      <x:c r="BF28" s="46" t="n">
        <x:f>IF('Sheet5-查询核对'!M13="","",'Sheet5-查询核对'!M13)</x:f>
        <x:v>46275</x:v>
      </x:c>
      <x:c r="BG28" s="50" t="str">
        <x:f>IF('Sheet5-查询核对'!O13="","",'Sheet5-查询核对'!O13)</x:f>
        <x:v>https://gs.amac.org.cn/amac-infodisc/res/pof/fund/1906251702101405.html</x:v>
      </x:c>
      <x:c r="BH28" s="46" t="n">
        <x:f>IF('Sheet5-查询核对'!P13="","",'Sheet5-查询核对'!P13)</x:f>
        <x:v>46275</x:v>
      </x:c>
      <x:c r="BI28" s="45" t="str">
        <x:f>IF('Sheet5-查询核对'!D13="","",'Sheet5-查询核对'!D13)</x:f>
        <x:v>SGR366</x:v>
      </x:c>
      <x:c r="BJ28" t="n">
        <x:f>IF(ISNUMBER(AT28),AT28,COUNT($AT$17:$AT$99)+ROWS($AT$17:AT28)-COUNT($AT$17:AT28))</x:f>
        <x:v>74</x:v>
      </x:c>
    </x:row>
    <x:row r="29" ht="44" customHeight="1">
      <x:c r="A29" s="49" t="n">
        <x:f>'Sheet5-查询核对'!A14-1</x:f>
        <x:v>13</x:v>
      </x:c>
      <x:c r="B29" s="50" t="str">
        <x:f>IF('Sheet4-原始数据'!A14="",'Sheet5-查询核对'!B14,'Sheet4-原始数据'!A14)</x:f>
        <x:v>东方富银命运1号</x:v>
      </x:c>
      <x:c r="C29" s="45" t="str">
        <x:f>IF('Sheet4-原始数据'!B14="","",'Sheet4-原始数据'!B14)</x:f>
        <x:v>SEG244</x:v>
      </x:c>
      <x:c r="D29" s="45" t="str">
        <x:f>IF('Sheet4-原始数据'!E14="","",'Sheet4-原始数据'!E14)</x:f>
        <x:v>深圳东方富银投资</x:v>
      </x:c>
      <x:c r="E29" s="46" t="n">
        <x:f>IF('Sheet4-原始数据'!F14="","",'Sheet4-原始数据'!F14)</x:f>
        <x:v>43334</x:v>
      </x:c>
      <x:c r="F29" s="52" t="n">
        <x:f>IF(ISNUMBER(E29),ROUND(('Sheet1-指标体系'!$J$12-E29)/'Sheet1-指标体系'!$J$14,4),"")</x:f>
        <x:v>8.052</x:v>
      </x:c>
      <x:c r="G29" s="14" t="str">
        <x:f>IF(C29="","未匹配",IF(NOT(ISNUMBER(F29)),"缺成立日期",IF(F29&lt;'Sheet1-指标体系'!$J$15,"不入池","入池")))</x:f>
        <x:v>入池</x:v>
      </x:c>
      <x:c r="H29" s="45" t="str">
        <x:f>IF('Sheet5-查询核对'!K14="","",'Sheet5-查询核对'!K14)</x:f>
        <x:v>0-5亿元</x:v>
      </x:c>
      <x:c r="I29" s="52" t="n">
        <x:f>IF(H29="","",IF(COUNTIF('Sheet1-指标体系'!$P$4:$P$10,H29)=0,"",INDEX('Sheet1-指标体系'!$Q$4:$Q$10,MATCH(H29,'Sheet1-指标体系'!$P$4:$P$10,0))))</x:f>
        <x:v>60</x:v>
      </x:c>
      <x:c r="J29" s="54" t="str">
        <x:f>IF(NOT(ISNUMBER('Sheet5-查询核对'!N14)),"",IF('Sheet5-查询核对'!N14=1,"低于"&amp;'Sheet1-指标体系'!$J$4&amp;"万元",IF('Sheet5-查询核对'!N14=0,"无低于"&amp;'Sheet1-指标体系'!$J$4&amp;"万元标识","")))</x:f>
        <x:v>无低于1000万元标识</x:v>
      </x:c>
      <x:c r="K29" s="52" t="n">
        <x:f>IF(NOT(ISNUMBER('Sheet5-查询核对'!N14)),"",IF('Sheet5-查询核对'!N14=1,'Sheet1-指标体系'!$J$21,IF('Sheet5-查询核对'!N14=0,'Sheet1-指标体系'!$J$18,"")))</x:f>
        <x:v>100</x:v>
      </x:c>
      <x:c r="L29" s="52" t="n">
        <x:f>IF(NOT(ISNUMBER(F29)),"",IF(F29&lt;'Sheet1-指标体系'!$J$15,"",IF(F29&lt;'Sheet1-指标体系'!$J$16,'Sheet1-指标体系'!$J$17,'Sheet1-指标体系'!$J$18)))</x:f>
        <x:v>100</x:v>
      </x:c>
      <x:c r="M29" s="47" t="n">
        <x:f>IF(ISNUMBER('Sheet4-原始数据'!G14),'Sheet4-原始数据'!G14,"")</x:f>
        <x:v>0.059699999999999996</x:v>
      </x:c>
      <x:c r="N29" s="47" t="n">
        <x:f>IF(ISNUMBER('Sheet4-原始数据'!H14),'Sheet4-原始数据'!H14,"")</x:f>
        <x:v>0.0824</x:v>
      </x:c>
      <x:c r="O29" s="47" t="n">
        <x:f>IF(ISNUMBER('Sheet5-查询核对'!Q14),'Sheet5-查询核对'!Q14,"")</x:f>
        <x:v>0.071</x:v>
      </x:c>
      <x:c r="P29" s="44" t="n">
        <x:f>IF($G29&lt;&gt;"入池","",IF($F29&gt;='Sheet1-指标体系'!$J$16,IF(COUNT(M29,N29)&lt;&gt;2,"",IF(OR(1+M29&lt;=0,1+N29&lt;0),"",((1+N29)^'Sheet1-指标体系'!$J$16/(1+M29))^(1/('Sheet1-指标体系'!$J$16-'Sheet1-指标体系'!$J$15))-1)),IF(COUNT(M29,O29)&lt;&gt;2,"",IF(OR(F29&lt;='Sheet1-指标体系'!$J$15,1+M29&lt;=0,1+O29&lt;0),"",((1+O29)^F29/(1+M29))^(1/(F29-'Sheet1-指标体系'!$J$15))-1))))</x:f>
        <x:v>0.09393170175653798</x:v>
      </x:c>
      <x:c r="Q29" s="52" t="n">
        <x:f>IF(OR($G29&lt;&gt;"入池",NOT(ISNUMBER(M29))),"",IF(COUNTIFS($G$17:$G$99,"入池",$M$17:$M$99,"&gt;=-1E+307",$M$17:$M$99,"&lt;=1E+307")&lt;=1,'Sheet1-指标体系'!$J$18,ROUND('Sheet1-指标体系'!$J$18*(COUNTIFS($G$17:$G$99,"入池",$M$17:$M$99,"&gt;=-1E+307",$M$17:$M$99,"&lt;"&amp;M29)+COUNTIFS($G$17:$G$99,"入池",$M$17:$M$99,"&gt;=-1E+307",$M$17:$M$99,"&lt;=1E+307",$M$17:$M$99,M29)/2-0.5)/(COUNTIFS($G$17:$G$99,"入池",$M$17:$M$99,"&gt;=-1E+307",$M$17:$M$99,"&lt;=1E+307")-1),2)))</x:f>
        <x:v>26.79</x:v>
      </x:c>
      <x:c r="R29" s="52" t="n">
        <x:f>IF(OR($G29&lt;&gt;"入池",NOT(ISNUMBER(P29))),"",IF(COUNTIFS($G$17:$G$99,"入池",$P$17:$P$99,"&gt;=-1E+307",$P$17:$P$99,"&lt;=1E+307")&lt;=1,'Sheet1-指标体系'!$J$18,ROUND('Sheet1-指标体系'!$J$18*(COUNTIFS($G$17:$G$99,"入池",$P$17:$P$99,"&gt;=-1E+307",$P$17:$P$99,"&lt;"&amp;P29)+COUNTIFS($G$17:$G$99,"入池",$P$17:$P$99,"&gt;=-1E+307",$P$17:$P$99,"&lt;=1E+307",$P$17:$P$99,P29)/2-0.5)/(COUNTIFS($G$17:$G$99,"入池",$P$17:$P$99,"&gt;=-1E+307",$P$17:$P$99,"&lt;=1E+307")-1),2)))</x:f>
        <x:v>68.52</x:v>
      </x:c>
      <x:c r="S29" s="52" t="n">
        <x:f>IF(COUNT(Q29,R29)=0,"",ROUND((IF(ISNUMBER(Q29),Q29*'Sheet1-指标体系'!$G$7*'Sheet1-指标体系'!$J$8,0)+IF(ISNUMBER(R29),R29*'Sheet1-指标体系'!$G$7*'Sheet1-指标体系'!$J$9,0))/(IF(ISNUMBER(Q29),'Sheet1-指标体系'!$G$7*'Sheet1-指标体系'!$J$8,0)+IF(ISNUMBER(R29),'Sheet1-指标体系'!$G$7*'Sheet1-指标体系'!$J$9,0)),2))</x:f>
        <x:v>43.48</x:v>
      </x:c>
      <x:c r="T29" s="47" t="n">
        <x:f>IF(ISNUMBER('Sheet4-原始数据'!J14),'Sheet4-原始数据'!J14,"")</x:f>
        <x:v>0.8462000000000001</x:v>
      </x:c>
      <x:c r="U29" s="47" t="n">
        <x:f>IF(ISNUMBER('Sheet4-原始数据'!I14),'Sheet4-原始数据'!I14,"")</x:f>
        <x:v>0.7568</x:v>
      </x:c>
      <x:c r="V29" s="44" t="n">
        <x:f>IF(COUNT(T29:U29)&lt;&gt;2,"",(U29*'Sheet1-指标体系'!$J$6-T29*'Sheet1-指标体系'!$J$5)/'Sheet1-指标体系'!$J$7)</x:f>
        <x:v>0.7083749999999999</x:v>
      </x:c>
      <x:c r="W29" s="52" t="n">
        <x:f>IF(NOT(ISNUMBER(T29)),"",T29*'Sheet1-指标体系'!$J$18)</x:f>
        <x:v>84.62</x:v>
      </x:c>
      <x:c r="X29" s="52" t="n">
        <x:f>IF(G29&lt;&gt;"入池","",IF(ISNUMBER(V29),IF(AND(V29&gt;=0,V29&lt;=1),V29*'Sheet1-指标体系'!$J$18,IF(MAX(0,(F29-'Sheet1-指标体系'!$J$15)*'Sheet1-指标体系'!$J$20)&lt;'Sheet1-指标体系'!$J$19,'Sheet1-指标体系'!$J$18,"")),IF(MAX(0,(F29-'Sheet1-指标体系'!$J$15)*'Sheet1-指标体系'!$J$20)&lt;'Sheet1-指标体系'!$J$19,'Sheet1-指标体系'!$J$18,"")))</x:f>
        <x:v>70.83749999999999</x:v>
      </x:c>
      <x:c r="Y29" s="52" t="n">
        <x:f>IF(NOT(ISNUMBER(W29)),"",IF(COUNT(W29,X29)=0,"",ROUND((IF(ISNUMBER(W29),W29*'Sheet1-指标体系'!$G$8*'Sheet1-指标体系'!$J$8,0)+IF(ISNUMBER(X29),X29*'Sheet1-指标体系'!$G$8*'Sheet1-指标体系'!$J$9,0))/(IF(ISNUMBER(W29),'Sheet1-指标体系'!$G$8*'Sheet1-指标体系'!$J$8,0)+IF(ISNUMBER(X29),'Sheet1-指标体系'!$G$8*'Sheet1-指标体系'!$J$9,0)),2)))</x:f>
        <x:v>79.11</x:v>
      </x:c>
      <x:c r="Z29" s="44" t="n">
        <x:f>IF(COUNT(M29,AD29)&lt;&gt;2,"",IF(AD29=0,"",ABS(M29/AD29)))</x:f>
        <x:v>0.007509811814430914</x:v>
      </x:c>
      <x:c r="AA29" s="47" t="n">
        <x:f>IF(ISNUMBER('Sheet4-原始数据'!K14),'Sheet4-原始数据'!K14,"")</x:f>
        <x:v>0.034300000000000004</x:v>
      </x:c>
      <x:c r="AB29" s="44" t="n">
        <x:f>IF(COUNT(Z29:AA29)=0,"",MAX(Z29:AA29))</x:f>
        <x:v>0.034300000000000004</x:v>
      </x:c>
      <x:c r="AC29" s="52" t="n">
        <x:f>IF(OR($G29&lt;&gt;"入池",NOT(ISNUMBER(AB29))),"",IF(COUNTIFS($G$17:$G$99,"入池",$AB$17:$AB$99,"&gt;=-1E+307",$AB$17:$AB$99,"&lt;=1E+307")&lt;=1,'Sheet1-指标体系'!$J$18,ROUND('Sheet1-指标体系'!$J$18*(COUNTIFS($G$17:$G$99,"入池",$AB$17:$AB$99,"&lt;=1E+307",$AB$17:$AB$99,"&gt;"&amp;AB29)+COUNTIFS($G$17:$G$99,"入池",$AB$17:$AB$99,"&gt;=-1E+307",$AB$17:$AB$99,"&lt;=1E+307",$AB$17:$AB$99,AB29)/2-0.5)/(COUNTIFS($G$17:$G$99,"入池",$AB$17:$AB$99,"&gt;=-1E+307",$AB$17:$AB$99,"&lt;=1E+307")-1),2)))</x:f>
        <x:v>36.21</x:v>
      </x:c>
      <x:c r="AD29" s="48" t="n">
        <x:f>IF(ISNUMBER('Sheet4-原始数据'!M14),'Sheet4-原始数据'!M14,"")</x:f>
        <x:v>7.9496</x:v>
      </x:c>
      <x:c r="AE29" s="44" t="n">
        <x:f>IF(COUNT(P29,AA29,Z29)&lt;&gt;3,"",IF(AA29&gt;Z29+'Sheet1-指标体系'!$J$11,AA29,""))</x:f>
        <x:v>0.034300000000000004</x:v>
      </x:c>
      <x:c r="AF29" s="52" t="n">
        <x:f>IF(COUNT(P29,AE29)&lt;&gt;2,"",IF(AE29=0,"",P29/AE29))</x:f>
        <x:v>2.7385335789078122</x:v>
      </x:c>
      <x:c r="AG29" s="52" t="n">
        <x:f>IF(OR($G29&lt;&gt;"入池",NOT(ISNUMBER(AD29))),"",IF(COUNTIFS($G$17:$G$99,"入池",$AD$17:$AD$99,"&gt;=-1E+307",$AD$17:$AD$99,"&lt;=1E+307")&lt;=1,'Sheet1-指标体系'!$J$18,ROUND('Sheet1-指标体系'!$J$18*(COUNTIFS($G$17:$G$99,"入池",$AD$17:$AD$99,"&gt;=-1E+307",$AD$17:$AD$99,"&lt;"&amp;AD29)+COUNTIFS($G$17:$G$99,"入池",$AD$17:$AD$99,"&gt;=-1E+307",$AD$17:$AD$99,"&lt;=1E+307",$AD$17:$AD$99,AD29)/2-0.5)/(COUNTIFS($G$17:$G$99,"入池",$AD$17:$AD$99,"&gt;=-1E+307",$AD$17:$AD$99,"&lt;=1E+307")-1),2)))</x:f>
        <x:v>50.91</x:v>
      </x:c>
      <x:c r="AH29" s="52" t="n">
        <x:f>IF(OR($G29&lt;&gt;"入池",NOT(ISNUMBER(AF29))),"",IF(COUNTIFS($G$17:$G$99,"入池",$AF$17:$AF$99,"&gt;=-1E+307",$AF$17:$AF$99,"&lt;=1E+307")&lt;=1,'Sheet1-指标体系'!$J$18,ROUND('Sheet1-指标体系'!$J$18*(COUNTIFS($G$17:$G$99,"入池",$AF$17:$AF$99,"&gt;=-1E+307",$AF$17:$AF$99,"&lt;"&amp;AF29)+COUNTIFS($G$17:$G$99,"入池",$AF$17:$AF$99,"&gt;=-1E+307",$AF$17:$AF$99,"&lt;=1E+307",$AF$17:$AF$99,AF29)/2-0.5)/(COUNTIFS($G$17:$G$99,"入池",$AF$17:$AF$99,"&gt;=-1E+307",$AF$17:$AF$99,"&lt;=1E+307")-1),2)))</x:f>
        <x:v>50</x:v>
      </x:c>
      <x:c r="AI29" s="52" t="n">
        <x:f>IF(COUNT(AG29,AH29)=0,"",ROUND((IF(ISNUMBER(AG29),AG29*'Sheet1-指标体系'!$G$10*'Sheet1-指标体系'!$J$8,0)+IF(ISNUMBER(AH29),AH29*'Sheet1-指标体系'!$G$10*'Sheet1-指标体系'!$J$9,0))/(IF(ISNUMBER(AG29),'Sheet1-指标体系'!$G$10*'Sheet1-指标体系'!$J$8,0)+IF(ISNUMBER(AH29),'Sheet1-指标体系'!$G$10*'Sheet1-指标体系'!$J$9,0)),2))</x:f>
        <x:v>50.55</x:v>
      </x:c>
      <x:c r="AJ29" s="44" t="n">
        <x:f>IF(NOT(ISNUMBER(F29)),"",IF(F29&gt;='Sheet1-指标体系'!$J$16,IF(ISNUMBER(N29),N29,""),IF(ISNUMBER(O29),O29,"")))</x:f>
        <x:v>0.0824</x:v>
      </x:c>
      <x:c r="AK29" s="52" t="n">
        <x:f>IF(OR(G29&lt;&gt;"入池",COUNT(M29,AJ29)&lt;&gt;2),"",IF(M29&gt;=AJ29,'Sheet1-指标体系'!$J$18,IF(AJ29-M29&lt;'Sheet1-指标体系'!$J$10,'Sheet1-指标体系'!$J$22,'Sheet1-指标体系'!$J$23)))</x:f>
        <x:v>80</x:v>
      </x:c>
      <x:c r="AL29" s="52" t="n">
        <x:f>IF(COUNT(I29,K29,L29)=0,"",ROUND((IF(ISNUMBER(I29),I29*'Sheet1-指标体系'!$G$4,0)+IF(ISNUMBER(K29),K29*'Sheet1-指标体系'!$G$5,0)+IF(ISNUMBER(L29),L29*'Sheet1-指标体系'!$G$6,0))/(IF(ISNUMBER(I29),'Sheet1-指标体系'!$G$4,0)+IF(ISNUMBER(K29),'Sheet1-指标体系'!$G$5,0)+IF(ISNUMBER(L29),'Sheet1-指标体系'!$G$6,0)),2))</x:f>
        <x:v>84</x:v>
      </x:c>
      <x:c r="AM29" s="52" t="n">
        <x:f>IF(COUNT(Q29,R29,W29,X29)=0,"",ROUND((IF(ISNUMBER(Q29),Q29*'Sheet1-指标体系'!$G$7*'Sheet1-指标体系'!$J$8,0)+IF(ISNUMBER(R29),R29*'Sheet1-指标体系'!$G$7*'Sheet1-指标体系'!$J$9,0)+IF(ISNUMBER(W29),W29*'Sheet1-指标体系'!$G$8*'Sheet1-指标体系'!$J$8,0)+IF(ISNUMBER(X29),X29*'Sheet1-指标体系'!$G$8*'Sheet1-指标体系'!$J$9,0))/(IF(ISNUMBER(Q29),'Sheet1-指标体系'!$G$7*'Sheet1-指标体系'!$J$8,0)+IF(ISNUMBER(R29),'Sheet1-指标体系'!$G$7*'Sheet1-指标体系'!$J$9,0)+IF(ISNUMBER(W29),'Sheet1-指标体系'!$G$8*'Sheet1-指标体系'!$J$8,0)+IF(ISNUMBER(X29),'Sheet1-指标体系'!$G$8*'Sheet1-指标体系'!$J$9,0)),2))</x:f>
        <x:v>54.17</x:v>
      </x:c>
      <x:c r="AN29" s="52" t="n">
        <x:f>IF(ISNUMBER(AC29),AC29,"")</x:f>
        <x:v>36.21</x:v>
      </x:c>
      <x:c r="AO29" s="52" t="n">
        <x:f>IF(COUNT(AG29,AH29)=0,"",ROUND((IF(ISNUMBER(AG29),AG29*'Sheet1-指标体系'!$G$10*'Sheet1-指标体系'!$J$8,0)+IF(ISNUMBER(AH29),AH29*'Sheet1-指标体系'!$G$10*'Sheet1-指标体系'!$J$9,0))/(IF(ISNUMBER(AG29),'Sheet1-指标体系'!$G$10*'Sheet1-指标体系'!$J$8,0)+IF(ISNUMBER(AH29),'Sheet1-指标体系'!$G$10*'Sheet1-指标体系'!$J$9,0)),2))</x:f>
        <x:v>50.55</x:v>
      </x:c>
      <x:c r="AP29" s="52" t="n">
        <x:f>IF(ISNUMBER(AK29),AK29,"")</x:f>
        <x:v>80</x:v>
      </x:c>
      <x:c r="AQ29" s="27" t="n">
        <x:f>IF(G29&lt;&gt;"入池",0,IF(ISNUMBER(I29),'Sheet1-指标体系'!$G$4,0)+IF(ISNUMBER(K29),'Sheet1-指标体系'!$G$5,0)+IF(ISNUMBER(L29),'Sheet1-指标体系'!$G$6,0)+IF(ISNUMBER(Q29),'Sheet1-指标体系'!$G$7*'Sheet1-指标体系'!$J$8,0)+IF(ISNUMBER(R29),'Sheet1-指标体系'!$G$7*'Sheet1-指标体系'!$J$9,0)+IF(ISNUMBER(W29),'Sheet1-指标体系'!$G$8*'Sheet1-指标体系'!$J$8,0)+IF(ISNUMBER(X29),'Sheet1-指标体系'!$G$8*'Sheet1-指标体系'!$J$9,0)+IF(ISNUMBER(AC29),'Sheet1-指标体系'!$G$9,0)+IF(ISNUMBER(AG29),'Sheet1-指标体系'!$G$10*'Sheet1-指标体系'!$J$8,0)+IF(ISNUMBER(AH29),'Sheet1-指标体系'!$G$10*'Sheet1-指标体系'!$J$9,0)+IF(ISNUMBER(AK29),'Sheet1-指标体系'!$G$11,0))</x:f>
        <x:v>1</x:v>
      </x:c>
      <x:c r="AR29" s="52" t="n">
        <x:f>IF(AQ29=0,"",IF(ISNUMBER(I29),I29*'Sheet1-指标体系'!$G$4,0)+IF(ISNUMBER(K29),K29*'Sheet1-指标体系'!$G$5,0)+IF(ISNUMBER(L29),L29*'Sheet1-指标体系'!$G$6,0)+IF(ISNUMBER(Q29),Q29*'Sheet1-指标体系'!$G$7*'Sheet1-指标体系'!$J$8,0)+IF(ISNUMBER(R29),R29*'Sheet1-指标体系'!$G$7*'Sheet1-指标体系'!$J$9,0)+IF(ISNUMBER(W29),W29*'Sheet1-指标体系'!$G$8*'Sheet1-指标体系'!$J$8,0)+IF(ISNUMBER(X29),X29*'Sheet1-指标体系'!$G$8*'Sheet1-指标体系'!$J$9,0)+IF(ISNUMBER(AC29),AC29*'Sheet1-指标体系'!$G$9,0)+IF(ISNUMBER(AG29),AG29*'Sheet1-指标体系'!$G$10*'Sheet1-指标体系'!$J$8,0)+IF(ISNUMBER(AH29),AH29*'Sheet1-指标体系'!$G$10*'Sheet1-指标体系'!$J$9,0)+IF(ISNUMBER(AK29),AK29*'Sheet1-指标体系'!$G$11,0))</x:f>
        <x:v>55.6502</x:v>
      </x:c>
      <x:c r="AS29" s="52" t="n">
        <x:f>IF(AQ29=0,"",ROUND(AR29/AQ29,2))</x:f>
        <x:v>55.65</x:v>
      </x:c>
      <x:c r="AT29" s="49" t="n">
        <x:f>IF(OR(G29&lt;&gt;"入池",NOT(ISNUMBER(AS29))),"",COUNTIFS($G$17:$G$99,"入池",$AS$17:$AS$99,"&gt;"&amp;AS29)+COUNTIFS($G$17:$G$99,"入池",$AS$17:$AS$99,AS29,$AQ$17:$AQ$99,"&gt;"&amp;AQ29)+COUNTIFS($G$17:G29,"入池",$AS$17:AS29,AS29,$AQ$17:AQ29,AQ29))</x:f>
        <x:v>56</x:v>
      </x:c>
      <x:c r="AU29" s="53" t="str">
        <x:f>IF(NOT(ISNUMBER(I29)),"管理人规模；","")&amp;IF(NOT(ISNUMBER(K29)),"产品规模标识；","")&amp;IF(NOT(ISNUMBER(M29)),"近一年收益；","")&amp;IF(NOT(ISNUMBER(T29)),"近一年胜率；","")&amp;IF(NOT(ISNUMBER(N29)),"近三年收益；","")&amp;IF(NOT(ISNUMBER(U29)),"近三年胜率；","")&amp;IF(NOT(ISNUMBER(AA29)),"近三年回撤；","")&amp;IF(NOT(ISNUMBER(AD29)),"近一年卡玛；","")&amp;IF(ISNUMBER(F29),IF(AND(F29&lt;'Sheet1-指标体系'!$J$16,NOT(ISNUMBER(O29))),"成立以来年化；",""),"成立日期；")&amp;IF(ISNUMBER(V29),IF(OR(V29&lt;0,V29&gt;1),"胜率窗口口径不一致；",""),"")&amp;IF(ISNUMBER(P29),IF(NOT(ISNUMBER(AE29)),"DD_long不可识别；",""),"")</x:f>
      </x:c>
      <x:c r="AV29" s="52" t="n">
        <x:f>IF(ROUND(AQ29,10)=ROUND('Sheet1-指标体系'!$J$25,10),AR29,"")</x:f>
        <x:v>55.6502</x:v>
      </x:c>
      <x:c r="AW29" s="14" t="str">
        <x:f>IF(G29&lt;&gt;"入池",G29,IF(AQ29=0,"无有效评分数据",IF(ROUND(AQ29,10)=ROUND('Sheet1-指标体系'!$J$25,10),"完整赋分", "暂定分／数据不完整")))</x:f>
        <x:v>完整赋分</x:v>
      </x:c>
      <x:c r="AX29" s="45" t="str">
        <x:f>IF('Sheet4-原始数据'!C14="","",'Sheet4-原始数据'!C14)</x:f>
        <x:v>套利策略</x:v>
      </x:c>
      <x:c r="AY29" s="45" t="str">
        <x:f>IF('Sheet4-原始数据'!D14="","",'Sheet4-原始数据'!D14)</x:f>
        <x:v>可转债套利</x:v>
      </x:c>
      <x:c r="AZ29" s="45" t="str">
        <x:f>IF('Sheet5-查询核对'!S14="","",'Sheet5-查询核对'!S14)</x:f>
        <x:v>套利策略—可转债套利</x:v>
      </x:c>
      <x:c r="BA29" s="51" t="n">
        <x:f>IF('Sheet5-查询核对'!A14="","",'Sheet5-查询核对'!A14)</x:f>
        <x:v>14</x:v>
      </x:c>
      <x:c r="BB29" s="45" t="str">
        <x:f>IF('Sheet5-查询核对'!F14="","",'Sheet5-查询核对'!F14)</x:f>
        <x:v>备案号匹配</x:v>
      </x:c>
      <x:c r="BC29" s="50" t="str">
        <x:f>IF('Sheet5-查询核对'!I14="","",'Sheet5-查询核对'!I14)</x:f>
        <x:v>https://mp.fof99.com/fund/view/d7eeaf632af20fa7</x:v>
      </x:c>
      <x:c r="BD29" s="46" t="n">
        <x:f>IF('Sheet5-查询核对'!H14="","",'Sheet5-查询核对'!H14)</x:f>
        <x:v>46269</x:v>
      </x:c>
      <x:c r="BE29" s="50" t="str">
        <x:f>IF('Sheet5-查询核对'!L14="","",'Sheet5-查询核对'!L14)</x:f>
        <x:v>https://mp.fof99.com/fund/view/d7eeaf632af20fa7</x:v>
      </x:c>
      <x:c r="BF29" s="46" t="n">
        <x:f>IF('Sheet5-查询核对'!M14="","",'Sheet5-查询核对'!M14)</x:f>
        <x:v>46275</x:v>
      </x:c>
      <x:c r="BG29" s="50" t="str">
        <x:f>IF('Sheet5-查询核对'!O14="","",'Sheet5-查询核对'!O14)</x:f>
        <x:v>https://gs.amac.org.cn/amac-infodisc/res/pof/fund/1809041832107174.html</x:v>
      </x:c>
      <x:c r="BH29" s="46" t="n">
        <x:f>IF('Sheet5-查询核对'!P14="","",'Sheet5-查询核对'!P14)</x:f>
        <x:v>46275</x:v>
      </x:c>
      <x:c r="BI29" s="45" t="str">
        <x:f>IF('Sheet5-查询核对'!D14="","",'Sheet5-查询核对'!D14)</x:f>
        <x:v>SEG244</x:v>
      </x:c>
      <x:c r="BJ29" t="n">
        <x:f>IF(ISNUMBER(AT29),AT29,COUNT($AT$17:$AT$99)+ROWS($AT$17:AT29)-COUNT($AT$17:AT29))</x:f>
        <x:v>56</x:v>
      </x:c>
    </x:row>
    <x:row r="30" ht="44" customHeight="1">
      <x:c r="A30" s="49" t="n">
        <x:f>'Sheet5-查询核对'!A15-1</x:f>
        <x:v>14</x:v>
      </x:c>
      <x:c r="B30" s="50" t="str">
        <x:f>IF('Sheet4-原始数据'!A15="",'Sheet5-查询核对'!B15,'Sheet4-原始数据'!A15)</x:f>
        <x:v>东源投资丰源5号</x:v>
      </x:c>
      <x:c r="C30" s="45" t="str">
        <x:f>IF('Sheet4-原始数据'!B15="","",'Sheet4-原始数据'!B15)</x:f>
        <x:v>SBMG09</x:v>
      </x:c>
      <x:c r="D30" s="45" t="str">
        <x:f>IF('Sheet4-原始数据'!E15="","",'Sheet4-原始数据'!E15)</x:f>
        <x:v>天津东源投资</x:v>
      </x:c>
      <x:c r="E30" s="46" t="n">
        <x:f>IF('Sheet4-原始数据'!F15="","",'Sheet4-原始数据'!F15)</x:f>
        <x:v>46017</x:v>
      </x:c>
      <x:c r="F30" s="52" t="n">
        <x:f>IF(ISNUMBER(E30),ROUND(('Sheet1-指标体系'!$J$12-E30)/'Sheet1-指标体系'!$J$14,4),"")</x:f>
        <x:v>0.7064</x:v>
      </x:c>
      <x:c r="G30" s="14" t="str">
        <x:f>IF(C30="","未匹配",IF(NOT(ISNUMBER(F30)),"缺成立日期",IF(F30&lt;'Sheet1-指标体系'!$J$15,"不入池","入池")))</x:f>
        <x:v>不入池</x:v>
      </x:c>
      <x:c r="H30" s="45" t="str">
        <x:f>IF('Sheet5-查询核对'!K15="","",'Sheet5-查询核对'!K15)</x:f>
        <x:v>20-50亿元</x:v>
      </x:c>
      <x:c r="I30" s="52" t="n">
        <x:f>IF(H30="","",IF(COUNTIF('Sheet1-指标体系'!$P$4:$P$10,H30)=0,"",INDEX('Sheet1-指标体系'!$Q$4:$Q$10,MATCH(H30,'Sheet1-指标体系'!$P$4:$P$10,0))))</x:f>
        <x:v>90</x:v>
      </x:c>
      <x:c r="J30" s="54" t="str">
        <x:f>IF(NOT(ISNUMBER('Sheet5-查询核对'!N15)),"",IF('Sheet5-查询核对'!N15=1,"低于"&amp;'Sheet1-指标体系'!$J$4&amp;"万元",IF('Sheet5-查询核对'!N15=0,"无低于"&amp;'Sheet1-指标体系'!$J$4&amp;"万元标识","")))</x:f>
        <x:v>无低于1000万元标识</x:v>
      </x:c>
      <x:c r="K30" s="52" t="n">
        <x:f>IF(NOT(ISNUMBER('Sheet5-查询核对'!N15)),"",IF('Sheet5-查询核对'!N15=1,'Sheet1-指标体系'!$J$21,IF('Sheet5-查询核对'!N15=0,'Sheet1-指标体系'!$J$18,"")))</x:f>
        <x:v>100</x:v>
      </x:c>
      <x:c r="L30" s="52" t="str">
        <x:f>IF(NOT(ISNUMBER(F30)),"",IF(F30&lt;'Sheet1-指标体系'!$J$15,"",IF(F30&lt;'Sheet1-指标体系'!$J$16,'Sheet1-指标体系'!$J$17,'Sheet1-指标体系'!$J$18)))</x:f>
      </x:c>
      <x:c r="M30" s="47" t="str">
        <x:f>IF(ISNUMBER('Sheet4-原始数据'!G15),'Sheet4-原始数据'!G15,"")</x:f>
      </x:c>
      <x:c r="N30" s="47" t="str">
        <x:f>IF(ISNUMBER('Sheet4-原始数据'!H15),'Sheet4-原始数据'!H15,"")</x:f>
      </x:c>
      <x:c r="O30" s="47" t="str">
        <x:f>IF(ISNUMBER('Sheet5-查询核对'!Q15),'Sheet5-查询核对'!Q15,"")</x:f>
      </x:c>
      <x:c r="P30" s="44" t="str">
        <x:f>IF($G30&lt;&gt;"入池","",IF($F30&gt;='Sheet1-指标体系'!$J$16,IF(COUNT(M30,N30)&lt;&gt;2,"",IF(OR(1+M30&lt;=0,1+N30&lt;0),"",((1+N30)^'Sheet1-指标体系'!$J$16/(1+M30))^(1/('Sheet1-指标体系'!$J$16-'Sheet1-指标体系'!$J$15))-1)),IF(COUNT(M30,O30)&lt;&gt;2,"",IF(OR(F30&lt;='Sheet1-指标体系'!$J$15,1+M30&lt;=0,1+O30&lt;0),"",((1+O30)^F30/(1+M30))^(1/(F30-'Sheet1-指标体系'!$J$15))-1))))</x:f>
      </x:c>
      <x:c r="Q30" s="52" t="str">
        <x:f>IF(OR($G30&lt;&gt;"入池",NOT(ISNUMBER(M30))),"",IF(COUNTIFS($G$17:$G$99,"入池",$M$17:$M$99,"&gt;=-1E+307",$M$17:$M$99,"&lt;=1E+307")&lt;=1,'Sheet1-指标体系'!$J$18,ROUND('Sheet1-指标体系'!$J$18*(COUNTIFS($G$17:$G$99,"入池",$M$17:$M$99,"&gt;=-1E+307",$M$17:$M$99,"&lt;"&amp;M30)+COUNTIFS($G$17:$G$99,"入池",$M$17:$M$99,"&gt;=-1E+307",$M$17:$M$99,"&lt;=1E+307",$M$17:$M$99,M30)/2-0.5)/(COUNTIFS($G$17:$G$99,"入池",$M$17:$M$99,"&gt;=-1E+307",$M$17:$M$99,"&lt;=1E+307")-1),2)))</x:f>
      </x:c>
      <x:c r="R30" s="52" t="str">
        <x:f>IF(OR($G30&lt;&gt;"入池",NOT(ISNUMBER(P30))),"",IF(COUNTIFS($G$17:$G$99,"入池",$P$17:$P$99,"&gt;=-1E+307",$P$17:$P$99,"&lt;=1E+307")&lt;=1,'Sheet1-指标体系'!$J$18,ROUND('Sheet1-指标体系'!$J$18*(COUNTIFS($G$17:$G$99,"入池",$P$17:$P$99,"&gt;=-1E+307",$P$17:$P$99,"&lt;"&amp;P30)+COUNTIFS($G$17:$G$99,"入池",$P$17:$P$99,"&gt;=-1E+307",$P$17:$P$99,"&lt;=1E+307",$P$17:$P$99,P30)/2-0.5)/(COUNTIFS($G$17:$G$99,"入池",$P$17:$P$99,"&gt;=-1E+307",$P$17:$P$99,"&lt;=1E+307")-1),2)))</x:f>
      </x:c>
      <x:c r="S30" s="52" t="str">
        <x:f>IF(COUNT(Q30,R30)=0,"",ROUND((IF(ISNUMBER(Q30),Q30*'Sheet1-指标体系'!$G$7*'Sheet1-指标体系'!$J$8,0)+IF(ISNUMBER(R30),R30*'Sheet1-指标体系'!$G$7*'Sheet1-指标体系'!$J$9,0))/(IF(ISNUMBER(Q30),'Sheet1-指标体系'!$G$7*'Sheet1-指标体系'!$J$8,0)+IF(ISNUMBER(R30),'Sheet1-指标体系'!$G$7*'Sheet1-指标体系'!$J$9,0)),2))</x:f>
      </x:c>
      <x:c r="T30" s="47" t="str">
        <x:f>IF(ISNUMBER('Sheet4-原始数据'!J15),'Sheet4-原始数据'!J15,"")</x:f>
      </x:c>
      <x:c r="U30" s="47" t="str">
        <x:f>IF(ISNUMBER('Sheet4-原始数据'!I15),'Sheet4-原始数据'!I15,"")</x:f>
      </x:c>
      <x:c r="V30" s="44" t="str">
        <x:f>IF(COUNT(T30:U30)&lt;&gt;2,"",(U30*'Sheet1-指标体系'!$J$6-T30*'Sheet1-指标体系'!$J$5)/'Sheet1-指标体系'!$J$7)</x:f>
      </x:c>
      <x:c r="W30" s="52" t="str">
        <x:f>IF(NOT(ISNUMBER(T30)),"",T30*'Sheet1-指标体系'!$J$18)</x:f>
      </x:c>
      <x:c r="X30" s="52" t="str">
        <x:f>IF(G30&lt;&gt;"入池","",IF(ISNUMBER(V30),IF(AND(V30&gt;=0,V30&lt;=1),V30*'Sheet1-指标体系'!$J$18,IF(MAX(0,(F30-'Sheet1-指标体系'!$J$15)*'Sheet1-指标体系'!$J$20)&lt;'Sheet1-指标体系'!$J$19,'Sheet1-指标体系'!$J$18,"")),IF(MAX(0,(F30-'Sheet1-指标体系'!$J$15)*'Sheet1-指标体系'!$J$20)&lt;'Sheet1-指标体系'!$J$19,'Sheet1-指标体系'!$J$18,"")))</x:f>
      </x:c>
      <x:c r="Y30" s="52" t="str">
        <x:f>IF(NOT(ISNUMBER(W30)),"",IF(COUNT(W30,X30)=0,"",ROUND((IF(ISNUMBER(W30),W30*'Sheet1-指标体系'!$G$8*'Sheet1-指标体系'!$J$8,0)+IF(ISNUMBER(X30),X30*'Sheet1-指标体系'!$G$8*'Sheet1-指标体系'!$J$9,0))/(IF(ISNUMBER(W30),'Sheet1-指标体系'!$G$8*'Sheet1-指标体系'!$J$8,0)+IF(ISNUMBER(X30),'Sheet1-指标体系'!$G$8*'Sheet1-指标体系'!$J$9,0)),2)))</x:f>
      </x:c>
      <x:c r="Z30" s="44" t="str">
        <x:f>IF(COUNT(M30,AD30)&lt;&gt;2,"",IF(AD30=0,"",ABS(M30/AD30)))</x:f>
      </x:c>
      <x:c r="AA30" s="47" t="str">
        <x:f>IF(ISNUMBER('Sheet4-原始数据'!K15),'Sheet4-原始数据'!K15,"")</x:f>
      </x:c>
      <x:c r="AB30" s="44" t="str">
        <x:f>IF(COUNT(Z30:AA30)=0,"",MAX(Z30:AA30))</x:f>
      </x:c>
      <x:c r="AC30" s="52" t="str">
        <x:f>IF(OR($G30&lt;&gt;"入池",NOT(ISNUMBER(AB30))),"",IF(COUNTIFS($G$17:$G$99,"入池",$AB$17:$AB$99,"&gt;=-1E+307",$AB$17:$AB$99,"&lt;=1E+307")&lt;=1,'Sheet1-指标体系'!$J$18,ROUND('Sheet1-指标体系'!$J$18*(COUNTIFS($G$17:$G$99,"入池",$AB$17:$AB$99,"&lt;=1E+307",$AB$17:$AB$99,"&gt;"&amp;AB30)+COUNTIFS($G$17:$G$99,"入池",$AB$17:$AB$99,"&gt;=-1E+307",$AB$17:$AB$99,"&lt;=1E+307",$AB$17:$AB$99,AB30)/2-0.5)/(COUNTIFS($G$17:$G$99,"入池",$AB$17:$AB$99,"&gt;=-1E+307",$AB$17:$AB$99,"&lt;=1E+307")-1),2)))</x:f>
      </x:c>
      <x:c r="AD30" s="48" t="str">
        <x:f>IF(ISNUMBER('Sheet4-原始数据'!M15),'Sheet4-原始数据'!M15,"")</x:f>
      </x:c>
      <x:c r="AE30" s="44" t="str">
        <x:f>IF(COUNT(P30,AA30,Z30)&lt;&gt;3,"",IF(AA30&gt;Z30+'Sheet1-指标体系'!$J$11,AA30,""))</x:f>
      </x:c>
      <x:c r="AF30" s="52" t="str">
        <x:f>IF(COUNT(P30,AE30)&lt;&gt;2,"",IF(AE30=0,"",P30/AE30))</x:f>
      </x:c>
      <x:c r="AG30" s="52" t="str">
        <x:f>IF(OR($G30&lt;&gt;"入池",NOT(ISNUMBER(AD30))),"",IF(COUNTIFS($G$17:$G$99,"入池",$AD$17:$AD$99,"&gt;=-1E+307",$AD$17:$AD$99,"&lt;=1E+307")&lt;=1,'Sheet1-指标体系'!$J$18,ROUND('Sheet1-指标体系'!$J$18*(COUNTIFS($G$17:$G$99,"入池",$AD$17:$AD$99,"&gt;=-1E+307",$AD$17:$AD$99,"&lt;"&amp;AD30)+COUNTIFS($G$17:$G$99,"入池",$AD$17:$AD$99,"&gt;=-1E+307",$AD$17:$AD$99,"&lt;=1E+307",$AD$17:$AD$99,AD30)/2-0.5)/(COUNTIFS($G$17:$G$99,"入池",$AD$17:$AD$99,"&gt;=-1E+307",$AD$17:$AD$99,"&lt;=1E+307")-1),2)))</x:f>
      </x:c>
      <x:c r="AH30" s="52" t="str">
        <x:f>IF(OR($G30&lt;&gt;"入池",NOT(ISNUMBER(AF30))),"",IF(COUNTIFS($G$17:$G$99,"入池",$AF$17:$AF$99,"&gt;=-1E+307",$AF$17:$AF$99,"&lt;=1E+307")&lt;=1,'Sheet1-指标体系'!$J$18,ROUND('Sheet1-指标体系'!$J$18*(COUNTIFS($G$17:$G$99,"入池",$AF$17:$AF$99,"&gt;=-1E+307",$AF$17:$AF$99,"&lt;"&amp;AF30)+COUNTIFS($G$17:$G$99,"入池",$AF$17:$AF$99,"&gt;=-1E+307",$AF$17:$AF$99,"&lt;=1E+307",$AF$17:$AF$99,AF30)/2-0.5)/(COUNTIFS($G$17:$G$99,"入池",$AF$17:$AF$99,"&gt;=-1E+307",$AF$17:$AF$99,"&lt;=1E+307")-1),2)))</x:f>
      </x:c>
      <x:c r="AI30" s="52" t="str">
        <x:f>IF(COUNT(AG30,AH30)=0,"",ROUND((IF(ISNUMBER(AG30),AG30*'Sheet1-指标体系'!$G$10*'Sheet1-指标体系'!$J$8,0)+IF(ISNUMBER(AH30),AH30*'Sheet1-指标体系'!$G$10*'Sheet1-指标体系'!$J$9,0))/(IF(ISNUMBER(AG30),'Sheet1-指标体系'!$G$10*'Sheet1-指标体系'!$J$8,0)+IF(ISNUMBER(AH30),'Sheet1-指标体系'!$G$10*'Sheet1-指标体系'!$J$9,0)),2))</x:f>
      </x:c>
      <x:c r="AJ30" s="44" t="str">
        <x:f>IF(NOT(ISNUMBER(F30)),"",IF(F30&gt;='Sheet1-指标体系'!$J$16,IF(ISNUMBER(N30),N30,""),IF(ISNUMBER(O30),O30,"")))</x:f>
      </x:c>
      <x:c r="AK30" s="52" t="str">
        <x:f>IF(OR(G30&lt;&gt;"入池",COUNT(M30,AJ30)&lt;&gt;2),"",IF(M30&gt;=AJ30,'Sheet1-指标体系'!$J$18,IF(AJ30-M30&lt;'Sheet1-指标体系'!$J$10,'Sheet1-指标体系'!$J$22,'Sheet1-指标体系'!$J$23)))</x:f>
      </x:c>
      <x:c r="AL30" s="52" t="n">
        <x:f>IF(COUNT(I30,K30,L30)=0,"",ROUND((IF(ISNUMBER(I30),I30*'Sheet1-指标体系'!$G$4,0)+IF(ISNUMBER(K30),K30*'Sheet1-指标体系'!$G$5,0)+IF(ISNUMBER(L30),L30*'Sheet1-指标体系'!$G$6,0))/(IF(ISNUMBER(I30),'Sheet1-指标体系'!$G$4,0)+IF(ISNUMBER(K30),'Sheet1-指标体系'!$G$5,0)+IF(ISNUMBER(L30),'Sheet1-指标体系'!$G$6,0)),2))</x:f>
        <x:v>94.29</x:v>
      </x:c>
      <x:c r="AM30" s="52" t="str">
        <x:f>IF(COUNT(Q30,R30,W30,X30)=0,"",ROUND((IF(ISNUMBER(Q30),Q30*'Sheet1-指标体系'!$G$7*'Sheet1-指标体系'!$J$8,0)+IF(ISNUMBER(R30),R30*'Sheet1-指标体系'!$G$7*'Sheet1-指标体系'!$J$9,0)+IF(ISNUMBER(W30),W30*'Sheet1-指标体系'!$G$8*'Sheet1-指标体系'!$J$8,0)+IF(ISNUMBER(X30),X30*'Sheet1-指标体系'!$G$8*'Sheet1-指标体系'!$J$9,0))/(IF(ISNUMBER(Q30),'Sheet1-指标体系'!$G$7*'Sheet1-指标体系'!$J$8,0)+IF(ISNUMBER(R30),'Sheet1-指标体系'!$G$7*'Sheet1-指标体系'!$J$9,0)+IF(ISNUMBER(W30),'Sheet1-指标体系'!$G$8*'Sheet1-指标体系'!$J$8,0)+IF(ISNUMBER(X30),'Sheet1-指标体系'!$G$8*'Sheet1-指标体系'!$J$9,0)),2))</x:f>
      </x:c>
      <x:c r="AN30" s="52" t="str">
        <x:f>IF(ISNUMBER(AC30),AC30,"")</x:f>
      </x:c>
      <x:c r="AO30" s="52" t="str">
        <x:f>IF(COUNT(AG30,AH30)=0,"",ROUND((IF(ISNUMBER(AG30),AG30*'Sheet1-指标体系'!$G$10*'Sheet1-指标体系'!$J$8,0)+IF(ISNUMBER(AH30),AH30*'Sheet1-指标体系'!$G$10*'Sheet1-指标体系'!$J$9,0))/(IF(ISNUMBER(AG30),'Sheet1-指标体系'!$G$10*'Sheet1-指标体系'!$J$8,0)+IF(ISNUMBER(AH30),'Sheet1-指标体系'!$G$10*'Sheet1-指标体系'!$J$9,0)),2))</x:f>
      </x:c>
      <x:c r="AP30" s="52" t="str">
        <x:f>IF(ISNUMBER(AK30),AK30,"")</x:f>
      </x:c>
      <x:c r="AQ30" s="27" t="n">
        <x:f>IF(G30&lt;&gt;"入池",0,IF(ISNUMBER(I30),'Sheet1-指标体系'!$G$4,0)+IF(ISNUMBER(K30),'Sheet1-指标体系'!$G$5,0)+IF(ISNUMBER(L30),'Sheet1-指标体系'!$G$6,0)+IF(ISNUMBER(Q30),'Sheet1-指标体系'!$G$7*'Sheet1-指标体系'!$J$8,0)+IF(ISNUMBER(R30),'Sheet1-指标体系'!$G$7*'Sheet1-指标体系'!$J$9,0)+IF(ISNUMBER(W30),'Sheet1-指标体系'!$G$8*'Sheet1-指标体系'!$J$8,0)+IF(ISNUMBER(X30),'Sheet1-指标体系'!$G$8*'Sheet1-指标体系'!$J$9,0)+IF(ISNUMBER(AC30),'Sheet1-指标体系'!$G$9,0)+IF(ISNUMBER(AG30),'Sheet1-指标体系'!$G$10*'Sheet1-指标体系'!$J$8,0)+IF(ISNUMBER(AH30),'Sheet1-指标体系'!$G$10*'Sheet1-指标体系'!$J$9,0)+IF(ISNUMBER(AK30),'Sheet1-指标体系'!$G$11,0))</x:f>
        <x:v>0</x:v>
      </x:c>
      <x:c r="AR30" s="52" t="str">
        <x:f>IF(AQ30=0,"",IF(ISNUMBER(I30),I30*'Sheet1-指标体系'!$G$4,0)+IF(ISNUMBER(K30),K30*'Sheet1-指标体系'!$G$5,0)+IF(ISNUMBER(L30),L30*'Sheet1-指标体系'!$G$6,0)+IF(ISNUMBER(Q30),Q30*'Sheet1-指标体系'!$G$7*'Sheet1-指标体系'!$J$8,0)+IF(ISNUMBER(R30),R30*'Sheet1-指标体系'!$G$7*'Sheet1-指标体系'!$J$9,0)+IF(ISNUMBER(W30),W30*'Sheet1-指标体系'!$G$8*'Sheet1-指标体系'!$J$8,0)+IF(ISNUMBER(X30),X30*'Sheet1-指标体系'!$G$8*'Sheet1-指标体系'!$J$9,0)+IF(ISNUMBER(AC30),AC30*'Sheet1-指标体系'!$G$9,0)+IF(ISNUMBER(AG30),AG30*'Sheet1-指标体系'!$G$10*'Sheet1-指标体系'!$J$8,0)+IF(ISNUMBER(AH30),AH30*'Sheet1-指标体系'!$G$10*'Sheet1-指标体系'!$J$9,0)+IF(ISNUMBER(AK30),AK30*'Sheet1-指标体系'!$G$11,0))</x:f>
      </x:c>
      <x:c r="AS30" s="52" t="str">
        <x:f>IF(AQ30=0,"",ROUND(AR30/AQ30,2))</x:f>
      </x:c>
      <x:c r="AT30" s="49" t="str">
        <x:f>IF(OR(G30&lt;&gt;"入池",NOT(ISNUMBER(AS30))),"",COUNTIFS($G$17:$G$99,"入池",$AS$17:$AS$99,"&gt;"&amp;AS30)+COUNTIFS($G$17:$G$99,"入池",$AS$17:$AS$99,AS30,$AQ$17:$AQ$99,"&gt;"&amp;AQ30)+COUNTIFS($G$17:G30,"入池",$AS$17:AS30,AS30,$AQ$17:AQ30,AQ30))</x:f>
      </x:c>
      <x:c r="AU30" s="53" t="str">
        <x:f>IF(NOT(ISNUMBER(I30)),"管理人规模；","")&amp;IF(NOT(ISNUMBER(K30)),"产品规模标识；","")&amp;IF(NOT(ISNUMBER(M30)),"近一年收益；","")&amp;IF(NOT(ISNUMBER(T30)),"近一年胜率；","")&amp;IF(NOT(ISNUMBER(N30)),"近三年收益；","")&amp;IF(NOT(ISNUMBER(U30)),"近三年胜率；","")&amp;IF(NOT(ISNUMBER(AA30)),"近三年回撤；","")&amp;IF(NOT(ISNUMBER(AD30)),"近一年卡玛；","")&amp;IF(ISNUMBER(F30),IF(AND(F30&lt;'Sheet1-指标体系'!$J$16,NOT(ISNUMBER(O30))),"成立以来年化；",""),"成立日期；")&amp;IF(ISNUMBER(V30),IF(OR(V30&lt;0,V30&gt;1),"胜率窗口口径不一致；",""),"")&amp;IF(ISNUMBER(P30),IF(NOT(ISNUMBER(AE30)),"DD_long不可识别；",""),"")</x:f>
        <x:v>近一年收益；近一年胜率；近三年收益；近三年胜率；近三年回撤；近一年卡玛；成立以来年化；</x:v>
      </x:c>
      <x:c r="AV30" s="52" t="str">
        <x:f>IF(ROUND(AQ30,10)=ROUND('Sheet1-指标体系'!$J$25,10),AR30,"")</x:f>
      </x:c>
      <x:c r="AW30" s="14" t="str">
        <x:f>IF(G30&lt;&gt;"入池",G30,IF(AQ30=0,"无有效评分数据",IF(ROUND(AQ30,10)=ROUND('Sheet1-指标体系'!$J$25,10),"完整赋分", "暂定分／数据不完整")))</x:f>
        <x:v>不入池</x:v>
      </x:c>
      <x:c r="AX30" s="45" t="str">
        <x:f>IF('Sheet4-原始数据'!C15="","",'Sheet4-原始数据'!C15)</x:f>
        <x:v>套利策略</x:v>
      </x:c>
      <x:c r="AY30" s="45" t="str">
        <x:f>IF('Sheet4-原始数据'!D15="","",'Sheet4-原始数据'!D15)</x:f>
        <x:v>期权套利</x:v>
      </x:c>
      <x:c r="AZ30" s="45" t="str">
        <x:f>IF('Sheet5-查询核对'!S15="","",'Sheet5-查询核对'!S15)</x:f>
        <x:v>套利策略—期权套利</x:v>
      </x:c>
      <x:c r="BA30" s="51" t="n">
        <x:f>IF('Sheet5-查询核对'!A15="","",'Sheet5-查询核对'!A15)</x:f>
        <x:v>15</x:v>
      </x:c>
      <x:c r="BB30" s="45" t="str">
        <x:f>IF('Sheet5-查询核对'!F15="","",'Sheet5-查询核对'!F15)</x:f>
        <x:v>备案号匹配</x:v>
      </x:c>
      <x:c r="BC30" s="50" t="str">
        <x:f>IF('Sheet5-查询核对'!I15="","",'Sheet5-查询核对'!I15)</x:f>
        <x:v>https://mp.fof99.com/fund/view/baa4ff727568ddb3</x:v>
      </x:c>
      <x:c r="BD30" s="46" t="n">
        <x:f>IF('Sheet5-查询核对'!H15="","",'Sheet5-查询核对'!H15)</x:f>
        <x:v>46269</x:v>
      </x:c>
      <x:c r="BE30" s="50" t="str">
        <x:f>IF('Sheet5-查询核对'!L15="","",'Sheet5-查询核对'!L15)</x:f>
        <x:v>https://mp.fof99.com/fund/view/baa4ff727568ddb3</x:v>
      </x:c>
      <x:c r="BF30" s="46" t="n">
        <x:f>IF('Sheet5-查询核对'!M15="","",'Sheet5-查询核对'!M15)</x:f>
        <x:v>46275</x:v>
      </x:c>
      <x:c r="BG30" s="50" t="str">
        <x:f>IF('Sheet5-查询核对'!O15="","",'Sheet5-查询核对'!O15)</x:f>
        <x:v>https://gs.amac.org.cn/amac-infodisc/res/pof/fund/2601061744102444.html</x:v>
      </x:c>
      <x:c r="BH30" s="46" t="n">
        <x:f>IF('Sheet5-查询核对'!P15="","",'Sheet5-查询核对'!P15)</x:f>
        <x:v>46275</x:v>
      </x:c>
      <x:c r="BI30" s="45" t="str">
        <x:f>IF('Sheet5-查询核对'!D15="","",'Sheet5-查询核对'!D15)</x:f>
        <x:v>SBMG09</x:v>
      </x:c>
      <x:c r="BJ30" t="n">
        <x:f>IF(ISNUMBER(AT30),AT30,COUNT($AT$17:$AT$99)+ROWS($AT$17:AT30)-COUNT($AT$17:AT30))</x:f>
        <x:v>79</x:v>
      </x:c>
    </x:row>
    <x:row r="31" ht="44" customHeight="1">
      <x:c r="A31" s="49" t="n">
        <x:f>'Sheet5-查询核对'!A16-1</x:f>
        <x:v>15</x:v>
      </x:c>
      <x:c r="B31" s="50" t="str">
        <x:f>IF('Sheet4-原始数据'!A16="",'Sheet5-查询核对'!B16,'Sheet4-原始数据'!A16)</x:f>
        <x:v>东源投资乐源1号</x:v>
      </x:c>
      <x:c r="C31" s="45" t="str">
        <x:f>IF('Sheet4-原始数据'!B16="","",'Sheet4-原始数据'!B16)</x:f>
        <x:v>SBRX68</x:v>
      </x:c>
      <x:c r="D31" s="45" t="str">
        <x:f>IF('Sheet4-原始数据'!E16="","",'Sheet4-原始数据'!E16)</x:f>
        <x:v>天津东源投资</x:v>
      </x:c>
      <x:c r="E31" s="46" t="n">
        <x:f>IF('Sheet4-原始数据'!F16="","",'Sheet4-原始数据'!F16)</x:f>
        <x:v>46066</x:v>
      </x:c>
      <x:c r="F31" s="52" t="n">
        <x:f>IF(ISNUMBER(E31),ROUND(('Sheet1-指标体系'!$J$12-E31)/'Sheet1-指标体系'!$J$14,4),"")</x:f>
        <x:v>0.5722</x:v>
      </x:c>
      <x:c r="G31" s="14" t="str">
        <x:f>IF(C31="","未匹配",IF(NOT(ISNUMBER(F31)),"缺成立日期",IF(F31&lt;'Sheet1-指标体系'!$J$15,"不入池","入池")))</x:f>
        <x:v>不入池</x:v>
      </x:c>
      <x:c r="H31" s="45" t="str">
        <x:f>IF('Sheet5-查询核对'!K16="","",'Sheet5-查询核对'!K16)</x:f>
        <x:v>20-50亿元</x:v>
      </x:c>
      <x:c r="I31" s="52" t="n">
        <x:f>IF(H31="","",IF(COUNTIF('Sheet1-指标体系'!$P$4:$P$10,H31)=0,"",INDEX('Sheet1-指标体系'!$Q$4:$Q$10,MATCH(H31,'Sheet1-指标体系'!$P$4:$P$10,0))))</x:f>
        <x:v>90</x:v>
      </x:c>
      <x:c r="J31" s="54" t="str">
        <x:f>IF(NOT(ISNUMBER('Sheet5-查询核对'!N16)),"",IF('Sheet5-查询核对'!N16=1,"低于"&amp;'Sheet1-指标体系'!$J$4&amp;"万元",IF('Sheet5-查询核对'!N16=0,"无低于"&amp;'Sheet1-指标体系'!$J$4&amp;"万元标识","")))</x:f>
        <x:v>无低于1000万元标识</x:v>
      </x:c>
      <x:c r="K31" s="52" t="n">
        <x:f>IF(NOT(ISNUMBER('Sheet5-查询核对'!N16)),"",IF('Sheet5-查询核对'!N16=1,'Sheet1-指标体系'!$J$21,IF('Sheet5-查询核对'!N16=0,'Sheet1-指标体系'!$J$18,"")))</x:f>
        <x:v>100</x:v>
      </x:c>
      <x:c r="L31" s="52" t="str">
        <x:f>IF(NOT(ISNUMBER(F31)),"",IF(F31&lt;'Sheet1-指标体系'!$J$15,"",IF(F31&lt;'Sheet1-指标体系'!$J$16,'Sheet1-指标体系'!$J$17,'Sheet1-指标体系'!$J$18)))</x:f>
      </x:c>
      <x:c r="M31" s="47" t="str">
        <x:f>IF(ISNUMBER('Sheet4-原始数据'!G16),'Sheet4-原始数据'!G16,"")</x:f>
      </x:c>
      <x:c r="N31" s="47" t="str">
        <x:f>IF(ISNUMBER('Sheet4-原始数据'!H16),'Sheet4-原始数据'!H16,"")</x:f>
      </x:c>
      <x:c r="O31" s="47" t="str">
        <x:f>IF(ISNUMBER('Sheet5-查询核对'!Q16),'Sheet5-查询核对'!Q16,"")</x:f>
      </x:c>
      <x:c r="P31" s="44" t="str">
        <x:f>IF($G31&lt;&gt;"入池","",IF($F31&gt;='Sheet1-指标体系'!$J$16,IF(COUNT(M31,N31)&lt;&gt;2,"",IF(OR(1+M31&lt;=0,1+N31&lt;0),"",((1+N31)^'Sheet1-指标体系'!$J$16/(1+M31))^(1/('Sheet1-指标体系'!$J$16-'Sheet1-指标体系'!$J$15))-1)),IF(COUNT(M31,O31)&lt;&gt;2,"",IF(OR(F31&lt;='Sheet1-指标体系'!$J$15,1+M31&lt;=0,1+O31&lt;0),"",((1+O31)^F31/(1+M31))^(1/(F31-'Sheet1-指标体系'!$J$15))-1))))</x:f>
      </x:c>
      <x:c r="Q31" s="52" t="str">
        <x:f>IF(OR($G31&lt;&gt;"入池",NOT(ISNUMBER(M31))),"",IF(COUNTIFS($G$17:$G$99,"入池",$M$17:$M$99,"&gt;=-1E+307",$M$17:$M$99,"&lt;=1E+307")&lt;=1,'Sheet1-指标体系'!$J$18,ROUND('Sheet1-指标体系'!$J$18*(COUNTIFS($G$17:$G$99,"入池",$M$17:$M$99,"&gt;=-1E+307",$M$17:$M$99,"&lt;"&amp;M31)+COUNTIFS($G$17:$G$99,"入池",$M$17:$M$99,"&gt;=-1E+307",$M$17:$M$99,"&lt;=1E+307",$M$17:$M$99,M31)/2-0.5)/(COUNTIFS($G$17:$G$99,"入池",$M$17:$M$99,"&gt;=-1E+307",$M$17:$M$99,"&lt;=1E+307")-1),2)))</x:f>
      </x:c>
      <x:c r="R31" s="52" t="str">
        <x:f>IF(OR($G31&lt;&gt;"入池",NOT(ISNUMBER(P31))),"",IF(COUNTIFS($G$17:$G$99,"入池",$P$17:$P$99,"&gt;=-1E+307",$P$17:$P$99,"&lt;=1E+307")&lt;=1,'Sheet1-指标体系'!$J$18,ROUND('Sheet1-指标体系'!$J$18*(COUNTIFS($G$17:$G$99,"入池",$P$17:$P$99,"&gt;=-1E+307",$P$17:$P$99,"&lt;"&amp;P31)+COUNTIFS($G$17:$G$99,"入池",$P$17:$P$99,"&gt;=-1E+307",$P$17:$P$99,"&lt;=1E+307",$P$17:$P$99,P31)/2-0.5)/(COUNTIFS($G$17:$G$99,"入池",$P$17:$P$99,"&gt;=-1E+307",$P$17:$P$99,"&lt;=1E+307")-1),2)))</x:f>
      </x:c>
      <x:c r="S31" s="52" t="str">
        <x:f>IF(COUNT(Q31,R31)=0,"",ROUND((IF(ISNUMBER(Q31),Q31*'Sheet1-指标体系'!$G$7*'Sheet1-指标体系'!$J$8,0)+IF(ISNUMBER(R31),R31*'Sheet1-指标体系'!$G$7*'Sheet1-指标体系'!$J$9,0))/(IF(ISNUMBER(Q31),'Sheet1-指标体系'!$G$7*'Sheet1-指标体系'!$J$8,0)+IF(ISNUMBER(R31),'Sheet1-指标体系'!$G$7*'Sheet1-指标体系'!$J$9,0)),2))</x:f>
      </x:c>
      <x:c r="T31" s="47" t="str">
        <x:f>IF(ISNUMBER('Sheet4-原始数据'!J16),'Sheet4-原始数据'!J16,"")</x:f>
      </x:c>
      <x:c r="U31" s="47" t="str">
        <x:f>IF(ISNUMBER('Sheet4-原始数据'!I16),'Sheet4-原始数据'!I16,"")</x:f>
      </x:c>
      <x:c r="V31" s="44" t="str">
        <x:f>IF(COUNT(T31:U31)&lt;&gt;2,"",(U31*'Sheet1-指标体系'!$J$6-T31*'Sheet1-指标体系'!$J$5)/'Sheet1-指标体系'!$J$7)</x:f>
      </x:c>
      <x:c r="W31" s="52" t="str">
        <x:f>IF(NOT(ISNUMBER(T31)),"",T31*'Sheet1-指标体系'!$J$18)</x:f>
      </x:c>
      <x:c r="X31" s="52" t="str">
        <x:f>IF(G31&lt;&gt;"入池","",IF(ISNUMBER(V31),IF(AND(V31&gt;=0,V31&lt;=1),V31*'Sheet1-指标体系'!$J$18,IF(MAX(0,(F31-'Sheet1-指标体系'!$J$15)*'Sheet1-指标体系'!$J$20)&lt;'Sheet1-指标体系'!$J$19,'Sheet1-指标体系'!$J$18,"")),IF(MAX(0,(F31-'Sheet1-指标体系'!$J$15)*'Sheet1-指标体系'!$J$20)&lt;'Sheet1-指标体系'!$J$19,'Sheet1-指标体系'!$J$18,"")))</x:f>
      </x:c>
      <x:c r="Y31" s="52" t="str">
        <x:f>IF(NOT(ISNUMBER(W31)),"",IF(COUNT(W31,X31)=0,"",ROUND((IF(ISNUMBER(W31),W31*'Sheet1-指标体系'!$G$8*'Sheet1-指标体系'!$J$8,0)+IF(ISNUMBER(X31),X31*'Sheet1-指标体系'!$G$8*'Sheet1-指标体系'!$J$9,0))/(IF(ISNUMBER(W31),'Sheet1-指标体系'!$G$8*'Sheet1-指标体系'!$J$8,0)+IF(ISNUMBER(X31),'Sheet1-指标体系'!$G$8*'Sheet1-指标体系'!$J$9,0)),2)))</x:f>
      </x:c>
      <x:c r="Z31" s="44" t="str">
        <x:f>IF(COUNT(M31,AD31)&lt;&gt;2,"",IF(AD31=0,"",ABS(M31/AD31)))</x:f>
      </x:c>
      <x:c r="AA31" s="47" t="str">
        <x:f>IF(ISNUMBER('Sheet4-原始数据'!K16),'Sheet4-原始数据'!K16,"")</x:f>
      </x:c>
      <x:c r="AB31" s="44" t="str">
        <x:f>IF(COUNT(Z31:AA31)=0,"",MAX(Z31:AA31))</x:f>
      </x:c>
      <x:c r="AC31" s="52" t="str">
        <x:f>IF(OR($G31&lt;&gt;"入池",NOT(ISNUMBER(AB31))),"",IF(COUNTIFS($G$17:$G$99,"入池",$AB$17:$AB$99,"&gt;=-1E+307",$AB$17:$AB$99,"&lt;=1E+307")&lt;=1,'Sheet1-指标体系'!$J$18,ROUND('Sheet1-指标体系'!$J$18*(COUNTIFS($G$17:$G$99,"入池",$AB$17:$AB$99,"&lt;=1E+307",$AB$17:$AB$99,"&gt;"&amp;AB31)+COUNTIFS($G$17:$G$99,"入池",$AB$17:$AB$99,"&gt;=-1E+307",$AB$17:$AB$99,"&lt;=1E+307",$AB$17:$AB$99,AB31)/2-0.5)/(COUNTIFS($G$17:$G$99,"入池",$AB$17:$AB$99,"&gt;=-1E+307",$AB$17:$AB$99,"&lt;=1E+307")-1),2)))</x:f>
      </x:c>
      <x:c r="AD31" s="48" t="str">
        <x:f>IF(ISNUMBER('Sheet4-原始数据'!M16),'Sheet4-原始数据'!M16,"")</x:f>
      </x:c>
      <x:c r="AE31" s="44" t="str">
        <x:f>IF(COUNT(P31,AA31,Z31)&lt;&gt;3,"",IF(AA31&gt;Z31+'Sheet1-指标体系'!$J$11,AA31,""))</x:f>
      </x:c>
      <x:c r="AF31" s="52" t="str">
        <x:f>IF(COUNT(P31,AE31)&lt;&gt;2,"",IF(AE31=0,"",P31/AE31))</x:f>
      </x:c>
      <x:c r="AG31" s="52" t="str">
        <x:f>IF(OR($G31&lt;&gt;"入池",NOT(ISNUMBER(AD31))),"",IF(COUNTIFS($G$17:$G$99,"入池",$AD$17:$AD$99,"&gt;=-1E+307",$AD$17:$AD$99,"&lt;=1E+307")&lt;=1,'Sheet1-指标体系'!$J$18,ROUND('Sheet1-指标体系'!$J$18*(COUNTIFS($G$17:$G$99,"入池",$AD$17:$AD$99,"&gt;=-1E+307",$AD$17:$AD$99,"&lt;"&amp;AD31)+COUNTIFS($G$17:$G$99,"入池",$AD$17:$AD$99,"&gt;=-1E+307",$AD$17:$AD$99,"&lt;=1E+307",$AD$17:$AD$99,AD31)/2-0.5)/(COUNTIFS($G$17:$G$99,"入池",$AD$17:$AD$99,"&gt;=-1E+307",$AD$17:$AD$99,"&lt;=1E+307")-1),2)))</x:f>
      </x:c>
      <x:c r="AH31" s="52" t="str">
        <x:f>IF(OR($G31&lt;&gt;"入池",NOT(ISNUMBER(AF31))),"",IF(COUNTIFS($G$17:$G$99,"入池",$AF$17:$AF$99,"&gt;=-1E+307",$AF$17:$AF$99,"&lt;=1E+307")&lt;=1,'Sheet1-指标体系'!$J$18,ROUND('Sheet1-指标体系'!$J$18*(COUNTIFS($G$17:$G$99,"入池",$AF$17:$AF$99,"&gt;=-1E+307",$AF$17:$AF$99,"&lt;"&amp;AF31)+COUNTIFS($G$17:$G$99,"入池",$AF$17:$AF$99,"&gt;=-1E+307",$AF$17:$AF$99,"&lt;=1E+307",$AF$17:$AF$99,AF31)/2-0.5)/(COUNTIFS($G$17:$G$99,"入池",$AF$17:$AF$99,"&gt;=-1E+307",$AF$17:$AF$99,"&lt;=1E+307")-1),2)))</x:f>
      </x:c>
      <x:c r="AI31" s="52" t="str">
        <x:f>IF(COUNT(AG31,AH31)=0,"",ROUND((IF(ISNUMBER(AG31),AG31*'Sheet1-指标体系'!$G$10*'Sheet1-指标体系'!$J$8,0)+IF(ISNUMBER(AH31),AH31*'Sheet1-指标体系'!$G$10*'Sheet1-指标体系'!$J$9,0))/(IF(ISNUMBER(AG31),'Sheet1-指标体系'!$G$10*'Sheet1-指标体系'!$J$8,0)+IF(ISNUMBER(AH31),'Sheet1-指标体系'!$G$10*'Sheet1-指标体系'!$J$9,0)),2))</x:f>
      </x:c>
      <x:c r="AJ31" s="44" t="str">
        <x:f>IF(NOT(ISNUMBER(F31)),"",IF(F31&gt;='Sheet1-指标体系'!$J$16,IF(ISNUMBER(N31),N31,""),IF(ISNUMBER(O31),O31,"")))</x:f>
      </x:c>
      <x:c r="AK31" s="52" t="str">
        <x:f>IF(OR(G31&lt;&gt;"入池",COUNT(M31,AJ31)&lt;&gt;2),"",IF(M31&gt;=AJ31,'Sheet1-指标体系'!$J$18,IF(AJ31-M31&lt;'Sheet1-指标体系'!$J$10,'Sheet1-指标体系'!$J$22,'Sheet1-指标体系'!$J$23)))</x:f>
      </x:c>
      <x:c r="AL31" s="52" t="n">
        <x:f>IF(COUNT(I31,K31,L31)=0,"",ROUND((IF(ISNUMBER(I31),I31*'Sheet1-指标体系'!$G$4,0)+IF(ISNUMBER(K31),K31*'Sheet1-指标体系'!$G$5,0)+IF(ISNUMBER(L31),L31*'Sheet1-指标体系'!$G$6,0))/(IF(ISNUMBER(I31),'Sheet1-指标体系'!$G$4,0)+IF(ISNUMBER(K31),'Sheet1-指标体系'!$G$5,0)+IF(ISNUMBER(L31),'Sheet1-指标体系'!$G$6,0)),2))</x:f>
        <x:v>94.29</x:v>
      </x:c>
      <x:c r="AM31" s="52" t="str">
        <x:f>IF(COUNT(Q31,R31,W31,X31)=0,"",ROUND((IF(ISNUMBER(Q31),Q31*'Sheet1-指标体系'!$G$7*'Sheet1-指标体系'!$J$8,0)+IF(ISNUMBER(R31),R31*'Sheet1-指标体系'!$G$7*'Sheet1-指标体系'!$J$9,0)+IF(ISNUMBER(W31),W31*'Sheet1-指标体系'!$G$8*'Sheet1-指标体系'!$J$8,0)+IF(ISNUMBER(X31),X31*'Sheet1-指标体系'!$G$8*'Sheet1-指标体系'!$J$9,0))/(IF(ISNUMBER(Q31),'Sheet1-指标体系'!$G$7*'Sheet1-指标体系'!$J$8,0)+IF(ISNUMBER(R31),'Sheet1-指标体系'!$G$7*'Sheet1-指标体系'!$J$9,0)+IF(ISNUMBER(W31),'Sheet1-指标体系'!$G$8*'Sheet1-指标体系'!$J$8,0)+IF(ISNUMBER(X31),'Sheet1-指标体系'!$G$8*'Sheet1-指标体系'!$J$9,0)),2))</x:f>
      </x:c>
      <x:c r="AN31" s="52" t="str">
        <x:f>IF(ISNUMBER(AC31),AC31,"")</x:f>
      </x:c>
      <x:c r="AO31" s="52" t="str">
        <x:f>IF(COUNT(AG31,AH31)=0,"",ROUND((IF(ISNUMBER(AG31),AG31*'Sheet1-指标体系'!$G$10*'Sheet1-指标体系'!$J$8,0)+IF(ISNUMBER(AH31),AH31*'Sheet1-指标体系'!$G$10*'Sheet1-指标体系'!$J$9,0))/(IF(ISNUMBER(AG31),'Sheet1-指标体系'!$G$10*'Sheet1-指标体系'!$J$8,0)+IF(ISNUMBER(AH31),'Sheet1-指标体系'!$G$10*'Sheet1-指标体系'!$J$9,0)),2))</x:f>
      </x:c>
      <x:c r="AP31" s="52" t="str">
        <x:f>IF(ISNUMBER(AK31),AK31,"")</x:f>
      </x:c>
      <x:c r="AQ31" s="27" t="n">
        <x:f>IF(G31&lt;&gt;"入池",0,IF(ISNUMBER(I31),'Sheet1-指标体系'!$G$4,0)+IF(ISNUMBER(K31),'Sheet1-指标体系'!$G$5,0)+IF(ISNUMBER(L31),'Sheet1-指标体系'!$G$6,0)+IF(ISNUMBER(Q31),'Sheet1-指标体系'!$G$7*'Sheet1-指标体系'!$J$8,0)+IF(ISNUMBER(R31),'Sheet1-指标体系'!$G$7*'Sheet1-指标体系'!$J$9,0)+IF(ISNUMBER(W31),'Sheet1-指标体系'!$G$8*'Sheet1-指标体系'!$J$8,0)+IF(ISNUMBER(X31),'Sheet1-指标体系'!$G$8*'Sheet1-指标体系'!$J$9,0)+IF(ISNUMBER(AC31),'Sheet1-指标体系'!$G$9,0)+IF(ISNUMBER(AG31),'Sheet1-指标体系'!$G$10*'Sheet1-指标体系'!$J$8,0)+IF(ISNUMBER(AH31),'Sheet1-指标体系'!$G$10*'Sheet1-指标体系'!$J$9,0)+IF(ISNUMBER(AK31),'Sheet1-指标体系'!$G$11,0))</x:f>
        <x:v>0</x:v>
      </x:c>
      <x:c r="AR31" s="52" t="str">
        <x:f>IF(AQ31=0,"",IF(ISNUMBER(I31),I31*'Sheet1-指标体系'!$G$4,0)+IF(ISNUMBER(K31),K31*'Sheet1-指标体系'!$G$5,0)+IF(ISNUMBER(L31),L31*'Sheet1-指标体系'!$G$6,0)+IF(ISNUMBER(Q31),Q31*'Sheet1-指标体系'!$G$7*'Sheet1-指标体系'!$J$8,0)+IF(ISNUMBER(R31),R31*'Sheet1-指标体系'!$G$7*'Sheet1-指标体系'!$J$9,0)+IF(ISNUMBER(W31),W31*'Sheet1-指标体系'!$G$8*'Sheet1-指标体系'!$J$8,0)+IF(ISNUMBER(X31),X31*'Sheet1-指标体系'!$G$8*'Sheet1-指标体系'!$J$9,0)+IF(ISNUMBER(AC31),AC31*'Sheet1-指标体系'!$G$9,0)+IF(ISNUMBER(AG31),AG31*'Sheet1-指标体系'!$G$10*'Sheet1-指标体系'!$J$8,0)+IF(ISNUMBER(AH31),AH31*'Sheet1-指标体系'!$G$10*'Sheet1-指标体系'!$J$9,0)+IF(ISNUMBER(AK31),AK31*'Sheet1-指标体系'!$G$11,0))</x:f>
      </x:c>
      <x:c r="AS31" s="52" t="str">
        <x:f>IF(AQ31=0,"",ROUND(AR31/AQ31,2))</x:f>
      </x:c>
      <x:c r="AT31" s="49" t="str">
        <x:f>IF(OR(G31&lt;&gt;"入池",NOT(ISNUMBER(AS31))),"",COUNTIFS($G$17:$G$99,"入池",$AS$17:$AS$99,"&gt;"&amp;AS31)+COUNTIFS($G$17:$G$99,"入池",$AS$17:$AS$99,AS31,$AQ$17:$AQ$99,"&gt;"&amp;AQ31)+COUNTIFS($G$17:G31,"入池",$AS$17:AS31,AS31,$AQ$17:AQ31,AQ31))</x:f>
      </x:c>
      <x:c r="AU31" s="53" t="str">
        <x:f>IF(NOT(ISNUMBER(I31)),"管理人规模；","")&amp;IF(NOT(ISNUMBER(K31)),"产品规模标识；","")&amp;IF(NOT(ISNUMBER(M31)),"近一年收益；","")&amp;IF(NOT(ISNUMBER(T31)),"近一年胜率；","")&amp;IF(NOT(ISNUMBER(N31)),"近三年收益；","")&amp;IF(NOT(ISNUMBER(U31)),"近三年胜率；","")&amp;IF(NOT(ISNUMBER(AA31)),"近三年回撤；","")&amp;IF(NOT(ISNUMBER(AD31)),"近一年卡玛；","")&amp;IF(ISNUMBER(F31),IF(AND(F31&lt;'Sheet1-指标体系'!$J$16,NOT(ISNUMBER(O31))),"成立以来年化；",""),"成立日期；")&amp;IF(ISNUMBER(V31),IF(OR(V31&lt;0,V31&gt;1),"胜率窗口口径不一致；",""),"")&amp;IF(ISNUMBER(P31),IF(NOT(ISNUMBER(AE31)),"DD_long不可识别；",""),"")</x:f>
        <x:v>近一年收益；近一年胜率；近三年收益；近三年胜率；近三年回撤；近一年卡玛；成立以来年化；</x:v>
      </x:c>
      <x:c r="AV31" s="52" t="str">
        <x:f>IF(ROUND(AQ31,10)=ROUND('Sheet1-指标体系'!$J$25,10),AR31,"")</x:f>
      </x:c>
      <x:c r="AW31" s="14" t="str">
        <x:f>IF(G31&lt;&gt;"入池",G31,IF(AQ31=0,"无有效评分数据",IF(ROUND(AQ31,10)=ROUND('Sheet1-指标体系'!$J$25,10),"完整赋分", "暂定分／数据不完整")))</x:f>
        <x:v>不入池</x:v>
      </x:c>
      <x:c r="AX31" s="45" t="str">
        <x:f>IF('Sheet4-原始数据'!C16="","",'Sheet4-原始数据'!C16)</x:f>
        <x:v>套利策略</x:v>
      </x:c>
      <x:c r="AY31" s="45" t="str">
        <x:f>IF('Sheet4-原始数据'!D16="","",'Sheet4-原始数据'!D16)</x:f>
        <x:v>期权套利</x:v>
      </x:c>
      <x:c r="AZ31" s="45" t="str">
        <x:f>IF('Sheet5-查询核对'!S16="","",'Sheet5-查询核对'!S16)</x:f>
        <x:v>套利策略—期权套利</x:v>
      </x:c>
      <x:c r="BA31" s="51" t="n">
        <x:f>IF('Sheet5-查询核对'!A16="","",'Sheet5-查询核对'!A16)</x:f>
        <x:v>16</x:v>
      </x:c>
      <x:c r="BB31" s="45" t="str">
        <x:f>IF('Sheet5-查询核对'!F16="","",'Sheet5-查询核对'!F16)</x:f>
        <x:v>备案号匹配</x:v>
      </x:c>
      <x:c r="BC31" s="50" t="str">
        <x:f>IF('Sheet5-查询核对'!I16="","",'Sheet5-查询核对'!I16)</x:f>
        <x:v>https://mp.fof99.com/fund/view/dc199b33f4fce442</x:v>
      </x:c>
      <x:c r="BD31" s="46" t="n">
        <x:f>IF('Sheet5-查询核对'!H16="","",'Sheet5-查询核对'!H16)</x:f>
        <x:v>46269</x:v>
      </x:c>
      <x:c r="BE31" s="50" t="str">
        <x:f>IF('Sheet5-查询核对'!L16="","",'Sheet5-查询核对'!L16)</x:f>
        <x:v>https://mp.fof99.com/fund/view/dc199b33f4fce442</x:v>
      </x:c>
      <x:c r="BF31" s="46" t="n">
        <x:f>IF('Sheet5-查询核对'!M16="","",'Sheet5-查询核对'!M16)</x:f>
        <x:v>46275</x:v>
      </x:c>
      <x:c r="BG31" s="50" t="str">
        <x:f>IF('Sheet5-查询核对'!O16="","",'Sheet5-查询核对'!O16)</x:f>
        <x:v>https://gs.amac.org.cn/amac-infodisc/res/pof/fund/2602271455104411.html</x:v>
      </x:c>
      <x:c r="BH31" s="46" t="n">
        <x:f>IF('Sheet5-查询核对'!P16="","",'Sheet5-查询核对'!P16)</x:f>
        <x:v>46275</x:v>
      </x:c>
      <x:c r="BI31" s="45" t="str">
        <x:f>IF('Sheet5-查询核对'!D16="","",'Sheet5-查询核对'!D16)</x:f>
        <x:v>SBRX68</x:v>
      </x:c>
      <x:c r="BJ31" t="n">
        <x:f>IF(ISNUMBER(AT31),AT31,COUNT($AT$17:$AT$99)+ROWS($AT$17:AT31)-COUNT($AT$17:AT31))</x:f>
        <x:v>80</x:v>
      </x:c>
    </x:row>
    <x:row r="32" ht="44" customHeight="1">
      <x:c r="A32" s="49" t="n">
        <x:f>'Sheet5-查询核对'!A17-1</x:f>
        <x:v>16</x:v>
      </x:c>
      <x:c r="B32" s="50" t="str">
        <x:f>IF('Sheet4-原始数据'!A17="",'Sheet5-查询核对'!B17,'Sheet4-原始数据'!A17)</x:f>
        <x:v>放牛人5号</x:v>
      </x:c>
      <x:c r="C32" s="45" t="str">
        <x:f>IF('Sheet4-原始数据'!B17="","",'Sheet4-原始数据'!B17)</x:f>
        <x:v>SVH487</x:v>
      </x:c>
      <x:c r="D32" s="45" t="str">
        <x:f>IF('Sheet4-原始数据'!E17="","",'Sheet4-原始数据'!E17)</x:f>
        <x:v>上海放牛人</x:v>
      </x:c>
      <x:c r="E32" s="46" t="n">
        <x:f>IF('Sheet4-原始数据'!F17="","",'Sheet4-原始数据'!F17)</x:f>
        <x:v>44729</x:v>
      </x:c>
      <x:c r="F32" s="52" t="n">
        <x:f>IF(ISNUMBER(E32),ROUND(('Sheet1-指标体系'!$J$12-E32)/'Sheet1-指标体系'!$J$14,4),"")</x:f>
        <x:v>4.2327</x:v>
      </x:c>
      <x:c r="G32" s="14" t="str">
        <x:f>IF(C32="","未匹配",IF(NOT(ISNUMBER(F32)),"缺成立日期",IF(F32&lt;'Sheet1-指标体系'!$J$15,"不入池","入池")))</x:f>
        <x:v>入池</x:v>
      </x:c>
      <x:c r="H32" s="45" t="str">
        <x:f>IF('Sheet5-查询核对'!K17="","",'Sheet5-查询核对'!K17)</x:f>
        <x:v>0-5亿元</x:v>
      </x:c>
      <x:c r="I32" s="52" t="n">
        <x:f>IF(H32="","",IF(COUNTIF('Sheet1-指标体系'!$P$4:$P$10,H32)=0,"",INDEX('Sheet1-指标体系'!$Q$4:$Q$10,MATCH(H32,'Sheet1-指标体系'!$P$4:$P$10,0))))</x:f>
        <x:v>60</x:v>
      </x:c>
      <x:c r="J32" s="54" t="str">
        <x:f>IF(NOT(ISNUMBER('Sheet5-查询核对'!N17)),"",IF('Sheet5-查询核对'!N17=1,"低于"&amp;'Sheet1-指标体系'!$J$4&amp;"万元",IF('Sheet5-查询核对'!N17=0,"无低于"&amp;'Sheet1-指标体系'!$J$4&amp;"万元标识","")))</x:f>
        <x:v>无低于1000万元标识</x:v>
      </x:c>
      <x:c r="K32" s="52" t="n">
        <x:f>IF(NOT(ISNUMBER('Sheet5-查询核对'!N17)),"",IF('Sheet5-查询核对'!N17=1,'Sheet1-指标体系'!$J$21,IF('Sheet5-查询核对'!N17=0,'Sheet1-指标体系'!$J$18,"")))</x:f>
        <x:v>100</x:v>
      </x:c>
      <x:c r="L32" s="52" t="n">
        <x:f>IF(NOT(ISNUMBER(F32)),"",IF(F32&lt;'Sheet1-指标体系'!$J$15,"",IF(F32&lt;'Sheet1-指标体系'!$J$16,'Sheet1-指标体系'!$J$17,'Sheet1-指标体系'!$J$18)))</x:f>
        <x:v>100</x:v>
      </x:c>
      <x:c r="M32" s="47" t="n">
        <x:f>IF(ISNUMBER('Sheet4-原始数据'!G17),'Sheet4-原始数据'!G17,"")</x:f>
        <x:v>0.0944</x:v>
      </x:c>
      <x:c r="N32" s="47" t="n">
        <x:f>IF(ISNUMBER('Sheet4-原始数据'!H17),'Sheet4-原始数据'!H17,"")</x:f>
        <x:v>0.0809</x:v>
      </x:c>
      <x:c r="O32" s="47" t="n">
        <x:f>IF(ISNUMBER('Sheet5-查询核对'!Q17),'Sheet5-查询核对'!Q17,"")</x:f>
        <x:v>0.0713</x:v>
      </x:c>
      <x:c r="P32" s="44" t="n">
        <x:f>IF($G32&lt;&gt;"入池","",IF($F32&gt;='Sheet1-指标体系'!$J$16,IF(COUNT(M32,N32)&lt;&gt;2,"",IF(OR(1+M32&lt;=0,1+N32&lt;0),"",((1+N32)^'Sheet1-指标体系'!$J$16/(1+M32))^(1/('Sheet1-指标体系'!$J$16-'Sheet1-指标体系'!$J$15))-1)),IF(COUNT(M32,O32)&lt;&gt;2,"",IF(OR(F32&lt;='Sheet1-指标体系'!$J$15,1+M32&lt;=0,1+O32&lt;0),"",((1+O32)^F32/(1+M32))^(1/(F32-'Sheet1-指标体系'!$J$15))-1))))</x:f>
        <x:v>0.07421257758896527</x:v>
      </x:c>
      <x:c r="Q32" s="52" t="n">
        <x:f>IF(OR($G32&lt;&gt;"入池",NOT(ISNUMBER(M32))),"",IF(COUNTIFS($G$17:$G$99,"入池",$M$17:$M$99,"&gt;=-1E+307",$M$17:$M$99,"&lt;=1E+307")&lt;=1,'Sheet1-指标体系'!$J$18,ROUND('Sheet1-指标体系'!$J$18*(COUNTIFS($G$17:$G$99,"入池",$M$17:$M$99,"&gt;=-1E+307",$M$17:$M$99,"&lt;"&amp;M32)+COUNTIFS($G$17:$G$99,"入池",$M$17:$M$99,"&gt;=-1E+307",$M$17:$M$99,"&lt;=1E+307",$M$17:$M$99,M32)/2-0.5)/(COUNTIFS($G$17:$G$99,"入池",$M$17:$M$99,"&gt;=-1E+307",$M$17:$M$99,"&lt;=1E+307")-1),2)))</x:f>
        <x:v>61.61</x:v>
      </x:c>
      <x:c r="R32" s="52" t="n">
        <x:f>IF(OR($G32&lt;&gt;"入池",NOT(ISNUMBER(P32))),"",IF(COUNTIFS($G$17:$G$99,"入池",$P$17:$P$99,"&gt;=-1E+307",$P$17:$P$99,"&lt;=1E+307")&lt;=1,'Sheet1-指标体系'!$J$18,ROUND('Sheet1-指标体系'!$J$18*(COUNTIFS($G$17:$G$99,"入池",$P$17:$P$99,"&gt;=-1E+307",$P$17:$P$99,"&lt;"&amp;P32)+COUNTIFS($G$17:$G$99,"入池",$P$17:$P$99,"&gt;=-1E+307",$P$17:$P$99,"&lt;=1E+307",$P$17:$P$99,P32)/2-0.5)/(COUNTIFS($G$17:$G$99,"入池",$P$17:$P$99,"&gt;=-1E+307",$P$17:$P$99,"&lt;=1E+307")-1),2)))</x:f>
        <x:v>50</x:v>
      </x:c>
      <x:c r="S32" s="52" t="n">
        <x:f>IF(COUNT(Q32,R32)=0,"",ROUND((IF(ISNUMBER(Q32),Q32*'Sheet1-指标体系'!$G$7*'Sheet1-指标体系'!$J$8,0)+IF(ISNUMBER(R32),R32*'Sheet1-指标体系'!$G$7*'Sheet1-指标体系'!$J$9,0))/(IF(ISNUMBER(Q32),'Sheet1-指标体系'!$G$7*'Sheet1-指标体系'!$J$8,0)+IF(ISNUMBER(R32),'Sheet1-指标体系'!$G$7*'Sheet1-指标体系'!$J$9,0)),2))</x:f>
        <x:v>56.97</x:v>
      </x:c>
      <x:c r="T32" s="47" t="n">
        <x:f>IF(ISNUMBER('Sheet4-原始数据'!J17),'Sheet4-原始数据'!J17,"")</x:f>
        <x:v>1</x:v>
      </x:c>
      <x:c r="U32" s="47" t="n">
        <x:f>IF(ISNUMBER('Sheet4-原始数据'!I17),'Sheet4-原始数据'!I17,"")</x:f>
        <x:v>0.9459000000000001</x:v>
      </x:c>
      <x:c r="V32" s="44" t="n">
        <x:f>IF(COUNT(T32:U32)&lt;&gt;2,"",(U32*'Sheet1-指标体系'!$J$6-T32*'Sheet1-指标体系'!$J$5)/'Sheet1-指标体系'!$J$7)</x:f>
        <x:v>0.9165958333333334</x:v>
      </x:c>
      <x:c r="W32" s="52" t="n">
        <x:f>IF(NOT(ISNUMBER(T32)),"",T32*'Sheet1-指标体系'!$J$18)</x:f>
        <x:v>100</x:v>
      </x:c>
      <x:c r="X32" s="52" t="n">
        <x:f>IF(G32&lt;&gt;"入池","",IF(ISNUMBER(V32),IF(AND(V32&gt;=0,V32&lt;=1),V32*'Sheet1-指标体系'!$J$18,IF(MAX(0,(F32-'Sheet1-指标体系'!$J$15)*'Sheet1-指标体系'!$J$20)&lt;'Sheet1-指标体系'!$J$19,'Sheet1-指标体系'!$J$18,"")),IF(MAX(0,(F32-'Sheet1-指标体系'!$J$15)*'Sheet1-指标体系'!$J$20)&lt;'Sheet1-指标体系'!$J$19,'Sheet1-指标体系'!$J$18,"")))</x:f>
        <x:v>91.65958333333334</x:v>
      </x:c>
      <x:c r="Y32" s="52" t="n">
        <x:f>IF(NOT(ISNUMBER(W32)),"",IF(COUNT(W32,X32)=0,"",ROUND((IF(ISNUMBER(W32),W32*'Sheet1-指标体系'!$G$8*'Sheet1-指标体系'!$J$8,0)+IF(ISNUMBER(X32),X32*'Sheet1-指标体系'!$G$8*'Sheet1-指标体系'!$J$9,0))/(IF(ISNUMBER(W32),'Sheet1-指标体系'!$G$8*'Sheet1-指标体系'!$J$8,0)+IF(ISNUMBER(X32),'Sheet1-指标体系'!$G$8*'Sheet1-指标体系'!$J$9,0)),2)))</x:f>
        <x:v>96.66</x:v>
      </x:c>
      <x:c r="Z32" s="44" t="n">
        <x:f>IF(COUNT(M32,AD32)&lt;&gt;2,"",IF(AD32=0,"",ABS(M32/AD32)))</x:f>
        <x:v>0.0010537360748331212</x:v>
      </x:c>
      <x:c r="AA32" s="47" t="n">
        <x:f>IF(ISNUMBER('Sheet4-原始数据'!K17),'Sheet4-原始数据'!K17,"")</x:f>
        <x:v>0.0033</x:v>
      </x:c>
      <x:c r="AB32" s="44" t="n">
        <x:f>IF(COUNT(Z32:AA32)=0,"",MAX(Z32:AA32))</x:f>
        <x:v>0.0033</x:v>
      </x:c>
      <x:c r="AC32" s="52" t="n">
        <x:f>IF(OR($G32&lt;&gt;"入池",NOT(ISNUMBER(AB32))),"",IF(COUNTIFS($G$17:$G$99,"入池",$AB$17:$AB$99,"&gt;=-1E+307",$AB$17:$AB$99,"&lt;=1E+307")&lt;=1,'Sheet1-指标体系'!$J$18,ROUND('Sheet1-指标体系'!$J$18*(COUNTIFS($G$17:$G$99,"入池",$AB$17:$AB$99,"&lt;=1E+307",$AB$17:$AB$99,"&gt;"&amp;AB32)+COUNTIFS($G$17:$G$99,"入池",$AB$17:$AB$99,"&gt;=-1E+307",$AB$17:$AB$99,"&lt;=1E+307",$AB$17:$AB$99,AB32)/2-0.5)/(COUNTIFS($G$17:$G$99,"入池",$AB$17:$AB$99,"&gt;=-1E+307",$AB$17:$AB$99,"&lt;=1E+307")-1),2)))</x:f>
        <x:v>96.55</x:v>
      </x:c>
      <x:c r="AD32" s="48" t="n">
        <x:f>IF(ISNUMBER('Sheet4-原始数据'!M17),'Sheet4-原始数据'!M17,"")</x:f>
        <x:v>89.586</x:v>
      </x:c>
      <x:c r="AE32" s="44" t="n">
        <x:f>IF(COUNT(P32,AA32,Z32)&lt;&gt;3,"",IF(AA32&gt;Z32+'Sheet1-指标体系'!$J$11,AA32,""))</x:f>
        <x:v>0.0033</x:v>
      </x:c>
      <x:c r="AF32" s="52" t="n">
        <x:f>IF(COUNT(P32,AE32)&lt;&gt;2,"",IF(AE32=0,"",P32/AE32))</x:f>
        <x:v>22.48865987544402</x:v>
      </x:c>
      <x:c r="AG32" s="52" t="n">
        <x:f>IF(OR($G32&lt;&gt;"入池",NOT(ISNUMBER(AD32))),"",IF(COUNTIFS($G$17:$G$99,"入池",$AD$17:$AD$99,"&gt;=-1E+307",$AD$17:$AD$99,"&lt;=1E+307")&lt;=1,'Sheet1-指标体系'!$J$18,ROUND('Sheet1-指标体系'!$J$18*(COUNTIFS($G$17:$G$99,"入池",$AD$17:$AD$99,"&gt;=-1E+307",$AD$17:$AD$99,"&lt;"&amp;AD32)+COUNTIFS($G$17:$G$99,"入池",$AD$17:$AD$99,"&gt;=-1E+307",$AD$17:$AD$99,"&lt;=1E+307",$AD$17:$AD$99,AD32)/2-0.5)/(COUNTIFS($G$17:$G$99,"入池",$AD$17:$AD$99,"&gt;=-1E+307",$AD$17:$AD$99,"&lt;=1E+307")-1),2)))</x:f>
        <x:v>100</x:v>
      </x:c>
      <x:c r="AH32" s="52" t="n">
        <x:f>IF(OR($G32&lt;&gt;"入池",NOT(ISNUMBER(AF32))),"",IF(COUNTIFS($G$17:$G$99,"入池",$AF$17:$AF$99,"&gt;=-1E+307",$AF$17:$AF$99,"&lt;=1E+307")&lt;=1,'Sheet1-指标体系'!$J$18,ROUND('Sheet1-指标体系'!$J$18*(COUNTIFS($G$17:$G$99,"入池",$AF$17:$AF$99,"&gt;=-1E+307",$AF$17:$AF$99,"&lt;"&amp;AF32)+COUNTIFS($G$17:$G$99,"入池",$AF$17:$AF$99,"&gt;=-1E+307",$AF$17:$AF$99,"&lt;=1E+307",$AF$17:$AF$99,AF32)/2-0.5)/(COUNTIFS($G$17:$G$99,"入池",$AF$17:$AF$99,"&gt;=-1E+307",$AF$17:$AF$99,"&lt;=1E+307")-1),2)))</x:f>
        <x:v>100</x:v>
      </x:c>
      <x:c r="AI32" s="52" t="n">
        <x:f>IF(COUNT(AG32,AH32)=0,"",ROUND((IF(ISNUMBER(AG32),AG32*'Sheet1-指标体系'!$G$10*'Sheet1-指标体系'!$J$8,0)+IF(ISNUMBER(AH32),AH32*'Sheet1-指标体系'!$G$10*'Sheet1-指标体系'!$J$9,0))/(IF(ISNUMBER(AG32),'Sheet1-指标体系'!$G$10*'Sheet1-指标体系'!$J$8,0)+IF(ISNUMBER(AH32),'Sheet1-指标体系'!$G$10*'Sheet1-指标体系'!$J$9,0)),2))</x:f>
        <x:v>100</x:v>
      </x:c>
      <x:c r="AJ32" s="44" t="n">
        <x:f>IF(NOT(ISNUMBER(F32)),"",IF(F32&gt;='Sheet1-指标体系'!$J$16,IF(ISNUMBER(N32),N32,""),IF(ISNUMBER(O32),O32,"")))</x:f>
        <x:v>0.0809</x:v>
      </x:c>
      <x:c r="AK32" s="52" t="n">
        <x:f>IF(OR(G32&lt;&gt;"入池",COUNT(M32,AJ32)&lt;&gt;2),"",IF(M32&gt;=AJ32,'Sheet1-指标体系'!$J$18,IF(AJ32-M32&lt;'Sheet1-指标体系'!$J$10,'Sheet1-指标体系'!$J$22,'Sheet1-指标体系'!$J$23)))</x:f>
        <x:v>100</x:v>
      </x:c>
      <x:c r="AL32" s="52" t="n">
        <x:f>IF(COUNT(I32,K32,L32)=0,"",ROUND((IF(ISNUMBER(I32),I32*'Sheet1-指标体系'!$G$4,0)+IF(ISNUMBER(K32),K32*'Sheet1-指标体系'!$G$5,0)+IF(ISNUMBER(L32),L32*'Sheet1-指标体系'!$G$6,0))/(IF(ISNUMBER(I32),'Sheet1-指标体系'!$G$4,0)+IF(ISNUMBER(K32),'Sheet1-指标体系'!$G$5,0)+IF(ISNUMBER(L32),'Sheet1-指标体系'!$G$6,0)),2))</x:f>
        <x:v>84</x:v>
      </x:c>
      <x:c r="AM32" s="52" t="n">
        <x:f>IF(COUNT(Q32,R32,W32,X32)=0,"",ROUND((IF(ISNUMBER(Q32),Q32*'Sheet1-指标体系'!$G$7*'Sheet1-指标体系'!$J$8,0)+IF(ISNUMBER(R32),R32*'Sheet1-指标体系'!$G$7*'Sheet1-指标体系'!$J$9,0)+IF(ISNUMBER(W32),W32*'Sheet1-指标体系'!$G$8*'Sheet1-指标体系'!$J$8,0)+IF(ISNUMBER(X32),X32*'Sheet1-指标体系'!$G$8*'Sheet1-指标体系'!$J$9,0))/(IF(ISNUMBER(Q32),'Sheet1-指标体系'!$G$7*'Sheet1-指标体系'!$J$8,0)+IF(ISNUMBER(R32),'Sheet1-指标体系'!$G$7*'Sheet1-指标体系'!$J$9,0)+IF(ISNUMBER(W32),'Sheet1-指标体系'!$G$8*'Sheet1-指标体系'!$J$8,0)+IF(ISNUMBER(X32),'Sheet1-指标体系'!$G$8*'Sheet1-指标体系'!$J$9,0)),2))</x:f>
        <x:v>68.88</x:v>
      </x:c>
      <x:c r="AN32" s="52" t="n">
        <x:f>IF(ISNUMBER(AC32),AC32,"")</x:f>
        <x:v>96.55</x:v>
      </x:c>
      <x:c r="AO32" s="52" t="n">
        <x:f>IF(COUNT(AG32,AH32)=0,"",ROUND((IF(ISNUMBER(AG32),AG32*'Sheet1-指标体系'!$G$10*'Sheet1-指标体系'!$J$8,0)+IF(ISNUMBER(AH32),AH32*'Sheet1-指标体系'!$G$10*'Sheet1-指标体系'!$J$9,0))/(IF(ISNUMBER(AG32),'Sheet1-指标体系'!$G$10*'Sheet1-指标体系'!$J$8,0)+IF(ISNUMBER(AH32),'Sheet1-指标体系'!$G$10*'Sheet1-指标体系'!$J$9,0)),2))</x:f>
        <x:v>100</x:v>
      </x:c>
      <x:c r="AP32" s="52" t="n">
        <x:f>IF(ISNUMBER(AK32),AK32,"")</x:f>
        <x:v>100</x:v>
      </x:c>
      <x:c r="AQ32" s="27" t="n">
        <x:f>IF(G32&lt;&gt;"入池",0,IF(ISNUMBER(I32),'Sheet1-指标体系'!$G$4,0)+IF(ISNUMBER(K32),'Sheet1-指标体系'!$G$5,0)+IF(ISNUMBER(L32),'Sheet1-指标体系'!$G$6,0)+IF(ISNUMBER(Q32),'Sheet1-指标体系'!$G$7*'Sheet1-指标体系'!$J$8,0)+IF(ISNUMBER(R32),'Sheet1-指标体系'!$G$7*'Sheet1-指标体系'!$J$9,0)+IF(ISNUMBER(W32),'Sheet1-指标体系'!$G$8*'Sheet1-指标体系'!$J$8,0)+IF(ISNUMBER(X32),'Sheet1-指标体系'!$G$8*'Sheet1-指标体系'!$J$9,0)+IF(ISNUMBER(AC32),'Sheet1-指标体系'!$G$9,0)+IF(ISNUMBER(AG32),'Sheet1-指标体系'!$G$10*'Sheet1-指标体系'!$J$8,0)+IF(ISNUMBER(AH32),'Sheet1-指标体系'!$G$10*'Sheet1-指标体系'!$J$9,0)+IF(ISNUMBER(AK32),'Sheet1-指标体系'!$G$11,0))</x:f>
        <x:v>1</x:v>
      </x:c>
      <x:c r="AR32" s="52" t="n">
        <x:f>IF(AQ32=0,"",IF(ISNUMBER(I32),I32*'Sheet1-指标体系'!$G$4,0)+IF(ISNUMBER(K32),K32*'Sheet1-指标体系'!$G$5,0)+IF(ISNUMBER(L32),L32*'Sheet1-指标体系'!$G$6,0)+IF(ISNUMBER(Q32),Q32*'Sheet1-指标体系'!$G$7*'Sheet1-指标体系'!$J$8,0)+IF(ISNUMBER(R32),R32*'Sheet1-指标体系'!$G$7*'Sheet1-指标体系'!$J$9,0)+IF(ISNUMBER(W32),W32*'Sheet1-指标体系'!$G$8*'Sheet1-指标体系'!$J$8,0)+IF(ISNUMBER(X32),X32*'Sheet1-指标体系'!$G$8*'Sheet1-指标体系'!$J$9,0)+IF(ISNUMBER(AC32),AC32*'Sheet1-指标体系'!$G$9,0)+IF(ISNUMBER(AG32),AG32*'Sheet1-指标体系'!$G$10*'Sheet1-指标体系'!$J$8,0)+IF(ISNUMBER(AH32),AH32*'Sheet1-指标体系'!$G$10*'Sheet1-指标体系'!$J$9,0)+IF(ISNUMBER(AK32),AK32*'Sheet1-指标体系'!$G$11,0))</x:f>
        <x:v>90.51257</x:v>
      </x:c>
      <x:c r="AS32" s="52" t="n">
        <x:f>IF(AQ32=0,"",ROUND(AR32/AQ32,2))</x:f>
        <x:v>90.51</x:v>
      </x:c>
      <x:c r="AT32" s="49" t="n">
        <x:f>IF(OR(G32&lt;&gt;"入池",NOT(ISNUMBER(AS32))),"",COUNTIFS($G$17:$G$99,"入池",$AS$17:$AS$99,"&gt;"&amp;AS32)+COUNTIFS($G$17:$G$99,"入池",$AS$17:$AS$99,AS32,$AQ$17:$AQ$99,"&gt;"&amp;AQ32)+COUNTIFS($G$17:G32,"入池",$AS$17:AS32,AS32,$AQ$17:AQ32,AQ32))</x:f>
        <x:v>6</x:v>
      </x:c>
      <x:c r="AU32" s="53" t="str">
        <x:f>IF(NOT(ISNUMBER(I32)),"管理人规模；","")&amp;IF(NOT(ISNUMBER(K32)),"产品规模标识；","")&amp;IF(NOT(ISNUMBER(M32)),"近一年收益；","")&amp;IF(NOT(ISNUMBER(T32)),"近一年胜率；","")&amp;IF(NOT(ISNUMBER(N32)),"近三年收益；","")&amp;IF(NOT(ISNUMBER(U32)),"近三年胜率；","")&amp;IF(NOT(ISNUMBER(AA32)),"近三年回撤；","")&amp;IF(NOT(ISNUMBER(AD32)),"近一年卡玛；","")&amp;IF(ISNUMBER(F32),IF(AND(F32&lt;'Sheet1-指标体系'!$J$16,NOT(ISNUMBER(O32))),"成立以来年化；",""),"成立日期；")&amp;IF(ISNUMBER(V32),IF(OR(V32&lt;0,V32&gt;1),"胜率窗口口径不一致；",""),"")&amp;IF(ISNUMBER(P32),IF(NOT(ISNUMBER(AE32)),"DD_long不可识别；",""),"")</x:f>
      </x:c>
      <x:c r="AV32" s="52" t="n">
        <x:f>IF(ROUND(AQ32,10)=ROUND('Sheet1-指标体系'!$J$25,10),AR32,"")</x:f>
        <x:v>90.51257</x:v>
      </x:c>
      <x:c r="AW32" s="14" t="str">
        <x:f>IF(G32&lt;&gt;"入池",G32,IF(AQ32=0,"无有效评分数据",IF(ROUND(AQ32,10)=ROUND('Sheet1-指标体系'!$J$25,10),"完整赋分", "暂定分／数据不完整")))</x:f>
        <x:v>完整赋分</x:v>
      </x:c>
      <x:c r="AX32" s="45" t="str">
        <x:f>IF('Sheet4-原始数据'!C17="","",'Sheet4-原始数据'!C17)</x:f>
        <x:v>套利策略</x:v>
      </x:c>
      <x:c r="AY32" s="45" t="str">
        <x:f>IF('Sheet4-原始数据'!D17="","",'Sheet4-原始数据'!D17)</x:f>
        <x:v>期货套利</x:v>
      </x:c>
      <x:c r="AZ32" s="45" t="str">
        <x:f>IF('Sheet5-查询核对'!S17="","",'Sheet5-查询核对'!S17)</x:f>
        <x:v>套利策略—期货套利</x:v>
      </x:c>
      <x:c r="BA32" s="51" t="n">
        <x:f>IF('Sheet5-查询核对'!A17="","",'Sheet5-查询核对'!A17)</x:f>
        <x:v>17</x:v>
      </x:c>
      <x:c r="BB32" s="45" t="str">
        <x:f>IF('Sheet5-查询核对'!F17="","",'Sheet5-查询核对'!F17)</x:f>
        <x:v>备案号匹配</x:v>
      </x:c>
      <x:c r="BC32" s="50" t="str">
        <x:f>IF('Sheet5-查询核对'!I17="","",'Sheet5-查询核对'!I17)</x:f>
        <x:v>https://mp.fof99.com/fund/view/572bc921ce9d2893</x:v>
      </x:c>
      <x:c r="BD32" s="46" t="n">
        <x:f>IF('Sheet5-查询核对'!H17="","",'Sheet5-查询核对'!H17)</x:f>
        <x:v>46269</x:v>
      </x:c>
      <x:c r="BE32" s="50" t="str">
        <x:f>IF('Sheet5-查询核对'!L17="","",'Sheet5-查询核对'!L17)</x:f>
        <x:v>https://mp.fof99.com/fund/view/572bc921ce9d2893</x:v>
      </x:c>
      <x:c r="BF32" s="46" t="n">
        <x:f>IF('Sheet5-查询核对'!M17="","",'Sheet5-查询核对'!M17)</x:f>
        <x:v>46275</x:v>
      </x:c>
      <x:c r="BG32" s="50" t="str">
        <x:f>IF('Sheet5-查询核对'!O17="","",'Sheet5-查询核对'!O17)</x:f>
        <x:v>https://gs.amac.org.cn/amac-infodisc/res/pof/fund/2206241503107051.html</x:v>
      </x:c>
      <x:c r="BH32" s="46" t="n">
        <x:f>IF('Sheet5-查询核对'!P17="","",'Sheet5-查询核对'!P17)</x:f>
        <x:v>46275</x:v>
      </x:c>
      <x:c r="BI32" s="45" t="str">
        <x:f>IF('Sheet5-查询核对'!D17="","",'Sheet5-查询核对'!D17)</x:f>
        <x:v>SVH487</x:v>
      </x:c>
      <x:c r="BJ32" t="n">
        <x:f>IF(ISNUMBER(AT32),AT32,COUNT($AT$17:$AT$99)+ROWS($AT$17:AT32)-COUNT($AT$17:AT32))</x:f>
        <x:v>6</x:v>
      </x:c>
    </x:row>
    <x:row r="33" ht="44" customHeight="1">
      <x:c r="A33" s="49" t="n">
        <x:f>'Sheet5-查询核对'!A18-1</x:f>
        <x:v>17</x:v>
      </x:c>
      <x:c r="B33" s="50" t="str">
        <x:f>IF('Sheet4-原始数据'!A18="",'Sheet5-查询核对'!B18,'Sheet4-原始数据'!A18)</x:f>
        <x:v>广联宏丰利1号</x:v>
      </x:c>
      <x:c r="C33" s="45" t="str">
        <x:f>IF('Sheet4-原始数据'!B18="","",'Sheet4-原始数据'!B18)</x:f>
        <x:v>SAGN89</x:v>
      </x:c>
      <x:c r="D33" s="45" t="str">
        <x:f>IF('Sheet4-原始数据'!E18="","",'Sheet4-原始数据'!E18)</x:f>
        <x:v>海南广联宏</x:v>
      </x:c>
      <x:c r="E33" s="46" t="n">
        <x:f>IF('Sheet4-原始数据'!F18="","",'Sheet4-原始数据'!F18)</x:f>
        <x:v>45322</x:v>
      </x:c>
      <x:c r="F33" s="52" t="n">
        <x:f>IF(ISNUMBER(E33),ROUND(('Sheet1-指标体系'!$J$12-E33)/'Sheet1-指标体系'!$J$14,4),"")</x:f>
        <x:v>2.6092</x:v>
      </x:c>
      <x:c r="G33" s="14" t="str">
        <x:f>IF(C33="","未匹配",IF(NOT(ISNUMBER(F33)),"缺成立日期",IF(F33&lt;'Sheet1-指标体系'!$J$15,"不入池","入池")))</x:f>
        <x:v>入池</x:v>
      </x:c>
      <x:c r="H33" s="45" t="str">
        <x:f>IF('Sheet5-查询核对'!K18="","",'Sheet5-查询核对'!K18)</x:f>
        <x:v>5-10亿元</x:v>
      </x:c>
      <x:c r="I33" s="52" t="n">
        <x:f>IF(H33="","",IF(COUNTIF('Sheet1-指标体系'!$P$4:$P$10,H33)=0,"",INDEX('Sheet1-指标体系'!$Q$4:$Q$10,MATCH(H33,'Sheet1-指标体系'!$P$4:$P$10,0))))</x:f>
        <x:v>70</x:v>
      </x:c>
      <x:c r="J33" s="54" t="str">
        <x:f>IF(NOT(ISNUMBER('Sheet5-查询核对'!N18)),"",IF('Sheet5-查询核对'!N18=1,"低于"&amp;'Sheet1-指标体系'!$J$4&amp;"万元",IF('Sheet5-查询核对'!N18=0,"无低于"&amp;'Sheet1-指标体系'!$J$4&amp;"万元标识","")))</x:f>
        <x:v>无低于1000万元标识</x:v>
      </x:c>
      <x:c r="K33" s="52" t="n">
        <x:f>IF(NOT(ISNUMBER('Sheet5-查询核对'!N18)),"",IF('Sheet5-查询核对'!N18=1,'Sheet1-指标体系'!$J$21,IF('Sheet5-查询核对'!N18=0,'Sheet1-指标体系'!$J$18,"")))</x:f>
        <x:v>100</x:v>
      </x:c>
      <x:c r="L33" s="52" t="n">
        <x:f>IF(NOT(ISNUMBER(F33)),"",IF(F33&lt;'Sheet1-指标体系'!$J$15,"",IF(F33&lt;'Sheet1-指标体系'!$J$16,'Sheet1-指标体系'!$J$17,'Sheet1-指标体系'!$J$18)))</x:f>
        <x:v>70</x:v>
      </x:c>
      <x:c r="M33" s="47" t="n">
        <x:f>IF(ISNUMBER('Sheet4-原始数据'!G18),'Sheet4-原始数据'!G18,"")</x:f>
        <x:v>0.4446</x:v>
      </x:c>
      <x:c r="N33" s="47" t="str">
        <x:f>IF(ISNUMBER('Sheet4-原始数据'!H18),'Sheet4-原始数据'!H18,"")</x:f>
      </x:c>
      <x:c r="O33" s="47" t="n">
        <x:f>IF(ISNUMBER('Sheet5-查询核对'!Q18),'Sheet5-查询核对'!Q18,"")</x:f>
        <x:v>0.3039</x:v>
      </x:c>
      <x:c r="P33" s="44" t="n">
        <x:f>IF($G33&lt;&gt;"入池","",IF($F33&gt;='Sheet1-指标体系'!$J$16,IF(COUNT(M33,N33)&lt;&gt;2,"",IF(OR(1+M33&lt;=0,1+N33&lt;0),"",((1+N33)^'Sheet1-指标体系'!$J$16/(1+M33))^(1/('Sheet1-指标体系'!$J$16-'Sheet1-指标体系'!$J$15))-1)),IF(COUNT(M33,O33)&lt;&gt;2,"",IF(OR(F33&lt;='Sheet1-指标体系'!$J$15,1+M33&lt;=0,1+O33&lt;0),"",((1+O33)^F33/(1+M33))^(1/(F33-'Sheet1-指标体系'!$J$15))-1))))</x:f>
        <x:v>0.22345704629911767</x:v>
      </x:c>
      <x:c r="Q33" s="52" t="n">
        <x:f>IF(OR($G33&lt;&gt;"入池",NOT(ISNUMBER(M33))),"",IF(COUNTIFS($G$17:$G$99,"入池",$M$17:$M$99,"&gt;=-1E+307",$M$17:$M$99,"&lt;=1E+307")&lt;=1,'Sheet1-指标体系'!$J$18,ROUND('Sheet1-指标体系'!$J$18*(COUNTIFS($G$17:$G$99,"入池",$M$17:$M$99,"&gt;=-1E+307",$M$17:$M$99,"&lt;"&amp;M33)+COUNTIFS($G$17:$G$99,"入池",$M$17:$M$99,"&gt;=-1E+307",$M$17:$M$99,"&lt;=1E+307",$M$17:$M$99,M33)/2-0.5)/(COUNTIFS($G$17:$G$99,"入池",$M$17:$M$99,"&gt;=-1E+307",$M$17:$M$99,"&lt;=1E+307")-1),2)))</x:f>
        <x:v>100</x:v>
      </x:c>
      <x:c r="R33" s="52" t="n">
        <x:f>IF(OR($G33&lt;&gt;"入池",NOT(ISNUMBER(P33))),"",IF(COUNTIFS($G$17:$G$99,"入池",$P$17:$P$99,"&gt;=-1E+307",$P$17:$P$99,"&lt;=1E+307")&lt;=1,'Sheet1-指标体系'!$J$18,ROUND('Sheet1-指标体系'!$J$18*(COUNTIFS($G$17:$G$99,"入池",$P$17:$P$99,"&gt;=-1E+307",$P$17:$P$99,"&lt;"&amp;P33)+COUNTIFS($G$17:$G$99,"入池",$P$17:$P$99,"&gt;=-1E+307",$P$17:$P$99,"&lt;=1E+307",$P$17:$P$99,P33)/2-0.5)/(COUNTIFS($G$17:$G$99,"入池",$P$17:$P$99,"&gt;=-1E+307",$P$17:$P$99,"&lt;=1E+307")-1),2)))</x:f>
        <x:v>100</x:v>
      </x:c>
      <x:c r="S33" s="52" t="n">
        <x:f>IF(COUNT(Q33,R33)=0,"",ROUND((IF(ISNUMBER(Q33),Q33*'Sheet1-指标体系'!$G$7*'Sheet1-指标体系'!$J$8,0)+IF(ISNUMBER(R33),R33*'Sheet1-指标体系'!$G$7*'Sheet1-指标体系'!$J$9,0))/(IF(ISNUMBER(Q33),'Sheet1-指标体系'!$G$7*'Sheet1-指标体系'!$J$8,0)+IF(ISNUMBER(R33),'Sheet1-指标体系'!$G$7*'Sheet1-指标体系'!$J$9,0)),2))</x:f>
        <x:v>100</x:v>
      </x:c>
      <x:c r="T33" s="47" t="n">
        <x:f>IF(ISNUMBER('Sheet4-原始数据'!J18),'Sheet4-原始数据'!J18,"")</x:f>
        <x:v>0.8462000000000001</x:v>
      </x:c>
      <x:c r="U33" s="47" t="str">
        <x:f>IF(ISNUMBER('Sheet4-原始数据'!I18),'Sheet4-原始数据'!I18,"")</x:f>
      </x:c>
      <x:c r="V33" s="44" t="str">
        <x:f>IF(COUNT(T33:U33)&lt;&gt;2,"",(U33*'Sheet1-指标体系'!$J$6-T33*'Sheet1-指标体系'!$J$5)/'Sheet1-指标体系'!$J$7)</x:f>
      </x:c>
      <x:c r="W33" s="52" t="n">
        <x:f>IF(NOT(ISNUMBER(T33)),"",T33*'Sheet1-指标体系'!$J$18)</x:f>
        <x:v>84.62</x:v>
      </x:c>
      <x:c r="X33" s="52" t="str">
        <x:f>IF(G33&lt;&gt;"入池","",IF(ISNUMBER(V33),IF(AND(V33&gt;=0,V33&lt;=1),V33*'Sheet1-指标体系'!$J$18,IF(MAX(0,(F33-'Sheet1-指标体系'!$J$15)*'Sheet1-指标体系'!$J$20)&lt;'Sheet1-指标体系'!$J$19,'Sheet1-指标体系'!$J$18,"")),IF(MAX(0,(F33-'Sheet1-指标体系'!$J$15)*'Sheet1-指标体系'!$J$20)&lt;'Sheet1-指标体系'!$J$19,'Sheet1-指标体系'!$J$18,"")))</x:f>
      </x:c>
      <x:c r="Y33" s="52" t="n">
        <x:f>IF(NOT(ISNUMBER(W33)),"",IF(COUNT(W33,X33)=0,"",ROUND((IF(ISNUMBER(W33),W33*'Sheet1-指标体系'!$G$8*'Sheet1-指标体系'!$J$8,0)+IF(ISNUMBER(X33),X33*'Sheet1-指标体系'!$G$8*'Sheet1-指标体系'!$J$9,0))/(IF(ISNUMBER(W33),'Sheet1-指标体系'!$G$8*'Sheet1-指标体系'!$J$8,0)+IF(ISNUMBER(X33),'Sheet1-指标体系'!$G$8*'Sheet1-指标体系'!$J$9,0)),2)))</x:f>
        <x:v>84.62</x:v>
      </x:c>
      <x:c r="Z33" s="44" t="n">
        <x:f>IF(COUNT(M33,AD33)&lt;&gt;2,"",IF(AD33=0,"",ABS(M33/AD33)))</x:f>
        <x:v>0.051405381031113785</x:v>
      </x:c>
      <x:c r="AA33" s="47" t="str">
        <x:f>IF(ISNUMBER('Sheet4-原始数据'!K18),'Sheet4-原始数据'!K18,"")</x:f>
      </x:c>
      <x:c r="AB33" s="44" t="n">
        <x:f>IF(COUNT(Z33:AA33)=0,"",MAX(Z33:AA33))</x:f>
        <x:v>0.051405381031113785</x:v>
      </x:c>
      <x:c r="AC33" s="52" t="n">
        <x:f>IF(OR($G33&lt;&gt;"入池",NOT(ISNUMBER(AB33))),"",IF(COUNTIFS($G$17:$G$99,"入池",$AB$17:$AB$99,"&gt;=-1E+307",$AB$17:$AB$99,"&lt;=1E+307")&lt;=1,'Sheet1-指标体系'!$J$18,ROUND('Sheet1-指标体系'!$J$18*(COUNTIFS($G$17:$G$99,"入池",$AB$17:$AB$99,"&lt;=1E+307",$AB$17:$AB$99,"&gt;"&amp;AB33)+COUNTIFS($G$17:$G$99,"入池",$AB$17:$AB$99,"&gt;=-1E+307",$AB$17:$AB$99,"&lt;=1E+307",$AB$17:$AB$99,AB33)/2-0.5)/(COUNTIFS($G$17:$G$99,"入池",$AB$17:$AB$99,"&gt;=-1E+307",$AB$17:$AB$99,"&lt;=1E+307")-1),2)))</x:f>
        <x:v>13.79</x:v>
      </x:c>
      <x:c r="AD33" s="48" t="n">
        <x:f>IF(ISNUMBER('Sheet4-原始数据'!M18),'Sheet4-原始数据'!M18,"")</x:f>
        <x:v>8.6489</x:v>
      </x:c>
      <x:c r="AE33" s="44" t="str">
        <x:f>IF(COUNT(P33,AA33,Z33)&lt;&gt;3,"",IF(AA33&gt;Z33+'Sheet1-指标体系'!$J$11,AA33,""))</x:f>
      </x:c>
      <x:c r="AF33" s="52" t="str">
        <x:f>IF(COUNT(P33,AE33)&lt;&gt;2,"",IF(AE33=0,"",P33/AE33))</x:f>
      </x:c>
      <x:c r="AG33" s="52" t="n">
        <x:f>IF(OR($G33&lt;&gt;"入池",NOT(ISNUMBER(AD33))),"",IF(COUNTIFS($G$17:$G$99,"入池",$AD$17:$AD$99,"&gt;=-1E+307",$AD$17:$AD$99,"&lt;=1E+307")&lt;=1,'Sheet1-指标体系'!$J$18,ROUND('Sheet1-指标体系'!$J$18*(COUNTIFS($G$17:$G$99,"入池",$AD$17:$AD$99,"&gt;=-1E+307",$AD$17:$AD$99,"&lt;"&amp;AD33)+COUNTIFS($G$17:$G$99,"入池",$AD$17:$AD$99,"&gt;=-1E+307",$AD$17:$AD$99,"&lt;=1E+307",$AD$17:$AD$99,AD33)/2-0.5)/(COUNTIFS($G$17:$G$99,"入池",$AD$17:$AD$99,"&gt;=-1E+307",$AD$17:$AD$99,"&lt;=1E+307")-1),2)))</x:f>
        <x:v>54.55</x:v>
      </x:c>
      <x:c r="AH33" s="52" t="str">
        <x:f>IF(OR($G33&lt;&gt;"入池",NOT(ISNUMBER(AF33))),"",IF(COUNTIFS($G$17:$G$99,"入池",$AF$17:$AF$99,"&gt;=-1E+307",$AF$17:$AF$99,"&lt;=1E+307")&lt;=1,'Sheet1-指标体系'!$J$18,ROUND('Sheet1-指标体系'!$J$18*(COUNTIFS($G$17:$G$99,"入池",$AF$17:$AF$99,"&gt;=-1E+307",$AF$17:$AF$99,"&lt;"&amp;AF33)+COUNTIFS($G$17:$G$99,"入池",$AF$17:$AF$99,"&gt;=-1E+307",$AF$17:$AF$99,"&lt;=1E+307",$AF$17:$AF$99,AF33)/2-0.5)/(COUNTIFS($G$17:$G$99,"入池",$AF$17:$AF$99,"&gt;=-1E+307",$AF$17:$AF$99,"&lt;=1E+307")-1),2)))</x:f>
      </x:c>
      <x:c r="AI33" s="52" t="n">
        <x:f>IF(COUNT(AG33,AH33)=0,"",ROUND((IF(ISNUMBER(AG33),AG33*'Sheet1-指标体系'!$G$10*'Sheet1-指标体系'!$J$8,0)+IF(ISNUMBER(AH33),AH33*'Sheet1-指标体系'!$G$10*'Sheet1-指标体系'!$J$9,0))/(IF(ISNUMBER(AG33),'Sheet1-指标体系'!$G$10*'Sheet1-指标体系'!$J$8,0)+IF(ISNUMBER(AH33),'Sheet1-指标体系'!$G$10*'Sheet1-指标体系'!$J$9,0)),2))</x:f>
        <x:v>54.55</x:v>
      </x:c>
      <x:c r="AJ33" s="44" t="n">
        <x:f>IF(NOT(ISNUMBER(F33)),"",IF(F33&gt;='Sheet1-指标体系'!$J$16,IF(ISNUMBER(N33),N33,""),IF(ISNUMBER(O33),O33,"")))</x:f>
        <x:v>0.3039</x:v>
      </x:c>
      <x:c r="AK33" s="52" t="n">
        <x:f>IF(OR(G33&lt;&gt;"入池",COUNT(M33,AJ33)&lt;&gt;2),"",IF(M33&gt;=AJ33,'Sheet1-指标体系'!$J$18,IF(AJ33-M33&lt;'Sheet1-指标体系'!$J$10,'Sheet1-指标体系'!$J$22,'Sheet1-指标体系'!$J$23)))</x:f>
        <x:v>100</x:v>
      </x:c>
      <x:c r="AL33" s="52" t="n">
        <x:f>IF(COUNT(I33,K33,L33)=0,"",ROUND((IF(ISNUMBER(I33),I33*'Sheet1-指标体系'!$G$4,0)+IF(ISNUMBER(K33),K33*'Sheet1-指标体系'!$G$5,0)+IF(ISNUMBER(L33),L33*'Sheet1-指标体系'!$G$6,0))/(IF(ISNUMBER(I33),'Sheet1-指标体系'!$G$4,0)+IF(ISNUMBER(K33),'Sheet1-指标体系'!$G$5,0)+IF(ISNUMBER(L33),'Sheet1-指标体系'!$G$6,0)),2))</x:f>
        <x:v>79</x:v>
      </x:c>
      <x:c r="AM33" s="52" t="n">
        <x:f>IF(COUNT(Q33,R33,W33,X33)=0,"",ROUND((IF(ISNUMBER(Q33),Q33*'Sheet1-指标体系'!$G$7*'Sheet1-指标体系'!$J$8,0)+IF(ISNUMBER(R33),R33*'Sheet1-指标体系'!$G$7*'Sheet1-指标体系'!$J$9,0)+IF(ISNUMBER(W33),W33*'Sheet1-指标体系'!$G$8*'Sheet1-指标体系'!$J$8,0)+IF(ISNUMBER(X33),X33*'Sheet1-指标体系'!$G$8*'Sheet1-指标体系'!$J$9,0))/(IF(ISNUMBER(Q33),'Sheet1-指标体系'!$G$7*'Sheet1-指标体系'!$J$8,0)+IF(ISNUMBER(R33),'Sheet1-指标体系'!$G$7*'Sheet1-指标体系'!$J$9,0)+IF(ISNUMBER(W33),'Sheet1-指标体系'!$G$8*'Sheet1-指标体系'!$J$8,0)+IF(ISNUMBER(X33),'Sheet1-指标体系'!$G$8*'Sheet1-指标体系'!$J$9,0)),2))</x:f>
        <x:v>96.85</x:v>
      </x:c>
      <x:c r="AN33" s="52" t="n">
        <x:f>IF(ISNUMBER(AC33),AC33,"")</x:f>
        <x:v>13.79</x:v>
      </x:c>
      <x:c r="AO33" s="52" t="n">
        <x:f>IF(COUNT(AG33,AH33)=0,"",ROUND((IF(ISNUMBER(AG33),AG33*'Sheet1-指标体系'!$G$10*'Sheet1-指标体系'!$J$8,0)+IF(ISNUMBER(AH33),AH33*'Sheet1-指标体系'!$G$10*'Sheet1-指标体系'!$J$9,0))/(IF(ISNUMBER(AG33),'Sheet1-指标体系'!$G$10*'Sheet1-指标体系'!$J$8,0)+IF(ISNUMBER(AH33),'Sheet1-指标体系'!$G$10*'Sheet1-指标体系'!$J$9,0)),2))</x:f>
        <x:v>54.55</x:v>
      </x:c>
      <x:c r="AP33" s="52" t="n">
        <x:f>IF(ISNUMBER(AK33),AK33,"")</x:f>
        <x:v>100</x:v>
      </x:c>
      <x:c r="AQ33" s="27" t="n">
        <x:f>IF(G33&lt;&gt;"入池",0,IF(ISNUMBER(I33),'Sheet1-指标体系'!$G$4,0)+IF(ISNUMBER(K33),'Sheet1-指标体系'!$G$5,0)+IF(ISNUMBER(L33),'Sheet1-指标体系'!$G$6,0)+IF(ISNUMBER(Q33),'Sheet1-指标体系'!$G$7*'Sheet1-指标体系'!$J$8,0)+IF(ISNUMBER(R33),'Sheet1-指标体系'!$G$7*'Sheet1-指标体系'!$J$9,0)+IF(ISNUMBER(W33),'Sheet1-指标体系'!$G$8*'Sheet1-指标体系'!$J$8,0)+IF(ISNUMBER(X33),'Sheet1-指标体系'!$G$8*'Sheet1-指标体系'!$J$9,0)+IF(ISNUMBER(AC33),'Sheet1-指标体系'!$G$9,0)+IF(ISNUMBER(AG33),'Sheet1-指标体系'!$G$10*'Sheet1-指标体系'!$J$8,0)+IF(ISNUMBER(AH33),'Sheet1-指标体系'!$G$10*'Sheet1-指标体系'!$J$9,0)+IF(ISNUMBER(AK33),'Sheet1-指标体系'!$G$11,0))</x:f>
        <x:v>0.856</x:v>
      </x:c>
      <x:c r="AR33" s="52" t="n">
        <x:f>IF(AQ33=0,"",IF(ISNUMBER(I33),I33*'Sheet1-指标体系'!$G$4,0)+IF(ISNUMBER(K33),K33*'Sheet1-指标体系'!$G$5,0)+IF(ISNUMBER(L33),L33*'Sheet1-指标体系'!$G$6,0)+IF(ISNUMBER(Q33),Q33*'Sheet1-指标体系'!$G$7*'Sheet1-指标体系'!$J$8,0)+IF(ISNUMBER(R33),R33*'Sheet1-指标体系'!$G$7*'Sheet1-指标体系'!$J$9,0)+IF(ISNUMBER(W33),W33*'Sheet1-指标体系'!$G$8*'Sheet1-指标体系'!$J$8,0)+IF(ISNUMBER(X33),X33*'Sheet1-指标体系'!$G$8*'Sheet1-指标体系'!$J$9,0)+IF(ISNUMBER(AC33),AC33*'Sheet1-指标体系'!$G$9,0)+IF(ISNUMBER(AG33),AG33*'Sheet1-指标体系'!$G$10*'Sheet1-指标体系'!$J$8,0)+IF(ISNUMBER(AH33),AH33*'Sheet1-指标体系'!$G$10*'Sheet1-指标体系'!$J$9,0)+IF(ISNUMBER(AK33),AK33*'Sheet1-指标体系'!$G$11,0))</x:f>
        <x:v>52.162819999999996</x:v>
      </x:c>
      <x:c r="AS33" s="52" t="n">
        <x:f>IF(AQ33=0,"",ROUND(AR33/AQ33,2))</x:f>
        <x:v>60.94</x:v>
      </x:c>
      <x:c r="AT33" s="49" t="n">
        <x:f>IF(OR(G33&lt;&gt;"入池",NOT(ISNUMBER(AS33))),"",COUNTIFS($G$17:$G$99,"入池",$AS$17:$AS$99,"&gt;"&amp;AS33)+COUNTIFS($G$17:$G$99,"入池",$AS$17:$AS$99,AS33,$AQ$17:$AQ$99,"&gt;"&amp;AQ33)+COUNTIFS($G$17:G33,"入池",$AS$17:AS33,AS33,$AQ$17:AQ33,AQ33))</x:f>
        <x:v>49</x:v>
      </x:c>
      <x:c r="AU33" s="53" t="str">
        <x:f>IF(NOT(ISNUMBER(I33)),"管理人规模；","")&amp;IF(NOT(ISNUMBER(K33)),"产品规模标识；","")&amp;IF(NOT(ISNUMBER(M33)),"近一年收益；","")&amp;IF(NOT(ISNUMBER(T33)),"近一年胜率；","")&amp;IF(NOT(ISNUMBER(N33)),"近三年收益；","")&amp;IF(NOT(ISNUMBER(U33)),"近三年胜率；","")&amp;IF(NOT(ISNUMBER(AA33)),"近三年回撤；","")&amp;IF(NOT(ISNUMBER(AD33)),"近一年卡玛；","")&amp;IF(ISNUMBER(F33),IF(AND(F33&lt;'Sheet1-指标体系'!$J$16,NOT(ISNUMBER(O33))),"成立以来年化；",""),"成立日期；")&amp;IF(ISNUMBER(V33),IF(OR(V33&lt;0,V33&gt;1),"胜率窗口口径不一致；",""),"")&amp;IF(ISNUMBER(P33),IF(NOT(ISNUMBER(AE33)),"DD_long不可识别；",""),"")</x:f>
        <x:v>近三年收益；近三年胜率；近三年回撤；DD_long不可识别；</x:v>
      </x:c>
      <x:c r="AV33" s="52" t="str">
        <x:f>IF(ROUND(AQ33,10)=ROUND('Sheet1-指标体系'!$J$25,10),AR33,"")</x:f>
      </x:c>
      <x:c r="AW33" s="14" t="str">
        <x:f>IF(G33&lt;&gt;"入池",G33,IF(AQ33=0,"无有效评分数据",IF(ROUND(AQ33,10)=ROUND('Sheet1-指标体系'!$J$25,10),"完整赋分", "暂定分／数据不完整")))</x:f>
        <x:v>暂定分／数据不完整</x:v>
      </x:c>
      <x:c r="AX33" s="45" t="str">
        <x:f>IF('Sheet4-原始数据'!C18="","",'Sheet4-原始数据'!C18)</x:f>
        <x:v>套利策略</x:v>
      </x:c>
      <x:c r="AY33" s="45" t="str">
        <x:f>IF('Sheet4-原始数据'!D18="","",'Sheet4-原始数据'!D18)</x:f>
        <x:v>期货套利</x:v>
      </x:c>
      <x:c r="AZ33" s="45" t="str">
        <x:f>IF('Sheet5-查询核对'!S18="","",'Sheet5-查询核对'!S18)</x:f>
        <x:v>套利策略—期货套利</x:v>
      </x:c>
      <x:c r="BA33" s="51" t="n">
        <x:f>IF('Sheet5-查询核对'!A18="","",'Sheet5-查询核对'!A18)</x:f>
        <x:v>18</x:v>
      </x:c>
      <x:c r="BB33" s="45" t="str">
        <x:f>IF('Sheet5-查询核对'!F18="","",'Sheet5-查询核对'!F18)</x:f>
        <x:v>备案号匹配</x:v>
      </x:c>
      <x:c r="BC33" s="50" t="str">
        <x:f>IF('Sheet5-查询核对'!I18="","",'Sheet5-查询核对'!I18)</x:f>
        <x:v>https://mp.fof99.com/fund/view/bf37a6579525f8b3</x:v>
      </x:c>
      <x:c r="BD33" s="46" t="n">
        <x:f>IF('Sheet5-查询核对'!H18="","",'Sheet5-查询核对'!H18)</x:f>
        <x:v>46269</x:v>
      </x:c>
      <x:c r="BE33" s="50" t="str">
        <x:f>IF('Sheet5-查询核对'!L18="","",'Sheet5-查询核对'!L18)</x:f>
        <x:v>https://mp.fof99.com/fund/view/bf37a6579525f8b3</x:v>
      </x:c>
      <x:c r="BF33" s="46" t="n">
        <x:f>IF('Sheet5-查询核对'!M18="","",'Sheet5-查询核对'!M18)</x:f>
        <x:v>46275</x:v>
      </x:c>
      <x:c r="BG33" s="50" t="str">
        <x:f>IF('Sheet5-查询核对'!O18="","",'Sheet5-查询核对'!O18)</x:f>
        <x:v>https://gs.amac.org.cn/amac-infodisc/res/pof/fund/2402061715110753.html</x:v>
      </x:c>
      <x:c r="BH33" s="46" t="n">
        <x:f>IF('Sheet5-查询核对'!P18="","",'Sheet5-查询核对'!P18)</x:f>
        <x:v>46275</x:v>
      </x:c>
      <x:c r="BI33" s="45" t="str">
        <x:f>IF('Sheet5-查询核对'!D18="","",'Sheet5-查询核对'!D18)</x:f>
        <x:v>SAGN89</x:v>
      </x:c>
      <x:c r="BJ33" t="n">
        <x:f>IF(ISNUMBER(AT33),AT33,COUNT($AT$17:$AT$99)+ROWS($AT$17:AT33)-COUNT($AT$17:AT33))</x:f>
        <x:v>49</x:v>
      </x:c>
    </x:row>
    <x:row r="34" ht="44" customHeight="1">
      <x:c r="A34" s="49" t="n">
        <x:f>'Sheet5-查询核对'!A19-1</x:f>
        <x:v>18</x:v>
      </x:c>
      <x:c r="B34" s="50" t="str">
        <x:f>IF('Sheet4-原始数据'!A19="",'Sheet5-查询核对'!B19,'Sheet4-原始数据'!A19)</x:f>
        <x:v>广联宏稳健2号</x:v>
      </x:c>
      <x:c r="C34" s="45" t="str">
        <x:f>IF('Sheet4-原始数据'!B19="","",'Sheet4-原始数据'!B19)</x:f>
        <x:v>SATV20</x:v>
      </x:c>
      <x:c r="D34" s="45" t="str">
        <x:f>IF('Sheet4-原始数据'!E19="","",'Sheet4-原始数据'!E19)</x:f>
        <x:v>海南广联宏</x:v>
      </x:c>
      <x:c r="E34" s="46" t="n">
        <x:f>IF('Sheet4-原始数据'!F19="","",'Sheet4-原始数据'!F19)</x:f>
        <x:v>45705</x:v>
      </x:c>
      <x:c r="F34" s="52" t="n">
        <x:f>IF(ISNUMBER(E34),ROUND(('Sheet1-指标体系'!$J$12-E34)/'Sheet1-指标体系'!$J$14,4),"")</x:f>
        <x:v>1.5606</x:v>
      </x:c>
      <x:c r="G34" s="14" t="str">
        <x:f>IF(C34="","未匹配",IF(NOT(ISNUMBER(F34)),"缺成立日期",IF(F34&lt;'Sheet1-指标体系'!$J$15,"不入池","入池")))</x:f>
        <x:v>入池</x:v>
      </x:c>
      <x:c r="H34" s="45" t="str">
        <x:f>IF('Sheet5-查询核对'!K19="","",'Sheet5-查询核对'!K19)</x:f>
        <x:v>5-10亿元</x:v>
      </x:c>
      <x:c r="I34" s="52" t="n">
        <x:f>IF(H34="","",IF(COUNTIF('Sheet1-指标体系'!$P$4:$P$10,H34)=0,"",INDEX('Sheet1-指标体系'!$Q$4:$Q$10,MATCH(H34,'Sheet1-指标体系'!$P$4:$P$10,0))))</x:f>
        <x:v>70</x:v>
      </x:c>
      <x:c r="J34" s="54" t="str">
        <x:f>IF(NOT(ISNUMBER('Sheet5-查询核对'!N19)),"",IF('Sheet5-查询核对'!N19=1,"低于"&amp;'Sheet1-指标体系'!$J$4&amp;"万元",IF('Sheet5-查询核对'!N19=0,"无低于"&amp;'Sheet1-指标体系'!$J$4&amp;"万元标识","")))</x:f>
        <x:v>无低于1000万元标识</x:v>
      </x:c>
      <x:c r="K34" s="52" t="n">
        <x:f>IF(NOT(ISNUMBER('Sheet5-查询核对'!N19)),"",IF('Sheet5-查询核对'!N19=1,'Sheet1-指标体系'!$J$21,IF('Sheet5-查询核对'!N19=0,'Sheet1-指标体系'!$J$18,"")))</x:f>
        <x:v>100</x:v>
      </x:c>
      <x:c r="L34" s="52" t="n">
        <x:f>IF(NOT(ISNUMBER(F34)),"",IF(F34&lt;'Sheet1-指标体系'!$J$15,"",IF(F34&lt;'Sheet1-指标体系'!$J$16,'Sheet1-指标体系'!$J$17,'Sheet1-指标体系'!$J$18)))</x:f>
        <x:v>70</x:v>
      </x:c>
      <x:c r="M34" s="47" t="n">
        <x:f>IF(ISNUMBER('Sheet4-原始数据'!G19),'Sheet4-原始数据'!G19,"")</x:f>
        <x:v>0.20670000000000002</x:v>
      </x:c>
      <x:c r="N34" s="47" t="str">
        <x:f>IF(ISNUMBER('Sheet4-原始数据'!H19),'Sheet4-原始数据'!H19,"")</x:f>
      </x:c>
      <x:c r="O34" s="47" t="n">
        <x:f>IF(ISNUMBER('Sheet5-查询核对'!Q19),'Sheet5-查询核对'!Q19,"")</x:f>
        <x:v>0.18760000000000002</x:v>
      </x:c>
      <x:c r="P34" s="44" t="n">
        <x:f>IF($G34&lt;&gt;"入池","",IF($F34&gt;='Sheet1-指标体系'!$J$16,IF(COUNT(M34,N34)&lt;&gt;2,"",IF(OR(1+M34&lt;=0,1+N34&lt;0),"",((1+N34)^'Sheet1-指标体系'!$J$16/(1+M34))^(1/('Sheet1-指标体系'!$J$16-'Sheet1-指标体系'!$J$15))-1)),IF(COUNT(M34,O34)&lt;&gt;2,"",IF(OR(F34&lt;='Sheet1-指标体系'!$J$15,1+M34&lt;=0,1+O34&lt;0),"",((1+O34)^F34/(1+M34))^(1/(F34-'Sheet1-指标体系'!$J$15))-1))))</x:f>
        <x:v>0.1542768792671485</x:v>
      </x:c>
      <x:c r="Q34" s="52" t="n">
        <x:f>IF(OR($G34&lt;&gt;"入池",NOT(ISNUMBER(M34))),"",IF(COUNTIFS($G$17:$G$99,"入池",$M$17:$M$99,"&gt;=-1E+307",$M$17:$M$99,"&lt;=1E+307")&lt;=1,'Sheet1-指标体系'!$J$18,ROUND('Sheet1-指标体系'!$J$18*(COUNTIFS($G$17:$G$99,"入池",$M$17:$M$99,"&gt;=-1E+307",$M$17:$M$99,"&lt;"&amp;M34)+COUNTIFS($G$17:$G$99,"入池",$M$17:$M$99,"&gt;=-1E+307",$M$17:$M$99,"&lt;=1E+307",$M$17:$M$99,M34)/2-0.5)/(COUNTIFS($G$17:$G$99,"入池",$M$17:$M$99,"&gt;=-1E+307",$M$17:$M$99,"&lt;=1E+307")-1),2)))</x:f>
        <x:v>91.07</x:v>
      </x:c>
      <x:c r="R34" s="52" t="n">
        <x:f>IF(OR($G34&lt;&gt;"入池",NOT(ISNUMBER(P34))),"",IF(COUNTIFS($G$17:$G$99,"入池",$P$17:$P$99,"&gt;=-1E+307",$P$17:$P$99,"&lt;=1E+307")&lt;=1,'Sheet1-指标体系'!$J$18,ROUND('Sheet1-指标体系'!$J$18*(COUNTIFS($G$17:$G$99,"入池",$P$17:$P$99,"&gt;=-1E+307",$P$17:$P$99,"&lt;"&amp;P34)+COUNTIFS($G$17:$G$99,"入池",$P$17:$P$99,"&gt;=-1E+307",$P$17:$P$99,"&lt;=1E+307",$P$17:$P$99,P34)/2-0.5)/(COUNTIFS($G$17:$G$99,"入池",$P$17:$P$99,"&gt;=-1E+307",$P$17:$P$99,"&lt;=1E+307")-1),2)))</x:f>
        <x:v>88.89</x:v>
      </x:c>
      <x:c r="S34" s="52" t="n">
        <x:f>IF(COUNT(Q34,R34)=0,"",ROUND((IF(ISNUMBER(Q34),Q34*'Sheet1-指标体系'!$G$7*'Sheet1-指标体系'!$J$8,0)+IF(ISNUMBER(R34),R34*'Sheet1-指标体系'!$G$7*'Sheet1-指标体系'!$J$9,0))/(IF(ISNUMBER(Q34),'Sheet1-指标体系'!$G$7*'Sheet1-指标体系'!$J$8,0)+IF(ISNUMBER(R34),'Sheet1-指标体系'!$G$7*'Sheet1-指标体系'!$J$9,0)),2))</x:f>
        <x:v>90.2</x:v>
      </x:c>
      <x:c r="T34" s="47" t="n">
        <x:f>IF(ISNUMBER('Sheet4-原始数据'!J19),'Sheet4-原始数据'!J19,"")</x:f>
        <x:v>0.8462000000000001</x:v>
      </x:c>
      <x:c r="U34" s="47" t="str">
        <x:f>IF(ISNUMBER('Sheet4-原始数据'!I19),'Sheet4-原始数据'!I19,"")</x:f>
      </x:c>
      <x:c r="V34" s="44" t="str">
        <x:f>IF(COUNT(T34:U34)&lt;&gt;2,"",(U34*'Sheet1-指标体系'!$J$6-T34*'Sheet1-指标体系'!$J$5)/'Sheet1-指标体系'!$J$7)</x:f>
      </x:c>
      <x:c r="W34" s="52" t="n">
        <x:f>IF(NOT(ISNUMBER(T34)),"",T34*'Sheet1-指标体系'!$J$18)</x:f>
        <x:v>84.62</x:v>
      </x:c>
      <x:c r="X34" s="52" t="str">
        <x:f>IF(G34&lt;&gt;"入池","",IF(ISNUMBER(V34),IF(AND(V34&gt;=0,V34&lt;=1),V34*'Sheet1-指标体系'!$J$18,IF(MAX(0,(F34-'Sheet1-指标体系'!$J$15)*'Sheet1-指标体系'!$J$20)&lt;'Sheet1-指标体系'!$J$19,'Sheet1-指标体系'!$J$18,"")),IF(MAX(0,(F34-'Sheet1-指标体系'!$J$15)*'Sheet1-指标体系'!$J$20)&lt;'Sheet1-指标体系'!$J$19,'Sheet1-指标体系'!$J$18,"")))</x:f>
      </x:c>
      <x:c r="Y34" s="52" t="n">
        <x:f>IF(NOT(ISNUMBER(W34)),"",IF(COUNT(W34,X34)=0,"",ROUND((IF(ISNUMBER(W34),W34*'Sheet1-指标体系'!$G$8*'Sheet1-指标体系'!$J$8,0)+IF(ISNUMBER(X34),X34*'Sheet1-指标体系'!$G$8*'Sheet1-指标体系'!$J$9,0))/(IF(ISNUMBER(W34),'Sheet1-指标体系'!$G$8*'Sheet1-指标体系'!$J$8,0)+IF(ISNUMBER(X34),'Sheet1-指标体系'!$G$8*'Sheet1-指标体系'!$J$9,0)),2)))</x:f>
        <x:v>84.62</x:v>
      </x:c>
      <x:c r="Z34" s="44" t="n">
        <x:f>IF(COUNT(M34,AD34)&lt;&gt;2,"",IF(AD34=0,"",ABS(M34/AD34)))</x:f>
        <x:v>0.018808520705751754</x:v>
      </x:c>
      <x:c r="AA34" s="47" t="str">
        <x:f>IF(ISNUMBER('Sheet4-原始数据'!K19),'Sheet4-原始数据'!K19,"")</x:f>
      </x:c>
      <x:c r="AB34" s="44" t="n">
        <x:f>IF(COUNT(Z34:AA34)=0,"",MAX(Z34:AA34))</x:f>
        <x:v>0.018808520705751754</x:v>
      </x:c>
      <x:c r="AC34" s="52" t="n">
        <x:f>IF(OR($G34&lt;&gt;"入池",NOT(ISNUMBER(AB34))),"",IF(COUNTIFS($G$17:$G$99,"入池",$AB$17:$AB$99,"&gt;=-1E+307",$AB$17:$AB$99,"&lt;=1E+307")&lt;=1,'Sheet1-指标体系'!$J$18,ROUND('Sheet1-指标体系'!$J$18*(COUNTIFS($G$17:$G$99,"入池",$AB$17:$AB$99,"&lt;=1E+307",$AB$17:$AB$99,"&gt;"&amp;AB34)+COUNTIFS($G$17:$G$99,"入池",$AB$17:$AB$99,"&gt;=-1E+307",$AB$17:$AB$99,"&lt;=1E+307",$AB$17:$AB$99,AB34)/2-0.5)/(COUNTIFS($G$17:$G$99,"入池",$AB$17:$AB$99,"&gt;=-1E+307",$AB$17:$AB$99,"&lt;=1E+307")-1),2)))</x:f>
        <x:v>60.34</x:v>
      </x:c>
      <x:c r="AD34" s="48" t="n">
        <x:f>IF(ISNUMBER('Sheet4-原始数据'!M19),'Sheet4-原始数据'!M19,"")</x:f>
        <x:v>10.9897</x:v>
      </x:c>
      <x:c r="AE34" s="44" t="str">
        <x:f>IF(COUNT(P34,AA34,Z34)&lt;&gt;3,"",IF(AA34&gt;Z34+'Sheet1-指标体系'!$J$11,AA34,""))</x:f>
      </x:c>
      <x:c r="AF34" s="52" t="str">
        <x:f>IF(COUNT(P34,AE34)&lt;&gt;2,"",IF(AE34=0,"",P34/AE34))</x:f>
      </x:c>
      <x:c r="AG34" s="52" t="n">
        <x:f>IF(OR($G34&lt;&gt;"入池",NOT(ISNUMBER(AD34))),"",IF(COUNTIFS($G$17:$G$99,"入池",$AD$17:$AD$99,"&gt;=-1E+307",$AD$17:$AD$99,"&lt;=1E+307")&lt;=1,'Sheet1-指标体系'!$J$18,ROUND('Sheet1-指标体系'!$J$18*(COUNTIFS($G$17:$G$99,"入池",$AD$17:$AD$99,"&gt;=-1E+307",$AD$17:$AD$99,"&lt;"&amp;AD34)+COUNTIFS($G$17:$G$99,"入池",$AD$17:$AD$99,"&gt;=-1E+307",$AD$17:$AD$99,"&lt;=1E+307",$AD$17:$AD$99,AD34)/2-0.5)/(COUNTIFS($G$17:$G$99,"入池",$AD$17:$AD$99,"&gt;=-1E+307",$AD$17:$AD$99,"&lt;=1E+307")-1),2)))</x:f>
        <x:v>67.27</x:v>
      </x:c>
      <x:c r="AH34" s="52" t="str">
        <x:f>IF(OR($G34&lt;&gt;"入池",NOT(ISNUMBER(AF34))),"",IF(COUNTIFS($G$17:$G$99,"入池",$AF$17:$AF$99,"&gt;=-1E+307",$AF$17:$AF$99,"&lt;=1E+307")&lt;=1,'Sheet1-指标体系'!$J$18,ROUND('Sheet1-指标体系'!$J$18*(COUNTIFS($G$17:$G$99,"入池",$AF$17:$AF$99,"&gt;=-1E+307",$AF$17:$AF$99,"&lt;"&amp;AF34)+COUNTIFS($G$17:$G$99,"入池",$AF$17:$AF$99,"&gt;=-1E+307",$AF$17:$AF$99,"&lt;=1E+307",$AF$17:$AF$99,AF34)/2-0.5)/(COUNTIFS($G$17:$G$99,"入池",$AF$17:$AF$99,"&gt;=-1E+307",$AF$17:$AF$99,"&lt;=1E+307")-1),2)))</x:f>
      </x:c>
      <x:c r="AI34" s="52" t="n">
        <x:f>IF(COUNT(AG34,AH34)=0,"",ROUND((IF(ISNUMBER(AG34),AG34*'Sheet1-指标体系'!$G$10*'Sheet1-指标体系'!$J$8,0)+IF(ISNUMBER(AH34),AH34*'Sheet1-指标体系'!$G$10*'Sheet1-指标体系'!$J$9,0))/(IF(ISNUMBER(AG34),'Sheet1-指标体系'!$G$10*'Sheet1-指标体系'!$J$8,0)+IF(ISNUMBER(AH34),'Sheet1-指标体系'!$G$10*'Sheet1-指标体系'!$J$9,0)),2))</x:f>
        <x:v>67.27</x:v>
      </x:c>
      <x:c r="AJ34" s="44" t="n">
        <x:f>IF(NOT(ISNUMBER(F34)),"",IF(F34&gt;='Sheet1-指标体系'!$J$16,IF(ISNUMBER(N34),N34,""),IF(ISNUMBER(O34),O34,"")))</x:f>
        <x:v>0.18760000000000002</x:v>
      </x:c>
      <x:c r="AK34" s="52" t="n">
        <x:f>IF(OR(G34&lt;&gt;"入池",COUNT(M34,AJ34)&lt;&gt;2),"",IF(M34&gt;=AJ34,'Sheet1-指标体系'!$J$18,IF(AJ34-M34&lt;'Sheet1-指标体系'!$J$10,'Sheet1-指标体系'!$J$22,'Sheet1-指标体系'!$J$23)))</x:f>
        <x:v>100</x:v>
      </x:c>
      <x:c r="AL34" s="52" t="n">
        <x:f>IF(COUNT(I34,K34,L34)=0,"",ROUND((IF(ISNUMBER(I34),I34*'Sheet1-指标体系'!$G$4,0)+IF(ISNUMBER(K34),K34*'Sheet1-指标体系'!$G$5,0)+IF(ISNUMBER(L34),L34*'Sheet1-指标体系'!$G$6,0))/(IF(ISNUMBER(I34),'Sheet1-指标体系'!$G$4,0)+IF(ISNUMBER(K34),'Sheet1-指标体系'!$G$5,0)+IF(ISNUMBER(L34),'Sheet1-指标体系'!$G$6,0)),2))</x:f>
        <x:v>79</x:v>
      </x:c>
      <x:c r="AM34" s="52" t="n">
        <x:f>IF(COUNT(Q34,R34,W34,X34)=0,"",ROUND((IF(ISNUMBER(Q34),Q34*'Sheet1-指标体系'!$G$7*'Sheet1-指标体系'!$J$8,0)+IF(ISNUMBER(R34),R34*'Sheet1-指标体系'!$G$7*'Sheet1-指标体系'!$J$9,0)+IF(ISNUMBER(W34),W34*'Sheet1-指标体系'!$G$8*'Sheet1-指标体系'!$J$8,0)+IF(ISNUMBER(X34),X34*'Sheet1-指标体系'!$G$8*'Sheet1-指标体系'!$J$9,0))/(IF(ISNUMBER(Q34),'Sheet1-指标体系'!$G$7*'Sheet1-指标体系'!$J$8,0)+IF(ISNUMBER(R34),'Sheet1-指标体系'!$G$7*'Sheet1-指标体系'!$J$9,0)+IF(ISNUMBER(W34),'Sheet1-指标体系'!$G$8*'Sheet1-指标体系'!$J$8,0)+IF(ISNUMBER(X34),'Sheet1-指标体系'!$G$8*'Sheet1-指标体系'!$J$9,0)),2))</x:f>
        <x:v>89.06</x:v>
      </x:c>
      <x:c r="AN34" s="52" t="n">
        <x:f>IF(ISNUMBER(AC34),AC34,"")</x:f>
        <x:v>60.34</x:v>
      </x:c>
      <x:c r="AO34" s="52" t="n">
        <x:f>IF(COUNT(AG34,AH34)=0,"",ROUND((IF(ISNUMBER(AG34),AG34*'Sheet1-指标体系'!$G$10*'Sheet1-指标体系'!$J$8,0)+IF(ISNUMBER(AH34),AH34*'Sheet1-指标体系'!$G$10*'Sheet1-指标体系'!$J$9,0))/(IF(ISNUMBER(AG34),'Sheet1-指标体系'!$G$10*'Sheet1-指标体系'!$J$8,0)+IF(ISNUMBER(AH34),'Sheet1-指标体系'!$G$10*'Sheet1-指标体系'!$J$9,0)),2))</x:f>
        <x:v>67.27</x:v>
      </x:c>
      <x:c r="AP34" s="52" t="n">
        <x:f>IF(ISNUMBER(AK34),AK34,"")</x:f>
        <x:v>100</x:v>
      </x:c>
      <x:c r="AQ34" s="27" t="n">
        <x:f>IF(G34&lt;&gt;"入池",0,IF(ISNUMBER(I34),'Sheet1-指标体系'!$G$4,0)+IF(ISNUMBER(K34),'Sheet1-指标体系'!$G$5,0)+IF(ISNUMBER(L34),'Sheet1-指标体系'!$G$6,0)+IF(ISNUMBER(Q34),'Sheet1-指标体系'!$G$7*'Sheet1-指标体系'!$J$8,0)+IF(ISNUMBER(R34),'Sheet1-指标体系'!$G$7*'Sheet1-指标体系'!$J$9,0)+IF(ISNUMBER(W34),'Sheet1-指标体系'!$G$8*'Sheet1-指标体系'!$J$8,0)+IF(ISNUMBER(X34),'Sheet1-指标体系'!$G$8*'Sheet1-指标体系'!$J$9,0)+IF(ISNUMBER(AC34),'Sheet1-指标体系'!$G$9,0)+IF(ISNUMBER(AG34),'Sheet1-指标体系'!$G$10*'Sheet1-指标体系'!$J$8,0)+IF(ISNUMBER(AH34),'Sheet1-指标体系'!$G$10*'Sheet1-指标体系'!$J$9,0)+IF(ISNUMBER(AK34),'Sheet1-指标体系'!$G$11,0))</x:f>
        <x:v>0.856</x:v>
      </x:c>
      <x:c r="AR34" s="52" t="n">
        <x:f>IF(AQ34=0,"",IF(ISNUMBER(I34),I34*'Sheet1-指标体系'!$G$4,0)+IF(ISNUMBER(K34),K34*'Sheet1-指标体系'!$G$5,0)+IF(ISNUMBER(L34),L34*'Sheet1-指标体系'!$G$6,0)+IF(ISNUMBER(Q34),Q34*'Sheet1-指标体系'!$G$7*'Sheet1-指标体系'!$J$8,0)+IF(ISNUMBER(R34),R34*'Sheet1-指标体系'!$G$7*'Sheet1-指标体系'!$J$9,0)+IF(ISNUMBER(W34),W34*'Sheet1-指标体系'!$G$8*'Sheet1-指标体系'!$J$8,0)+IF(ISNUMBER(X34),X34*'Sheet1-指标体系'!$G$8*'Sheet1-指标体系'!$J$9,0)+IF(ISNUMBER(AC34),AC34*'Sheet1-指标体系'!$G$9,0)+IF(ISNUMBER(AG34),AG34*'Sheet1-指标体系'!$G$10*'Sheet1-指标体系'!$J$8,0)+IF(ISNUMBER(AH34),AH34*'Sheet1-指标体系'!$G$10*'Sheet1-指标体系'!$J$9,0)+IF(ISNUMBER(AK34),AK34*'Sheet1-指标体系'!$G$11,0))</x:f>
        <x:v>64.71763999999999</x:v>
      </x:c>
      <x:c r="AS34" s="52" t="n">
        <x:f>IF(AQ34=0,"",ROUND(AR34/AQ34,2))</x:f>
        <x:v>75.6</x:v>
      </x:c>
      <x:c r="AT34" s="49" t="n">
        <x:f>IF(OR(G34&lt;&gt;"入池",NOT(ISNUMBER(AS34))),"",COUNTIFS($G$17:$G$99,"入池",$AS$17:$AS$99,"&gt;"&amp;AS34)+COUNTIFS($G$17:$G$99,"入池",$AS$17:$AS$99,AS34,$AQ$17:$AQ$99,"&gt;"&amp;AQ34)+COUNTIFS($G$17:G34,"入池",$AS$17:AS34,AS34,$AQ$17:AQ34,AQ34))</x:f>
        <x:v>33</x:v>
      </x:c>
      <x:c r="AU34" s="53" t="str">
        <x:f>IF(NOT(ISNUMBER(I34)),"管理人规模；","")&amp;IF(NOT(ISNUMBER(K34)),"产品规模标识；","")&amp;IF(NOT(ISNUMBER(M34)),"近一年收益；","")&amp;IF(NOT(ISNUMBER(T34)),"近一年胜率；","")&amp;IF(NOT(ISNUMBER(N34)),"近三年收益；","")&amp;IF(NOT(ISNUMBER(U34)),"近三年胜率；","")&amp;IF(NOT(ISNUMBER(AA34)),"近三年回撤；","")&amp;IF(NOT(ISNUMBER(AD34)),"近一年卡玛；","")&amp;IF(ISNUMBER(F34),IF(AND(F34&lt;'Sheet1-指标体系'!$J$16,NOT(ISNUMBER(O34))),"成立以来年化；",""),"成立日期；")&amp;IF(ISNUMBER(V34),IF(OR(V34&lt;0,V34&gt;1),"胜率窗口口径不一致；",""),"")&amp;IF(ISNUMBER(P34),IF(NOT(ISNUMBER(AE34)),"DD_long不可识别；",""),"")</x:f>
        <x:v>近三年收益；近三年胜率；近三年回撤；DD_long不可识别；</x:v>
      </x:c>
      <x:c r="AV34" s="52" t="str">
        <x:f>IF(ROUND(AQ34,10)=ROUND('Sheet1-指标体系'!$J$25,10),AR34,"")</x:f>
      </x:c>
      <x:c r="AW34" s="14" t="str">
        <x:f>IF(G34&lt;&gt;"入池",G34,IF(AQ34=0,"无有效评分数据",IF(ROUND(AQ34,10)=ROUND('Sheet1-指标体系'!$J$25,10),"完整赋分", "暂定分／数据不完整")))</x:f>
        <x:v>暂定分／数据不完整</x:v>
      </x:c>
      <x:c r="AX34" s="45" t="str">
        <x:f>IF('Sheet4-原始数据'!C19="","",'Sheet4-原始数据'!C19)</x:f>
        <x:v>套利策略</x:v>
      </x:c>
      <x:c r="AY34" s="45" t="str">
        <x:f>IF('Sheet4-原始数据'!D19="","",'Sheet4-原始数据'!D19)</x:f>
        <x:v>期货套利</x:v>
      </x:c>
      <x:c r="AZ34" s="45" t="str">
        <x:f>IF('Sheet5-查询核对'!S19="","",'Sheet5-查询核对'!S19)</x:f>
        <x:v>套利策略—期货套利</x:v>
      </x:c>
      <x:c r="BA34" s="51" t="n">
        <x:f>IF('Sheet5-查询核对'!A19="","",'Sheet5-查询核对'!A19)</x:f>
        <x:v>19</x:v>
      </x:c>
      <x:c r="BB34" s="45" t="str">
        <x:f>IF('Sheet5-查询核对'!F19="","",'Sheet5-查询核对'!F19)</x:f>
        <x:v>备案号匹配</x:v>
      </x:c>
      <x:c r="BC34" s="50" t="str">
        <x:f>IF('Sheet5-查询核对'!I19="","",'Sheet5-查询核对'!I19)</x:f>
        <x:v>https://mp.fof99.com/fund/view/c5b9a0c28942bf05</x:v>
      </x:c>
      <x:c r="BD34" s="46" t="n">
        <x:f>IF('Sheet5-查询核对'!H19="","",'Sheet5-查询核对'!H19)</x:f>
        <x:v>46269</x:v>
      </x:c>
      <x:c r="BE34" s="50" t="str">
        <x:f>IF('Sheet5-查询核对'!L19="","",'Sheet5-查询核对'!L19)</x:f>
        <x:v>https://mp.fof99.com/fund/view/c5b9a0c28942bf05</x:v>
      </x:c>
      <x:c r="BF34" s="46" t="n">
        <x:f>IF('Sheet5-查询核对'!M19="","",'Sheet5-查询核对'!M19)</x:f>
        <x:v>46275</x:v>
      </x:c>
      <x:c r="BG34" s="50" t="str">
        <x:f>IF('Sheet5-查询核对'!O19="","",'Sheet5-查询核对'!O19)</x:f>
        <x:v>https://gs.amac.org.cn/amac-infodisc/res/pof/fund/2502201715102727.html</x:v>
      </x:c>
      <x:c r="BH34" s="46" t="n">
        <x:f>IF('Sheet5-查询核对'!P19="","",'Sheet5-查询核对'!P19)</x:f>
        <x:v>46275</x:v>
      </x:c>
      <x:c r="BI34" s="45" t="str">
        <x:f>IF('Sheet5-查询核对'!D19="","",'Sheet5-查询核对'!D19)</x:f>
        <x:v>SATV20</x:v>
      </x:c>
      <x:c r="BJ34" t="n">
        <x:f>IF(ISNUMBER(AT34),AT34,COUNT($AT$17:$AT$99)+ROWS($AT$17:AT34)-COUNT($AT$17:AT34))</x:f>
        <x:v>33</x:v>
      </x:c>
    </x:row>
    <x:row r="35" ht="44" customHeight="1">
      <x:c r="A35" s="49" t="n">
        <x:f>'Sheet5-查询核对'!A20-1</x:f>
        <x:v>19</x:v>
      </x:c>
      <x:c r="B35" s="50" t="str">
        <x:f>IF('Sheet4-原始数据'!A20="",'Sheet5-查询核对'!B20,'Sheet4-原始数据'!A20)</x:f>
        <x:v>杭州探融-锦鲤智能量化3号</x:v>
      </x:c>
      <x:c r="C35" s="45" t="str">
        <x:f>IF('Sheet4-原始数据'!B20="","",'Sheet4-原始数据'!B20)</x:f>
        <x:v>SQC001</x:v>
      </x:c>
      <x:c r="D35" s="45" t="str">
        <x:f>IF('Sheet4-原始数据'!E20="","",'Sheet4-原始数据'!E20)</x:f>
        <x:v>杭州探融投资</x:v>
      </x:c>
      <x:c r="E35" s="46" t="n">
        <x:f>IF('Sheet4-原始数据'!F20="","",'Sheet4-原始数据'!F20)</x:f>
        <x:v>44305</x:v>
      </x:c>
      <x:c r="F35" s="52" t="n">
        <x:f>IF(ISNUMBER(E35),ROUND(('Sheet1-指标体系'!$J$12-E35)/'Sheet1-指标体系'!$J$14,4),"")</x:f>
        <x:v>5.3936</x:v>
      </x:c>
      <x:c r="G35" s="14" t="str">
        <x:f>IF(C35="","未匹配",IF(NOT(ISNUMBER(F35)),"缺成立日期",IF(F35&lt;'Sheet1-指标体系'!$J$15,"不入池","入池")))</x:f>
        <x:v>入池</x:v>
      </x:c>
      <x:c r="H35" s="45" t="str">
        <x:f>IF('Sheet5-查询核对'!K20="","",'Sheet5-查询核对'!K20)</x:f>
        <x:v>0-5亿元</x:v>
      </x:c>
      <x:c r="I35" s="52" t="n">
        <x:f>IF(H35="","",IF(COUNTIF('Sheet1-指标体系'!$P$4:$P$10,H35)=0,"",INDEX('Sheet1-指标体系'!$Q$4:$Q$10,MATCH(H35,'Sheet1-指标体系'!$P$4:$P$10,0))))</x:f>
        <x:v>60</x:v>
      </x:c>
      <x:c r="J35" s="54" t="str">
        <x:f>IF(NOT(ISNUMBER('Sheet5-查询核对'!N20)),"",IF('Sheet5-查询核对'!N20=1,"低于"&amp;'Sheet1-指标体系'!$J$4&amp;"万元",IF('Sheet5-查询核对'!N20=0,"无低于"&amp;'Sheet1-指标体系'!$J$4&amp;"万元标识","")))</x:f>
        <x:v>无低于1000万元标识</x:v>
      </x:c>
      <x:c r="K35" s="52" t="n">
        <x:f>IF(NOT(ISNUMBER('Sheet5-查询核对'!N20)),"",IF('Sheet5-查询核对'!N20=1,'Sheet1-指标体系'!$J$21,IF('Sheet5-查询核对'!N20=0,'Sheet1-指标体系'!$J$18,"")))</x:f>
        <x:v>100</x:v>
      </x:c>
      <x:c r="L35" s="52" t="n">
        <x:f>IF(NOT(ISNUMBER(F35)),"",IF(F35&lt;'Sheet1-指标体系'!$J$15,"",IF(F35&lt;'Sheet1-指标体系'!$J$16,'Sheet1-指标体系'!$J$17,'Sheet1-指标体系'!$J$18)))</x:f>
        <x:v>100</x:v>
      </x:c>
      <x:c r="M35" s="47" t="n">
        <x:f>IF(ISNUMBER('Sheet4-原始数据'!G20),'Sheet4-原始数据'!G20,"")</x:f>
        <x:v>0.0054</x:v>
      </x:c>
      <x:c r="N35" s="47" t="n">
        <x:f>IF(ISNUMBER('Sheet4-原始数据'!H20),'Sheet4-原始数据'!H20,"")</x:f>
        <x:v>0.0383</x:v>
      </x:c>
      <x:c r="O35" s="47" t="n">
        <x:f>IF(ISNUMBER('Sheet5-查询核对'!Q20),'Sheet5-查询核对'!Q20,"")</x:f>
        <x:v>0.0466</x:v>
      </x:c>
      <x:c r="P35" s="44" t="n">
        <x:f>IF($G35&lt;&gt;"入池","",IF($F35&gt;='Sheet1-指标体系'!$J$16,IF(COUNT(M35,N35)&lt;&gt;2,"",IF(OR(1+M35&lt;=0,1+N35&lt;0),"",((1+N35)^'Sheet1-指标体系'!$J$16/(1+M35))^(1/('Sheet1-指标体系'!$J$16-'Sheet1-指标体系'!$J$15))-1)),IF(COUNT(M35,O35)&lt;&gt;2,"",IF(OR(F35&lt;='Sheet1-指标体系'!$J$15,1+M35&lt;=0,1+O35&lt;0),"",((1+O35)^F35/(1+M35))^(1/(F35-'Sheet1-指标体系'!$J$15))-1))))</x:f>
        <x:v>0.05515154836681502</x:v>
      </x:c>
      <x:c r="Q35" s="52" t="n">
        <x:f>IF(OR($G35&lt;&gt;"入池",NOT(ISNUMBER(M35))),"",IF(COUNTIFS($G$17:$G$99,"入池",$M$17:$M$99,"&gt;=-1E+307",$M$17:$M$99,"&lt;=1E+307")&lt;=1,'Sheet1-指标体系'!$J$18,ROUND('Sheet1-指标体系'!$J$18*(COUNTIFS($G$17:$G$99,"入池",$M$17:$M$99,"&gt;=-1E+307",$M$17:$M$99,"&lt;"&amp;M35)+COUNTIFS($G$17:$G$99,"入池",$M$17:$M$99,"&gt;=-1E+307",$M$17:$M$99,"&lt;=1E+307",$M$17:$M$99,M35)/2-0.5)/(COUNTIFS($G$17:$G$99,"入池",$M$17:$M$99,"&gt;=-1E+307",$M$17:$M$99,"&lt;=1E+307")-1),2)))</x:f>
        <x:v>1.79</x:v>
      </x:c>
      <x:c r="R35" s="52" t="n">
        <x:f>IF(OR($G35&lt;&gt;"入池",NOT(ISNUMBER(P35))),"",IF(COUNTIFS($G$17:$G$99,"入池",$P$17:$P$99,"&gt;=-1E+307",$P$17:$P$99,"&lt;=1E+307")&lt;=1,'Sheet1-指标体系'!$J$18,ROUND('Sheet1-指标体系'!$J$18*(COUNTIFS($G$17:$G$99,"入池",$P$17:$P$99,"&gt;=-1E+307",$P$17:$P$99,"&lt;"&amp;P35)+COUNTIFS($G$17:$G$99,"入池",$P$17:$P$99,"&gt;=-1E+307",$P$17:$P$99,"&lt;=1E+307",$P$17:$P$99,P35)/2-0.5)/(COUNTIFS($G$17:$G$99,"入池",$P$17:$P$99,"&gt;=-1E+307",$P$17:$P$99,"&lt;=1E+307")-1),2)))</x:f>
        <x:v>27.78</x:v>
      </x:c>
      <x:c r="S35" s="52" t="n">
        <x:f>IF(COUNT(Q35,R35)=0,"",ROUND((IF(ISNUMBER(Q35),Q35*'Sheet1-指标体系'!$G$7*'Sheet1-指标体系'!$J$8,0)+IF(ISNUMBER(R35),R35*'Sheet1-指标体系'!$G$7*'Sheet1-指标体系'!$J$9,0))/(IF(ISNUMBER(Q35),'Sheet1-指标体系'!$G$7*'Sheet1-指标体系'!$J$8,0)+IF(ISNUMBER(R35),'Sheet1-指标体系'!$G$7*'Sheet1-指标体系'!$J$9,0)),2))</x:f>
        <x:v>12.19</x:v>
      </x:c>
      <x:c r="T35" s="47" t="n">
        <x:f>IF(ISNUMBER('Sheet4-原始数据'!J20),'Sheet4-原始数据'!J20,"")</x:f>
        <x:v>0.3846</x:v>
      </x:c>
      <x:c r="U35" s="47" t="n">
        <x:f>IF(ISNUMBER('Sheet4-原始数据'!I20),'Sheet4-原始数据'!I20,"")</x:f>
        <x:v>0.5946</x:v>
      </x:c>
      <x:c r="V35" s="44" t="n">
        <x:f>IF(COUNT(T35:U35)&lt;&gt;2,"",(U35*'Sheet1-指标体系'!$J$6-T35*'Sheet1-指标体系'!$J$5)/'Sheet1-指标体系'!$J$7)</x:f>
        <x:v>0.7083499999999999</x:v>
      </x:c>
      <x:c r="W35" s="52" t="n">
        <x:f>IF(NOT(ISNUMBER(T35)),"",T35*'Sheet1-指标体系'!$J$18)</x:f>
        <x:v>38.46</x:v>
      </x:c>
      <x:c r="X35" s="52" t="n">
        <x:f>IF(G35&lt;&gt;"入池","",IF(ISNUMBER(V35),IF(AND(V35&gt;=0,V35&lt;=1),V35*'Sheet1-指标体系'!$J$18,IF(MAX(0,(F35-'Sheet1-指标体系'!$J$15)*'Sheet1-指标体系'!$J$20)&lt;'Sheet1-指标体系'!$J$19,'Sheet1-指标体系'!$J$18,"")),IF(MAX(0,(F35-'Sheet1-指标体系'!$J$15)*'Sheet1-指标体系'!$J$20)&lt;'Sheet1-指标体系'!$J$19,'Sheet1-指标体系'!$J$18,"")))</x:f>
        <x:v>70.835</x:v>
      </x:c>
      <x:c r="Y35" s="52" t="n">
        <x:f>IF(NOT(ISNUMBER(W35)),"",IF(COUNT(W35,X35)=0,"",ROUND((IF(ISNUMBER(W35),W35*'Sheet1-指标体系'!$G$8*'Sheet1-指标体系'!$J$8,0)+IF(ISNUMBER(X35),X35*'Sheet1-指标体系'!$G$8*'Sheet1-指标体系'!$J$9,0))/(IF(ISNUMBER(W35),'Sheet1-指标体系'!$G$8*'Sheet1-指标体系'!$J$8,0)+IF(ISNUMBER(X35),'Sheet1-指标体系'!$G$8*'Sheet1-指标体系'!$J$9,0)),2)))</x:f>
        <x:v>51.41</x:v>
      </x:c>
      <x:c r="Z35" s="44" t="n">
        <x:f>IF(COUNT(M35,AD35)&lt;&gt;2,"",IF(AD35=0,"",ABS(M35/AD35)))</x:f>
        <x:v>0.019794721407624637</x:v>
      </x:c>
      <x:c r="AA35" s="47" t="n">
        <x:f>IF(ISNUMBER('Sheet4-原始数据'!K20),'Sheet4-原始数据'!K20,"")</x:f>
        <x:v>0.0199</x:v>
      </x:c>
      <x:c r="AB35" s="44" t="n">
        <x:f>IF(COUNT(Z35:AA35)=0,"",MAX(Z35:AA35))</x:f>
        <x:v>0.0199</x:v>
      </x:c>
      <x:c r="AC35" s="52" t="n">
        <x:f>IF(OR($G35&lt;&gt;"入池",NOT(ISNUMBER(AB35))),"",IF(COUNTIFS($G$17:$G$99,"入池",$AB$17:$AB$99,"&gt;=-1E+307",$AB$17:$AB$99,"&lt;=1E+307")&lt;=1,'Sheet1-指标体系'!$J$18,ROUND('Sheet1-指标体系'!$J$18*(COUNTIFS($G$17:$G$99,"入池",$AB$17:$AB$99,"&lt;=1E+307",$AB$17:$AB$99,"&gt;"&amp;AB35)+COUNTIFS($G$17:$G$99,"入池",$AB$17:$AB$99,"&gt;=-1E+307",$AB$17:$AB$99,"&lt;=1E+307",$AB$17:$AB$99,AB35)/2-0.5)/(COUNTIFS($G$17:$G$99,"入池",$AB$17:$AB$99,"&gt;=-1E+307",$AB$17:$AB$99,"&lt;=1E+307")-1),2)))</x:f>
        <x:v>58.62</x:v>
      </x:c>
      <x:c r="AD35" s="48" t="n">
        <x:f>IF(ISNUMBER('Sheet4-原始数据'!M20),'Sheet4-原始数据'!M20,"")</x:f>
        <x:v>0.2728</x:v>
      </x:c>
      <x:c r="AE35" s="44" t="n">
        <x:f>IF(COUNT(P35,AA35,Z35)&lt;&gt;3,"",IF(AA35&gt;Z35+'Sheet1-指标体系'!$J$11,AA35,""))</x:f>
        <x:v>0.0199</x:v>
      </x:c>
      <x:c r="AF35" s="52" t="n">
        <x:f>IF(COUNT(P35,AE35)&lt;&gt;2,"",IF(AE35=0,"",P35/AE35))</x:f>
        <x:v>2.771434591297237</x:v>
      </x:c>
      <x:c r="AG35" s="52" t="n">
        <x:f>IF(OR($G35&lt;&gt;"入池",NOT(ISNUMBER(AD35))),"",IF(COUNTIFS($G$17:$G$99,"入池",$AD$17:$AD$99,"&gt;=-1E+307",$AD$17:$AD$99,"&lt;=1E+307")&lt;=1,'Sheet1-指标体系'!$J$18,ROUND('Sheet1-指标体系'!$J$18*(COUNTIFS($G$17:$G$99,"入池",$AD$17:$AD$99,"&gt;=-1E+307",$AD$17:$AD$99,"&lt;"&amp;AD35)+COUNTIFS($G$17:$G$99,"入池",$AD$17:$AD$99,"&gt;=-1E+307",$AD$17:$AD$99,"&lt;=1E+307",$AD$17:$AD$99,AD35)/2-0.5)/(COUNTIFS($G$17:$G$99,"入池",$AD$17:$AD$99,"&gt;=-1E+307",$AD$17:$AD$99,"&lt;=1E+307")-1),2)))</x:f>
        <x:v>1.82</x:v>
      </x:c>
      <x:c r="AH35" s="52" t="n">
        <x:f>IF(OR($G35&lt;&gt;"入池",NOT(ISNUMBER(AF35))),"",IF(COUNTIFS($G$17:$G$99,"入池",$AF$17:$AF$99,"&gt;=-1E+307",$AF$17:$AF$99,"&lt;=1E+307")&lt;=1,'Sheet1-指标体系'!$J$18,ROUND('Sheet1-指标体系'!$J$18*(COUNTIFS($G$17:$G$99,"入池",$AF$17:$AF$99,"&gt;=-1E+307",$AF$17:$AF$99,"&lt;"&amp;AF35)+COUNTIFS($G$17:$G$99,"入池",$AF$17:$AF$99,"&gt;=-1E+307",$AF$17:$AF$99,"&lt;=1E+307",$AF$17:$AF$99,AF35)/2-0.5)/(COUNTIFS($G$17:$G$99,"入池",$AF$17:$AF$99,"&gt;=-1E+307",$AF$17:$AF$99,"&lt;=1E+307")-1),2)))</x:f>
        <x:v>53.57</x:v>
      </x:c>
      <x:c r="AI35" s="52" t="n">
        <x:f>IF(COUNT(AG35,AH35)=0,"",ROUND((IF(ISNUMBER(AG35),AG35*'Sheet1-指标体系'!$G$10*'Sheet1-指标体系'!$J$8,0)+IF(ISNUMBER(AH35),AH35*'Sheet1-指标体系'!$G$10*'Sheet1-指标体系'!$J$9,0))/(IF(ISNUMBER(AG35),'Sheet1-指标体系'!$G$10*'Sheet1-指标体系'!$J$8,0)+IF(ISNUMBER(AH35),'Sheet1-指标体系'!$G$10*'Sheet1-指标体系'!$J$9,0)),2))</x:f>
        <x:v>22.52</x:v>
      </x:c>
      <x:c r="AJ35" s="44" t="n">
        <x:f>IF(NOT(ISNUMBER(F35)),"",IF(F35&gt;='Sheet1-指标体系'!$J$16,IF(ISNUMBER(N35),N35,""),IF(ISNUMBER(O35),O35,"")))</x:f>
        <x:v>0.0383</x:v>
      </x:c>
      <x:c r="AK35" s="52" t="n">
        <x:f>IF(OR(G35&lt;&gt;"入池",COUNT(M35,AJ35)&lt;&gt;2),"",IF(M35&gt;=AJ35,'Sheet1-指标体系'!$J$18,IF(AJ35-M35&lt;'Sheet1-指标体系'!$J$10,'Sheet1-指标体系'!$J$22,'Sheet1-指标体系'!$J$23)))</x:f>
        <x:v>80</x:v>
      </x:c>
      <x:c r="AL35" s="52" t="n">
        <x:f>IF(COUNT(I35,K35,L35)=0,"",ROUND((IF(ISNUMBER(I35),I35*'Sheet1-指标体系'!$G$4,0)+IF(ISNUMBER(K35),K35*'Sheet1-指标体系'!$G$5,0)+IF(ISNUMBER(L35),L35*'Sheet1-指标体系'!$G$6,0))/(IF(ISNUMBER(I35),'Sheet1-指标体系'!$G$4,0)+IF(ISNUMBER(K35),'Sheet1-指标体系'!$G$5,0)+IF(ISNUMBER(L35),'Sheet1-指标体系'!$G$6,0)),2))</x:f>
        <x:v>84</x:v>
      </x:c>
      <x:c r="AM35" s="52" t="n">
        <x:f>IF(COUNT(Q35,R35,W35,X35)=0,"",ROUND((IF(ISNUMBER(Q35),Q35*'Sheet1-指标体系'!$G$7*'Sheet1-指标体系'!$J$8,0)+IF(ISNUMBER(R35),R35*'Sheet1-指标体系'!$G$7*'Sheet1-指标体系'!$J$9,0)+IF(ISNUMBER(W35),W35*'Sheet1-指标体系'!$G$8*'Sheet1-指标体系'!$J$8,0)+IF(ISNUMBER(X35),X35*'Sheet1-指标体系'!$G$8*'Sheet1-指标体系'!$J$9,0))/(IF(ISNUMBER(Q35),'Sheet1-指标体系'!$G$7*'Sheet1-指标体系'!$J$8,0)+IF(ISNUMBER(R35),'Sheet1-指标体系'!$G$7*'Sheet1-指标体系'!$J$9,0)+IF(ISNUMBER(W35),'Sheet1-指标体系'!$G$8*'Sheet1-指标体系'!$J$8,0)+IF(ISNUMBER(X35),'Sheet1-指标体系'!$G$8*'Sheet1-指标体系'!$J$9,0)),2))</x:f>
        <x:v>23.95</x:v>
      </x:c>
      <x:c r="AN35" s="52" t="n">
        <x:f>IF(ISNUMBER(AC35),AC35,"")</x:f>
        <x:v>58.62</x:v>
      </x:c>
      <x:c r="AO35" s="52" t="n">
        <x:f>IF(COUNT(AG35,AH35)=0,"",ROUND((IF(ISNUMBER(AG35),AG35*'Sheet1-指标体系'!$G$10*'Sheet1-指标体系'!$J$8,0)+IF(ISNUMBER(AH35),AH35*'Sheet1-指标体系'!$G$10*'Sheet1-指标体系'!$J$9,0))/(IF(ISNUMBER(AG35),'Sheet1-指标体系'!$G$10*'Sheet1-指标体系'!$J$8,0)+IF(ISNUMBER(AH35),'Sheet1-指标体系'!$G$10*'Sheet1-指标体系'!$J$9,0)),2))</x:f>
        <x:v>22.52</x:v>
      </x:c>
      <x:c r="AP35" s="52" t="n">
        <x:f>IF(ISNUMBER(AK35),AK35,"")</x:f>
        <x:v>80</x:v>
      </x:c>
      <x:c r="AQ35" s="27" t="n">
        <x:f>IF(G35&lt;&gt;"入池",0,IF(ISNUMBER(I35),'Sheet1-指标体系'!$G$4,0)+IF(ISNUMBER(K35),'Sheet1-指标体系'!$G$5,0)+IF(ISNUMBER(L35),'Sheet1-指标体系'!$G$6,0)+IF(ISNUMBER(Q35),'Sheet1-指标体系'!$G$7*'Sheet1-指标体系'!$J$8,0)+IF(ISNUMBER(R35),'Sheet1-指标体系'!$G$7*'Sheet1-指标体系'!$J$9,0)+IF(ISNUMBER(W35),'Sheet1-指标体系'!$G$8*'Sheet1-指标体系'!$J$8,0)+IF(ISNUMBER(X35),'Sheet1-指标体系'!$G$8*'Sheet1-指标体系'!$J$9,0)+IF(ISNUMBER(AC35),'Sheet1-指标体系'!$G$9,0)+IF(ISNUMBER(AG35),'Sheet1-指标体系'!$G$10*'Sheet1-指标体系'!$J$8,0)+IF(ISNUMBER(AH35),'Sheet1-指标体系'!$G$10*'Sheet1-指标体系'!$J$9,0)+IF(ISNUMBER(AK35),'Sheet1-指标体系'!$G$11,0))</x:f>
        <x:v>1</x:v>
      </x:c>
      <x:c r="AR35" s="52" t="n">
        <x:f>IF(AQ35=0,"",IF(ISNUMBER(I35),I35*'Sheet1-指标体系'!$G$4,0)+IF(ISNUMBER(K35),K35*'Sheet1-指标体系'!$G$5,0)+IF(ISNUMBER(L35),L35*'Sheet1-指标体系'!$G$6,0)+IF(ISNUMBER(Q35),Q35*'Sheet1-指标体系'!$G$7*'Sheet1-指标体系'!$J$8,0)+IF(ISNUMBER(R35),R35*'Sheet1-指标体系'!$G$7*'Sheet1-指标体系'!$J$9,0)+IF(ISNUMBER(W35),W35*'Sheet1-指标体系'!$G$8*'Sheet1-指标体系'!$J$8,0)+IF(ISNUMBER(X35),X35*'Sheet1-指标体系'!$G$8*'Sheet1-指标体系'!$J$9,0)+IF(ISNUMBER(AC35),AC35*'Sheet1-指标体系'!$G$9,0)+IF(ISNUMBER(AG35),AG35*'Sheet1-指标体系'!$G$10*'Sheet1-指标体系'!$J$8,0)+IF(ISNUMBER(AH35),AH35*'Sheet1-指标体系'!$G$10*'Sheet1-指标体系'!$J$9,0)+IF(ISNUMBER(AK35),AK35*'Sheet1-指标体系'!$G$11,0))</x:f>
        <x:v>46.80163999999999</x:v>
      </x:c>
      <x:c r="AS35" s="52" t="n">
        <x:f>IF(AQ35=0,"",ROUND(AR35/AQ35,2))</x:f>
        <x:v>46.8</x:v>
      </x:c>
      <x:c r="AT35" s="49" t="n">
        <x:f>IF(OR(G35&lt;&gt;"入池",NOT(ISNUMBER(AS35))),"",COUNTIFS($G$17:$G$99,"入池",$AS$17:$AS$99,"&gt;"&amp;AS35)+COUNTIFS($G$17:$G$99,"入池",$AS$17:$AS$99,AS35,$AQ$17:$AQ$99,"&gt;"&amp;AQ35)+COUNTIFS($G$17:G35,"入池",$AS$17:AS35,AS35,$AQ$17:AQ35,AQ35))</x:f>
        <x:v>66</x:v>
      </x:c>
      <x:c r="AU35" s="53" t="str">
        <x:f>IF(NOT(ISNUMBER(I35)),"管理人规模；","")&amp;IF(NOT(ISNUMBER(K35)),"产品规模标识；","")&amp;IF(NOT(ISNUMBER(M35)),"近一年收益；","")&amp;IF(NOT(ISNUMBER(T35)),"近一年胜率；","")&amp;IF(NOT(ISNUMBER(N35)),"近三年收益；","")&amp;IF(NOT(ISNUMBER(U35)),"近三年胜率；","")&amp;IF(NOT(ISNUMBER(AA35)),"近三年回撤；","")&amp;IF(NOT(ISNUMBER(AD35)),"近一年卡玛；","")&amp;IF(ISNUMBER(F35),IF(AND(F35&lt;'Sheet1-指标体系'!$J$16,NOT(ISNUMBER(O35))),"成立以来年化；",""),"成立日期；")&amp;IF(ISNUMBER(V35),IF(OR(V35&lt;0,V35&gt;1),"胜率窗口口径不一致；",""),"")&amp;IF(ISNUMBER(P35),IF(NOT(ISNUMBER(AE35)),"DD_long不可识别；",""),"")</x:f>
      </x:c>
      <x:c r="AV35" s="52" t="n">
        <x:f>IF(ROUND(AQ35,10)=ROUND('Sheet1-指标体系'!$J$25,10),AR35,"")</x:f>
        <x:v>46.80163999999999</x:v>
      </x:c>
      <x:c r="AW35" s="14" t="str">
        <x:f>IF(G35&lt;&gt;"入池",G35,IF(AQ35=0,"无有效评分数据",IF(ROUND(AQ35,10)=ROUND('Sheet1-指标体系'!$J$25,10),"完整赋分", "暂定分／数据不完整")))</x:f>
        <x:v>完整赋分</x:v>
      </x:c>
      <x:c r="AX35" s="45" t="str">
        <x:f>IF('Sheet4-原始数据'!C20="","",'Sheet4-原始数据'!C20)</x:f>
        <x:v>套利策略</x:v>
      </x:c>
      <x:c r="AY35" s="45" t="str">
        <x:f>IF('Sheet4-原始数据'!D20="","",'Sheet4-原始数据'!D20)</x:f>
        <x:v>可转债套利</x:v>
      </x:c>
      <x:c r="AZ35" s="45" t="str">
        <x:f>IF('Sheet5-查询核对'!S20="","",'Sheet5-查询核对'!S20)</x:f>
        <x:v>套利策略—可转债套利</x:v>
      </x:c>
      <x:c r="BA35" s="51" t="n">
        <x:f>IF('Sheet5-查询核对'!A20="","",'Sheet5-查询核对'!A20)</x:f>
        <x:v>20</x:v>
      </x:c>
      <x:c r="BB35" s="45" t="str">
        <x:f>IF('Sheet5-查询核对'!F20="","",'Sheet5-查询核对'!F20)</x:f>
        <x:v>备案号匹配</x:v>
      </x:c>
      <x:c r="BC35" s="50" t="str">
        <x:f>IF('Sheet5-查询核对'!I20="","",'Sheet5-查询核对'!I20)</x:f>
        <x:v>https://mp.fof99.com/fund/view/e556f77ef201098a</x:v>
      </x:c>
      <x:c r="BD35" s="46" t="n">
        <x:f>IF('Sheet5-查询核对'!H20="","",'Sheet5-查询核对'!H20)</x:f>
        <x:v>46269</x:v>
      </x:c>
      <x:c r="BE35" s="50" t="str">
        <x:f>IF('Sheet5-查询核对'!L20="","",'Sheet5-查询核对'!L20)</x:f>
        <x:v>https://mp.fof99.com/fund/view/e556f77ef201098a</x:v>
      </x:c>
      <x:c r="BF35" s="46" t="n">
        <x:f>IF('Sheet5-查询核对'!M20="","",'Sheet5-查询核对'!M20)</x:f>
        <x:v>46275</x:v>
      </x:c>
      <x:c r="BG35" s="50" t="str">
        <x:f>IF('Sheet5-查询核对'!O20="","",'Sheet5-查询核对'!O20)</x:f>
        <x:v>https://gs.amac.org.cn/amac-infodisc/res/pof/fund/2104231724118753.html</x:v>
      </x:c>
      <x:c r="BH35" s="46" t="n">
        <x:f>IF('Sheet5-查询核对'!P20="","",'Sheet5-查询核对'!P20)</x:f>
        <x:v>46275</x:v>
      </x:c>
      <x:c r="BI35" s="45" t="str">
        <x:f>IF('Sheet5-查询核对'!D20="","",'Sheet5-查询核对'!D20)</x:f>
        <x:v>SQC001</x:v>
      </x:c>
      <x:c r="BJ35" t="n">
        <x:f>IF(ISNUMBER(AT35),AT35,COUNT($AT$17:$AT$99)+ROWS($AT$17:AT35)-COUNT($AT$17:AT35))</x:f>
        <x:v>66</x:v>
      </x:c>
    </x:row>
    <x:row r="36" ht="44" customHeight="1">
      <x:c r="A36" s="49" t="n">
        <x:f>'Sheet5-查询核对'!A21-1</x:f>
        <x:v>20</x:v>
      </x:c>
      <x:c r="B36" s="50" t="str">
        <x:f>IF('Sheet4-原始数据'!A21="",'Sheet5-查询核对'!B21,'Sheet4-原始数据'!A21)</x:f>
        <x:v>汇艾稳健3号</x:v>
      </x:c>
      <x:c r="C36" s="45" t="str">
        <x:f>IF('Sheet4-原始数据'!B21="","",'Sheet4-原始数据'!B21)</x:f>
        <x:v>SR8584</x:v>
      </x:c>
      <x:c r="D36" s="45" t="str">
        <x:f>IF('Sheet4-原始数据'!E21="","",'Sheet4-原始数据'!E21)</x:f>
        <x:v>上海汇艾资管</x:v>
      </x:c>
      <x:c r="E36" s="46" t="n">
        <x:f>IF('Sheet4-原始数据'!F21="","",'Sheet4-原始数据'!F21)</x:f>
        <x:v>42772</x:v>
      </x:c>
      <x:c r="F36" s="52" t="n">
        <x:f>IF(ISNUMBER(E36),ROUND(('Sheet1-指标体系'!$J$12-E36)/'Sheet1-指标体系'!$J$14,4),"")</x:f>
        <x:v>9.5907</x:v>
      </x:c>
      <x:c r="G36" s="14" t="str">
        <x:f>IF(C36="","未匹配",IF(NOT(ISNUMBER(F36)),"缺成立日期",IF(F36&lt;'Sheet1-指标体系'!$J$15,"不入池","入池")))</x:f>
        <x:v>入池</x:v>
      </x:c>
      <x:c r="H36" s="45" t="str">
        <x:f>IF('Sheet5-查询核对'!K21="","",'Sheet5-查询核对'!K21)</x:f>
        <x:v>0-5亿元</x:v>
      </x:c>
      <x:c r="I36" s="52" t="n">
        <x:f>IF(H36="","",IF(COUNTIF('Sheet1-指标体系'!$P$4:$P$10,H36)=0,"",INDEX('Sheet1-指标体系'!$Q$4:$Q$10,MATCH(H36,'Sheet1-指标体系'!$P$4:$P$10,0))))</x:f>
        <x:v>60</x:v>
      </x:c>
      <x:c r="J36" s="54" t="str">
        <x:f>IF(NOT(ISNUMBER('Sheet5-查询核对'!N21)),"",IF('Sheet5-查询核对'!N21=1,"低于"&amp;'Sheet1-指标体系'!$J$4&amp;"万元",IF('Sheet5-查询核对'!N21=0,"无低于"&amp;'Sheet1-指标体系'!$J$4&amp;"万元标识","")))</x:f>
        <x:v>无低于1000万元标识</x:v>
      </x:c>
      <x:c r="K36" s="52" t="n">
        <x:f>IF(NOT(ISNUMBER('Sheet5-查询核对'!N21)),"",IF('Sheet5-查询核对'!N21=1,'Sheet1-指标体系'!$J$21,IF('Sheet5-查询核对'!N21=0,'Sheet1-指标体系'!$J$18,"")))</x:f>
        <x:v>100</x:v>
      </x:c>
      <x:c r="L36" s="52" t="n">
        <x:f>IF(NOT(ISNUMBER(F36)),"",IF(F36&lt;'Sheet1-指标体系'!$J$15,"",IF(F36&lt;'Sheet1-指标体系'!$J$16,'Sheet1-指标体系'!$J$17,'Sheet1-指标体系'!$J$18)))</x:f>
        <x:v>100</x:v>
      </x:c>
      <x:c r="M36" s="47" t="n">
        <x:f>IF(ISNUMBER('Sheet4-原始数据'!G21),'Sheet4-原始数据'!G21,"")</x:f>
        <x:v>0.0765</x:v>
      </x:c>
      <x:c r="N36" s="47" t="n">
        <x:f>IF(ISNUMBER('Sheet4-原始数据'!H21),'Sheet4-原始数据'!H21,"")</x:f>
        <x:v>0.0429</x:v>
      </x:c>
      <x:c r="O36" s="47" t="n">
        <x:f>IF(ISNUMBER('Sheet5-查询核对'!Q21),'Sheet5-查询核对'!Q21,"")</x:f>
        <x:v>0.1093</x:v>
      </x:c>
      <x:c r="P36" s="44" t="n">
        <x:f>IF($G36&lt;&gt;"入池","",IF($F36&gt;='Sheet1-指标体系'!$J$16,IF(COUNT(M36,N36)&lt;&gt;2,"",IF(OR(1+M36&lt;=0,1+N36&lt;0),"",((1+N36)^'Sheet1-指标体系'!$J$16/(1+M36))^(1/('Sheet1-指标体系'!$J$16-'Sheet1-指标体系'!$J$15))-1)),IF(COUNT(M36,O36)&lt;&gt;2,"",IF(OR(F36&lt;='Sheet1-指标体系'!$J$15,1+M36&lt;=0,1+O36&lt;0),"",((1+O36)^F36/(1+M36))^(1/(F36-'Sheet1-指标体系'!$J$15))-1))))</x:f>
        <x:v>0.026495344658093112</x:v>
      </x:c>
      <x:c r="Q36" s="52" t="n">
        <x:f>IF(OR($G36&lt;&gt;"入池",NOT(ISNUMBER(M36))),"",IF(COUNTIFS($G$17:$G$99,"入池",$M$17:$M$99,"&gt;=-1E+307",$M$17:$M$99,"&lt;=1E+307")&lt;=1,'Sheet1-指标体系'!$J$18,ROUND('Sheet1-指标体系'!$J$18*(COUNTIFS($G$17:$G$99,"入池",$M$17:$M$99,"&gt;=-1E+307",$M$17:$M$99,"&lt;"&amp;M36)+COUNTIFS($G$17:$G$99,"入池",$M$17:$M$99,"&gt;=-1E+307",$M$17:$M$99,"&lt;=1E+307",$M$17:$M$99,M36)/2-0.5)/(COUNTIFS($G$17:$G$99,"入池",$M$17:$M$99,"&gt;=-1E+307",$M$17:$M$99,"&lt;=1E+307")-1),2)))</x:f>
        <x:v>39.29</x:v>
      </x:c>
      <x:c r="R36" s="52" t="n">
        <x:f>IF(OR($G36&lt;&gt;"入池",NOT(ISNUMBER(P36))),"",IF(COUNTIFS($G$17:$G$99,"入池",$P$17:$P$99,"&gt;=-1E+307",$P$17:$P$99,"&lt;=1E+307")&lt;=1,'Sheet1-指标体系'!$J$18,ROUND('Sheet1-指标体系'!$J$18*(COUNTIFS($G$17:$G$99,"入池",$P$17:$P$99,"&gt;=-1E+307",$P$17:$P$99,"&lt;"&amp;P36)+COUNTIFS($G$17:$G$99,"入池",$P$17:$P$99,"&gt;=-1E+307",$P$17:$P$99,"&lt;=1E+307",$P$17:$P$99,P36)/2-0.5)/(COUNTIFS($G$17:$G$99,"入池",$P$17:$P$99,"&gt;=-1E+307",$P$17:$P$99,"&lt;=1E+307")-1),2)))</x:f>
        <x:v>3.7</x:v>
      </x:c>
      <x:c r="S36" s="52" t="n">
        <x:f>IF(COUNT(Q36,R36)=0,"",ROUND((IF(ISNUMBER(Q36),Q36*'Sheet1-指标体系'!$G$7*'Sheet1-指标体系'!$J$8,0)+IF(ISNUMBER(R36),R36*'Sheet1-指标体系'!$G$7*'Sheet1-指标体系'!$J$9,0))/(IF(ISNUMBER(Q36),'Sheet1-指标体系'!$G$7*'Sheet1-指标体系'!$J$8,0)+IF(ISNUMBER(R36),'Sheet1-指标体系'!$G$7*'Sheet1-指标体系'!$J$9,0)),2))</x:f>
        <x:v>25.05</x:v>
      </x:c>
      <x:c r="T36" s="47" t="n">
        <x:f>IF(ISNUMBER('Sheet4-原始数据'!J21),'Sheet4-原始数据'!J21,"")</x:f>
        <x:v>1</x:v>
      </x:c>
      <x:c r="U36" s="47" t="n">
        <x:f>IF(ISNUMBER('Sheet4-原始数据'!I21),'Sheet4-原始数据'!I21,"")</x:f>
        <x:v>0.8108</x:v>
      </x:c>
      <x:c r="V36" s="44" t="n">
        <x:f>IF(COUNT(T36:U36)&lt;&gt;2,"",(U36*'Sheet1-指标体系'!$J$6-T36*'Sheet1-指标体系'!$J$5)/'Sheet1-指标体系'!$J$7)</x:f>
        <x:v>0.7083166666666666</x:v>
      </x:c>
      <x:c r="W36" s="52" t="n">
        <x:f>IF(NOT(ISNUMBER(T36)),"",T36*'Sheet1-指标体系'!$J$18)</x:f>
        <x:v>100</x:v>
      </x:c>
      <x:c r="X36" s="52" t="n">
        <x:f>IF(G36&lt;&gt;"入池","",IF(ISNUMBER(V36),IF(AND(V36&gt;=0,V36&lt;=1),V36*'Sheet1-指标体系'!$J$18,IF(MAX(0,(F36-'Sheet1-指标体系'!$J$15)*'Sheet1-指标体系'!$J$20)&lt;'Sheet1-指标体系'!$J$19,'Sheet1-指标体系'!$J$18,"")),IF(MAX(0,(F36-'Sheet1-指标体系'!$J$15)*'Sheet1-指标体系'!$J$20)&lt;'Sheet1-指标体系'!$J$19,'Sheet1-指标体系'!$J$18,"")))</x:f>
        <x:v>70.83166666666666</x:v>
      </x:c>
      <x:c r="Y36" s="52" t="n">
        <x:f>IF(NOT(ISNUMBER(W36)),"",IF(COUNT(W36,X36)=0,"",ROUND((IF(ISNUMBER(W36),W36*'Sheet1-指标体系'!$G$8*'Sheet1-指标体系'!$J$8,0)+IF(ISNUMBER(X36),X36*'Sheet1-指标体系'!$G$8*'Sheet1-指标体系'!$J$9,0))/(IF(ISNUMBER(W36),'Sheet1-指标体系'!$G$8*'Sheet1-指标体系'!$J$8,0)+IF(ISNUMBER(X36),'Sheet1-指标体系'!$G$8*'Sheet1-指标体系'!$J$9,0)),2)))</x:f>
        <x:v>88.33</x:v>
      </x:c>
      <x:c r="Z36" s="44" t="n">
        <x:f>IF(COUNT(M36,AD36)&lt;&gt;2,"",IF(AD36=0,"",ABS(M36/AD36)))</x:f>
        <x:v>0.00781457494841359</x:v>
      </x:c>
      <x:c r="AA36" s="47" t="n">
        <x:f>IF(ISNUMBER('Sheet4-原始数据'!K21),'Sheet4-原始数据'!K21,"")</x:f>
        <x:v>0.0106</x:v>
      </x:c>
      <x:c r="AB36" s="44" t="n">
        <x:f>IF(COUNT(Z36:AA36)=0,"",MAX(Z36:AA36))</x:f>
        <x:v>0.0106</x:v>
      </x:c>
      <x:c r="AC36" s="52" t="n">
        <x:f>IF(OR($G36&lt;&gt;"入池",NOT(ISNUMBER(AB36))),"",IF(COUNTIFS($G$17:$G$99,"入池",$AB$17:$AB$99,"&gt;=-1E+307",$AB$17:$AB$99,"&lt;=1E+307")&lt;=1,'Sheet1-指标体系'!$J$18,ROUND('Sheet1-指标体系'!$J$18*(COUNTIFS($G$17:$G$99,"入池",$AB$17:$AB$99,"&lt;=1E+307",$AB$17:$AB$99,"&gt;"&amp;AB36)+COUNTIFS($G$17:$G$99,"入池",$AB$17:$AB$99,"&gt;=-1E+307",$AB$17:$AB$99,"&lt;=1E+307",$AB$17:$AB$99,AB36)/2-0.5)/(COUNTIFS($G$17:$G$99,"入池",$AB$17:$AB$99,"&gt;=-1E+307",$AB$17:$AB$99,"&lt;=1E+307")-1),2)))</x:f>
        <x:v>75.86</x:v>
      </x:c>
      <x:c r="AD36" s="48" t="n">
        <x:f>IF(ISNUMBER('Sheet4-原始数据'!M21),'Sheet4-原始数据'!M21,"")</x:f>
        <x:v>9.7894</x:v>
      </x:c>
      <x:c r="AE36" s="44" t="n">
        <x:f>IF(COUNT(P36,AA36,Z36)&lt;&gt;3,"",IF(AA36&gt;Z36+'Sheet1-指标体系'!$J$11,AA36,""))</x:f>
        <x:v>0.0106</x:v>
      </x:c>
      <x:c r="AF36" s="52" t="n">
        <x:f>IF(COUNT(P36,AE36)&lt;&gt;2,"",IF(AE36=0,"",P36/AE36))</x:f>
        <x:v>2.499560816801237</x:v>
      </x:c>
      <x:c r="AG36" s="52" t="n">
        <x:f>IF(OR($G36&lt;&gt;"入池",NOT(ISNUMBER(AD36))),"",IF(COUNTIFS($G$17:$G$99,"入池",$AD$17:$AD$99,"&gt;=-1E+307",$AD$17:$AD$99,"&lt;=1E+307")&lt;=1,'Sheet1-指标体系'!$J$18,ROUND('Sheet1-指标体系'!$J$18*(COUNTIFS($G$17:$G$99,"入池",$AD$17:$AD$99,"&gt;=-1E+307",$AD$17:$AD$99,"&lt;"&amp;AD36)+COUNTIFS($G$17:$G$99,"入池",$AD$17:$AD$99,"&gt;=-1E+307",$AD$17:$AD$99,"&lt;=1E+307",$AD$17:$AD$99,AD36)/2-0.5)/(COUNTIFS($G$17:$G$99,"入池",$AD$17:$AD$99,"&gt;=-1E+307",$AD$17:$AD$99,"&lt;=1E+307")-1),2)))</x:f>
        <x:v>60</x:v>
      </x:c>
      <x:c r="AH36" s="52" t="n">
        <x:f>IF(OR($G36&lt;&gt;"入池",NOT(ISNUMBER(AF36))),"",IF(COUNTIFS($G$17:$G$99,"入池",$AF$17:$AF$99,"&gt;=-1E+307",$AF$17:$AF$99,"&lt;=1E+307")&lt;=1,'Sheet1-指标体系'!$J$18,ROUND('Sheet1-指标体系'!$J$18*(COUNTIFS($G$17:$G$99,"入池",$AF$17:$AF$99,"&gt;=-1E+307",$AF$17:$AF$99,"&lt;"&amp;AF36)+COUNTIFS($G$17:$G$99,"入池",$AF$17:$AF$99,"&gt;=-1E+307",$AF$17:$AF$99,"&lt;=1E+307",$AF$17:$AF$99,AF36)/2-0.5)/(COUNTIFS($G$17:$G$99,"入池",$AF$17:$AF$99,"&gt;=-1E+307",$AF$17:$AF$99,"&lt;=1E+307")-1),2)))</x:f>
        <x:v>46.43</x:v>
      </x:c>
      <x:c r="AI36" s="52" t="n">
        <x:f>IF(COUNT(AG36,AH36)=0,"",ROUND((IF(ISNUMBER(AG36),AG36*'Sheet1-指标体系'!$G$10*'Sheet1-指标体系'!$J$8,0)+IF(ISNUMBER(AH36),AH36*'Sheet1-指标体系'!$G$10*'Sheet1-指标体系'!$J$9,0))/(IF(ISNUMBER(AG36),'Sheet1-指标体系'!$G$10*'Sheet1-指标体系'!$J$8,0)+IF(ISNUMBER(AH36),'Sheet1-指标体系'!$G$10*'Sheet1-指标体系'!$J$9,0)),2))</x:f>
        <x:v>54.57</x:v>
      </x:c>
      <x:c r="AJ36" s="44" t="n">
        <x:f>IF(NOT(ISNUMBER(F36)),"",IF(F36&gt;='Sheet1-指标体系'!$J$16,IF(ISNUMBER(N36),N36,""),IF(ISNUMBER(O36),O36,"")))</x:f>
        <x:v>0.0429</x:v>
      </x:c>
      <x:c r="AK36" s="52" t="n">
        <x:f>IF(OR(G36&lt;&gt;"入池",COUNT(M36,AJ36)&lt;&gt;2),"",IF(M36&gt;=AJ36,'Sheet1-指标体系'!$J$18,IF(AJ36-M36&lt;'Sheet1-指标体系'!$J$10,'Sheet1-指标体系'!$J$22,'Sheet1-指标体系'!$J$23)))</x:f>
        <x:v>100</x:v>
      </x:c>
      <x:c r="AL36" s="52" t="n">
        <x:f>IF(COUNT(I36,K36,L36)=0,"",ROUND((IF(ISNUMBER(I36),I36*'Sheet1-指标体系'!$G$4,0)+IF(ISNUMBER(K36),K36*'Sheet1-指标体系'!$G$5,0)+IF(ISNUMBER(L36),L36*'Sheet1-指标体系'!$G$6,0))/(IF(ISNUMBER(I36),'Sheet1-指标体系'!$G$4,0)+IF(ISNUMBER(K36),'Sheet1-指标体系'!$G$5,0)+IF(ISNUMBER(L36),'Sheet1-指标体系'!$G$6,0)),2))</x:f>
        <x:v>84</x:v>
      </x:c>
      <x:c r="AM36" s="52" t="n">
        <x:f>IF(COUNT(Q36,R36,W36,X36)=0,"",ROUND((IF(ISNUMBER(Q36),Q36*'Sheet1-指标体系'!$G$7*'Sheet1-指标体系'!$J$8,0)+IF(ISNUMBER(R36),R36*'Sheet1-指标体系'!$G$7*'Sheet1-指标体系'!$J$9,0)+IF(ISNUMBER(W36),W36*'Sheet1-指标体系'!$G$8*'Sheet1-指标体系'!$J$8,0)+IF(ISNUMBER(X36),X36*'Sheet1-指标体系'!$G$8*'Sheet1-指标体系'!$J$9,0))/(IF(ISNUMBER(Q36),'Sheet1-指标体系'!$G$7*'Sheet1-指标体系'!$J$8,0)+IF(ISNUMBER(R36),'Sheet1-指标体系'!$G$7*'Sheet1-指标体系'!$J$9,0)+IF(ISNUMBER(W36),'Sheet1-指标体系'!$G$8*'Sheet1-指标体系'!$J$8,0)+IF(ISNUMBER(X36),'Sheet1-指标体系'!$G$8*'Sheet1-指标体系'!$J$9,0)),2))</x:f>
        <x:v>44.04</x:v>
      </x:c>
      <x:c r="AN36" s="52" t="n">
        <x:f>IF(ISNUMBER(AC36),AC36,"")</x:f>
        <x:v>75.86</x:v>
      </x:c>
      <x:c r="AO36" s="52" t="n">
        <x:f>IF(COUNT(AG36,AH36)=0,"",ROUND((IF(ISNUMBER(AG36),AG36*'Sheet1-指标体系'!$G$10*'Sheet1-指标体系'!$J$8,0)+IF(ISNUMBER(AH36),AH36*'Sheet1-指标体系'!$G$10*'Sheet1-指标体系'!$J$9,0))/(IF(ISNUMBER(AG36),'Sheet1-指标体系'!$G$10*'Sheet1-指标体系'!$J$8,0)+IF(ISNUMBER(AH36),'Sheet1-指标体系'!$G$10*'Sheet1-指标体系'!$J$9,0)),2))</x:f>
        <x:v>54.57</x:v>
      </x:c>
      <x:c r="AP36" s="52" t="n">
        <x:f>IF(ISNUMBER(AK36),AK36,"")</x:f>
        <x:v>100</x:v>
      </x:c>
      <x:c r="AQ36" s="27" t="n">
        <x:f>IF(G36&lt;&gt;"入池",0,IF(ISNUMBER(I36),'Sheet1-指标体系'!$G$4,0)+IF(ISNUMBER(K36),'Sheet1-指标体系'!$G$5,0)+IF(ISNUMBER(L36),'Sheet1-指标体系'!$G$6,0)+IF(ISNUMBER(Q36),'Sheet1-指标体系'!$G$7*'Sheet1-指标体系'!$J$8,0)+IF(ISNUMBER(R36),'Sheet1-指标体系'!$G$7*'Sheet1-指标体系'!$J$9,0)+IF(ISNUMBER(W36),'Sheet1-指标体系'!$G$8*'Sheet1-指标体系'!$J$8,0)+IF(ISNUMBER(X36),'Sheet1-指标体系'!$G$8*'Sheet1-指标体系'!$J$9,0)+IF(ISNUMBER(AC36),'Sheet1-指标体系'!$G$9,0)+IF(ISNUMBER(AG36),'Sheet1-指标体系'!$G$10*'Sheet1-指标体系'!$J$8,0)+IF(ISNUMBER(AH36),'Sheet1-指标体系'!$G$10*'Sheet1-指标体系'!$J$9,0)+IF(ISNUMBER(AK36),'Sheet1-指标体系'!$G$11,0))</x:f>
        <x:v>1</x:v>
      </x:c>
      <x:c r="AR36" s="52" t="n">
        <x:f>IF(AQ36=0,"",IF(ISNUMBER(I36),I36*'Sheet1-指标体系'!$G$4,0)+IF(ISNUMBER(K36),K36*'Sheet1-指标体系'!$G$5,0)+IF(ISNUMBER(L36),L36*'Sheet1-指标体系'!$G$6,0)+IF(ISNUMBER(Q36),Q36*'Sheet1-指标体系'!$G$7*'Sheet1-指标体系'!$J$8,0)+IF(ISNUMBER(R36),R36*'Sheet1-指标体系'!$G$7*'Sheet1-指标体系'!$J$9,0)+IF(ISNUMBER(W36),W36*'Sheet1-指标体系'!$G$8*'Sheet1-指标体系'!$J$8,0)+IF(ISNUMBER(X36),X36*'Sheet1-指标体系'!$G$8*'Sheet1-指标体系'!$J$9,0)+IF(ISNUMBER(AC36),AC36*'Sheet1-指标体系'!$G$9,0)+IF(ISNUMBER(AG36),AG36*'Sheet1-指标体系'!$G$10*'Sheet1-指标体系'!$J$8,0)+IF(ISNUMBER(AH36),AH36*'Sheet1-指标体系'!$G$10*'Sheet1-指标体系'!$J$9,0)+IF(ISNUMBER(AK36),AK36*'Sheet1-指标体系'!$G$11,0))</x:f>
        <x:v>66.74412</x:v>
      </x:c>
      <x:c r="AS36" s="52" t="n">
        <x:f>IF(AQ36=0,"",ROUND(AR36/AQ36,2))</x:f>
        <x:v>66.74</x:v>
      </x:c>
      <x:c r="AT36" s="49" t="n">
        <x:f>IF(OR(G36&lt;&gt;"入池",NOT(ISNUMBER(AS36))),"",COUNTIFS($G$17:$G$99,"入池",$AS$17:$AS$99,"&gt;"&amp;AS36)+COUNTIFS($G$17:$G$99,"入池",$AS$17:$AS$99,AS36,$AQ$17:$AQ$99,"&gt;"&amp;AQ36)+COUNTIFS($G$17:G36,"入池",$AS$17:AS36,AS36,$AQ$17:AQ36,AQ36))</x:f>
        <x:v>45</x:v>
      </x:c>
      <x:c r="AU36" s="53" t="str">
        <x:f>IF(NOT(ISNUMBER(I36)),"管理人规模；","")&amp;IF(NOT(ISNUMBER(K36)),"产品规模标识；","")&amp;IF(NOT(ISNUMBER(M36)),"近一年收益；","")&amp;IF(NOT(ISNUMBER(T36)),"近一年胜率；","")&amp;IF(NOT(ISNUMBER(N36)),"近三年收益；","")&amp;IF(NOT(ISNUMBER(U36)),"近三年胜率；","")&amp;IF(NOT(ISNUMBER(AA36)),"近三年回撤；","")&amp;IF(NOT(ISNUMBER(AD36)),"近一年卡玛；","")&amp;IF(ISNUMBER(F36),IF(AND(F36&lt;'Sheet1-指标体系'!$J$16,NOT(ISNUMBER(O36))),"成立以来年化；",""),"成立日期；")&amp;IF(ISNUMBER(V36),IF(OR(V36&lt;0,V36&gt;1),"胜率窗口口径不一致；",""),"")&amp;IF(ISNUMBER(P36),IF(NOT(ISNUMBER(AE36)),"DD_long不可识别；",""),"")</x:f>
      </x:c>
      <x:c r="AV36" s="52" t="n">
        <x:f>IF(ROUND(AQ36,10)=ROUND('Sheet1-指标体系'!$J$25,10),AR36,"")</x:f>
        <x:v>66.74412</x:v>
      </x:c>
      <x:c r="AW36" s="14" t="str">
        <x:f>IF(G36&lt;&gt;"入池",G36,IF(AQ36=0,"无有效评分数据",IF(ROUND(AQ36,10)=ROUND('Sheet1-指标体系'!$J$25,10),"完整赋分", "暂定分／数据不完整")))</x:f>
        <x:v>完整赋分</x:v>
      </x:c>
      <x:c r="AX36" s="45" t="str">
        <x:f>IF('Sheet4-原始数据'!C21="","",'Sheet4-原始数据'!C21)</x:f>
        <x:v>套利策略</x:v>
      </x:c>
      <x:c r="AY36" s="45" t="str">
        <x:f>IF('Sheet4-原始数据'!D21="","",'Sheet4-原始数据'!D21)</x:f>
        <x:v>期货套利</x:v>
      </x:c>
      <x:c r="AZ36" s="45" t="str">
        <x:f>IF('Sheet5-查询核对'!S21="","",'Sheet5-查询核对'!S21)</x:f>
        <x:v>套利策略—期货套利</x:v>
      </x:c>
      <x:c r="BA36" s="51" t="n">
        <x:f>IF('Sheet5-查询核对'!A21="","",'Sheet5-查询核对'!A21)</x:f>
        <x:v>21</x:v>
      </x:c>
      <x:c r="BB36" s="45" t="str">
        <x:f>IF('Sheet5-查询核对'!F21="","",'Sheet5-查询核对'!F21)</x:f>
        <x:v>备案号匹配</x:v>
      </x:c>
      <x:c r="BC36" s="50" t="str">
        <x:f>IF('Sheet5-查询核对'!I21="","",'Sheet5-查询核对'!I21)</x:f>
        <x:v>https://mp.fof99.com/fund/view/5a95543cf10b3b66</x:v>
      </x:c>
      <x:c r="BD36" s="46" t="n">
        <x:f>IF('Sheet5-查询核对'!H21="","",'Sheet5-查询核对'!H21)</x:f>
        <x:v>46269</x:v>
      </x:c>
      <x:c r="BE36" s="50" t="str">
        <x:f>IF('Sheet5-查询核对'!L21="","",'Sheet5-查询核对'!L21)</x:f>
        <x:v>https://mp.fof99.com/fund/view/5a95543cf10b3b66</x:v>
      </x:c>
      <x:c r="BF36" s="46" t="n">
        <x:f>IF('Sheet5-查询核对'!M21="","",'Sheet5-查询核对'!M21)</x:f>
        <x:v>46275</x:v>
      </x:c>
      <x:c r="BG36" s="50" t="str">
        <x:f>IF('Sheet5-查询核对'!O21="","",'Sheet5-查询核对'!O21)</x:f>
        <x:v>https://gs.amac.org.cn/amac-infodisc/res/pof/fund/351000760422.html</x:v>
      </x:c>
      <x:c r="BH36" s="46" t="n">
        <x:f>IF('Sheet5-查询核对'!P21="","",'Sheet5-查询核对'!P21)</x:f>
        <x:v>46275</x:v>
      </x:c>
      <x:c r="BI36" s="45" t="str">
        <x:f>IF('Sheet5-查询核对'!D21="","",'Sheet5-查询核对'!D21)</x:f>
        <x:v>SR8584</x:v>
      </x:c>
      <x:c r="BJ36" t="n">
        <x:f>IF(ISNUMBER(AT36),AT36,COUNT($AT$17:$AT$99)+ROWS($AT$17:AT36)-COUNT($AT$17:AT36))</x:f>
        <x:v>45</x:v>
      </x:c>
    </x:row>
    <x:row r="37" ht="44" customHeight="1">
      <x:c r="A37" s="49" t="n">
        <x:f>'Sheet5-查询核对'!A22-1</x:f>
        <x:v>21</x:v>
      </x:c>
      <x:c r="B37" s="50" t="str">
        <x:f>IF('Sheet4-原始数据'!A22="",'Sheet5-查询核对'!B22,'Sheet4-原始数据'!A22)</x:f>
        <x:v>惠隆金选套利1号</x:v>
      </x:c>
      <x:c r="C37" s="45" t="str">
        <x:f>IF('Sheet4-原始数据'!B22="","",'Sheet4-原始数据'!B22)</x:f>
        <x:v>SQG026</x:v>
      </x:c>
      <x:c r="D37" s="45" t="str">
        <x:f>IF('Sheet4-原始数据'!E22="","",'Sheet4-原始数据'!E22)</x:f>
        <x:v>北京惠隆资管</x:v>
      </x:c>
      <x:c r="E37" s="46" t="n">
        <x:f>IF('Sheet4-原始数据'!F22="","",'Sheet4-原始数据'!F22)</x:f>
        <x:v>44462</x:v>
      </x:c>
      <x:c r="F37" s="52" t="n">
        <x:f>IF(ISNUMBER(E37),ROUND(('Sheet1-指标体系'!$J$12-E37)/'Sheet1-指标体系'!$J$14,4),"")</x:f>
        <x:v>4.9637</x:v>
      </x:c>
      <x:c r="G37" s="14" t="str">
        <x:f>IF(C37="","未匹配",IF(NOT(ISNUMBER(F37)),"缺成立日期",IF(F37&lt;'Sheet1-指标体系'!$J$15,"不入池","入池")))</x:f>
        <x:v>入池</x:v>
      </x:c>
      <x:c r="H37" s="45" t="str">
        <x:f>IF('Sheet5-查询核对'!K22="","",'Sheet5-查询核对'!K22)</x:f>
        <x:v>10-20亿元</x:v>
      </x:c>
      <x:c r="I37" s="52" t="n">
        <x:f>IF(H37="","",IF(COUNTIF('Sheet1-指标体系'!$P$4:$P$10,H37)=0,"",INDEX('Sheet1-指标体系'!$Q$4:$Q$10,MATCH(H37,'Sheet1-指标体系'!$P$4:$P$10,0))))</x:f>
        <x:v>80</x:v>
      </x:c>
      <x:c r="J37" s="54" t="str">
        <x:f>IF(NOT(ISNUMBER('Sheet5-查询核对'!N22)),"",IF('Sheet5-查询核对'!N22=1,"低于"&amp;'Sheet1-指标体系'!$J$4&amp;"万元",IF('Sheet5-查询核对'!N22=0,"无低于"&amp;'Sheet1-指标体系'!$J$4&amp;"万元标识","")))</x:f>
        <x:v>无低于1000万元标识</x:v>
      </x:c>
      <x:c r="K37" s="52" t="n">
        <x:f>IF(NOT(ISNUMBER('Sheet5-查询核对'!N22)),"",IF('Sheet5-查询核对'!N22=1,'Sheet1-指标体系'!$J$21,IF('Sheet5-查询核对'!N22=0,'Sheet1-指标体系'!$J$18,"")))</x:f>
        <x:v>100</x:v>
      </x:c>
      <x:c r="L37" s="52" t="n">
        <x:f>IF(NOT(ISNUMBER(F37)),"",IF(F37&lt;'Sheet1-指标体系'!$J$15,"",IF(F37&lt;'Sheet1-指标体系'!$J$16,'Sheet1-指标体系'!$J$17,'Sheet1-指标体系'!$J$18)))</x:f>
        <x:v>100</x:v>
      </x:c>
      <x:c r="M37" s="47" t="n">
        <x:f>IF(ISNUMBER('Sheet4-原始数据'!G22),'Sheet4-原始数据'!G22,"")</x:f>
        <x:v>0.1359</x:v>
      </x:c>
      <x:c r="N37" s="47" t="n">
        <x:f>IF(ISNUMBER('Sheet4-原始数据'!H22),'Sheet4-原始数据'!H22,"")</x:f>
        <x:v>0.1668</x:v>
      </x:c>
      <x:c r="O37" s="47" t="n">
        <x:f>IF(ISNUMBER('Sheet5-查询核对'!Q22),'Sheet5-查询核对'!Q22,"")</x:f>
        <x:v>0.1457</x:v>
      </x:c>
      <x:c r="P37" s="44" t="n">
        <x:f>IF($G37&lt;&gt;"入池","",IF($F37&gt;='Sheet1-指标体系'!$J$16,IF(COUNT(M37,N37)&lt;&gt;2,"",IF(OR(1+M37&lt;=0,1+N37&lt;0),"",((1+N37)^'Sheet1-指标体系'!$J$16/(1+M37))^(1/('Sheet1-指标体系'!$J$16-'Sheet1-指标体系'!$J$15))-1)),IF(COUNT(M37,O37)&lt;&gt;2,"",IF(OR(F37&lt;='Sheet1-指标体系'!$J$15,1+M37&lt;=0,1+O37&lt;0),"",((1+O37)^F37/(1+M37))^(1/(F37-'Sheet1-指标体系'!$J$15))-1))))</x:f>
        <x:v>0.18256380115020732</x:v>
      </x:c>
      <x:c r="Q37" s="52" t="n">
        <x:f>IF(OR($G37&lt;&gt;"入池",NOT(ISNUMBER(M37))),"",IF(COUNTIFS($G$17:$G$99,"入池",$M$17:$M$99,"&gt;=-1E+307",$M$17:$M$99,"&lt;=1E+307")&lt;=1,'Sheet1-指标体系'!$J$18,ROUND('Sheet1-指标体系'!$J$18*(COUNTIFS($G$17:$G$99,"入池",$M$17:$M$99,"&gt;=-1E+307",$M$17:$M$99,"&lt;"&amp;M37)+COUNTIFS($G$17:$G$99,"入池",$M$17:$M$99,"&gt;=-1E+307",$M$17:$M$99,"&lt;=1E+307",$M$17:$M$99,M37)/2-0.5)/(COUNTIFS($G$17:$G$99,"入池",$M$17:$M$99,"&gt;=-1E+307",$M$17:$M$99,"&lt;=1E+307")-1),2)))</x:f>
        <x:v>77.68</x:v>
      </x:c>
      <x:c r="R37" s="52" t="n">
        <x:f>IF(OR($G37&lt;&gt;"入池",NOT(ISNUMBER(P37))),"",IF(COUNTIFS($G$17:$G$99,"入池",$P$17:$P$99,"&gt;=-1E+307",$P$17:$P$99,"&lt;=1E+307")&lt;=1,'Sheet1-指标体系'!$J$18,ROUND('Sheet1-指标体系'!$J$18*(COUNTIFS($G$17:$G$99,"入池",$P$17:$P$99,"&gt;=-1E+307",$P$17:$P$99,"&lt;"&amp;P37)+COUNTIFS($G$17:$G$99,"入池",$P$17:$P$99,"&gt;=-1E+307",$P$17:$P$99,"&lt;=1E+307",$P$17:$P$99,P37)/2-0.5)/(COUNTIFS($G$17:$G$99,"入池",$P$17:$P$99,"&gt;=-1E+307",$P$17:$P$99,"&lt;=1E+307")-1),2)))</x:f>
        <x:v>98.15</x:v>
      </x:c>
      <x:c r="S37" s="52" t="n">
        <x:f>IF(COUNT(Q37,R37)=0,"",ROUND((IF(ISNUMBER(Q37),Q37*'Sheet1-指标体系'!$G$7*'Sheet1-指标体系'!$J$8,0)+IF(ISNUMBER(R37),R37*'Sheet1-指标体系'!$G$7*'Sheet1-指标体系'!$J$9,0))/(IF(ISNUMBER(Q37),'Sheet1-指标体系'!$G$7*'Sheet1-指标体系'!$J$8,0)+IF(ISNUMBER(R37),'Sheet1-指标体系'!$G$7*'Sheet1-指标体系'!$J$9,0)),2))</x:f>
        <x:v>85.87</x:v>
      </x:c>
      <x:c r="T37" s="47" t="n">
        <x:f>IF(ISNUMBER('Sheet4-原始数据'!J22),'Sheet4-原始数据'!J22,"")</x:f>
        <x:v>1</x:v>
      </x:c>
      <x:c r="U37" s="47" t="n">
        <x:f>IF(ISNUMBER('Sheet4-原始数据'!I22),'Sheet4-原始数据'!I22,"")</x:f>
        <x:v>1</x:v>
      </x:c>
      <x:c r="V37" s="44" t="n">
        <x:f>IF(COUNT(T37:U37)&lt;&gt;2,"",(U37*'Sheet1-指标体系'!$J$6-T37*'Sheet1-指标体系'!$J$5)/'Sheet1-指标体系'!$J$7)</x:f>
        <x:v>1</x:v>
      </x:c>
      <x:c r="W37" s="52" t="n">
        <x:f>IF(NOT(ISNUMBER(T37)),"",T37*'Sheet1-指标体系'!$J$18)</x:f>
        <x:v>100</x:v>
      </x:c>
      <x:c r="X37" s="52" t="n">
        <x:f>IF(G37&lt;&gt;"入池","",IF(ISNUMBER(V37),IF(AND(V37&gt;=0,V37&lt;=1),V37*'Sheet1-指标体系'!$J$18,IF(MAX(0,(F37-'Sheet1-指标体系'!$J$15)*'Sheet1-指标体系'!$J$20)&lt;'Sheet1-指标体系'!$J$19,'Sheet1-指标体系'!$J$18,"")),IF(MAX(0,(F37-'Sheet1-指标体系'!$J$15)*'Sheet1-指标体系'!$J$20)&lt;'Sheet1-指标体系'!$J$19,'Sheet1-指标体系'!$J$18,"")))</x:f>
        <x:v>100</x:v>
      </x:c>
      <x:c r="Y37" s="52" t="n">
        <x:f>IF(NOT(ISNUMBER(W37)),"",IF(COUNT(W37,X37)=0,"",ROUND((IF(ISNUMBER(W37),W37*'Sheet1-指标体系'!$G$8*'Sheet1-指标体系'!$J$8,0)+IF(ISNUMBER(X37),X37*'Sheet1-指标体系'!$G$8*'Sheet1-指标体系'!$J$9,0))/(IF(ISNUMBER(W37),'Sheet1-指标体系'!$G$8*'Sheet1-指标体系'!$J$8,0)+IF(ISNUMBER(X37),'Sheet1-指标体系'!$G$8*'Sheet1-指标体系'!$J$9,0)),2)))</x:f>
        <x:v>100</x:v>
      </x:c>
      <x:c r="Z37" s="44" t="n">
        <x:f>IF(COUNT(M37,AD37)&lt;&gt;2,"",IF(AD37=0,"",ABS(M37/AD37)))</x:f>
        <x:v>0.0027232067713468147</x:v>
      </x:c>
      <x:c r="AA37" s="47" t="n">
        <x:f>IF(ISNUMBER('Sheet4-原始数据'!K22),'Sheet4-原始数据'!K22,"")</x:f>
        <x:v>0.0027</x:v>
      </x:c>
      <x:c r="AB37" s="44" t="n">
        <x:f>IF(COUNT(Z37:AA37)=0,"",MAX(Z37:AA37))</x:f>
        <x:v>0.0027232067713468147</x:v>
      </x:c>
      <x:c r="AC37" s="52" t="n">
        <x:f>IF(OR($G37&lt;&gt;"入池",NOT(ISNUMBER(AB37))),"",IF(COUNTIFS($G$17:$G$99,"入池",$AB$17:$AB$99,"&gt;=-1E+307",$AB$17:$AB$99,"&lt;=1E+307")&lt;=1,'Sheet1-指标体系'!$J$18,ROUND('Sheet1-指标体系'!$J$18*(COUNTIFS($G$17:$G$99,"入池",$AB$17:$AB$99,"&lt;=1E+307",$AB$17:$AB$99,"&gt;"&amp;AB37)+COUNTIFS($G$17:$G$99,"入池",$AB$17:$AB$99,"&gt;=-1E+307",$AB$17:$AB$99,"&lt;=1E+307",$AB$17:$AB$99,AB37)/2-0.5)/(COUNTIFS($G$17:$G$99,"入池",$AB$17:$AB$99,"&gt;=-1E+307",$AB$17:$AB$99,"&lt;=1E+307")-1),2)))</x:f>
        <x:v>98.28</x:v>
      </x:c>
      <x:c r="AD37" s="48" t="n">
        <x:f>IF(ISNUMBER('Sheet4-原始数据'!M22),'Sheet4-原始数据'!M22,"")</x:f>
        <x:v>49.9044</x:v>
      </x:c>
      <x:c r="AE37" s="44" t="str">
        <x:f>IF(COUNT(P37,AA37,Z37)&lt;&gt;3,"",IF(AA37&gt;Z37+'Sheet1-指标体系'!$J$11,AA37,""))</x:f>
      </x:c>
      <x:c r="AF37" s="52" t="str">
        <x:f>IF(COUNT(P37,AE37)&lt;&gt;2,"",IF(AE37=0,"",P37/AE37))</x:f>
      </x:c>
      <x:c r="AG37" s="52" t="n">
        <x:f>IF(OR($G37&lt;&gt;"入池",NOT(ISNUMBER(AD37))),"",IF(COUNTIFS($G$17:$G$99,"入池",$AD$17:$AD$99,"&gt;=-1E+307",$AD$17:$AD$99,"&lt;=1E+307")&lt;=1,'Sheet1-指标体系'!$J$18,ROUND('Sheet1-指标体系'!$J$18*(COUNTIFS($G$17:$G$99,"入池",$AD$17:$AD$99,"&gt;=-1E+307",$AD$17:$AD$99,"&lt;"&amp;AD37)+COUNTIFS($G$17:$G$99,"入池",$AD$17:$AD$99,"&gt;=-1E+307",$AD$17:$AD$99,"&lt;=1E+307",$AD$17:$AD$99,AD37)/2-0.5)/(COUNTIFS($G$17:$G$99,"入池",$AD$17:$AD$99,"&gt;=-1E+307",$AD$17:$AD$99,"&lt;=1E+307")-1),2)))</x:f>
        <x:v>94.55</x:v>
      </x:c>
      <x:c r="AH37" s="52" t="str">
        <x:f>IF(OR($G37&lt;&gt;"入池",NOT(ISNUMBER(AF37))),"",IF(COUNTIFS($G$17:$G$99,"入池",$AF$17:$AF$99,"&gt;=-1E+307",$AF$17:$AF$99,"&lt;=1E+307")&lt;=1,'Sheet1-指标体系'!$J$18,ROUND('Sheet1-指标体系'!$J$18*(COUNTIFS($G$17:$G$99,"入池",$AF$17:$AF$99,"&gt;=-1E+307",$AF$17:$AF$99,"&lt;"&amp;AF37)+COUNTIFS($G$17:$G$99,"入池",$AF$17:$AF$99,"&gt;=-1E+307",$AF$17:$AF$99,"&lt;=1E+307",$AF$17:$AF$99,AF37)/2-0.5)/(COUNTIFS($G$17:$G$99,"入池",$AF$17:$AF$99,"&gt;=-1E+307",$AF$17:$AF$99,"&lt;=1E+307")-1),2)))</x:f>
      </x:c>
      <x:c r="AI37" s="52" t="n">
        <x:f>IF(COUNT(AG37,AH37)=0,"",ROUND((IF(ISNUMBER(AG37),AG37*'Sheet1-指标体系'!$G$10*'Sheet1-指标体系'!$J$8,0)+IF(ISNUMBER(AH37),AH37*'Sheet1-指标体系'!$G$10*'Sheet1-指标体系'!$J$9,0))/(IF(ISNUMBER(AG37),'Sheet1-指标体系'!$G$10*'Sheet1-指标体系'!$J$8,0)+IF(ISNUMBER(AH37),'Sheet1-指标体系'!$G$10*'Sheet1-指标体系'!$J$9,0)),2))</x:f>
        <x:v>94.55</x:v>
      </x:c>
      <x:c r="AJ37" s="44" t="n">
        <x:f>IF(NOT(ISNUMBER(F37)),"",IF(F37&gt;='Sheet1-指标体系'!$J$16,IF(ISNUMBER(N37),N37,""),IF(ISNUMBER(O37),O37,"")))</x:f>
        <x:v>0.1668</x:v>
      </x:c>
      <x:c r="AK37" s="52" t="n">
        <x:f>IF(OR(G37&lt;&gt;"入池",COUNT(M37,AJ37)&lt;&gt;2),"",IF(M37&gt;=AJ37,'Sheet1-指标体系'!$J$18,IF(AJ37-M37&lt;'Sheet1-指标体系'!$J$10,'Sheet1-指标体系'!$J$22,'Sheet1-指标体系'!$J$23)))</x:f>
        <x:v>80</x:v>
      </x:c>
      <x:c r="AL37" s="52" t="n">
        <x:f>IF(COUNT(I37,K37,L37)=0,"",ROUND((IF(ISNUMBER(I37),I37*'Sheet1-指标体系'!$G$4,0)+IF(ISNUMBER(K37),K37*'Sheet1-指标体系'!$G$5,0)+IF(ISNUMBER(L37),L37*'Sheet1-指标体系'!$G$6,0))/(IF(ISNUMBER(I37),'Sheet1-指标体系'!$G$4,0)+IF(ISNUMBER(K37),'Sheet1-指标体系'!$G$5,0)+IF(ISNUMBER(L37),'Sheet1-指标体系'!$G$6,0)),2))</x:f>
        <x:v>92</x:v>
      </x:c>
      <x:c r="AM37" s="52" t="n">
        <x:f>IF(COUNT(Q37,R37,W37,X37)=0,"",ROUND((IF(ISNUMBER(Q37),Q37*'Sheet1-指标体系'!$G$7*'Sheet1-指标体系'!$J$8,0)+IF(ISNUMBER(R37),R37*'Sheet1-指标体系'!$G$7*'Sheet1-指标体系'!$J$9,0)+IF(ISNUMBER(W37),W37*'Sheet1-指标体系'!$G$8*'Sheet1-指标体系'!$J$8,0)+IF(ISNUMBER(X37),X37*'Sheet1-指标体系'!$G$8*'Sheet1-指标体系'!$J$9,0))/(IF(ISNUMBER(Q37),'Sheet1-指标体系'!$G$7*'Sheet1-指标体系'!$J$8,0)+IF(ISNUMBER(R37),'Sheet1-指标体系'!$G$7*'Sheet1-指标体系'!$J$9,0)+IF(ISNUMBER(W37),'Sheet1-指标体系'!$G$8*'Sheet1-指标体系'!$J$8,0)+IF(ISNUMBER(X37),'Sheet1-指标体系'!$G$8*'Sheet1-指标体系'!$J$9,0)),2))</x:f>
        <x:v>90.11</x:v>
      </x:c>
      <x:c r="AN37" s="52" t="n">
        <x:f>IF(ISNUMBER(AC37),AC37,"")</x:f>
        <x:v>98.28</x:v>
      </x:c>
      <x:c r="AO37" s="52" t="n">
        <x:f>IF(COUNT(AG37,AH37)=0,"",ROUND((IF(ISNUMBER(AG37),AG37*'Sheet1-指标体系'!$G$10*'Sheet1-指标体系'!$J$8,0)+IF(ISNUMBER(AH37),AH37*'Sheet1-指标体系'!$G$10*'Sheet1-指标体系'!$J$9,0))/(IF(ISNUMBER(AG37),'Sheet1-指标体系'!$G$10*'Sheet1-指标体系'!$J$8,0)+IF(ISNUMBER(AH37),'Sheet1-指标体系'!$G$10*'Sheet1-指标体系'!$J$9,0)),2))</x:f>
        <x:v>94.55</x:v>
      </x:c>
      <x:c r="AP37" s="52" t="n">
        <x:f>IF(ISNUMBER(AK37),AK37,"")</x:f>
        <x:v>80</x:v>
      </x:c>
      <x:c r="AQ37" s="27" t="n">
        <x:f>IF(G37&lt;&gt;"入池",0,IF(ISNUMBER(I37),'Sheet1-指标体系'!$G$4,0)+IF(ISNUMBER(K37),'Sheet1-指标体系'!$G$5,0)+IF(ISNUMBER(L37),'Sheet1-指标体系'!$G$6,0)+IF(ISNUMBER(Q37),'Sheet1-指标体系'!$G$7*'Sheet1-指标体系'!$J$8,0)+IF(ISNUMBER(R37),'Sheet1-指标体系'!$G$7*'Sheet1-指标体系'!$J$9,0)+IF(ISNUMBER(W37),'Sheet1-指标体系'!$G$8*'Sheet1-指标体系'!$J$8,0)+IF(ISNUMBER(X37),'Sheet1-指标体系'!$G$8*'Sheet1-指标体系'!$J$9,0)+IF(ISNUMBER(AC37),'Sheet1-指标体系'!$G$9,0)+IF(ISNUMBER(AG37),'Sheet1-指标体系'!$G$10*'Sheet1-指标体系'!$J$8,0)+IF(ISNUMBER(AH37),'Sheet1-指标体系'!$G$10*'Sheet1-指标体系'!$J$9,0)+IF(ISNUMBER(AK37),'Sheet1-指标体系'!$G$11,0))</x:f>
        <x:v>0.88</x:v>
      </x:c>
      <x:c r="AR37" s="52" t="n">
        <x:f>IF(AQ37=0,"",IF(ISNUMBER(I37),I37*'Sheet1-指标体系'!$G$4,0)+IF(ISNUMBER(K37),K37*'Sheet1-指标体系'!$G$5,0)+IF(ISNUMBER(L37),L37*'Sheet1-指标体系'!$G$6,0)+IF(ISNUMBER(Q37),Q37*'Sheet1-指标体系'!$G$7*'Sheet1-指标体系'!$J$8,0)+IF(ISNUMBER(R37),R37*'Sheet1-指标体系'!$G$7*'Sheet1-指标体系'!$J$9,0)+IF(ISNUMBER(W37),W37*'Sheet1-指标体系'!$G$8*'Sheet1-指标体系'!$J$8,0)+IF(ISNUMBER(X37),X37*'Sheet1-指标体系'!$G$8*'Sheet1-指标体系'!$J$9,0)+IF(ISNUMBER(AC37),AC37*'Sheet1-指标体系'!$G$9,0)+IF(ISNUMBER(AG37),AG37*'Sheet1-指标体系'!$G$10*'Sheet1-指标体系'!$J$8,0)+IF(ISNUMBER(AH37),AH37*'Sheet1-指标体系'!$G$10*'Sheet1-指标体系'!$J$9,0)+IF(ISNUMBER(AK37),AK37*'Sheet1-指标体系'!$G$11,0))</x:f>
        <x:v>81.41051999999999</x:v>
      </x:c>
      <x:c r="AS37" s="52" t="n">
        <x:f>IF(AQ37=0,"",ROUND(AR37/AQ37,2))</x:f>
        <x:v>92.51</x:v>
      </x:c>
      <x:c r="AT37" s="49" t="n">
        <x:f>IF(OR(G37&lt;&gt;"入池",NOT(ISNUMBER(AS37))),"",COUNTIFS($G$17:$G$99,"入池",$AS$17:$AS$99,"&gt;"&amp;AS37)+COUNTIFS($G$17:$G$99,"入池",$AS$17:$AS$99,AS37,$AQ$17:$AQ$99,"&gt;"&amp;AQ37)+COUNTIFS($G$17:G37,"入池",$AS$17:AS37,AS37,$AQ$17:AQ37,AQ37))</x:f>
        <x:v>3</x:v>
      </x:c>
      <x:c r="AU37" s="53" t="str">
        <x:f>IF(NOT(ISNUMBER(I37)),"管理人规模；","")&amp;IF(NOT(ISNUMBER(K37)),"产品规模标识；","")&amp;IF(NOT(ISNUMBER(M37)),"近一年收益；","")&amp;IF(NOT(ISNUMBER(T37)),"近一年胜率；","")&amp;IF(NOT(ISNUMBER(N37)),"近三年收益；","")&amp;IF(NOT(ISNUMBER(U37)),"近三年胜率；","")&amp;IF(NOT(ISNUMBER(AA37)),"近三年回撤；","")&amp;IF(NOT(ISNUMBER(AD37)),"近一年卡玛；","")&amp;IF(ISNUMBER(F37),IF(AND(F37&lt;'Sheet1-指标体系'!$J$16,NOT(ISNUMBER(O37))),"成立以来年化；",""),"成立日期；")&amp;IF(ISNUMBER(V37),IF(OR(V37&lt;0,V37&gt;1),"胜率窗口口径不一致；",""),"")&amp;IF(ISNUMBER(P37),IF(NOT(ISNUMBER(AE37)),"DD_long不可识别；",""),"")</x:f>
        <x:v>DD_long不可识别；</x:v>
      </x:c>
      <x:c r="AV37" s="52" t="str">
        <x:f>IF(ROUND(AQ37,10)=ROUND('Sheet1-指标体系'!$J$25,10),AR37,"")</x:f>
      </x:c>
      <x:c r="AW37" s="14" t="str">
        <x:f>IF(G37&lt;&gt;"入池",G37,IF(AQ37=0,"无有效评分数据",IF(ROUND(AQ37,10)=ROUND('Sheet1-指标体系'!$J$25,10),"完整赋分", "暂定分／数据不完整")))</x:f>
        <x:v>暂定分／数据不完整</x:v>
      </x:c>
      <x:c r="AX37" s="45" t="str">
        <x:f>IF('Sheet4-原始数据'!C22="","",'Sheet4-原始数据'!C22)</x:f>
        <x:v>套利策略</x:v>
      </x:c>
      <x:c r="AY37" s="45" t="str">
        <x:f>IF('Sheet4-原始数据'!D22="","",'Sheet4-原始数据'!D22)</x:f>
        <x:v>期货套利</x:v>
      </x:c>
      <x:c r="AZ37" s="45" t="str">
        <x:f>IF('Sheet5-查询核对'!S22="","",'Sheet5-查询核对'!S22)</x:f>
        <x:v>套利策略—期货套利</x:v>
      </x:c>
      <x:c r="BA37" s="51" t="n">
        <x:f>IF('Sheet5-查询核对'!A22="","",'Sheet5-查询核对'!A22)</x:f>
        <x:v>22</x:v>
      </x:c>
      <x:c r="BB37" s="45" t="str">
        <x:f>IF('Sheet5-查询核对'!F22="","",'Sheet5-查询核对'!F22)</x:f>
        <x:v>备案号匹配</x:v>
      </x:c>
      <x:c r="BC37" s="50" t="str">
        <x:f>IF('Sheet5-查询核对'!I22="","",'Sheet5-查询核对'!I22)</x:f>
        <x:v>https://mp.fof99.com/fund/view/3f5108a89aafc6d8</x:v>
      </x:c>
      <x:c r="BD37" s="46" t="n">
        <x:f>IF('Sheet5-查询核对'!H22="","",'Sheet5-查询核对'!H22)</x:f>
        <x:v>46269</x:v>
      </x:c>
      <x:c r="BE37" s="50" t="str">
        <x:f>IF('Sheet5-查询核对'!L22="","",'Sheet5-查询核对'!L22)</x:f>
        <x:v>https://mp.fof99.com/fund/view/3f5108a89aafc6d8</x:v>
      </x:c>
      <x:c r="BF37" s="46" t="n">
        <x:f>IF('Sheet5-查询核对'!M22="","",'Sheet5-查询核对'!M22)</x:f>
        <x:v>46275</x:v>
      </x:c>
      <x:c r="BG37" s="50" t="str">
        <x:f>IF('Sheet5-查询核对'!O22="","",'Sheet5-查询核对'!O22)</x:f>
        <x:v>https://gs.amac.org.cn/amac-infodisc/res/pof/fund/2109281437101671.html</x:v>
      </x:c>
      <x:c r="BH37" s="46" t="n">
        <x:f>IF('Sheet5-查询核对'!P22="","",'Sheet5-查询核对'!P22)</x:f>
        <x:v>46275</x:v>
      </x:c>
      <x:c r="BI37" s="45" t="str">
        <x:f>IF('Sheet5-查询核对'!D22="","",'Sheet5-查询核对'!D22)</x:f>
        <x:v>SQG026</x:v>
      </x:c>
      <x:c r="BJ37" t="n">
        <x:f>IF(ISNUMBER(AT37),AT37,COUNT($AT$17:$AT$99)+ROWS($AT$17:AT37)-COUNT($AT$17:AT37))</x:f>
        <x:v>3</x:v>
      </x:c>
    </x:row>
    <x:row r="38" ht="44" customHeight="1">
      <x:c r="A38" s="49" t="n">
        <x:f>'Sheet5-查询核对'!A23-1</x:f>
        <x:v>22</x:v>
      </x:c>
      <x:c r="B38" s="50" t="str">
        <x:f>IF('Sheet4-原始数据'!A23="",'Sheet5-查询核对'!B23,'Sheet4-原始数据'!A23)</x:f>
        <x:v>佳泽信享5号A类</x:v>
      </x:c>
      <x:c r="C38" s="45" t="str">
        <x:f>IF('Sheet4-原始数据'!B23="","",'Sheet4-原始数据'!B23)</x:f>
        <x:v>ZC395A</x:v>
      </x:c>
      <x:c r="D38" s="45" t="str">
        <x:f>IF('Sheet4-原始数据'!E23="","",'Sheet4-原始数据'!E23)</x:f>
        <x:v>海南佳泽</x:v>
      </x:c>
      <x:c r="E38" s="46" t="n">
        <x:f>IF('Sheet4-原始数据'!F23="","",'Sheet4-原始数据'!F23)</x:f>
        <x:v>44936</x:v>
      </x:c>
      <x:c r="F38" s="52" t="n">
        <x:f>IF(ISNUMBER(E38),ROUND(('Sheet1-指标体系'!$J$12-E38)/'Sheet1-指标体系'!$J$14,4),"")</x:f>
        <x:v>3.666</x:v>
      </x:c>
      <x:c r="G38" s="14" t="str">
        <x:f>IF(C38="","未匹配",IF(NOT(ISNUMBER(F38)),"缺成立日期",IF(F38&lt;'Sheet1-指标体系'!$J$15,"不入池","入池")))</x:f>
        <x:v>入池</x:v>
      </x:c>
      <x:c r="H38" s="45" t="str">
        <x:f>IF('Sheet5-查询核对'!K23="","",'Sheet5-查询核对'!K23)</x:f>
        <x:v>0-5亿元</x:v>
      </x:c>
      <x:c r="I38" s="52" t="n">
        <x:f>IF(H38="","",IF(COUNTIF('Sheet1-指标体系'!$P$4:$P$10,H38)=0,"",INDEX('Sheet1-指标体系'!$Q$4:$Q$10,MATCH(H38,'Sheet1-指标体系'!$P$4:$P$10,0))))</x:f>
        <x:v>60</x:v>
      </x:c>
      <x:c r="J38" s="54" t="str">
        <x:f>IF(NOT(ISNUMBER('Sheet5-查询核对'!N23)),"",IF('Sheet5-查询核对'!N23=1,"低于"&amp;'Sheet1-指标体系'!$J$4&amp;"万元",IF('Sheet5-查询核对'!N23=0,"无低于"&amp;'Sheet1-指标体系'!$J$4&amp;"万元标识","")))</x:f>
      </x:c>
      <x:c r="K38" s="52" t="str">
        <x:f>IF(NOT(ISNUMBER('Sheet5-查询核对'!N23)),"",IF('Sheet5-查询核对'!N23=1,'Sheet1-指标体系'!$J$21,IF('Sheet5-查询核对'!N23=0,'Sheet1-指标体系'!$J$18,"")))</x:f>
      </x:c>
      <x:c r="L38" s="52" t="n">
        <x:f>IF(NOT(ISNUMBER(F38)),"",IF(F38&lt;'Sheet1-指标体系'!$J$15,"",IF(F38&lt;'Sheet1-指标体系'!$J$16,'Sheet1-指标体系'!$J$17,'Sheet1-指标体系'!$J$18)))</x:f>
        <x:v>100</x:v>
      </x:c>
      <x:c r="M38" s="47" t="n">
        <x:f>IF(ISNUMBER('Sheet4-原始数据'!G23),'Sheet4-原始数据'!G23,"")</x:f>
        <x:v>0.076</x:v>
      </x:c>
      <x:c r="N38" s="47" t="n">
        <x:f>IF(ISNUMBER('Sheet4-原始数据'!H23),'Sheet4-原始数据'!H23,"")</x:f>
        <x:v>0.058899999999999994</x:v>
      </x:c>
      <x:c r="O38" s="47" t="n">
        <x:f>IF(ISNUMBER('Sheet5-查询核对'!Q23),'Sheet5-查询核对'!Q23,"")</x:f>
        <x:v>0.051399999999999994</x:v>
      </x:c>
      <x:c r="P38" s="44" t="n">
        <x:f>IF($G38&lt;&gt;"入池","",IF($F38&gt;='Sheet1-指标体系'!$J$16,IF(COUNT(M38,N38)&lt;&gt;2,"",IF(OR(1+M38&lt;=0,1+N38&lt;0),"",((1+N38)^'Sheet1-指标体系'!$J$16/(1+M38))^(1/('Sheet1-指标体系'!$J$16-'Sheet1-指标体系'!$J$15))-1)),IF(COUNT(M38,O38)&lt;&gt;2,"",IF(OR(F38&lt;='Sheet1-指标体系'!$J$15,1+M38&lt;=0,1+O38&lt;0),"",((1+O38)^F38/(1+M38))^(1/(F38-'Sheet1-指标体系'!$J$15))-1))))</x:f>
        <x:v>0.050452180236565836</x:v>
      </x:c>
      <x:c r="Q38" s="52" t="n">
        <x:f>IF(OR($G38&lt;&gt;"入池",NOT(ISNUMBER(M38))),"",IF(COUNTIFS($G$17:$G$99,"入池",$M$17:$M$99,"&gt;=-1E+307",$M$17:$M$99,"&lt;=1E+307")&lt;=1,'Sheet1-指标体系'!$J$18,ROUND('Sheet1-指标体系'!$J$18*(COUNTIFS($G$17:$G$99,"入池",$M$17:$M$99,"&gt;=-1E+307",$M$17:$M$99,"&lt;"&amp;M38)+COUNTIFS($G$17:$G$99,"入池",$M$17:$M$99,"&gt;=-1E+307",$M$17:$M$99,"&lt;=1E+307",$M$17:$M$99,M38)/2-0.5)/(COUNTIFS($G$17:$G$99,"入池",$M$17:$M$99,"&gt;=-1E+307",$M$17:$M$99,"&lt;=1E+307")-1),2)))</x:f>
        <x:v>37.5</x:v>
      </x:c>
      <x:c r="R38" s="52" t="n">
        <x:f>IF(OR($G38&lt;&gt;"入池",NOT(ISNUMBER(P38))),"",IF(COUNTIFS($G$17:$G$99,"入池",$P$17:$P$99,"&gt;=-1E+307",$P$17:$P$99,"&lt;=1E+307")&lt;=1,'Sheet1-指标体系'!$J$18,ROUND('Sheet1-指标体系'!$J$18*(COUNTIFS($G$17:$G$99,"入池",$P$17:$P$99,"&gt;=-1E+307",$P$17:$P$99,"&lt;"&amp;P38)+COUNTIFS($G$17:$G$99,"入池",$P$17:$P$99,"&gt;=-1E+307",$P$17:$P$99,"&lt;=1E+307",$P$17:$P$99,P38)/2-0.5)/(COUNTIFS($G$17:$G$99,"入池",$P$17:$P$99,"&gt;=-1E+307",$P$17:$P$99,"&lt;=1E+307")-1),2)))</x:f>
        <x:v>20.37</x:v>
      </x:c>
      <x:c r="S38" s="52" t="n">
        <x:f>IF(COUNT(Q38,R38)=0,"",ROUND((IF(ISNUMBER(Q38),Q38*'Sheet1-指标体系'!$G$7*'Sheet1-指标体系'!$J$8,0)+IF(ISNUMBER(R38),R38*'Sheet1-指标体系'!$G$7*'Sheet1-指标体系'!$J$9,0))/(IF(ISNUMBER(Q38),'Sheet1-指标体系'!$G$7*'Sheet1-指标体系'!$J$8,0)+IF(ISNUMBER(R38),'Sheet1-指标体系'!$G$7*'Sheet1-指标体系'!$J$9,0)),2))</x:f>
        <x:v>30.65</x:v>
      </x:c>
      <x:c r="T38" s="47" t="n">
        <x:f>IF(ISNUMBER('Sheet4-原始数据'!J23),'Sheet4-原始数据'!J23,"")</x:f>
        <x:v>0.9231</x:v>
      </x:c>
      <x:c r="U38" s="47" t="n">
        <x:f>IF(ISNUMBER('Sheet4-原始数据'!I23),'Sheet4-原始数据'!I23,"")</x:f>
        <x:v>0.8108</x:v>
      </x:c>
      <x:c r="V38" s="44" t="n">
        <x:f>IF(COUNT(T38:U38)&lt;&gt;2,"",(U38*'Sheet1-指标体系'!$J$6-T38*'Sheet1-指标体系'!$J$5)/'Sheet1-指标体系'!$J$7)</x:f>
        <x:v>0.7499708333333333</x:v>
      </x:c>
      <x:c r="W38" s="52" t="n">
        <x:f>IF(NOT(ISNUMBER(T38)),"",T38*'Sheet1-指标体系'!$J$18)</x:f>
        <x:v>92.31</x:v>
      </x:c>
      <x:c r="X38" s="52" t="n">
        <x:f>IF(G38&lt;&gt;"入池","",IF(ISNUMBER(V38),IF(AND(V38&gt;=0,V38&lt;=1),V38*'Sheet1-指标体系'!$J$18,IF(MAX(0,(F38-'Sheet1-指标体系'!$J$15)*'Sheet1-指标体系'!$J$20)&lt;'Sheet1-指标体系'!$J$19,'Sheet1-指标体系'!$J$18,"")),IF(MAX(0,(F38-'Sheet1-指标体系'!$J$15)*'Sheet1-指标体系'!$J$20)&lt;'Sheet1-指标体系'!$J$19,'Sheet1-指标体系'!$J$18,"")))</x:f>
        <x:v>74.99708333333332</x:v>
      </x:c>
      <x:c r="Y38" s="52" t="n">
        <x:f>IF(NOT(ISNUMBER(W38)),"",IF(COUNT(W38,X38)=0,"",ROUND((IF(ISNUMBER(W38),W38*'Sheet1-指标体系'!$G$8*'Sheet1-指标体系'!$J$8,0)+IF(ISNUMBER(X38),X38*'Sheet1-指标体系'!$G$8*'Sheet1-指标体系'!$J$9,0))/(IF(ISNUMBER(W38),'Sheet1-指标体系'!$G$8*'Sheet1-指标体系'!$J$8,0)+IF(ISNUMBER(X38),'Sheet1-指标体系'!$G$8*'Sheet1-指标体系'!$J$9,0)),2)))</x:f>
        <x:v>85.38</x:v>
      </x:c>
      <x:c r="Z38" s="44" t="n">
        <x:f>IF(COUNT(M38,AD38)&lt;&gt;2,"",IF(AD38=0,"",ABS(M38/AD38)))</x:f>
        <x:v>0.004589593700178752</x:v>
      </x:c>
      <x:c r="AA38" s="47" t="n">
        <x:f>IF(ISNUMBER('Sheet4-原始数据'!K23),'Sheet4-原始数据'!K23,"")</x:f>
        <x:v>0.024399999999999998</x:v>
      </x:c>
      <x:c r="AB38" s="44" t="n">
        <x:f>IF(COUNT(Z38:AA38)=0,"",MAX(Z38:AA38))</x:f>
        <x:v>0.024399999999999998</x:v>
      </x:c>
      <x:c r="AC38" s="52" t="n">
        <x:f>IF(OR($G38&lt;&gt;"入池",NOT(ISNUMBER(AB38))),"",IF(COUNTIFS($G$17:$G$99,"入池",$AB$17:$AB$99,"&gt;=-1E+307",$AB$17:$AB$99,"&lt;=1E+307")&lt;=1,'Sheet1-指标体系'!$J$18,ROUND('Sheet1-指标体系'!$J$18*(COUNTIFS($G$17:$G$99,"入池",$AB$17:$AB$99,"&lt;=1E+307",$AB$17:$AB$99,"&gt;"&amp;AB38)+COUNTIFS($G$17:$G$99,"入池",$AB$17:$AB$99,"&gt;=-1E+307",$AB$17:$AB$99,"&lt;=1E+307",$AB$17:$AB$99,AB38)/2-0.5)/(COUNTIFS($G$17:$G$99,"入池",$AB$17:$AB$99,"&gt;=-1E+307",$AB$17:$AB$99,"&lt;=1E+307")-1),2)))</x:f>
        <x:v>50</x:v>
      </x:c>
      <x:c r="AD38" s="48" t="n">
        <x:f>IF(ISNUMBER('Sheet4-原始数据'!M23),'Sheet4-原始数据'!M23,"")</x:f>
        <x:v>16.5592</x:v>
      </x:c>
      <x:c r="AE38" s="44" t="n">
        <x:f>IF(COUNT(P38,AA38,Z38)&lt;&gt;3,"",IF(AA38&gt;Z38+'Sheet1-指标体系'!$J$11,AA38,""))</x:f>
        <x:v>0.024399999999999998</x:v>
      </x:c>
      <x:c r="AF38" s="52" t="n">
        <x:f>IF(COUNT(P38,AE38)&lt;&gt;2,"",IF(AE38=0,"",P38/AE38))</x:f>
        <x:v>2.0677123047772885</x:v>
      </x:c>
      <x:c r="AG38" s="52" t="n">
        <x:f>IF(OR($G38&lt;&gt;"入池",NOT(ISNUMBER(AD38))),"",IF(COUNTIFS($G$17:$G$99,"入池",$AD$17:$AD$99,"&gt;=-1E+307",$AD$17:$AD$99,"&lt;=1E+307")&lt;=1,'Sheet1-指标体系'!$J$18,ROUND('Sheet1-指标体系'!$J$18*(COUNTIFS($G$17:$G$99,"入池",$AD$17:$AD$99,"&gt;=-1E+307",$AD$17:$AD$99,"&lt;"&amp;AD38)+COUNTIFS($G$17:$G$99,"入池",$AD$17:$AD$99,"&gt;=-1E+307",$AD$17:$AD$99,"&lt;=1E+307",$AD$17:$AD$99,AD38)/2-0.5)/(COUNTIFS($G$17:$G$99,"入池",$AD$17:$AD$99,"&gt;=-1E+307",$AD$17:$AD$99,"&lt;=1E+307")-1),2)))</x:f>
        <x:v>74.55</x:v>
      </x:c>
      <x:c r="AH38" s="52" t="n">
        <x:f>IF(OR($G38&lt;&gt;"入池",NOT(ISNUMBER(AF38))),"",IF(COUNTIFS($G$17:$G$99,"入池",$AF$17:$AF$99,"&gt;=-1E+307",$AF$17:$AF$99,"&lt;=1E+307")&lt;=1,'Sheet1-指标体系'!$J$18,ROUND('Sheet1-指标体系'!$J$18*(COUNTIFS($G$17:$G$99,"入池",$AF$17:$AF$99,"&gt;=-1E+307",$AF$17:$AF$99,"&lt;"&amp;AF38)+COUNTIFS($G$17:$G$99,"入池",$AF$17:$AF$99,"&gt;=-1E+307",$AF$17:$AF$99,"&lt;=1E+307",$AF$17:$AF$99,AF38)/2-0.5)/(COUNTIFS($G$17:$G$99,"入池",$AF$17:$AF$99,"&gt;=-1E+307",$AF$17:$AF$99,"&lt;=1E+307")-1),2)))</x:f>
        <x:v>35.71</x:v>
      </x:c>
      <x:c r="AI38" s="52" t="n">
        <x:f>IF(COUNT(AG38,AH38)=0,"",ROUND((IF(ISNUMBER(AG38),AG38*'Sheet1-指标体系'!$G$10*'Sheet1-指标体系'!$J$8,0)+IF(ISNUMBER(AH38),AH38*'Sheet1-指标体系'!$G$10*'Sheet1-指标体系'!$J$9,0))/(IF(ISNUMBER(AG38),'Sheet1-指标体系'!$G$10*'Sheet1-指标体系'!$J$8,0)+IF(ISNUMBER(AH38),'Sheet1-指标体系'!$G$10*'Sheet1-指标体系'!$J$9,0)),2))</x:f>
        <x:v>59.01</x:v>
      </x:c>
      <x:c r="AJ38" s="44" t="n">
        <x:f>IF(NOT(ISNUMBER(F38)),"",IF(F38&gt;='Sheet1-指标体系'!$J$16,IF(ISNUMBER(N38),N38,""),IF(ISNUMBER(O38),O38,"")))</x:f>
        <x:v>0.058899999999999994</x:v>
      </x:c>
      <x:c r="AK38" s="52" t="n">
        <x:f>IF(OR(G38&lt;&gt;"入池",COUNT(M38,AJ38)&lt;&gt;2),"",IF(M38&gt;=AJ38,'Sheet1-指标体系'!$J$18,IF(AJ38-M38&lt;'Sheet1-指标体系'!$J$10,'Sheet1-指标体系'!$J$22,'Sheet1-指标体系'!$J$23)))</x:f>
        <x:v>100</x:v>
      </x:c>
      <x:c r="AL38" s="52" t="n">
        <x:f>IF(COUNT(I38,K38,L38)=0,"",ROUND((IF(ISNUMBER(I38),I38*'Sheet1-指标体系'!$G$4,0)+IF(ISNUMBER(K38),K38*'Sheet1-指标体系'!$G$5,0)+IF(ISNUMBER(L38),L38*'Sheet1-指标体系'!$G$6,0))/(IF(ISNUMBER(I38),'Sheet1-指标体系'!$G$4,0)+IF(ISNUMBER(K38),'Sheet1-指标体系'!$G$5,0)+IF(ISNUMBER(L38),'Sheet1-指标体系'!$G$6,0)),2))</x:f>
        <x:v>77.14</x:v>
      </x:c>
      <x:c r="AM38" s="52" t="n">
        <x:f>IF(COUNT(Q38,R38,W38,X38)=0,"",ROUND((IF(ISNUMBER(Q38),Q38*'Sheet1-指标体系'!$G$7*'Sheet1-指标体系'!$J$8,0)+IF(ISNUMBER(R38),R38*'Sheet1-指标体系'!$G$7*'Sheet1-指标体系'!$J$9,0)+IF(ISNUMBER(W38),W38*'Sheet1-指标体系'!$G$8*'Sheet1-指标体系'!$J$8,0)+IF(ISNUMBER(X38),X38*'Sheet1-指标体系'!$G$8*'Sheet1-指标体系'!$J$9,0))/(IF(ISNUMBER(Q38),'Sheet1-指标体系'!$G$7*'Sheet1-指标体系'!$J$8,0)+IF(ISNUMBER(R38),'Sheet1-指标体系'!$G$7*'Sheet1-指标体系'!$J$9,0)+IF(ISNUMBER(W38),'Sheet1-指标体系'!$G$8*'Sheet1-指标体系'!$J$8,0)+IF(ISNUMBER(X38),'Sheet1-指标体系'!$G$8*'Sheet1-指标体系'!$J$9,0)),2))</x:f>
        <x:v>47.07</x:v>
      </x:c>
      <x:c r="AN38" s="52" t="n">
        <x:f>IF(ISNUMBER(AC38),AC38,"")</x:f>
        <x:v>50</x:v>
      </x:c>
      <x:c r="AO38" s="52" t="n">
        <x:f>IF(COUNT(AG38,AH38)=0,"",ROUND((IF(ISNUMBER(AG38),AG38*'Sheet1-指标体系'!$G$10*'Sheet1-指标体系'!$J$8,0)+IF(ISNUMBER(AH38),AH38*'Sheet1-指标体系'!$G$10*'Sheet1-指标体系'!$J$9,0))/(IF(ISNUMBER(AG38),'Sheet1-指标体系'!$G$10*'Sheet1-指标体系'!$J$8,0)+IF(ISNUMBER(AH38),'Sheet1-指标体系'!$G$10*'Sheet1-指标体系'!$J$9,0)),2))</x:f>
        <x:v>59.01</x:v>
      </x:c>
      <x:c r="AP38" s="52" t="n">
        <x:f>IF(ISNUMBER(AK38),AK38,"")</x:f>
        <x:v>100</x:v>
      </x:c>
      <x:c r="AQ38" s="27" t="n">
        <x:f>IF(G38&lt;&gt;"入池",0,IF(ISNUMBER(I38),'Sheet1-指标体系'!$G$4,0)+IF(ISNUMBER(K38),'Sheet1-指标体系'!$G$5,0)+IF(ISNUMBER(L38),'Sheet1-指标体系'!$G$6,0)+IF(ISNUMBER(Q38),'Sheet1-指标体系'!$G$7*'Sheet1-指标体系'!$J$8,0)+IF(ISNUMBER(R38),'Sheet1-指标体系'!$G$7*'Sheet1-指标体系'!$J$9,0)+IF(ISNUMBER(W38),'Sheet1-指标体系'!$G$8*'Sheet1-指标体系'!$J$8,0)+IF(ISNUMBER(X38),'Sheet1-指标体系'!$G$8*'Sheet1-指标体系'!$J$9,0)+IF(ISNUMBER(AC38),'Sheet1-指标体系'!$G$9,0)+IF(ISNUMBER(AG38),'Sheet1-指标体系'!$G$10*'Sheet1-指标体系'!$J$8,0)+IF(ISNUMBER(AH38),'Sheet1-指标体系'!$G$10*'Sheet1-指标体系'!$J$9,0)+IF(ISNUMBER(AK38),'Sheet1-指标体系'!$G$11,0))</x:f>
        <x:v>0.9549999999999998</x:v>
      </x:c>
      <x:c r="AR38" s="52" t="n">
        <x:f>IF(AQ38=0,"",IF(ISNUMBER(I38),I38*'Sheet1-指标体系'!$G$4,0)+IF(ISNUMBER(K38),K38*'Sheet1-指标体系'!$G$5,0)+IF(ISNUMBER(L38),L38*'Sheet1-指标体系'!$G$6,0)+IF(ISNUMBER(Q38),Q38*'Sheet1-指标体系'!$G$7*'Sheet1-指标体系'!$J$8,0)+IF(ISNUMBER(R38),R38*'Sheet1-指标体系'!$G$7*'Sheet1-指标体系'!$J$9,0)+IF(ISNUMBER(W38),W38*'Sheet1-指标体系'!$G$8*'Sheet1-指标体系'!$J$8,0)+IF(ISNUMBER(X38),X38*'Sheet1-指标体系'!$G$8*'Sheet1-指标体系'!$J$9,0)+IF(ISNUMBER(AC38),AC38*'Sheet1-指标体系'!$G$9,0)+IF(ISNUMBER(AG38),AG38*'Sheet1-指标体系'!$G$10*'Sheet1-指标体系'!$J$8,0)+IF(ISNUMBER(AH38),AH38*'Sheet1-指标体系'!$G$10*'Sheet1-指标体系'!$J$9,0)+IF(ISNUMBER(AK38),AK38*'Sheet1-指标体系'!$G$11,0))</x:f>
        <x:v>57.71800999999999</x:v>
      </x:c>
      <x:c r="AS38" s="52" t="n">
        <x:f>IF(AQ38=0,"",ROUND(AR38/AQ38,2))</x:f>
        <x:v>60.44</x:v>
      </x:c>
      <x:c r="AT38" s="49" t="n">
        <x:f>IF(OR(G38&lt;&gt;"入池",NOT(ISNUMBER(AS38))),"",COUNTIFS($G$17:$G$99,"入池",$AS$17:$AS$99,"&gt;"&amp;AS38)+COUNTIFS($G$17:$G$99,"入池",$AS$17:$AS$99,AS38,$AQ$17:$AQ$99,"&gt;"&amp;AQ38)+COUNTIFS($G$17:G38,"入池",$AS$17:AS38,AS38,$AQ$17:AQ38,AQ38))</x:f>
        <x:v>50</x:v>
      </x:c>
      <x:c r="AU38" s="53" t="str">
        <x:f>IF(NOT(ISNUMBER(I38)),"管理人规模；","")&amp;IF(NOT(ISNUMBER(K38)),"产品规模标识；","")&amp;IF(NOT(ISNUMBER(M38)),"近一年收益；","")&amp;IF(NOT(ISNUMBER(T38)),"近一年胜率；","")&amp;IF(NOT(ISNUMBER(N38)),"近三年收益；","")&amp;IF(NOT(ISNUMBER(U38)),"近三年胜率；","")&amp;IF(NOT(ISNUMBER(AA38)),"近三年回撤；","")&amp;IF(NOT(ISNUMBER(AD38)),"近一年卡玛；","")&amp;IF(ISNUMBER(F38),IF(AND(F38&lt;'Sheet1-指标体系'!$J$16,NOT(ISNUMBER(O38))),"成立以来年化；",""),"成立日期；")&amp;IF(ISNUMBER(V38),IF(OR(V38&lt;0,V38&gt;1),"胜率窗口口径不一致；",""),"")&amp;IF(ISNUMBER(P38),IF(NOT(ISNUMBER(AE38)),"DD_long不可识别；",""),"")</x:f>
        <x:v>产品规模标识；</x:v>
      </x:c>
      <x:c r="AV38" s="52" t="str">
        <x:f>IF(ROUND(AQ38,10)=ROUND('Sheet1-指标体系'!$J$25,10),AR38,"")</x:f>
      </x:c>
      <x:c r="AW38" s="14" t="str">
        <x:f>IF(G38&lt;&gt;"入池",G38,IF(AQ38=0,"无有效评分数据",IF(ROUND(AQ38,10)=ROUND('Sheet1-指标体系'!$J$25,10),"完整赋分", "暂定分／数据不完整")))</x:f>
        <x:v>暂定分／数据不完整</x:v>
      </x:c>
      <x:c r="AX38" s="45" t="str">
        <x:f>IF('Sheet4-原始数据'!C23="","",'Sheet4-原始数据'!C23)</x:f>
        <x:v>套利策略</x:v>
      </x:c>
      <x:c r="AY38" s="45" t="str">
        <x:f>IF('Sheet4-原始数据'!D23="","",'Sheet4-原始数据'!D23)</x:f>
        <x:v>期货套利</x:v>
      </x:c>
      <x:c r="AZ38" s="45" t="str">
        <x:f>IF('Sheet5-查询核对'!S23="","",'Sheet5-查询核对'!S23)</x:f>
        <x:v>套利策略—期货套利</x:v>
      </x:c>
      <x:c r="BA38" s="51" t="n">
        <x:f>IF('Sheet5-查询核对'!A23="","",'Sheet5-查询核对'!A23)</x:f>
        <x:v>23</x:v>
      </x:c>
      <x:c r="BB38" s="45" t="str">
        <x:f>IF('Sheet5-查询核对'!F23="","",'Sheet5-查询核对'!F23)</x:f>
        <x:v>备案号匹配</x:v>
      </x:c>
      <x:c r="BC38" s="50" t="str">
        <x:f>IF('Sheet5-查询核对'!I23="","",'Sheet5-查询核对'!I23)</x:f>
        <x:v>https://mp.fof99.com/fund/view/441eaddd701f4a97</x:v>
      </x:c>
      <x:c r="BD38" s="46" t="n">
        <x:f>IF('Sheet5-查询核对'!H23="","",'Sheet5-查询核对'!H23)</x:f>
        <x:v>46269</x:v>
      </x:c>
      <x:c r="BE38" s="50" t="str">
        <x:f>IF('Sheet5-查询核对'!L23="","",'Sheet5-查询核对'!L23)</x:f>
        <x:v>https://mp.fof99.com/fund/view/441eaddd701f4a97</x:v>
      </x:c>
      <x:c r="BF38" s="46" t="n">
        <x:f>IF('Sheet5-查询核对'!M23="","",'Sheet5-查询核对'!M23)</x:f>
        <x:v>46275</x:v>
      </x:c>
      <x:c r="BG38" s="50" t="str">
        <x:f>IF('Sheet5-查询核对'!O23="","",'Sheet5-查询核对'!O23)</x:f>
      </x:c>
      <x:c r="BH38" s="46" t="str">
        <x:f>IF('Sheet5-查询核对'!P23="","",'Sheet5-查询核对'!P23)</x:f>
      </x:c>
      <x:c r="BI38" s="45" t="str">
        <x:f>IF('Sheet5-查询核对'!D23="","",'Sheet5-查询核对'!D23)</x:f>
        <x:v>ZC395A</x:v>
      </x:c>
      <x:c r="BJ38" t="n">
        <x:f>IF(ISNUMBER(AT38),AT38,COUNT($AT$17:$AT$99)+ROWS($AT$17:AT38)-COUNT($AT$17:AT38))</x:f>
        <x:v>50</x:v>
      </x:c>
    </x:row>
    <x:row r="39" ht="44" customHeight="1">
      <x:c r="A39" s="49" t="n">
        <x:f>'Sheet5-查询核对'!A24-1</x:f>
        <x:v>23</x:v>
      </x:c>
      <x:c r="B39" s="50" t="str">
        <x:f>IF('Sheet4-原始数据'!A24="",'Sheet5-查询核对'!B24,'Sheet4-原始数据'!A24)</x:f>
        <x:v>嘉和传承精研二期</x:v>
      </x:c>
      <x:c r="C39" s="45" t="str">
        <x:f>IF('Sheet4-原始数据'!B24="","",'Sheet4-原始数据'!B24)</x:f>
        <x:v>STD929</x:v>
      </x:c>
      <x:c r="D39" s="45" t="str">
        <x:f>IF('Sheet4-原始数据'!E24="","",'Sheet4-原始数据'!E24)</x:f>
        <x:v>上海嘉和传承</x:v>
      </x:c>
      <x:c r="E39" s="46" t="n">
        <x:f>IF('Sheet4-原始数据'!F24="","",'Sheet4-原始数据'!F24)</x:f>
        <x:v>44537</x:v>
      </x:c>
      <x:c r="F39" s="52" t="n">
        <x:f>IF(ISNUMBER(E39),ROUND(('Sheet1-指标体系'!$J$12-E39)/'Sheet1-指标体系'!$J$14,4),"")</x:f>
        <x:v>4.7584</x:v>
      </x:c>
      <x:c r="G39" s="14" t="str">
        <x:f>IF(C39="","未匹配",IF(NOT(ISNUMBER(F39)),"缺成立日期",IF(F39&lt;'Sheet1-指标体系'!$J$15,"不入池","入池")))</x:f>
        <x:v>入池</x:v>
      </x:c>
      <x:c r="H39" s="45" t="str">
        <x:f>IF('Sheet5-查询核对'!K24="","",'Sheet5-查询核对'!K24)</x:f>
        <x:v>5-10亿元</x:v>
      </x:c>
      <x:c r="I39" s="52" t="n">
        <x:f>IF(H39="","",IF(COUNTIF('Sheet1-指标体系'!$P$4:$P$10,H39)=0,"",INDEX('Sheet1-指标体系'!$Q$4:$Q$10,MATCH(H39,'Sheet1-指标体系'!$P$4:$P$10,0))))</x:f>
        <x:v>70</x:v>
      </x:c>
      <x:c r="J39" s="54" t="str">
        <x:f>IF(NOT(ISNUMBER('Sheet5-查询核对'!N24)),"",IF('Sheet5-查询核对'!N24=1,"低于"&amp;'Sheet1-指标体系'!$J$4&amp;"万元",IF('Sheet5-查询核对'!N24=0,"无低于"&amp;'Sheet1-指标体系'!$J$4&amp;"万元标识","")))</x:f>
        <x:v>无低于1000万元标识</x:v>
      </x:c>
      <x:c r="K39" s="52" t="n">
        <x:f>IF(NOT(ISNUMBER('Sheet5-查询核对'!N24)),"",IF('Sheet5-查询核对'!N24=1,'Sheet1-指标体系'!$J$21,IF('Sheet5-查询核对'!N24=0,'Sheet1-指标体系'!$J$18,"")))</x:f>
        <x:v>100</x:v>
      </x:c>
      <x:c r="L39" s="52" t="n">
        <x:f>IF(NOT(ISNUMBER(F39)),"",IF(F39&lt;'Sheet1-指标体系'!$J$15,"",IF(F39&lt;'Sheet1-指标体系'!$J$16,'Sheet1-指标体系'!$J$17,'Sheet1-指标体系'!$J$18)))</x:f>
        <x:v>100</x:v>
      </x:c>
      <x:c r="M39" s="47" t="n">
        <x:f>IF(ISNUMBER('Sheet4-原始数据'!G24),'Sheet4-原始数据'!G24,"")</x:f>
        <x:v>0.0873</x:v>
      </x:c>
      <x:c r="N39" s="47" t="n">
        <x:f>IF(ISNUMBER('Sheet4-原始数据'!H24),'Sheet4-原始数据'!H24,"")</x:f>
        <x:v>0.11960000000000001</x:v>
      </x:c>
      <x:c r="O39" s="47" t="n">
        <x:f>IF(ISNUMBER('Sheet5-查询核对'!Q24),'Sheet5-查询核对'!Q24,"")</x:f>
        <x:v>0.10369999999999999</x:v>
      </x:c>
      <x:c r="P39" s="44" t="n">
        <x:f>IF($G39&lt;&gt;"入池","",IF($F39&gt;='Sheet1-指标体系'!$J$16,IF(COUNT(M39,N39)&lt;&gt;2,"",IF(OR(1+M39&lt;=0,1+N39&lt;0),"",((1+N39)^'Sheet1-指标体系'!$J$16/(1+M39))^(1/('Sheet1-指标体系'!$J$16-'Sheet1-指标体系'!$J$15))-1)),IF(COUNT(M39,O39)&lt;&gt;2,"",IF(OR(F39&lt;='Sheet1-指标体系'!$J$15,1+M39&lt;=0,1+O39&lt;0),"",((1+O39)^F39/(1+M39))^(1/(F39-'Sheet1-指标体系'!$J$15))-1))))</x:f>
        <x:v>0.13610805939046777</x:v>
      </x:c>
      <x:c r="Q39" s="52" t="n">
        <x:f>IF(OR($G39&lt;&gt;"入池",NOT(ISNUMBER(M39))),"",IF(COUNTIFS($G$17:$G$99,"入池",$M$17:$M$99,"&gt;=-1E+307",$M$17:$M$99,"&lt;=1E+307")&lt;=1,'Sheet1-指标体系'!$J$18,ROUND('Sheet1-指标体系'!$J$18*(COUNTIFS($G$17:$G$99,"入池",$M$17:$M$99,"&gt;=-1E+307",$M$17:$M$99,"&lt;"&amp;M39)+COUNTIFS($G$17:$G$99,"入池",$M$17:$M$99,"&gt;=-1E+307",$M$17:$M$99,"&lt;=1E+307",$M$17:$M$99,M39)/2-0.5)/(COUNTIFS($G$17:$G$99,"入池",$M$17:$M$99,"&gt;=-1E+307",$M$17:$M$99,"&lt;=1E+307")-1),2)))</x:f>
        <x:v>55.36</x:v>
      </x:c>
      <x:c r="R39" s="52" t="n">
        <x:f>IF(OR($G39&lt;&gt;"入池",NOT(ISNUMBER(P39))),"",IF(COUNTIFS($G$17:$G$99,"入池",$P$17:$P$99,"&gt;=-1E+307",$P$17:$P$99,"&lt;=1E+307")&lt;=1,'Sheet1-指标体系'!$J$18,ROUND('Sheet1-指标体系'!$J$18*(COUNTIFS($G$17:$G$99,"入池",$P$17:$P$99,"&gt;=-1E+307",$P$17:$P$99,"&lt;"&amp;P39)+COUNTIFS($G$17:$G$99,"入池",$P$17:$P$99,"&gt;=-1E+307",$P$17:$P$99,"&lt;=1E+307",$P$17:$P$99,P39)/2-0.5)/(COUNTIFS($G$17:$G$99,"入池",$P$17:$P$99,"&gt;=-1E+307",$P$17:$P$99,"&lt;=1E+307")-1),2)))</x:f>
        <x:v>83.33</x:v>
      </x:c>
      <x:c r="S39" s="52" t="n">
        <x:f>IF(COUNT(Q39,R39)=0,"",ROUND((IF(ISNUMBER(Q39),Q39*'Sheet1-指标体系'!$G$7*'Sheet1-指标体系'!$J$8,0)+IF(ISNUMBER(R39),R39*'Sheet1-指标体系'!$G$7*'Sheet1-指标体系'!$J$9,0))/(IF(ISNUMBER(Q39),'Sheet1-指标体系'!$G$7*'Sheet1-指标体系'!$J$8,0)+IF(ISNUMBER(R39),'Sheet1-指标体系'!$G$7*'Sheet1-指标体系'!$J$9,0)),2))</x:f>
        <x:v>66.55</x:v>
      </x:c>
      <x:c r="T39" s="47" t="n">
        <x:f>IF(ISNUMBER('Sheet4-原始数据'!J24),'Sheet4-原始数据'!J24,"")</x:f>
        <x:v>0.5385</x:v>
      </x:c>
      <x:c r="U39" s="47" t="n">
        <x:f>IF(ISNUMBER('Sheet4-原始数据'!I24),'Sheet4-原始数据'!I24,"")</x:f>
        <x:v>0.5946</x:v>
      </x:c>
      <x:c r="V39" s="44" t="n">
        <x:f>IF(COUNT(T39:U39)&lt;&gt;2,"",(U39*'Sheet1-指标体系'!$J$6-T39*'Sheet1-指标体系'!$J$5)/'Sheet1-指标体系'!$J$7)</x:f>
        <x:v>0.6249875</x:v>
      </x:c>
      <x:c r="W39" s="52" t="n">
        <x:f>IF(NOT(ISNUMBER(T39)),"",T39*'Sheet1-指标体系'!$J$18)</x:f>
        <x:v>53.849999999999994</x:v>
      </x:c>
      <x:c r="X39" s="52" t="n">
        <x:f>IF(G39&lt;&gt;"入池","",IF(ISNUMBER(V39),IF(AND(V39&gt;=0,V39&lt;=1),V39*'Sheet1-指标体系'!$J$18,IF(MAX(0,(F39-'Sheet1-指标体系'!$J$15)*'Sheet1-指标体系'!$J$20)&lt;'Sheet1-指标体系'!$J$19,'Sheet1-指标体系'!$J$18,"")),IF(MAX(0,(F39-'Sheet1-指标体系'!$J$15)*'Sheet1-指标体系'!$J$20)&lt;'Sheet1-指标体系'!$J$19,'Sheet1-指标体系'!$J$18,"")))</x:f>
        <x:v>62.49875</x:v>
      </x:c>
      <x:c r="Y39" s="52" t="n">
        <x:f>IF(NOT(ISNUMBER(W39)),"",IF(COUNT(W39,X39)=0,"",ROUND((IF(ISNUMBER(W39),W39*'Sheet1-指标体系'!$G$8*'Sheet1-指标体系'!$J$8,0)+IF(ISNUMBER(X39),X39*'Sheet1-指标体系'!$G$8*'Sheet1-指标体系'!$J$9,0))/(IF(ISNUMBER(W39),'Sheet1-指标体系'!$G$8*'Sheet1-指标体系'!$J$8,0)+IF(ISNUMBER(X39),'Sheet1-指标体系'!$G$8*'Sheet1-指标体系'!$J$9,0)),2)))</x:f>
        <x:v>57.31</x:v>
      </x:c>
      <x:c r="Z39" s="44" t="n">
        <x:f>IF(COUNT(M39,AD39)&lt;&gt;2,"",IF(AD39=0,"",ABS(M39/AD39)))</x:f>
        <x:v>0.08941007783695207</x:v>
      </x:c>
      <x:c r="AA39" s="47" t="n">
        <x:f>IF(ISNUMBER('Sheet4-原始数据'!K24),'Sheet4-原始数据'!K24,"")</x:f>
        <x:v>0.0894</x:v>
      </x:c>
      <x:c r="AB39" s="44" t="n">
        <x:f>IF(COUNT(Z39:AA39)=0,"",MAX(Z39:AA39))</x:f>
        <x:v>0.08941007783695207</x:v>
      </x:c>
      <x:c r="AC39" s="52" t="n">
        <x:f>IF(OR($G39&lt;&gt;"入池",NOT(ISNUMBER(AB39))),"",IF(COUNTIFS($G$17:$G$99,"入池",$AB$17:$AB$99,"&gt;=-1E+307",$AB$17:$AB$99,"&lt;=1E+307")&lt;=1,'Sheet1-指标体系'!$J$18,ROUND('Sheet1-指标体系'!$J$18*(COUNTIFS($G$17:$G$99,"入池",$AB$17:$AB$99,"&lt;=1E+307",$AB$17:$AB$99,"&gt;"&amp;AB39)+COUNTIFS($G$17:$G$99,"入池",$AB$17:$AB$99,"&gt;=-1E+307",$AB$17:$AB$99,"&lt;=1E+307",$AB$17:$AB$99,AB39)/2-0.5)/(COUNTIFS($G$17:$G$99,"入池",$AB$17:$AB$99,"&gt;=-1E+307",$AB$17:$AB$99,"&lt;=1E+307")-1),2)))</x:f>
        <x:v>6.9</x:v>
      </x:c>
      <x:c r="AD39" s="48" t="n">
        <x:f>IF(ISNUMBER('Sheet4-原始数据'!M24),'Sheet4-原始数据'!M24,"")</x:f>
        <x:v>0.9764</x:v>
      </x:c>
      <x:c r="AE39" s="44" t="str">
        <x:f>IF(COUNT(P39,AA39,Z39)&lt;&gt;3,"",IF(AA39&gt;Z39+'Sheet1-指标体系'!$J$11,AA39,""))</x:f>
      </x:c>
      <x:c r="AF39" s="52" t="str">
        <x:f>IF(COUNT(P39,AE39)&lt;&gt;2,"",IF(AE39=0,"",P39/AE39))</x:f>
      </x:c>
      <x:c r="AG39" s="52" t="n">
        <x:f>IF(OR($G39&lt;&gt;"入池",NOT(ISNUMBER(AD39))),"",IF(COUNTIFS($G$17:$G$99,"入池",$AD$17:$AD$99,"&gt;=-1E+307",$AD$17:$AD$99,"&lt;=1E+307")&lt;=1,'Sheet1-指标体系'!$J$18,ROUND('Sheet1-指标体系'!$J$18*(COUNTIFS($G$17:$G$99,"入池",$AD$17:$AD$99,"&gt;=-1E+307",$AD$17:$AD$99,"&lt;"&amp;AD39)+COUNTIFS($G$17:$G$99,"入池",$AD$17:$AD$99,"&gt;=-1E+307",$AD$17:$AD$99,"&lt;=1E+307",$AD$17:$AD$99,AD39)/2-0.5)/(COUNTIFS($G$17:$G$99,"入池",$AD$17:$AD$99,"&gt;=-1E+307",$AD$17:$AD$99,"&lt;=1E+307")-1),2)))</x:f>
        <x:v>3.64</x:v>
      </x:c>
      <x:c r="AH39" s="52" t="str">
        <x:f>IF(OR($G39&lt;&gt;"入池",NOT(ISNUMBER(AF39))),"",IF(COUNTIFS($G$17:$G$99,"入池",$AF$17:$AF$99,"&gt;=-1E+307",$AF$17:$AF$99,"&lt;=1E+307")&lt;=1,'Sheet1-指标体系'!$J$18,ROUND('Sheet1-指标体系'!$J$18*(COUNTIFS($G$17:$G$99,"入池",$AF$17:$AF$99,"&gt;=-1E+307",$AF$17:$AF$99,"&lt;"&amp;AF39)+COUNTIFS($G$17:$G$99,"入池",$AF$17:$AF$99,"&gt;=-1E+307",$AF$17:$AF$99,"&lt;=1E+307",$AF$17:$AF$99,AF39)/2-0.5)/(COUNTIFS($G$17:$G$99,"入池",$AF$17:$AF$99,"&gt;=-1E+307",$AF$17:$AF$99,"&lt;=1E+307")-1),2)))</x:f>
      </x:c>
      <x:c r="AI39" s="52" t="n">
        <x:f>IF(COUNT(AG39,AH39)=0,"",ROUND((IF(ISNUMBER(AG39),AG39*'Sheet1-指标体系'!$G$10*'Sheet1-指标体系'!$J$8,0)+IF(ISNUMBER(AH39),AH39*'Sheet1-指标体系'!$G$10*'Sheet1-指标体系'!$J$9,0))/(IF(ISNUMBER(AG39),'Sheet1-指标体系'!$G$10*'Sheet1-指标体系'!$J$8,0)+IF(ISNUMBER(AH39),'Sheet1-指标体系'!$G$10*'Sheet1-指标体系'!$J$9,0)),2))</x:f>
        <x:v>3.64</x:v>
      </x:c>
      <x:c r="AJ39" s="44" t="n">
        <x:f>IF(NOT(ISNUMBER(F39)),"",IF(F39&gt;='Sheet1-指标体系'!$J$16,IF(ISNUMBER(N39),N39,""),IF(ISNUMBER(O39),O39,"")))</x:f>
        <x:v>0.11960000000000001</x:v>
      </x:c>
      <x:c r="AK39" s="52" t="n">
        <x:f>IF(OR(G39&lt;&gt;"入池",COUNT(M39,AJ39)&lt;&gt;2),"",IF(M39&gt;=AJ39,'Sheet1-指标体系'!$J$18,IF(AJ39-M39&lt;'Sheet1-指标体系'!$J$10,'Sheet1-指标体系'!$J$22,'Sheet1-指标体系'!$J$23)))</x:f>
        <x:v>80</x:v>
      </x:c>
      <x:c r="AL39" s="52" t="n">
        <x:f>IF(COUNT(I39,K39,L39)=0,"",ROUND((IF(ISNUMBER(I39),I39*'Sheet1-指标体系'!$G$4,0)+IF(ISNUMBER(K39),K39*'Sheet1-指标体系'!$G$5,0)+IF(ISNUMBER(L39),L39*'Sheet1-指标体系'!$G$6,0))/(IF(ISNUMBER(I39),'Sheet1-指标体系'!$G$4,0)+IF(ISNUMBER(K39),'Sheet1-指标体系'!$G$5,0)+IF(ISNUMBER(L39),'Sheet1-指标体系'!$G$6,0)),2))</x:f>
        <x:v>88</x:v>
      </x:c>
      <x:c r="AM39" s="52" t="n">
        <x:f>IF(COUNT(Q39,R39,W39,X39)=0,"",ROUND((IF(ISNUMBER(Q39),Q39*'Sheet1-指标体系'!$G$7*'Sheet1-指标体系'!$J$8,0)+IF(ISNUMBER(R39),R39*'Sheet1-指标体系'!$G$7*'Sheet1-指标体系'!$J$9,0)+IF(ISNUMBER(W39),W39*'Sheet1-指标体系'!$G$8*'Sheet1-指标体系'!$J$8,0)+IF(ISNUMBER(X39),X39*'Sheet1-指标体系'!$G$8*'Sheet1-指标体系'!$J$9,0))/(IF(ISNUMBER(Q39),'Sheet1-指标体系'!$G$7*'Sheet1-指标体系'!$J$8,0)+IF(ISNUMBER(R39),'Sheet1-指标体系'!$G$7*'Sheet1-指标体系'!$J$9,0)+IF(ISNUMBER(W39),'Sheet1-指标体系'!$G$8*'Sheet1-指标体系'!$J$8,0)+IF(ISNUMBER(X39),'Sheet1-指标体系'!$G$8*'Sheet1-指标体系'!$J$9,0)),2))</x:f>
        <x:v>63.78</x:v>
      </x:c>
      <x:c r="AN39" s="52" t="n">
        <x:f>IF(ISNUMBER(AC39),AC39,"")</x:f>
        <x:v>6.9</x:v>
      </x:c>
      <x:c r="AO39" s="52" t="n">
        <x:f>IF(COUNT(AG39,AH39)=0,"",ROUND((IF(ISNUMBER(AG39),AG39*'Sheet1-指标体系'!$G$10*'Sheet1-指标体系'!$J$8,0)+IF(ISNUMBER(AH39),AH39*'Sheet1-指标体系'!$G$10*'Sheet1-指标体系'!$J$9,0))/(IF(ISNUMBER(AG39),'Sheet1-指标体系'!$G$10*'Sheet1-指标体系'!$J$8,0)+IF(ISNUMBER(AH39),'Sheet1-指标体系'!$G$10*'Sheet1-指标体系'!$J$9,0)),2))</x:f>
        <x:v>3.64</x:v>
      </x:c>
      <x:c r="AP39" s="52" t="n">
        <x:f>IF(ISNUMBER(AK39),AK39,"")</x:f>
        <x:v>80</x:v>
      </x:c>
      <x:c r="AQ39" s="27" t="n">
        <x:f>IF(G39&lt;&gt;"入池",0,IF(ISNUMBER(I39),'Sheet1-指标体系'!$G$4,0)+IF(ISNUMBER(K39),'Sheet1-指标体系'!$G$5,0)+IF(ISNUMBER(L39),'Sheet1-指标体系'!$G$6,0)+IF(ISNUMBER(Q39),'Sheet1-指标体系'!$G$7*'Sheet1-指标体系'!$J$8,0)+IF(ISNUMBER(R39),'Sheet1-指标体系'!$G$7*'Sheet1-指标体系'!$J$9,0)+IF(ISNUMBER(W39),'Sheet1-指标体系'!$G$8*'Sheet1-指标体系'!$J$8,0)+IF(ISNUMBER(X39),'Sheet1-指标体系'!$G$8*'Sheet1-指标体系'!$J$9,0)+IF(ISNUMBER(AC39),'Sheet1-指标体系'!$G$9,0)+IF(ISNUMBER(AG39),'Sheet1-指标体系'!$G$10*'Sheet1-指标体系'!$J$8,0)+IF(ISNUMBER(AH39),'Sheet1-指标体系'!$G$10*'Sheet1-指标体系'!$J$9,0)+IF(ISNUMBER(AK39),'Sheet1-指标体系'!$G$11,0))</x:f>
        <x:v>0.88</x:v>
      </x:c>
      <x:c r="AR39" s="52" t="n">
        <x:f>IF(AQ39=0,"",IF(ISNUMBER(I39),I39*'Sheet1-指标体系'!$G$4,0)+IF(ISNUMBER(K39),K39*'Sheet1-指标体系'!$G$5,0)+IF(ISNUMBER(L39),L39*'Sheet1-指标体系'!$G$6,0)+IF(ISNUMBER(Q39),Q39*'Sheet1-指标体系'!$G$7*'Sheet1-指标体系'!$J$8,0)+IF(ISNUMBER(R39),R39*'Sheet1-指标体系'!$G$7*'Sheet1-指标体系'!$J$9,0)+IF(ISNUMBER(W39),W39*'Sheet1-指标体系'!$G$8*'Sheet1-指标体系'!$J$8,0)+IF(ISNUMBER(X39),X39*'Sheet1-指标体系'!$G$8*'Sheet1-指标体系'!$J$9,0)+IF(ISNUMBER(AC39),AC39*'Sheet1-指标体系'!$G$9,0)+IF(ISNUMBER(AG39),AG39*'Sheet1-指标体系'!$G$10*'Sheet1-指标体系'!$J$8,0)+IF(ISNUMBER(AH39),AH39*'Sheet1-指标体系'!$G$10*'Sheet1-指标体系'!$J$9,0)+IF(ISNUMBER(AK39),AK39*'Sheet1-指标体系'!$G$11,0))</x:f>
        <x:v>36.33549000000001</x:v>
      </x:c>
      <x:c r="AS39" s="52" t="n">
        <x:f>IF(AQ39=0,"",ROUND(AR39/AQ39,2))</x:f>
        <x:v>41.29</x:v>
      </x:c>
      <x:c r="AT39" s="49" t="n">
        <x:f>IF(OR(G39&lt;&gt;"入池",NOT(ISNUMBER(AS39))),"",COUNTIFS($G$17:$G$99,"入池",$AS$17:$AS$99,"&gt;"&amp;AS39)+COUNTIFS($G$17:$G$99,"入池",$AS$17:$AS$99,AS39,$AQ$17:$AQ$99,"&gt;"&amp;AQ39)+COUNTIFS($G$17:G39,"入池",$AS$17:AS39,AS39,$AQ$17:AQ39,AQ39))</x:f>
        <x:v>70</x:v>
      </x:c>
      <x:c r="AU39" s="53" t="str">
        <x:f>IF(NOT(ISNUMBER(I39)),"管理人规模；","")&amp;IF(NOT(ISNUMBER(K39)),"产品规模标识；","")&amp;IF(NOT(ISNUMBER(M39)),"近一年收益；","")&amp;IF(NOT(ISNUMBER(T39)),"近一年胜率；","")&amp;IF(NOT(ISNUMBER(N39)),"近三年收益；","")&amp;IF(NOT(ISNUMBER(U39)),"近三年胜率；","")&amp;IF(NOT(ISNUMBER(AA39)),"近三年回撤；","")&amp;IF(NOT(ISNUMBER(AD39)),"近一年卡玛；","")&amp;IF(ISNUMBER(F39),IF(AND(F39&lt;'Sheet1-指标体系'!$J$16,NOT(ISNUMBER(O39))),"成立以来年化；",""),"成立日期；")&amp;IF(ISNUMBER(V39),IF(OR(V39&lt;0,V39&gt;1),"胜率窗口口径不一致；",""),"")&amp;IF(ISNUMBER(P39),IF(NOT(ISNUMBER(AE39)),"DD_long不可识别；",""),"")</x:f>
        <x:v>DD_long不可识别；</x:v>
      </x:c>
      <x:c r="AV39" s="52" t="str">
        <x:f>IF(ROUND(AQ39,10)=ROUND('Sheet1-指标体系'!$J$25,10),AR39,"")</x:f>
      </x:c>
      <x:c r="AW39" s="14" t="str">
        <x:f>IF(G39&lt;&gt;"入池",G39,IF(AQ39=0,"无有效评分数据",IF(ROUND(AQ39,10)=ROUND('Sheet1-指标体系'!$J$25,10),"完整赋分", "暂定分／数据不完整")))</x:f>
        <x:v>暂定分／数据不完整</x:v>
      </x:c>
      <x:c r="AX39" s="45" t="str">
        <x:f>IF('Sheet4-原始数据'!C24="","",'Sheet4-原始数据'!C24)</x:f>
        <x:v>套利策略</x:v>
      </x:c>
      <x:c r="AY39" s="45" t="str">
        <x:f>IF('Sheet4-原始数据'!D24="","",'Sheet4-原始数据'!D24)</x:f>
        <x:v>期货套利</x:v>
      </x:c>
      <x:c r="AZ39" s="45" t="str">
        <x:f>IF('Sheet5-查询核对'!S24="","",'Sheet5-查询核对'!S24)</x:f>
        <x:v>套利策略—期货套利</x:v>
      </x:c>
      <x:c r="BA39" s="51" t="n">
        <x:f>IF('Sheet5-查询核对'!A24="","",'Sheet5-查询核对'!A24)</x:f>
        <x:v>24</x:v>
      </x:c>
      <x:c r="BB39" s="45" t="str">
        <x:f>IF('Sheet5-查询核对'!F24="","",'Sheet5-查询核对'!F24)</x:f>
        <x:v>备案号匹配</x:v>
      </x:c>
      <x:c r="BC39" s="50" t="str">
        <x:f>IF('Sheet5-查询核对'!I24="","",'Sheet5-查询核对'!I24)</x:f>
        <x:v>https://mp.fof99.com/fund/view/d8c5ba292c0e7653</x:v>
      </x:c>
      <x:c r="BD39" s="46" t="n">
        <x:f>IF('Sheet5-查询核对'!H24="","",'Sheet5-查询核对'!H24)</x:f>
        <x:v>46269</x:v>
      </x:c>
      <x:c r="BE39" s="50" t="str">
        <x:f>IF('Sheet5-查询核对'!L24="","",'Sheet5-查询核对'!L24)</x:f>
        <x:v>https://mp.fof99.com/fund/view/d8c5ba292c0e7653</x:v>
      </x:c>
      <x:c r="BF39" s="46" t="n">
        <x:f>IF('Sheet5-查询核对'!M24="","",'Sheet5-查询核对'!M24)</x:f>
        <x:v>46275</x:v>
      </x:c>
      <x:c r="BG39" s="50" t="str">
        <x:f>IF('Sheet5-查询核对'!O24="","",'Sheet5-查询核对'!O24)</x:f>
        <x:v>https://gs.amac.org.cn/amac-infodisc/res/pof/fund/2112091906107607.html</x:v>
      </x:c>
      <x:c r="BH39" s="46" t="n">
        <x:f>IF('Sheet5-查询核对'!P24="","",'Sheet5-查询核对'!P24)</x:f>
        <x:v>46275</x:v>
      </x:c>
      <x:c r="BI39" s="45" t="str">
        <x:f>IF('Sheet5-查询核对'!D24="","",'Sheet5-查询核对'!D24)</x:f>
        <x:v>STD929</x:v>
      </x:c>
      <x:c r="BJ39" t="n">
        <x:f>IF(ISNUMBER(AT39),AT39,COUNT($AT$17:$AT$99)+ROWS($AT$17:AT39)-COUNT($AT$17:AT39))</x:f>
        <x:v>70</x:v>
      </x:c>
    </x:row>
    <x:row r="40" ht="44" customHeight="1">
      <x:c r="A40" s="49" t="n">
        <x:f>'Sheet5-查询核对'!A25-1</x:f>
        <x:v>24</x:v>
      </x:c>
      <x:c r="B40" s="50" t="str">
        <x:f>IF('Sheet4-原始数据'!A25="",'Sheet5-查询核对'!B25,'Sheet4-原始数据'!A25)</x:f>
        <x:v>阶石稳健1号</x:v>
      </x:c>
      <x:c r="C40" s="45" t="str">
        <x:f>IF('Sheet4-原始数据'!B25="","",'Sheet4-原始数据'!B25)</x:f>
        <x:v>SATE65</x:v>
      </x:c>
      <x:c r="D40" s="45" t="str">
        <x:f>IF('Sheet4-原始数据'!E25="","",'Sheet4-原始数据'!E25)</x:f>
        <x:v>深圳阶石</x:v>
      </x:c>
      <x:c r="E40" s="46" t="n">
        <x:f>IF('Sheet4-原始数据'!F25="","",'Sheet4-原始数据'!F25)</x:f>
        <x:v>45694</x:v>
      </x:c>
      <x:c r="F40" s="52" t="n">
        <x:f>IF(ISNUMBER(E40),ROUND(('Sheet1-指标体系'!$J$12-E40)/'Sheet1-指标体系'!$J$14,4),"")</x:f>
        <x:v>1.5907</x:v>
      </x:c>
      <x:c r="G40" s="14" t="str">
        <x:f>IF(C40="","未匹配",IF(NOT(ISNUMBER(F40)),"缺成立日期",IF(F40&lt;'Sheet1-指标体系'!$J$15,"不入池","入池")))</x:f>
        <x:v>入池</x:v>
      </x:c>
      <x:c r="H40" s="45" t="str">
        <x:f>IF('Sheet5-查询核对'!K25="","",'Sheet5-查询核对'!K25)</x:f>
        <x:v>5-10亿元</x:v>
      </x:c>
      <x:c r="I40" s="52" t="n">
        <x:f>IF(H40="","",IF(COUNTIF('Sheet1-指标体系'!$P$4:$P$10,H40)=0,"",INDEX('Sheet1-指标体系'!$Q$4:$Q$10,MATCH(H40,'Sheet1-指标体系'!$P$4:$P$10,0))))</x:f>
        <x:v>70</x:v>
      </x:c>
      <x:c r="J40" s="54" t="str">
        <x:f>IF(NOT(ISNUMBER('Sheet5-查询核对'!N25)),"",IF('Sheet5-查询核对'!N25=1,"低于"&amp;'Sheet1-指标体系'!$J$4&amp;"万元",IF('Sheet5-查询核对'!N25=0,"无低于"&amp;'Sheet1-指标体系'!$J$4&amp;"万元标识","")))</x:f>
        <x:v>无低于1000万元标识</x:v>
      </x:c>
      <x:c r="K40" s="52" t="n">
        <x:f>IF(NOT(ISNUMBER('Sheet5-查询核对'!N25)),"",IF('Sheet5-查询核对'!N25=1,'Sheet1-指标体系'!$J$21,IF('Sheet5-查询核对'!N25=0,'Sheet1-指标体系'!$J$18,"")))</x:f>
        <x:v>100</x:v>
      </x:c>
      <x:c r="L40" s="52" t="n">
        <x:f>IF(NOT(ISNUMBER(F40)),"",IF(F40&lt;'Sheet1-指标体系'!$J$15,"",IF(F40&lt;'Sheet1-指标体系'!$J$16,'Sheet1-指标体系'!$J$17,'Sheet1-指标体系'!$J$18)))</x:f>
        <x:v>70</x:v>
      </x:c>
      <x:c r="M40" s="47" t="str">
        <x:f>IF(ISNUMBER('Sheet4-原始数据'!G25),'Sheet4-原始数据'!G25,"")</x:f>
      </x:c>
      <x:c r="N40" s="47" t="str">
        <x:f>IF(ISNUMBER('Sheet4-原始数据'!H25),'Sheet4-原始数据'!H25,"")</x:f>
      </x:c>
      <x:c r="O40" s="47" t="str">
        <x:f>IF(ISNUMBER('Sheet5-查询核对'!Q25),'Sheet5-查询核对'!Q25,"")</x:f>
      </x:c>
      <x:c r="P40" s="44" t="str">
        <x:f>IF($G40&lt;&gt;"入池","",IF($F40&gt;='Sheet1-指标体系'!$J$16,IF(COUNT(M40,N40)&lt;&gt;2,"",IF(OR(1+M40&lt;=0,1+N40&lt;0),"",((1+N40)^'Sheet1-指标体系'!$J$16/(1+M40))^(1/('Sheet1-指标体系'!$J$16-'Sheet1-指标体系'!$J$15))-1)),IF(COUNT(M40,O40)&lt;&gt;2,"",IF(OR(F40&lt;='Sheet1-指标体系'!$J$15,1+M40&lt;=0,1+O40&lt;0),"",((1+O40)^F40/(1+M40))^(1/(F40-'Sheet1-指标体系'!$J$15))-1))))</x:f>
      </x:c>
      <x:c r="Q40" s="52" t="str">
        <x:f>IF(OR($G40&lt;&gt;"入池",NOT(ISNUMBER(M40))),"",IF(COUNTIFS($G$17:$G$99,"入池",$M$17:$M$99,"&gt;=-1E+307",$M$17:$M$99,"&lt;=1E+307")&lt;=1,'Sheet1-指标体系'!$J$18,ROUND('Sheet1-指标体系'!$J$18*(COUNTIFS($G$17:$G$99,"入池",$M$17:$M$99,"&gt;=-1E+307",$M$17:$M$99,"&lt;"&amp;M40)+COUNTIFS($G$17:$G$99,"入池",$M$17:$M$99,"&gt;=-1E+307",$M$17:$M$99,"&lt;=1E+307",$M$17:$M$99,M40)/2-0.5)/(COUNTIFS($G$17:$G$99,"入池",$M$17:$M$99,"&gt;=-1E+307",$M$17:$M$99,"&lt;=1E+307")-1),2)))</x:f>
      </x:c>
      <x:c r="R40" s="52" t="str">
        <x:f>IF(OR($G40&lt;&gt;"入池",NOT(ISNUMBER(P40))),"",IF(COUNTIFS($G$17:$G$99,"入池",$P$17:$P$99,"&gt;=-1E+307",$P$17:$P$99,"&lt;=1E+307")&lt;=1,'Sheet1-指标体系'!$J$18,ROUND('Sheet1-指标体系'!$J$18*(COUNTIFS($G$17:$G$99,"入池",$P$17:$P$99,"&gt;=-1E+307",$P$17:$P$99,"&lt;"&amp;P40)+COUNTIFS($G$17:$G$99,"入池",$P$17:$P$99,"&gt;=-1E+307",$P$17:$P$99,"&lt;=1E+307",$P$17:$P$99,P40)/2-0.5)/(COUNTIFS($G$17:$G$99,"入池",$P$17:$P$99,"&gt;=-1E+307",$P$17:$P$99,"&lt;=1E+307")-1),2)))</x:f>
      </x:c>
      <x:c r="S40" s="52" t="str">
        <x:f>IF(COUNT(Q40,R40)=0,"",ROUND((IF(ISNUMBER(Q40),Q40*'Sheet1-指标体系'!$G$7*'Sheet1-指标体系'!$J$8,0)+IF(ISNUMBER(R40),R40*'Sheet1-指标体系'!$G$7*'Sheet1-指标体系'!$J$9,0))/(IF(ISNUMBER(Q40),'Sheet1-指标体系'!$G$7*'Sheet1-指标体系'!$J$8,0)+IF(ISNUMBER(R40),'Sheet1-指标体系'!$G$7*'Sheet1-指标体系'!$J$9,0)),2))</x:f>
      </x:c>
      <x:c r="T40" s="47" t="str">
        <x:f>IF(ISNUMBER('Sheet4-原始数据'!J25),'Sheet4-原始数据'!J25,"")</x:f>
      </x:c>
      <x:c r="U40" s="47" t="str">
        <x:f>IF(ISNUMBER('Sheet4-原始数据'!I25),'Sheet4-原始数据'!I25,"")</x:f>
      </x:c>
      <x:c r="V40" s="44" t="str">
        <x:f>IF(COUNT(T40:U40)&lt;&gt;2,"",(U40*'Sheet1-指标体系'!$J$6-T40*'Sheet1-指标体系'!$J$5)/'Sheet1-指标体系'!$J$7)</x:f>
      </x:c>
      <x:c r="W40" s="52" t="str">
        <x:f>IF(NOT(ISNUMBER(T40)),"",T40*'Sheet1-指标体系'!$J$18)</x:f>
      </x:c>
      <x:c r="X40" s="52" t="str">
        <x:f>IF(G40&lt;&gt;"入池","",IF(ISNUMBER(V40),IF(AND(V40&gt;=0,V40&lt;=1),V40*'Sheet1-指标体系'!$J$18,IF(MAX(0,(F40-'Sheet1-指标体系'!$J$15)*'Sheet1-指标体系'!$J$20)&lt;'Sheet1-指标体系'!$J$19,'Sheet1-指标体系'!$J$18,"")),IF(MAX(0,(F40-'Sheet1-指标体系'!$J$15)*'Sheet1-指标体系'!$J$20)&lt;'Sheet1-指标体系'!$J$19,'Sheet1-指标体系'!$J$18,"")))</x:f>
      </x:c>
      <x:c r="Y40" s="52" t="str">
        <x:f>IF(NOT(ISNUMBER(W40)),"",IF(COUNT(W40,X40)=0,"",ROUND((IF(ISNUMBER(W40),W40*'Sheet1-指标体系'!$G$8*'Sheet1-指标体系'!$J$8,0)+IF(ISNUMBER(X40),X40*'Sheet1-指标体系'!$G$8*'Sheet1-指标体系'!$J$9,0))/(IF(ISNUMBER(W40),'Sheet1-指标体系'!$G$8*'Sheet1-指标体系'!$J$8,0)+IF(ISNUMBER(X40),'Sheet1-指标体系'!$G$8*'Sheet1-指标体系'!$J$9,0)),2)))</x:f>
      </x:c>
      <x:c r="Z40" s="44" t="str">
        <x:f>IF(COUNT(M40,AD40)&lt;&gt;2,"",IF(AD40=0,"",ABS(M40/AD40)))</x:f>
      </x:c>
      <x:c r="AA40" s="47" t="str">
        <x:f>IF(ISNUMBER('Sheet4-原始数据'!K25),'Sheet4-原始数据'!K25,"")</x:f>
      </x:c>
      <x:c r="AB40" s="44" t="str">
        <x:f>IF(COUNT(Z40:AA40)=0,"",MAX(Z40:AA40))</x:f>
      </x:c>
      <x:c r="AC40" s="52" t="str">
        <x:f>IF(OR($G40&lt;&gt;"入池",NOT(ISNUMBER(AB40))),"",IF(COUNTIFS($G$17:$G$99,"入池",$AB$17:$AB$99,"&gt;=-1E+307",$AB$17:$AB$99,"&lt;=1E+307")&lt;=1,'Sheet1-指标体系'!$J$18,ROUND('Sheet1-指标体系'!$J$18*(COUNTIFS($G$17:$G$99,"入池",$AB$17:$AB$99,"&lt;=1E+307",$AB$17:$AB$99,"&gt;"&amp;AB40)+COUNTIFS($G$17:$G$99,"入池",$AB$17:$AB$99,"&gt;=-1E+307",$AB$17:$AB$99,"&lt;=1E+307",$AB$17:$AB$99,AB40)/2-0.5)/(COUNTIFS($G$17:$G$99,"入池",$AB$17:$AB$99,"&gt;=-1E+307",$AB$17:$AB$99,"&lt;=1E+307")-1),2)))</x:f>
      </x:c>
      <x:c r="AD40" s="48" t="str">
        <x:f>IF(ISNUMBER('Sheet4-原始数据'!M25),'Sheet4-原始数据'!M25,"")</x:f>
      </x:c>
      <x:c r="AE40" s="44" t="str">
        <x:f>IF(COUNT(P40,AA40,Z40)&lt;&gt;3,"",IF(AA40&gt;Z40+'Sheet1-指标体系'!$J$11,AA40,""))</x:f>
      </x:c>
      <x:c r="AF40" s="52" t="str">
        <x:f>IF(COUNT(P40,AE40)&lt;&gt;2,"",IF(AE40=0,"",P40/AE40))</x:f>
      </x:c>
      <x:c r="AG40" s="52" t="str">
        <x:f>IF(OR($G40&lt;&gt;"入池",NOT(ISNUMBER(AD40))),"",IF(COUNTIFS($G$17:$G$99,"入池",$AD$17:$AD$99,"&gt;=-1E+307",$AD$17:$AD$99,"&lt;=1E+307")&lt;=1,'Sheet1-指标体系'!$J$18,ROUND('Sheet1-指标体系'!$J$18*(COUNTIFS($G$17:$G$99,"入池",$AD$17:$AD$99,"&gt;=-1E+307",$AD$17:$AD$99,"&lt;"&amp;AD40)+COUNTIFS($G$17:$G$99,"入池",$AD$17:$AD$99,"&gt;=-1E+307",$AD$17:$AD$99,"&lt;=1E+307",$AD$17:$AD$99,AD40)/2-0.5)/(COUNTIFS($G$17:$G$99,"入池",$AD$17:$AD$99,"&gt;=-1E+307",$AD$17:$AD$99,"&lt;=1E+307")-1),2)))</x:f>
      </x:c>
      <x:c r="AH40" s="52" t="str">
        <x:f>IF(OR($G40&lt;&gt;"入池",NOT(ISNUMBER(AF40))),"",IF(COUNTIFS($G$17:$G$99,"入池",$AF$17:$AF$99,"&gt;=-1E+307",$AF$17:$AF$99,"&lt;=1E+307")&lt;=1,'Sheet1-指标体系'!$J$18,ROUND('Sheet1-指标体系'!$J$18*(COUNTIFS($G$17:$G$99,"入池",$AF$17:$AF$99,"&gt;=-1E+307",$AF$17:$AF$99,"&lt;"&amp;AF40)+COUNTIFS($G$17:$G$99,"入池",$AF$17:$AF$99,"&gt;=-1E+307",$AF$17:$AF$99,"&lt;=1E+307",$AF$17:$AF$99,AF40)/2-0.5)/(COUNTIFS($G$17:$G$99,"入池",$AF$17:$AF$99,"&gt;=-1E+307",$AF$17:$AF$99,"&lt;=1E+307")-1),2)))</x:f>
      </x:c>
      <x:c r="AI40" s="52" t="str">
        <x:f>IF(COUNT(AG40,AH40)=0,"",ROUND((IF(ISNUMBER(AG40),AG40*'Sheet1-指标体系'!$G$10*'Sheet1-指标体系'!$J$8,0)+IF(ISNUMBER(AH40),AH40*'Sheet1-指标体系'!$G$10*'Sheet1-指标体系'!$J$9,0))/(IF(ISNUMBER(AG40),'Sheet1-指标体系'!$G$10*'Sheet1-指标体系'!$J$8,0)+IF(ISNUMBER(AH40),'Sheet1-指标体系'!$G$10*'Sheet1-指标体系'!$J$9,0)),2))</x:f>
      </x:c>
      <x:c r="AJ40" s="44" t="str">
        <x:f>IF(NOT(ISNUMBER(F40)),"",IF(F40&gt;='Sheet1-指标体系'!$J$16,IF(ISNUMBER(N40),N40,""),IF(ISNUMBER(O40),O40,"")))</x:f>
      </x:c>
      <x:c r="AK40" s="52" t="str">
        <x:f>IF(OR(G40&lt;&gt;"入池",COUNT(M40,AJ40)&lt;&gt;2),"",IF(M40&gt;=AJ40,'Sheet1-指标体系'!$J$18,IF(AJ40-M40&lt;'Sheet1-指标体系'!$J$10,'Sheet1-指标体系'!$J$22,'Sheet1-指标体系'!$J$23)))</x:f>
      </x:c>
      <x:c r="AL40" s="52" t="n">
        <x:f>IF(COUNT(I40,K40,L40)=0,"",ROUND((IF(ISNUMBER(I40),I40*'Sheet1-指标体系'!$G$4,0)+IF(ISNUMBER(K40),K40*'Sheet1-指标体系'!$G$5,0)+IF(ISNUMBER(L40),L40*'Sheet1-指标体系'!$G$6,0))/(IF(ISNUMBER(I40),'Sheet1-指标体系'!$G$4,0)+IF(ISNUMBER(K40),'Sheet1-指标体系'!$G$5,0)+IF(ISNUMBER(L40),'Sheet1-指标体系'!$G$6,0)),2))</x:f>
        <x:v>79</x:v>
      </x:c>
      <x:c r="AM40" s="52" t="str">
        <x:f>IF(COUNT(Q40,R40,W40,X40)=0,"",ROUND((IF(ISNUMBER(Q40),Q40*'Sheet1-指标体系'!$G$7*'Sheet1-指标体系'!$J$8,0)+IF(ISNUMBER(R40),R40*'Sheet1-指标体系'!$G$7*'Sheet1-指标体系'!$J$9,0)+IF(ISNUMBER(W40),W40*'Sheet1-指标体系'!$G$8*'Sheet1-指标体系'!$J$8,0)+IF(ISNUMBER(X40),X40*'Sheet1-指标体系'!$G$8*'Sheet1-指标体系'!$J$9,0))/(IF(ISNUMBER(Q40),'Sheet1-指标体系'!$G$7*'Sheet1-指标体系'!$J$8,0)+IF(ISNUMBER(R40),'Sheet1-指标体系'!$G$7*'Sheet1-指标体系'!$J$9,0)+IF(ISNUMBER(W40),'Sheet1-指标体系'!$G$8*'Sheet1-指标体系'!$J$8,0)+IF(ISNUMBER(X40),'Sheet1-指标体系'!$G$8*'Sheet1-指标体系'!$J$9,0)),2))</x:f>
      </x:c>
      <x:c r="AN40" s="52" t="str">
        <x:f>IF(ISNUMBER(AC40),AC40,"")</x:f>
      </x:c>
      <x:c r="AO40" s="52" t="str">
        <x:f>IF(COUNT(AG40,AH40)=0,"",ROUND((IF(ISNUMBER(AG40),AG40*'Sheet1-指标体系'!$G$10*'Sheet1-指标体系'!$J$8,0)+IF(ISNUMBER(AH40),AH40*'Sheet1-指标体系'!$G$10*'Sheet1-指标体系'!$J$9,0))/(IF(ISNUMBER(AG40),'Sheet1-指标体系'!$G$10*'Sheet1-指标体系'!$J$8,0)+IF(ISNUMBER(AH40),'Sheet1-指标体系'!$G$10*'Sheet1-指标体系'!$J$9,0)),2))</x:f>
      </x:c>
      <x:c r="AP40" s="52" t="str">
        <x:f>IF(ISNUMBER(AK40),AK40,"")</x:f>
      </x:c>
      <x:c r="AQ40" s="27" t="n">
        <x:f>IF(G40&lt;&gt;"入池",0,IF(ISNUMBER(I40),'Sheet1-指标体系'!$G$4,0)+IF(ISNUMBER(K40),'Sheet1-指标体系'!$G$5,0)+IF(ISNUMBER(L40),'Sheet1-指标体系'!$G$6,0)+IF(ISNUMBER(Q40),'Sheet1-指标体系'!$G$7*'Sheet1-指标体系'!$J$8,0)+IF(ISNUMBER(R40),'Sheet1-指标体系'!$G$7*'Sheet1-指标体系'!$J$9,0)+IF(ISNUMBER(W40),'Sheet1-指标体系'!$G$8*'Sheet1-指标体系'!$J$8,0)+IF(ISNUMBER(X40),'Sheet1-指标体系'!$G$8*'Sheet1-指标体系'!$J$9,0)+IF(ISNUMBER(AC40),'Sheet1-指标体系'!$G$9,0)+IF(ISNUMBER(AG40),'Sheet1-指标体系'!$G$10*'Sheet1-指标体系'!$J$8,0)+IF(ISNUMBER(AH40),'Sheet1-指标体系'!$G$10*'Sheet1-指标体系'!$J$9,0)+IF(ISNUMBER(AK40),'Sheet1-指标体系'!$G$11,0))</x:f>
        <x:v>0.15</x:v>
      </x:c>
      <x:c r="AR40" s="52" t="n">
        <x:f>IF(AQ40=0,"",IF(ISNUMBER(I40),I40*'Sheet1-指标体系'!$G$4,0)+IF(ISNUMBER(K40),K40*'Sheet1-指标体系'!$G$5,0)+IF(ISNUMBER(L40),L40*'Sheet1-指标体系'!$G$6,0)+IF(ISNUMBER(Q40),Q40*'Sheet1-指标体系'!$G$7*'Sheet1-指标体系'!$J$8,0)+IF(ISNUMBER(R40),R40*'Sheet1-指标体系'!$G$7*'Sheet1-指标体系'!$J$9,0)+IF(ISNUMBER(W40),W40*'Sheet1-指标体系'!$G$8*'Sheet1-指标体系'!$J$8,0)+IF(ISNUMBER(X40),X40*'Sheet1-指标体系'!$G$8*'Sheet1-指标体系'!$J$9,0)+IF(ISNUMBER(AC40),AC40*'Sheet1-指标体系'!$G$9,0)+IF(ISNUMBER(AG40),AG40*'Sheet1-指标体系'!$G$10*'Sheet1-指标体系'!$J$8,0)+IF(ISNUMBER(AH40),AH40*'Sheet1-指标体系'!$G$10*'Sheet1-指标体系'!$J$9,0)+IF(ISNUMBER(AK40),AK40*'Sheet1-指标体系'!$G$11,0))</x:f>
        <x:v>11.85</x:v>
      </x:c>
      <x:c r="AS40" s="52" t="n">
        <x:f>IF(AQ40=0,"",ROUND(AR40/AQ40,2))</x:f>
        <x:v>79</x:v>
      </x:c>
      <x:c r="AT40" s="49" t="n">
        <x:f>IF(OR(G40&lt;&gt;"入池",NOT(ISNUMBER(AS40))),"",COUNTIFS($G$17:$G$99,"入池",$AS$17:$AS$99,"&gt;"&amp;AS40)+COUNTIFS($G$17:$G$99,"入池",$AS$17:$AS$99,AS40,$AQ$17:$AQ$99,"&gt;"&amp;AQ40)+COUNTIFS($G$17:G40,"入池",$AS$17:AS40,AS40,$AQ$17:AQ40,AQ40))</x:f>
        <x:v>28</x:v>
      </x:c>
      <x:c r="AU40" s="53" t="str">
        <x:f>IF(NOT(ISNUMBER(I40)),"管理人规模；","")&amp;IF(NOT(ISNUMBER(K40)),"产品规模标识；","")&amp;IF(NOT(ISNUMBER(M40)),"近一年收益；","")&amp;IF(NOT(ISNUMBER(T40)),"近一年胜率；","")&amp;IF(NOT(ISNUMBER(N40)),"近三年收益；","")&amp;IF(NOT(ISNUMBER(U40)),"近三年胜率；","")&amp;IF(NOT(ISNUMBER(AA40)),"近三年回撤；","")&amp;IF(NOT(ISNUMBER(AD40)),"近一年卡玛；","")&amp;IF(ISNUMBER(F40),IF(AND(F40&lt;'Sheet1-指标体系'!$J$16,NOT(ISNUMBER(O40))),"成立以来年化；",""),"成立日期；")&amp;IF(ISNUMBER(V40),IF(OR(V40&lt;0,V40&gt;1),"胜率窗口口径不一致；",""),"")&amp;IF(ISNUMBER(P40),IF(NOT(ISNUMBER(AE40)),"DD_long不可识别；",""),"")</x:f>
        <x:v>近一年收益；近一年胜率；近三年收益；近三年胜率；近三年回撤；近一年卡玛；成立以来年化；</x:v>
      </x:c>
      <x:c r="AV40" s="52" t="str">
        <x:f>IF(ROUND(AQ40,10)=ROUND('Sheet1-指标体系'!$J$25,10),AR40,"")</x:f>
      </x:c>
      <x:c r="AW40" s="14" t="str">
        <x:f>IF(G40&lt;&gt;"入池",G40,IF(AQ40=0,"无有效评分数据",IF(ROUND(AQ40,10)=ROUND('Sheet1-指标体系'!$J$25,10),"完整赋分", "暂定分／数据不完整")))</x:f>
        <x:v>暂定分／数据不完整</x:v>
      </x:c>
      <x:c r="AX40" s="45" t="str">
        <x:f>IF('Sheet4-原始数据'!C25="","",'Sheet4-原始数据'!C25)</x:f>
        <x:v>套利策略</x:v>
      </x:c>
      <x:c r="AY40" s="45" t="str">
        <x:f>IF('Sheet4-原始数据'!D25="","",'Sheet4-原始数据'!D25)</x:f>
        <x:v>基金套利</x:v>
      </x:c>
      <x:c r="AZ40" s="45" t="str">
        <x:f>IF('Sheet5-查询核对'!S25="","",'Sheet5-查询核对'!S25)</x:f>
        <x:v>套利策略—基金套利</x:v>
      </x:c>
      <x:c r="BA40" s="51" t="n">
        <x:f>IF('Sheet5-查询核对'!A25="","",'Sheet5-查询核对'!A25)</x:f>
        <x:v>25</x:v>
      </x:c>
      <x:c r="BB40" s="45" t="str">
        <x:f>IF('Sheet5-查询核对'!F25="","",'Sheet5-查询核对'!F25)</x:f>
        <x:v>备案号匹配</x:v>
      </x:c>
      <x:c r="BC40" s="50" t="str">
        <x:f>IF('Sheet5-查询核对'!I25="","",'Sheet5-查询核对'!I25)</x:f>
        <x:v>https://mp.fof99.com/fund/view/735dc9bdc1713fc1</x:v>
      </x:c>
      <x:c r="BD40" s="46" t="n">
        <x:f>IF('Sheet5-查询核对'!H25="","",'Sheet5-查询核对'!H25)</x:f>
        <x:v>46269</x:v>
      </x:c>
      <x:c r="BE40" s="50" t="str">
        <x:f>IF('Sheet5-查询核对'!L25="","",'Sheet5-查询核对'!L25)</x:f>
        <x:v>https://mp.fof99.com/fund/view/4bda29597d3247b9</x:v>
      </x:c>
      <x:c r="BF40" s="46" t="n">
        <x:f>IF('Sheet5-查询核对'!M25="","",'Sheet5-查询核对'!M25)</x:f>
        <x:v>46275</x:v>
      </x:c>
      <x:c r="BG40" s="50" t="str">
        <x:f>IF('Sheet5-查询核对'!O25="","",'Sheet5-查询核对'!O25)</x:f>
        <x:v>https://gs.amac.org.cn/amac-infodisc/res/pof/fund/2502121708108102.html</x:v>
      </x:c>
      <x:c r="BH40" s="46" t="n">
        <x:f>IF('Sheet5-查询核对'!P25="","",'Sheet5-查询核对'!P25)</x:f>
        <x:v>46275</x:v>
      </x:c>
      <x:c r="BI40" s="45" t="str">
        <x:f>IF('Sheet5-查询核对'!D25="","",'Sheet5-查询核对'!D25)</x:f>
        <x:v>SATE65</x:v>
      </x:c>
      <x:c r="BJ40" t="n">
        <x:f>IF(ISNUMBER(AT40),AT40,COUNT($AT$17:$AT$99)+ROWS($AT$17:AT40)-COUNT($AT$17:AT40))</x:f>
        <x:v>28</x:v>
      </x:c>
    </x:row>
    <x:row r="41" ht="44" customHeight="1">
      <x:c r="A41" s="49" t="n">
        <x:f>'Sheet5-查询核对'!A26-1</x:f>
        <x:v>25</x:v>
      </x:c>
      <x:c r="B41" s="50" t="str">
        <x:f>IF('Sheet4-原始数据'!A26="",'Sheet5-查询核对'!B26,'Sheet4-原始数据'!A26)</x:f>
        <x:v>阶石稳健7号</x:v>
      </x:c>
      <x:c r="C41" s="45" t="str">
        <x:f>IF('Sheet4-原始数据'!B26="","",'Sheet4-原始数据'!B26)</x:f>
        <x:v>SAWS84</x:v>
      </x:c>
      <x:c r="D41" s="45" t="str">
        <x:f>IF('Sheet4-原始数据'!E26="","",'Sheet4-原始数据'!E26)</x:f>
        <x:v>深圳阶石</x:v>
      </x:c>
      <x:c r="E41" s="46" t="n">
        <x:f>IF('Sheet4-原始数据'!F26="","",'Sheet4-原始数据'!F26)</x:f>
        <x:v>45749</x:v>
      </x:c>
      <x:c r="F41" s="52" t="n">
        <x:f>IF(ISNUMBER(E41),ROUND(('Sheet1-指标体系'!$J$12-E41)/'Sheet1-指标体系'!$J$14,4),"")</x:f>
        <x:v>1.4401</x:v>
      </x:c>
      <x:c r="G41" s="14" t="str">
        <x:f>IF(C41="","未匹配",IF(NOT(ISNUMBER(F41)),"缺成立日期",IF(F41&lt;'Sheet1-指标体系'!$J$15,"不入池","入池")))</x:f>
        <x:v>入池</x:v>
      </x:c>
      <x:c r="H41" s="45" t="str">
        <x:f>IF('Sheet5-查询核对'!K26="","",'Sheet5-查询核对'!K26)</x:f>
        <x:v>5-10亿元</x:v>
      </x:c>
      <x:c r="I41" s="52" t="n">
        <x:f>IF(H41="","",IF(COUNTIF('Sheet1-指标体系'!$P$4:$P$10,H41)=0,"",INDEX('Sheet1-指标体系'!$Q$4:$Q$10,MATCH(H41,'Sheet1-指标体系'!$P$4:$P$10,0))))</x:f>
        <x:v>70</x:v>
      </x:c>
      <x:c r="J41" s="54" t="str">
        <x:f>IF(NOT(ISNUMBER('Sheet5-查询核对'!N26)),"",IF('Sheet5-查询核对'!N26=1,"低于"&amp;'Sheet1-指标体系'!$J$4&amp;"万元",IF('Sheet5-查询核对'!N26=0,"无低于"&amp;'Sheet1-指标体系'!$J$4&amp;"万元标识","")))</x:f>
        <x:v>无低于1000万元标识</x:v>
      </x:c>
      <x:c r="K41" s="52" t="n">
        <x:f>IF(NOT(ISNUMBER('Sheet5-查询核对'!N26)),"",IF('Sheet5-查询核对'!N26=1,'Sheet1-指标体系'!$J$21,IF('Sheet5-查询核对'!N26=0,'Sheet1-指标体系'!$J$18,"")))</x:f>
        <x:v>100</x:v>
      </x:c>
      <x:c r="L41" s="52" t="n">
        <x:f>IF(NOT(ISNUMBER(F41)),"",IF(F41&lt;'Sheet1-指标体系'!$J$15,"",IF(F41&lt;'Sheet1-指标体系'!$J$16,'Sheet1-指标体系'!$J$17,'Sheet1-指标体系'!$J$18)))</x:f>
        <x:v>70</x:v>
      </x:c>
      <x:c r="M41" s="47" t="str">
        <x:f>IF(ISNUMBER('Sheet4-原始数据'!G26),'Sheet4-原始数据'!G26,"")</x:f>
      </x:c>
      <x:c r="N41" s="47" t="str">
        <x:f>IF(ISNUMBER('Sheet4-原始数据'!H26),'Sheet4-原始数据'!H26,"")</x:f>
      </x:c>
      <x:c r="O41" s="47" t="str">
        <x:f>IF(ISNUMBER('Sheet5-查询核对'!Q26),'Sheet5-查询核对'!Q26,"")</x:f>
      </x:c>
      <x:c r="P41" s="44" t="str">
        <x:f>IF($G41&lt;&gt;"入池","",IF($F41&gt;='Sheet1-指标体系'!$J$16,IF(COUNT(M41,N41)&lt;&gt;2,"",IF(OR(1+M41&lt;=0,1+N41&lt;0),"",((1+N41)^'Sheet1-指标体系'!$J$16/(1+M41))^(1/('Sheet1-指标体系'!$J$16-'Sheet1-指标体系'!$J$15))-1)),IF(COUNT(M41,O41)&lt;&gt;2,"",IF(OR(F41&lt;='Sheet1-指标体系'!$J$15,1+M41&lt;=0,1+O41&lt;0),"",((1+O41)^F41/(1+M41))^(1/(F41-'Sheet1-指标体系'!$J$15))-1))))</x:f>
      </x:c>
      <x:c r="Q41" s="52" t="str">
        <x:f>IF(OR($G41&lt;&gt;"入池",NOT(ISNUMBER(M41))),"",IF(COUNTIFS($G$17:$G$99,"入池",$M$17:$M$99,"&gt;=-1E+307",$M$17:$M$99,"&lt;=1E+307")&lt;=1,'Sheet1-指标体系'!$J$18,ROUND('Sheet1-指标体系'!$J$18*(COUNTIFS($G$17:$G$99,"入池",$M$17:$M$99,"&gt;=-1E+307",$M$17:$M$99,"&lt;"&amp;M41)+COUNTIFS($G$17:$G$99,"入池",$M$17:$M$99,"&gt;=-1E+307",$M$17:$M$99,"&lt;=1E+307",$M$17:$M$99,M41)/2-0.5)/(COUNTIFS($G$17:$G$99,"入池",$M$17:$M$99,"&gt;=-1E+307",$M$17:$M$99,"&lt;=1E+307")-1),2)))</x:f>
      </x:c>
      <x:c r="R41" s="52" t="str">
        <x:f>IF(OR($G41&lt;&gt;"入池",NOT(ISNUMBER(P41))),"",IF(COUNTIFS($G$17:$G$99,"入池",$P$17:$P$99,"&gt;=-1E+307",$P$17:$P$99,"&lt;=1E+307")&lt;=1,'Sheet1-指标体系'!$J$18,ROUND('Sheet1-指标体系'!$J$18*(COUNTIFS($G$17:$G$99,"入池",$P$17:$P$99,"&gt;=-1E+307",$P$17:$P$99,"&lt;"&amp;P41)+COUNTIFS($G$17:$G$99,"入池",$P$17:$P$99,"&gt;=-1E+307",$P$17:$P$99,"&lt;=1E+307",$P$17:$P$99,P41)/2-0.5)/(COUNTIFS($G$17:$G$99,"入池",$P$17:$P$99,"&gt;=-1E+307",$P$17:$P$99,"&lt;=1E+307")-1),2)))</x:f>
      </x:c>
      <x:c r="S41" s="52" t="str">
        <x:f>IF(COUNT(Q41,R41)=0,"",ROUND((IF(ISNUMBER(Q41),Q41*'Sheet1-指标体系'!$G$7*'Sheet1-指标体系'!$J$8,0)+IF(ISNUMBER(R41),R41*'Sheet1-指标体系'!$G$7*'Sheet1-指标体系'!$J$9,0))/(IF(ISNUMBER(Q41),'Sheet1-指标体系'!$G$7*'Sheet1-指标体系'!$J$8,0)+IF(ISNUMBER(R41),'Sheet1-指标体系'!$G$7*'Sheet1-指标体系'!$J$9,0)),2))</x:f>
      </x:c>
      <x:c r="T41" s="47" t="str">
        <x:f>IF(ISNUMBER('Sheet4-原始数据'!J26),'Sheet4-原始数据'!J26,"")</x:f>
      </x:c>
      <x:c r="U41" s="47" t="str">
        <x:f>IF(ISNUMBER('Sheet4-原始数据'!I26),'Sheet4-原始数据'!I26,"")</x:f>
      </x:c>
      <x:c r="V41" s="44" t="str">
        <x:f>IF(COUNT(T41:U41)&lt;&gt;2,"",(U41*'Sheet1-指标体系'!$J$6-T41*'Sheet1-指标体系'!$J$5)/'Sheet1-指标体系'!$J$7)</x:f>
      </x:c>
      <x:c r="W41" s="52" t="str">
        <x:f>IF(NOT(ISNUMBER(T41)),"",T41*'Sheet1-指标体系'!$J$18)</x:f>
      </x:c>
      <x:c r="X41" s="52" t="n">
        <x:f>IF(G41&lt;&gt;"入池","",IF(ISNUMBER(V41),IF(AND(V41&gt;=0,V41&lt;=1),V41*'Sheet1-指标体系'!$J$18,IF(MAX(0,(F41-'Sheet1-指标体系'!$J$15)*'Sheet1-指标体系'!$J$20)&lt;'Sheet1-指标体系'!$J$19,'Sheet1-指标体系'!$J$18,"")),IF(MAX(0,(F41-'Sheet1-指标体系'!$J$15)*'Sheet1-指标体系'!$J$20)&lt;'Sheet1-指标体系'!$J$19,'Sheet1-指标体系'!$J$18,"")))</x:f>
        <x:v>100</x:v>
      </x:c>
      <x:c r="Y41" s="52" t="str">
        <x:f>IF(NOT(ISNUMBER(W41)),"",IF(COUNT(W41,X41)=0,"",ROUND((IF(ISNUMBER(W41),W41*'Sheet1-指标体系'!$G$8*'Sheet1-指标体系'!$J$8,0)+IF(ISNUMBER(X41),X41*'Sheet1-指标体系'!$G$8*'Sheet1-指标体系'!$J$9,0))/(IF(ISNUMBER(W41),'Sheet1-指标体系'!$G$8*'Sheet1-指标体系'!$J$8,0)+IF(ISNUMBER(X41),'Sheet1-指标体系'!$G$8*'Sheet1-指标体系'!$J$9,0)),2)))</x:f>
      </x:c>
      <x:c r="Z41" s="44" t="str">
        <x:f>IF(COUNT(M41,AD41)&lt;&gt;2,"",IF(AD41=0,"",ABS(M41/AD41)))</x:f>
      </x:c>
      <x:c r="AA41" s="47" t="str">
        <x:f>IF(ISNUMBER('Sheet4-原始数据'!K26),'Sheet4-原始数据'!K26,"")</x:f>
      </x:c>
      <x:c r="AB41" s="44" t="str">
        <x:f>IF(COUNT(Z41:AA41)=0,"",MAX(Z41:AA41))</x:f>
      </x:c>
      <x:c r="AC41" s="52" t="str">
        <x:f>IF(OR($G41&lt;&gt;"入池",NOT(ISNUMBER(AB41))),"",IF(COUNTIFS($G$17:$G$99,"入池",$AB$17:$AB$99,"&gt;=-1E+307",$AB$17:$AB$99,"&lt;=1E+307")&lt;=1,'Sheet1-指标体系'!$J$18,ROUND('Sheet1-指标体系'!$J$18*(COUNTIFS($G$17:$G$99,"入池",$AB$17:$AB$99,"&lt;=1E+307",$AB$17:$AB$99,"&gt;"&amp;AB41)+COUNTIFS($G$17:$G$99,"入池",$AB$17:$AB$99,"&gt;=-1E+307",$AB$17:$AB$99,"&lt;=1E+307",$AB$17:$AB$99,AB41)/2-0.5)/(COUNTIFS($G$17:$G$99,"入池",$AB$17:$AB$99,"&gt;=-1E+307",$AB$17:$AB$99,"&lt;=1E+307")-1),2)))</x:f>
      </x:c>
      <x:c r="AD41" s="48" t="str">
        <x:f>IF(ISNUMBER('Sheet4-原始数据'!M26),'Sheet4-原始数据'!M26,"")</x:f>
      </x:c>
      <x:c r="AE41" s="44" t="str">
        <x:f>IF(COUNT(P41,AA41,Z41)&lt;&gt;3,"",IF(AA41&gt;Z41+'Sheet1-指标体系'!$J$11,AA41,""))</x:f>
      </x:c>
      <x:c r="AF41" s="52" t="str">
        <x:f>IF(COUNT(P41,AE41)&lt;&gt;2,"",IF(AE41=0,"",P41/AE41))</x:f>
      </x:c>
      <x:c r="AG41" s="52" t="str">
        <x:f>IF(OR($G41&lt;&gt;"入池",NOT(ISNUMBER(AD41))),"",IF(COUNTIFS($G$17:$G$99,"入池",$AD$17:$AD$99,"&gt;=-1E+307",$AD$17:$AD$99,"&lt;=1E+307")&lt;=1,'Sheet1-指标体系'!$J$18,ROUND('Sheet1-指标体系'!$J$18*(COUNTIFS($G$17:$G$99,"入池",$AD$17:$AD$99,"&gt;=-1E+307",$AD$17:$AD$99,"&lt;"&amp;AD41)+COUNTIFS($G$17:$G$99,"入池",$AD$17:$AD$99,"&gt;=-1E+307",$AD$17:$AD$99,"&lt;=1E+307",$AD$17:$AD$99,AD41)/2-0.5)/(COUNTIFS($G$17:$G$99,"入池",$AD$17:$AD$99,"&gt;=-1E+307",$AD$17:$AD$99,"&lt;=1E+307")-1),2)))</x:f>
      </x:c>
      <x:c r="AH41" s="52" t="str">
        <x:f>IF(OR($G41&lt;&gt;"入池",NOT(ISNUMBER(AF41))),"",IF(COUNTIFS($G$17:$G$99,"入池",$AF$17:$AF$99,"&gt;=-1E+307",$AF$17:$AF$99,"&lt;=1E+307")&lt;=1,'Sheet1-指标体系'!$J$18,ROUND('Sheet1-指标体系'!$J$18*(COUNTIFS($G$17:$G$99,"入池",$AF$17:$AF$99,"&gt;=-1E+307",$AF$17:$AF$99,"&lt;"&amp;AF41)+COUNTIFS($G$17:$G$99,"入池",$AF$17:$AF$99,"&gt;=-1E+307",$AF$17:$AF$99,"&lt;=1E+307",$AF$17:$AF$99,AF41)/2-0.5)/(COUNTIFS($G$17:$G$99,"入池",$AF$17:$AF$99,"&gt;=-1E+307",$AF$17:$AF$99,"&lt;=1E+307")-1),2)))</x:f>
      </x:c>
      <x:c r="AI41" s="52" t="str">
        <x:f>IF(COUNT(AG41,AH41)=0,"",ROUND((IF(ISNUMBER(AG41),AG41*'Sheet1-指标体系'!$G$10*'Sheet1-指标体系'!$J$8,0)+IF(ISNUMBER(AH41),AH41*'Sheet1-指标体系'!$G$10*'Sheet1-指标体系'!$J$9,0))/(IF(ISNUMBER(AG41),'Sheet1-指标体系'!$G$10*'Sheet1-指标体系'!$J$8,0)+IF(ISNUMBER(AH41),'Sheet1-指标体系'!$G$10*'Sheet1-指标体系'!$J$9,0)),2))</x:f>
      </x:c>
      <x:c r="AJ41" s="44" t="str">
        <x:f>IF(NOT(ISNUMBER(F41)),"",IF(F41&gt;='Sheet1-指标体系'!$J$16,IF(ISNUMBER(N41),N41,""),IF(ISNUMBER(O41),O41,"")))</x:f>
      </x:c>
      <x:c r="AK41" s="52" t="str">
        <x:f>IF(OR(G41&lt;&gt;"入池",COUNT(M41,AJ41)&lt;&gt;2),"",IF(M41&gt;=AJ41,'Sheet1-指标体系'!$J$18,IF(AJ41-M41&lt;'Sheet1-指标体系'!$J$10,'Sheet1-指标体系'!$J$22,'Sheet1-指标体系'!$J$23)))</x:f>
      </x:c>
      <x:c r="AL41" s="52" t="n">
        <x:f>IF(COUNT(I41,K41,L41)=0,"",ROUND((IF(ISNUMBER(I41),I41*'Sheet1-指标体系'!$G$4,0)+IF(ISNUMBER(K41),K41*'Sheet1-指标体系'!$G$5,0)+IF(ISNUMBER(L41),L41*'Sheet1-指标体系'!$G$6,0))/(IF(ISNUMBER(I41),'Sheet1-指标体系'!$G$4,0)+IF(ISNUMBER(K41),'Sheet1-指标体系'!$G$5,0)+IF(ISNUMBER(L41),'Sheet1-指标体系'!$G$6,0)),2))</x:f>
        <x:v>79</x:v>
      </x:c>
      <x:c r="AM41" s="52" t="n">
        <x:f>IF(COUNT(Q41,R41,W41,X41)=0,"",ROUND((IF(ISNUMBER(Q41),Q41*'Sheet1-指标体系'!$G$7*'Sheet1-指标体系'!$J$8,0)+IF(ISNUMBER(R41),R41*'Sheet1-指标体系'!$G$7*'Sheet1-指标体系'!$J$9,0)+IF(ISNUMBER(W41),W41*'Sheet1-指标体系'!$G$8*'Sheet1-指标体系'!$J$8,0)+IF(ISNUMBER(X41),X41*'Sheet1-指标体系'!$G$8*'Sheet1-指标体系'!$J$9,0))/(IF(ISNUMBER(Q41),'Sheet1-指标体系'!$G$7*'Sheet1-指标体系'!$J$8,0)+IF(ISNUMBER(R41),'Sheet1-指标体系'!$G$7*'Sheet1-指标体系'!$J$9,0)+IF(ISNUMBER(W41),'Sheet1-指标体系'!$G$8*'Sheet1-指标体系'!$J$8,0)+IF(ISNUMBER(X41),'Sheet1-指标体系'!$G$8*'Sheet1-指标体系'!$J$9,0)),2))</x:f>
        <x:v>100</x:v>
      </x:c>
      <x:c r="AN41" s="52" t="str">
        <x:f>IF(ISNUMBER(AC41),AC41,"")</x:f>
      </x:c>
      <x:c r="AO41" s="52" t="str">
        <x:f>IF(COUNT(AG41,AH41)=0,"",ROUND((IF(ISNUMBER(AG41),AG41*'Sheet1-指标体系'!$G$10*'Sheet1-指标体系'!$J$8,0)+IF(ISNUMBER(AH41),AH41*'Sheet1-指标体系'!$G$10*'Sheet1-指标体系'!$J$9,0))/(IF(ISNUMBER(AG41),'Sheet1-指标体系'!$G$10*'Sheet1-指标体系'!$J$8,0)+IF(ISNUMBER(AH41),'Sheet1-指标体系'!$G$10*'Sheet1-指标体系'!$J$9,0)),2))</x:f>
      </x:c>
      <x:c r="AP41" s="52" t="str">
        <x:f>IF(ISNUMBER(AK41),AK41,"")</x:f>
      </x:c>
      <x:c r="AQ41" s="27" t="n">
        <x:f>IF(G41&lt;&gt;"入池",0,IF(ISNUMBER(I41),'Sheet1-指标体系'!$G$4,0)+IF(ISNUMBER(K41),'Sheet1-指标体系'!$G$5,0)+IF(ISNUMBER(L41),'Sheet1-指标体系'!$G$6,0)+IF(ISNUMBER(Q41),'Sheet1-指标体系'!$G$7*'Sheet1-指标体系'!$J$8,0)+IF(ISNUMBER(R41),'Sheet1-指标体系'!$G$7*'Sheet1-指标体系'!$J$9,0)+IF(ISNUMBER(W41),'Sheet1-指标体系'!$G$8*'Sheet1-指标体系'!$J$8,0)+IF(ISNUMBER(X41),'Sheet1-指标体系'!$G$8*'Sheet1-指标体系'!$J$9,0)+IF(ISNUMBER(AC41),'Sheet1-指标体系'!$G$9,0)+IF(ISNUMBER(AG41),'Sheet1-指标体系'!$G$10*'Sheet1-指标体系'!$J$8,0)+IF(ISNUMBER(AH41),'Sheet1-指标体系'!$G$10*'Sheet1-指标体系'!$J$9,0)+IF(ISNUMBER(AK41),'Sheet1-指标体系'!$G$11,0))</x:f>
        <x:v>0.174</x:v>
      </x:c>
      <x:c r="AR41" s="52" t="n">
        <x:f>IF(AQ41=0,"",IF(ISNUMBER(I41),I41*'Sheet1-指标体系'!$G$4,0)+IF(ISNUMBER(K41),K41*'Sheet1-指标体系'!$G$5,0)+IF(ISNUMBER(L41),L41*'Sheet1-指标体系'!$G$6,0)+IF(ISNUMBER(Q41),Q41*'Sheet1-指标体系'!$G$7*'Sheet1-指标体系'!$J$8,0)+IF(ISNUMBER(R41),R41*'Sheet1-指标体系'!$G$7*'Sheet1-指标体系'!$J$9,0)+IF(ISNUMBER(W41),W41*'Sheet1-指标体系'!$G$8*'Sheet1-指标体系'!$J$8,0)+IF(ISNUMBER(X41),X41*'Sheet1-指标体系'!$G$8*'Sheet1-指标体系'!$J$9,0)+IF(ISNUMBER(AC41),AC41*'Sheet1-指标体系'!$G$9,0)+IF(ISNUMBER(AG41),AG41*'Sheet1-指标体系'!$G$10*'Sheet1-指标体系'!$J$8,0)+IF(ISNUMBER(AH41),AH41*'Sheet1-指标体系'!$G$10*'Sheet1-指标体系'!$J$9,0)+IF(ISNUMBER(AK41),AK41*'Sheet1-指标体系'!$G$11,0))</x:f>
        <x:v>14.25</x:v>
      </x:c>
      <x:c r="AS41" s="52" t="n">
        <x:f>IF(AQ41=0,"",ROUND(AR41/AQ41,2))</x:f>
        <x:v>81.9</x:v>
      </x:c>
      <x:c r="AT41" s="49" t="n">
        <x:f>IF(OR(G41&lt;&gt;"入池",NOT(ISNUMBER(AS41))),"",COUNTIFS($G$17:$G$99,"入池",$AS$17:$AS$99,"&gt;"&amp;AS41)+COUNTIFS($G$17:$G$99,"入池",$AS$17:$AS$99,AS41,$AQ$17:$AQ$99,"&gt;"&amp;AQ41)+COUNTIFS($G$17:G41,"入池",$AS$17:AS41,AS41,$AQ$17:AQ41,AQ41))</x:f>
        <x:v>24</x:v>
      </x:c>
      <x:c r="AU41" s="53" t="str">
        <x:f>IF(NOT(ISNUMBER(I41)),"管理人规模；","")&amp;IF(NOT(ISNUMBER(K41)),"产品规模标识；","")&amp;IF(NOT(ISNUMBER(M41)),"近一年收益；","")&amp;IF(NOT(ISNUMBER(T41)),"近一年胜率；","")&amp;IF(NOT(ISNUMBER(N41)),"近三年收益；","")&amp;IF(NOT(ISNUMBER(U41)),"近三年胜率；","")&amp;IF(NOT(ISNUMBER(AA41)),"近三年回撤；","")&amp;IF(NOT(ISNUMBER(AD41)),"近一年卡玛；","")&amp;IF(ISNUMBER(F41),IF(AND(F41&lt;'Sheet1-指标体系'!$J$16,NOT(ISNUMBER(O41))),"成立以来年化；",""),"成立日期；")&amp;IF(ISNUMBER(V41),IF(OR(V41&lt;0,V41&gt;1),"胜率窗口口径不一致；",""),"")&amp;IF(ISNUMBER(P41),IF(NOT(ISNUMBER(AE41)),"DD_long不可识别；",""),"")</x:f>
        <x:v>近一年收益；近一年胜率；近三年收益；近三年胜率；近三年回撤；近一年卡玛；成立以来年化；</x:v>
      </x:c>
      <x:c r="AV41" s="52" t="str">
        <x:f>IF(ROUND(AQ41,10)=ROUND('Sheet1-指标体系'!$J$25,10),AR41,"")</x:f>
      </x:c>
      <x:c r="AW41" s="14" t="str">
        <x:f>IF(G41&lt;&gt;"入池",G41,IF(AQ41=0,"无有效评分数据",IF(ROUND(AQ41,10)=ROUND('Sheet1-指标体系'!$J$25,10),"完整赋分", "暂定分／数据不完整")))</x:f>
        <x:v>暂定分／数据不完整</x:v>
      </x:c>
      <x:c r="AX41" s="45" t="str">
        <x:f>IF('Sheet4-原始数据'!C26="","",'Sheet4-原始数据'!C26)</x:f>
        <x:v>套利策略</x:v>
      </x:c>
      <x:c r="AY41" s="45" t="str">
        <x:f>IF('Sheet4-原始数据'!D26="","",'Sheet4-原始数据'!D26)</x:f>
        <x:v>基金套利</x:v>
      </x:c>
      <x:c r="AZ41" s="45" t="str">
        <x:f>IF('Sheet5-查询核对'!S26="","",'Sheet5-查询核对'!S26)</x:f>
        <x:v>套利策略—基金套利</x:v>
      </x:c>
      <x:c r="BA41" s="51" t="n">
        <x:f>IF('Sheet5-查询核对'!A26="","",'Sheet5-查询核对'!A26)</x:f>
        <x:v>26</x:v>
      </x:c>
      <x:c r="BB41" s="45" t="str">
        <x:f>IF('Sheet5-查询核对'!F26="","",'Sheet5-查询核对'!F26)</x:f>
        <x:v>备案号匹配</x:v>
      </x:c>
      <x:c r="BC41" s="50" t="str">
        <x:f>IF('Sheet5-查询核对'!I26="","",'Sheet5-查询核对'!I26)</x:f>
        <x:v>https://mp.fof99.com/fund/view/a1580a40d8b17419</x:v>
      </x:c>
      <x:c r="BD41" s="46" t="n">
        <x:f>IF('Sheet5-查询核对'!H26="","",'Sheet5-查询核对'!H26)</x:f>
        <x:v>46269</x:v>
      </x:c>
      <x:c r="BE41" s="50" t="str">
        <x:f>IF('Sheet5-查询核对'!L26="","",'Sheet5-查询核对'!L26)</x:f>
        <x:v>https://mp.fof99.com/fund/view/4bda29597d3247b9</x:v>
      </x:c>
      <x:c r="BF41" s="46" t="n">
        <x:f>IF('Sheet5-查询核对'!M26="","",'Sheet5-查询核对'!M26)</x:f>
        <x:v>46275</x:v>
      </x:c>
      <x:c r="BG41" s="50" t="str">
        <x:f>IF('Sheet5-查询核对'!O26="","",'Sheet5-查询核对'!O26)</x:f>
        <x:v>https://gs.amac.org.cn/amac-infodisc/res/pof/fund/2504081731100688.html</x:v>
      </x:c>
      <x:c r="BH41" s="46" t="n">
        <x:f>IF('Sheet5-查询核对'!P26="","",'Sheet5-查询核对'!P26)</x:f>
        <x:v>46275</x:v>
      </x:c>
      <x:c r="BI41" s="45" t="str">
        <x:f>IF('Sheet5-查询核对'!D26="","",'Sheet5-查询核对'!D26)</x:f>
        <x:v>SAWS84</x:v>
      </x:c>
      <x:c r="BJ41" t="n">
        <x:f>IF(ISNUMBER(AT41),AT41,COUNT($AT$17:$AT$99)+ROWS($AT$17:AT41)-COUNT($AT$17:AT41))</x:f>
        <x:v>24</x:v>
      </x:c>
    </x:row>
    <x:row r="42" ht="44" customHeight="1">
      <x:c r="A42" s="49" t="n">
        <x:f>'Sheet5-查询核对'!A27-1</x:f>
        <x:v>26</x:v>
      </x:c>
      <x:c r="B42" s="50" t="str">
        <x:f>IF('Sheet4-原始数据'!A27="",'Sheet5-查询核对'!B27,'Sheet4-原始数据'!A27)</x:f>
        <x:v>阶石稳健9号</x:v>
      </x:c>
      <x:c r="C42" s="45" t="str">
        <x:f>IF('Sheet4-原始数据'!B27="","",'Sheet4-原始数据'!B27)</x:f>
        <x:v>SAZW60</x:v>
      </x:c>
      <x:c r="D42" s="45" t="str">
        <x:f>IF('Sheet4-原始数据'!E27="","",'Sheet4-原始数据'!E27)</x:f>
        <x:v>深圳阶石</x:v>
      </x:c>
      <x:c r="E42" s="46" t="n">
        <x:f>IF('Sheet4-原始数据'!F27="","",'Sheet4-原始数据'!F27)</x:f>
        <x:v>45818</x:v>
      </x:c>
      <x:c r="F42" s="52" t="n">
        <x:f>IF(ISNUMBER(E42),ROUND(('Sheet1-指标体系'!$J$12-E42)/'Sheet1-指标体系'!$J$14,4),"")</x:f>
        <x:v>1.2512</x:v>
      </x:c>
      <x:c r="G42" s="14" t="str">
        <x:f>IF(C42="","未匹配",IF(NOT(ISNUMBER(F42)),"缺成立日期",IF(F42&lt;'Sheet1-指标体系'!$J$15,"不入池","入池")))</x:f>
        <x:v>入池</x:v>
      </x:c>
      <x:c r="H42" s="45" t="str">
        <x:f>IF('Sheet5-查询核对'!K27="","",'Sheet5-查询核对'!K27)</x:f>
        <x:v>5-10亿元</x:v>
      </x:c>
      <x:c r="I42" s="52" t="n">
        <x:f>IF(H42="","",IF(COUNTIF('Sheet1-指标体系'!$P$4:$P$10,H42)=0,"",INDEX('Sheet1-指标体系'!$Q$4:$Q$10,MATCH(H42,'Sheet1-指标体系'!$P$4:$P$10,0))))</x:f>
        <x:v>70</x:v>
      </x:c>
      <x:c r="J42" s="54" t="str">
        <x:f>IF(NOT(ISNUMBER('Sheet5-查询核对'!N27)),"",IF('Sheet5-查询核对'!N27=1,"低于"&amp;'Sheet1-指标体系'!$J$4&amp;"万元",IF('Sheet5-查询核对'!N27=0,"无低于"&amp;'Sheet1-指标体系'!$J$4&amp;"万元标识","")))</x:f>
        <x:v>无低于1000万元标识</x:v>
      </x:c>
      <x:c r="K42" s="52" t="n">
        <x:f>IF(NOT(ISNUMBER('Sheet5-查询核对'!N27)),"",IF('Sheet5-查询核对'!N27=1,'Sheet1-指标体系'!$J$21,IF('Sheet5-查询核对'!N27=0,'Sheet1-指标体系'!$J$18,"")))</x:f>
        <x:v>100</x:v>
      </x:c>
      <x:c r="L42" s="52" t="n">
        <x:f>IF(NOT(ISNUMBER(F42)),"",IF(F42&lt;'Sheet1-指标体系'!$J$15,"",IF(F42&lt;'Sheet1-指标体系'!$J$16,'Sheet1-指标体系'!$J$17,'Sheet1-指标体系'!$J$18)))</x:f>
        <x:v>70</x:v>
      </x:c>
      <x:c r="M42" s="47" t="str">
        <x:f>IF(ISNUMBER('Sheet4-原始数据'!G27),'Sheet4-原始数据'!G27,"")</x:f>
      </x:c>
      <x:c r="N42" s="47" t="str">
        <x:f>IF(ISNUMBER('Sheet4-原始数据'!H27),'Sheet4-原始数据'!H27,"")</x:f>
      </x:c>
      <x:c r="O42" s="47" t="str">
        <x:f>IF(ISNUMBER('Sheet5-查询核对'!Q27),'Sheet5-查询核对'!Q27,"")</x:f>
      </x:c>
      <x:c r="P42" s="44" t="str">
        <x:f>IF($G42&lt;&gt;"入池","",IF($F42&gt;='Sheet1-指标体系'!$J$16,IF(COUNT(M42,N42)&lt;&gt;2,"",IF(OR(1+M42&lt;=0,1+N42&lt;0),"",((1+N42)^'Sheet1-指标体系'!$J$16/(1+M42))^(1/('Sheet1-指标体系'!$J$16-'Sheet1-指标体系'!$J$15))-1)),IF(COUNT(M42,O42)&lt;&gt;2,"",IF(OR(F42&lt;='Sheet1-指标体系'!$J$15,1+M42&lt;=0,1+O42&lt;0),"",((1+O42)^F42/(1+M42))^(1/(F42-'Sheet1-指标体系'!$J$15))-1))))</x:f>
      </x:c>
      <x:c r="Q42" s="52" t="str">
        <x:f>IF(OR($G42&lt;&gt;"入池",NOT(ISNUMBER(M42))),"",IF(COUNTIFS($G$17:$G$99,"入池",$M$17:$M$99,"&gt;=-1E+307",$M$17:$M$99,"&lt;=1E+307")&lt;=1,'Sheet1-指标体系'!$J$18,ROUND('Sheet1-指标体系'!$J$18*(COUNTIFS($G$17:$G$99,"入池",$M$17:$M$99,"&gt;=-1E+307",$M$17:$M$99,"&lt;"&amp;M42)+COUNTIFS($G$17:$G$99,"入池",$M$17:$M$99,"&gt;=-1E+307",$M$17:$M$99,"&lt;=1E+307",$M$17:$M$99,M42)/2-0.5)/(COUNTIFS($G$17:$G$99,"入池",$M$17:$M$99,"&gt;=-1E+307",$M$17:$M$99,"&lt;=1E+307")-1),2)))</x:f>
      </x:c>
      <x:c r="R42" s="52" t="str">
        <x:f>IF(OR($G42&lt;&gt;"入池",NOT(ISNUMBER(P42))),"",IF(COUNTIFS($G$17:$G$99,"入池",$P$17:$P$99,"&gt;=-1E+307",$P$17:$P$99,"&lt;=1E+307")&lt;=1,'Sheet1-指标体系'!$J$18,ROUND('Sheet1-指标体系'!$J$18*(COUNTIFS($G$17:$G$99,"入池",$P$17:$P$99,"&gt;=-1E+307",$P$17:$P$99,"&lt;"&amp;P42)+COUNTIFS($G$17:$G$99,"入池",$P$17:$P$99,"&gt;=-1E+307",$P$17:$P$99,"&lt;=1E+307",$P$17:$P$99,P42)/2-0.5)/(COUNTIFS($G$17:$G$99,"入池",$P$17:$P$99,"&gt;=-1E+307",$P$17:$P$99,"&lt;=1E+307")-1),2)))</x:f>
      </x:c>
      <x:c r="S42" s="52" t="str">
        <x:f>IF(COUNT(Q42,R42)=0,"",ROUND((IF(ISNUMBER(Q42),Q42*'Sheet1-指标体系'!$G$7*'Sheet1-指标体系'!$J$8,0)+IF(ISNUMBER(R42),R42*'Sheet1-指标体系'!$G$7*'Sheet1-指标体系'!$J$9,0))/(IF(ISNUMBER(Q42),'Sheet1-指标体系'!$G$7*'Sheet1-指标体系'!$J$8,0)+IF(ISNUMBER(R42),'Sheet1-指标体系'!$G$7*'Sheet1-指标体系'!$J$9,0)),2))</x:f>
      </x:c>
      <x:c r="T42" s="47" t="str">
        <x:f>IF(ISNUMBER('Sheet4-原始数据'!J27),'Sheet4-原始数据'!J27,"")</x:f>
      </x:c>
      <x:c r="U42" s="47" t="str">
        <x:f>IF(ISNUMBER('Sheet4-原始数据'!I27),'Sheet4-原始数据'!I27,"")</x:f>
      </x:c>
      <x:c r="V42" s="44" t="str">
        <x:f>IF(COUNT(T42:U42)&lt;&gt;2,"",(U42*'Sheet1-指标体系'!$J$6-T42*'Sheet1-指标体系'!$J$5)/'Sheet1-指标体系'!$J$7)</x:f>
      </x:c>
      <x:c r="W42" s="52" t="str">
        <x:f>IF(NOT(ISNUMBER(T42)),"",T42*'Sheet1-指标体系'!$J$18)</x:f>
      </x:c>
      <x:c r="X42" s="52" t="n">
        <x:f>IF(G42&lt;&gt;"入池","",IF(ISNUMBER(V42),IF(AND(V42&gt;=0,V42&lt;=1),V42*'Sheet1-指标体系'!$J$18,IF(MAX(0,(F42-'Sheet1-指标体系'!$J$15)*'Sheet1-指标体系'!$J$20)&lt;'Sheet1-指标体系'!$J$19,'Sheet1-指标体系'!$J$18,"")),IF(MAX(0,(F42-'Sheet1-指标体系'!$J$15)*'Sheet1-指标体系'!$J$20)&lt;'Sheet1-指标体系'!$J$19,'Sheet1-指标体系'!$J$18,"")))</x:f>
        <x:v>100</x:v>
      </x:c>
      <x:c r="Y42" s="52" t="str">
        <x:f>IF(NOT(ISNUMBER(W42)),"",IF(COUNT(W42,X42)=0,"",ROUND((IF(ISNUMBER(W42),W42*'Sheet1-指标体系'!$G$8*'Sheet1-指标体系'!$J$8,0)+IF(ISNUMBER(X42),X42*'Sheet1-指标体系'!$G$8*'Sheet1-指标体系'!$J$9,0))/(IF(ISNUMBER(W42),'Sheet1-指标体系'!$G$8*'Sheet1-指标体系'!$J$8,0)+IF(ISNUMBER(X42),'Sheet1-指标体系'!$G$8*'Sheet1-指标体系'!$J$9,0)),2)))</x:f>
      </x:c>
      <x:c r="Z42" s="44" t="str">
        <x:f>IF(COUNT(M42,AD42)&lt;&gt;2,"",IF(AD42=0,"",ABS(M42/AD42)))</x:f>
      </x:c>
      <x:c r="AA42" s="47" t="str">
        <x:f>IF(ISNUMBER('Sheet4-原始数据'!K27),'Sheet4-原始数据'!K27,"")</x:f>
      </x:c>
      <x:c r="AB42" s="44" t="str">
        <x:f>IF(COUNT(Z42:AA42)=0,"",MAX(Z42:AA42))</x:f>
      </x:c>
      <x:c r="AC42" s="52" t="str">
        <x:f>IF(OR($G42&lt;&gt;"入池",NOT(ISNUMBER(AB42))),"",IF(COUNTIFS($G$17:$G$99,"入池",$AB$17:$AB$99,"&gt;=-1E+307",$AB$17:$AB$99,"&lt;=1E+307")&lt;=1,'Sheet1-指标体系'!$J$18,ROUND('Sheet1-指标体系'!$J$18*(COUNTIFS($G$17:$G$99,"入池",$AB$17:$AB$99,"&lt;=1E+307",$AB$17:$AB$99,"&gt;"&amp;AB42)+COUNTIFS($G$17:$G$99,"入池",$AB$17:$AB$99,"&gt;=-1E+307",$AB$17:$AB$99,"&lt;=1E+307",$AB$17:$AB$99,AB42)/2-0.5)/(COUNTIFS($G$17:$G$99,"入池",$AB$17:$AB$99,"&gt;=-1E+307",$AB$17:$AB$99,"&lt;=1E+307")-1),2)))</x:f>
      </x:c>
      <x:c r="AD42" s="48" t="str">
        <x:f>IF(ISNUMBER('Sheet4-原始数据'!M27),'Sheet4-原始数据'!M27,"")</x:f>
      </x:c>
      <x:c r="AE42" s="44" t="str">
        <x:f>IF(COUNT(P42,AA42,Z42)&lt;&gt;3,"",IF(AA42&gt;Z42+'Sheet1-指标体系'!$J$11,AA42,""))</x:f>
      </x:c>
      <x:c r="AF42" s="52" t="str">
        <x:f>IF(COUNT(P42,AE42)&lt;&gt;2,"",IF(AE42=0,"",P42/AE42))</x:f>
      </x:c>
      <x:c r="AG42" s="52" t="str">
        <x:f>IF(OR($G42&lt;&gt;"入池",NOT(ISNUMBER(AD42))),"",IF(COUNTIFS($G$17:$G$99,"入池",$AD$17:$AD$99,"&gt;=-1E+307",$AD$17:$AD$99,"&lt;=1E+307")&lt;=1,'Sheet1-指标体系'!$J$18,ROUND('Sheet1-指标体系'!$J$18*(COUNTIFS($G$17:$G$99,"入池",$AD$17:$AD$99,"&gt;=-1E+307",$AD$17:$AD$99,"&lt;"&amp;AD42)+COUNTIFS($G$17:$G$99,"入池",$AD$17:$AD$99,"&gt;=-1E+307",$AD$17:$AD$99,"&lt;=1E+307",$AD$17:$AD$99,AD42)/2-0.5)/(COUNTIFS($G$17:$G$99,"入池",$AD$17:$AD$99,"&gt;=-1E+307",$AD$17:$AD$99,"&lt;=1E+307")-1),2)))</x:f>
      </x:c>
      <x:c r="AH42" s="52" t="str">
        <x:f>IF(OR($G42&lt;&gt;"入池",NOT(ISNUMBER(AF42))),"",IF(COUNTIFS($G$17:$G$99,"入池",$AF$17:$AF$99,"&gt;=-1E+307",$AF$17:$AF$99,"&lt;=1E+307")&lt;=1,'Sheet1-指标体系'!$J$18,ROUND('Sheet1-指标体系'!$J$18*(COUNTIFS($G$17:$G$99,"入池",$AF$17:$AF$99,"&gt;=-1E+307",$AF$17:$AF$99,"&lt;"&amp;AF42)+COUNTIFS($G$17:$G$99,"入池",$AF$17:$AF$99,"&gt;=-1E+307",$AF$17:$AF$99,"&lt;=1E+307",$AF$17:$AF$99,AF42)/2-0.5)/(COUNTIFS($G$17:$G$99,"入池",$AF$17:$AF$99,"&gt;=-1E+307",$AF$17:$AF$99,"&lt;=1E+307")-1),2)))</x:f>
      </x:c>
      <x:c r="AI42" s="52" t="str">
        <x:f>IF(COUNT(AG42,AH42)=0,"",ROUND((IF(ISNUMBER(AG42),AG42*'Sheet1-指标体系'!$G$10*'Sheet1-指标体系'!$J$8,0)+IF(ISNUMBER(AH42),AH42*'Sheet1-指标体系'!$G$10*'Sheet1-指标体系'!$J$9,0))/(IF(ISNUMBER(AG42),'Sheet1-指标体系'!$G$10*'Sheet1-指标体系'!$J$8,0)+IF(ISNUMBER(AH42),'Sheet1-指标体系'!$G$10*'Sheet1-指标体系'!$J$9,0)),2))</x:f>
      </x:c>
      <x:c r="AJ42" s="44" t="str">
        <x:f>IF(NOT(ISNUMBER(F42)),"",IF(F42&gt;='Sheet1-指标体系'!$J$16,IF(ISNUMBER(N42),N42,""),IF(ISNUMBER(O42),O42,"")))</x:f>
      </x:c>
      <x:c r="AK42" s="52" t="str">
        <x:f>IF(OR(G42&lt;&gt;"入池",COUNT(M42,AJ42)&lt;&gt;2),"",IF(M42&gt;=AJ42,'Sheet1-指标体系'!$J$18,IF(AJ42-M42&lt;'Sheet1-指标体系'!$J$10,'Sheet1-指标体系'!$J$22,'Sheet1-指标体系'!$J$23)))</x:f>
      </x:c>
      <x:c r="AL42" s="52" t="n">
        <x:f>IF(COUNT(I42,K42,L42)=0,"",ROUND((IF(ISNUMBER(I42),I42*'Sheet1-指标体系'!$G$4,0)+IF(ISNUMBER(K42),K42*'Sheet1-指标体系'!$G$5,0)+IF(ISNUMBER(L42),L42*'Sheet1-指标体系'!$G$6,0))/(IF(ISNUMBER(I42),'Sheet1-指标体系'!$G$4,0)+IF(ISNUMBER(K42),'Sheet1-指标体系'!$G$5,0)+IF(ISNUMBER(L42),'Sheet1-指标体系'!$G$6,0)),2))</x:f>
        <x:v>79</x:v>
      </x:c>
      <x:c r="AM42" s="52" t="n">
        <x:f>IF(COUNT(Q42,R42,W42,X42)=0,"",ROUND((IF(ISNUMBER(Q42),Q42*'Sheet1-指标体系'!$G$7*'Sheet1-指标体系'!$J$8,0)+IF(ISNUMBER(R42),R42*'Sheet1-指标体系'!$G$7*'Sheet1-指标体系'!$J$9,0)+IF(ISNUMBER(W42),W42*'Sheet1-指标体系'!$G$8*'Sheet1-指标体系'!$J$8,0)+IF(ISNUMBER(X42),X42*'Sheet1-指标体系'!$G$8*'Sheet1-指标体系'!$J$9,0))/(IF(ISNUMBER(Q42),'Sheet1-指标体系'!$G$7*'Sheet1-指标体系'!$J$8,0)+IF(ISNUMBER(R42),'Sheet1-指标体系'!$G$7*'Sheet1-指标体系'!$J$9,0)+IF(ISNUMBER(W42),'Sheet1-指标体系'!$G$8*'Sheet1-指标体系'!$J$8,0)+IF(ISNUMBER(X42),'Sheet1-指标体系'!$G$8*'Sheet1-指标体系'!$J$9,0)),2))</x:f>
        <x:v>100</x:v>
      </x:c>
      <x:c r="AN42" s="52" t="str">
        <x:f>IF(ISNUMBER(AC42),AC42,"")</x:f>
      </x:c>
      <x:c r="AO42" s="52" t="str">
        <x:f>IF(COUNT(AG42,AH42)=0,"",ROUND((IF(ISNUMBER(AG42),AG42*'Sheet1-指标体系'!$G$10*'Sheet1-指标体系'!$J$8,0)+IF(ISNUMBER(AH42),AH42*'Sheet1-指标体系'!$G$10*'Sheet1-指标体系'!$J$9,0))/(IF(ISNUMBER(AG42),'Sheet1-指标体系'!$G$10*'Sheet1-指标体系'!$J$8,0)+IF(ISNUMBER(AH42),'Sheet1-指标体系'!$G$10*'Sheet1-指标体系'!$J$9,0)),2))</x:f>
      </x:c>
      <x:c r="AP42" s="52" t="str">
        <x:f>IF(ISNUMBER(AK42),AK42,"")</x:f>
      </x:c>
      <x:c r="AQ42" s="27" t="n">
        <x:f>IF(G42&lt;&gt;"入池",0,IF(ISNUMBER(I42),'Sheet1-指标体系'!$G$4,0)+IF(ISNUMBER(K42),'Sheet1-指标体系'!$G$5,0)+IF(ISNUMBER(L42),'Sheet1-指标体系'!$G$6,0)+IF(ISNUMBER(Q42),'Sheet1-指标体系'!$G$7*'Sheet1-指标体系'!$J$8,0)+IF(ISNUMBER(R42),'Sheet1-指标体系'!$G$7*'Sheet1-指标体系'!$J$9,0)+IF(ISNUMBER(W42),'Sheet1-指标体系'!$G$8*'Sheet1-指标体系'!$J$8,0)+IF(ISNUMBER(X42),'Sheet1-指标体系'!$G$8*'Sheet1-指标体系'!$J$9,0)+IF(ISNUMBER(AC42),'Sheet1-指标体系'!$G$9,0)+IF(ISNUMBER(AG42),'Sheet1-指标体系'!$G$10*'Sheet1-指标体系'!$J$8,0)+IF(ISNUMBER(AH42),'Sheet1-指标体系'!$G$10*'Sheet1-指标体系'!$J$9,0)+IF(ISNUMBER(AK42),'Sheet1-指标体系'!$G$11,0))</x:f>
        <x:v>0.174</x:v>
      </x:c>
      <x:c r="AR42" s="52" t="n">
        <x:f>IF(AQ42=0,"",IF(ISNUMBER(I42),I42*'Sheet1-指标体系'!$G$4,0)+IF(ISNUMBER(K42),K42*'Sheet1-指标体系'!$G$5,0)+IF(ISNUMBER(L42),L42*'Sheet1-指标体系'!$G$6,0)+IF(ISNUMBER(Q42),Q42*'Sheet1-指标体系'!$G$7*'Sheet1-指标体系'!$J$8,0)+IF(ISNUMBER(R42),R42*'Sheet1-指标体系'!$G$7*'Sheet1-指标体系'!$J$9,0)+IF(ISNUMBER(W42),W42*'Sheet1-指标体系'!$G$8*'Sheet1-指标体系'!$J$8,0)+IF(ISNUMBER(X42),X42*'Sheet1-指标体系'!$G$8*'Sheet1-指标体系'!$J$9,0)+IF(ISNUMBER(AC42),AC42*'Sheet1-指标体系'!$G$9,0)+IF(ISNUMBER(AG42),AG42*'Sheet1-指标体系'!$G$10*'Sheet1-指标体系'!$J$8,0)+IF(ISNUMBER(AH42),AH42*'Sheet1-指标体系'!$G$10*'Sheet1-指标体系'!$J$9,0)+IF(ISNUMBER(AK42),AK42*'Sheet1-指标体系'!$G$11,0))</x:f>
        <x:v>14.25</x:v>
      </x:c>
      <x:c r="AS42" s="52" t="n">
        <x:f>IF(AQ42=0,"",ROUND(AR42/AQ42,2))</x:f>
        <x:v>81.9</x:v>
      </x:c>
      <x:c r="AT42" s="49" t="n">
        <x:f>IF(OR(G42&lt;&gt;"入池",NOT(ISNUMBER(AS42))),"",COUNTIFS($G$17:$G$99,"入池",$AS$17:$AS$99,"&gt;"&amp;AS42)+COUNTIFS($G$17:$G$99,"入池",$AS$17:$AS$99,AS42,$AQ$17:$AQ$99,"&gt;"&amp;AQ42)+COUNTIFS($G$17:G42,"入池",$AS$17:AS42,AS42,$AQ$17:AQ42,AQ42))</x:f>
        <x:v>25</x:v>
      </x:c>
      <x:c r="AU42" s="53" t="str">
        <x:f>IF(NOT(ISNUMBER(I42)),"管理人规模；","")&amp;IF(NOT(ISNUMBER(K42)),"产品规模标识；","")&amp;IF(NOT(ISNUMBER(M42)),"近一年收益；","")&amp;IF(NOT(ISNUMBER(T42)),"近一年胜率；","")&amp;IF(NOT(ISNUMBER(N42)),"近三年收益；","")&amp;IF(NOT(ISNUMBER(U42)),"近三年胜率；","")&amp;IF(NOT(ISNUMBER(AA42)),"近三年回撤；","")&amp;IF(NOT(ISNUMBER(AD42)),"近一年卡玛；","")&amp;IF(ISNUMBER(F42),IF(AND(F42&lt;'Sheet1-指标体系'!$J$16,NOT(ISNUMBER(O42))),"成立以来年化；",""),"成立日期；")&amp;IF(ISNUMBER(V42),IF(OR(V42&lt;0,V42&gt;1),"胜率窗口口径不一致；",""),"")&amp;IF(ISNUMBER(P42),IF(NOT(ISNUMBER(AE42)),"DD_long不可识别；",""),"")</x:f>
        <x:v>近一年收益；近一年胜率；近三年收益；近三年胜率；近三年回撤；近一年卡玛；成立以来年化；</x:v>
      </x:c>
      <x:c r="AV42" s="52" t="str">
        <x:f>IF(ROUND(AQ42,10)=ROUND('Sheet1-指标体系'!$J$25,10),AR42,"")</x:f>
      </x:c>
      <x:c r="AW42" s="14" t="str">
        <x:f>IF(G42&lt;&gt;"入池",G42,IF(AQ42=0,"无有效评分数据",IF(ROUND(AQ42,10)=ROUND('Sheet1-指标体系'!$J$25,10),"完整赋分", "暂定分／数据不完整")))</x:f>
        <x:v>暂定分／数据不完整</x:v>
      </x:c>
      <x:c r="AX42" s="45" t="str">
        <x:f>IF('Sheet4-原始数据'!C27="","",'Sheet4-原始数据'!C27)</x:f>
        <x:v>套利策略</x:v>
      </x:c>
      <x:c r="AY42" s="45" t="str">
        <x:f>IF('Sheet4-原始数据'!D27="","",'Sheet4-原始数据'!D27)</x:f>
        <x:v>基金套利</x:v>
      </x:c>
      <x:c r="AZ42" s="45" t="str">
        <x:f>IF('Sheet5-查询核对'!S27="","",'Sheet5-查询核对'!S27)</x:f>
        <x:v>套利策略—基金套利</x:v>
      </x:c>
      <x:c r="BA42" s="51" t="n">
        <x:f>IF('Sheet5-查询核对'!A27="","",'Sheet5-查询核对'!A27)</x:f>
        <x:v>27</x:v>
      </x:c>
      <x:c r="BB42" s="45" t="str">
        <x:f>IF('Sheet5-查询核对'!F27="","",'Sheet5-查询核对'!F27)</x:f>
        <x:v>备案号匹配</x:v>
      </x:c>
      <x:c r="BC42" s="50" t="str">
        <x:f>IF('Sheet5-查询核对'!I27="","",'Sheet5-查询核对'!I27)</x:f>
        <x:v>https://mp.fof99.com/fund/view/4bda29597d3247b9</x:v>
      </x:c>
      <x:c r="BD42" s="46" t="n">
        <x:f>IF('Sheet5-查询核对'!H27="","",'Sheet5-查询核对'!H27)</x:f>
        <x:v>46269</x:v>
      </x:c>
      <x:c r="BE42" s="50" t="str">
        <x:f>IF('Sheet5-查询核对'!L27="","",'Sheet5-查询核对'!L27)</x:f>
        <x:v>https://mp.fof99.com/fund/view/4bda29597d3247b9</x:v>
      </x:c>
      <x:c r="BF42" s="46" t="n">
        <x:f>IF('Sheet5-查询核对'!M27="","",'Sheet5-查询核对'!M27)</x:f>
        <x:v>46275</x:v>
      </x:c>
      <x:c r="BG42" s="50" t="str">
        <x:f>IF('Sheet5-查询核对'!O27="","",'Sheet5-查询核对'!O27)</x:f>
        <x:v>https://gs.amac.org.cn/amac-infodisc/res/pof/fund/2506161812101029.html</x:v>
      </x:c>
      <x:c r="BH42" s="46" t="n">
        <x:f>IF('Sheet5-查询核对'!P27="","",'Sheet5-查询核对'!P27)</x:f>
        <x:v>46275</x:v>
      </x:c>
      <x:c r="BI42" s="45" t="str">
        <x:f>IF('Sheet5-查询核对'!D27="","",'Sheet5-查询核对'!D27)</x:f>
        <x:v>SAZW60</x:v>
      </x:c>
      <x:c r="BJ42" t="n">
        <x:f>IF(ISNUMBER(AT42),AT42,COUNT($AT$17:$AT$99)+ROWS($AT$17:AT42)-COUNT($AT$17:AT42))</x:f>
        <x:v>25</x:v>
      </x:c>
    </x:row>
    <x:row r="43" ht="44" customHeight="1">
      <x:c r="A43" s="49" t="n">
        <x:f>'Sheet5-查询核对'!A28-1</x:f>
        <x:v>27</x:v>
      </x:c>
      <x:c r="B43" s="50" t="str">
        <x:f>IF('Sheet4-原始数据'!A28="",'Sheet5-查询核对'!B28,'Sheet4-原始数据'!A28)</x:f>
        <x:v>金锝牵星1号C类</x:v>
      </x:c>
      <x:c r="C43" s="45" t="str">
        <x:f>IF('Sheet4-原始数据'!B28="","",'Sheet4-原始数据'!B28)</x:f>
        <x:v>ASB89C</x:v>
      </x:c>
      <x:c r="D43" s="45" t="str">
        <x:f>IF('Sheet4-原始数据'!E28="","",'Sheet4-原始数据'!E28)</x:f>
        <x:v>上海金锝资管</x:v>
      </x:c>
      <x:c r="E43" s="46" t="n">
        <x:f>IF('Sheet4-原始数据'!F28="","",'Sheet4-原始数据'!F28)</x:f>
        <x:v>45652</x:v>
      </x:c>
      <x:c r="F43" s="52" t="n">
        <x:f>IF(ISNUMBER(E43),ROUND(('Sheet1-指标体系'!$J$12-E43)/'Sheet1-指标体系'!$J$14,4),"")</x:f>
        <x:v>1.7057</x:v>
      </x:c>
      <x:c r="G43" s="14" t="str">
        <x:f>IF(C43="","未匹配",IF(NOT(ISNUMBER(F43)),"缺成立日期",IF(F43&lt;'Sheet1-指标体系'!$J$15,"不入池","入池")))</x:f>
        <x:v>入池</x:v>
      </x:c>
      <x:c r="H43" s="45" t="str">
        <x:f>IF('Sheet5-查询核对'!K28="","",'Sheet5-查询核对'!K28)</x:f>
        <x:v>100亿元以上</x:v>
      </x:c>
      <x:c r="I43" s="52" t="n">
        <x:f>IF(H43="","",IF(COUNTIF('Sheet1-指标体系'!$P$4:$P$10,H43)=0,"",INDEX('Sheet1-指标体系'!$Q$4:$Q$10,MATCH(H43,'Sheet1-指标体系'!$P$4:$P$10,0))))</x:f>
        <x:v>100</x:v>
      </x:c>
      <x:c r="J43" s="54" t="str">
        <x:f>IF(NOT(ISNUMBER('Sheet5-查询核对'!N28)),"",IF('Sheet5-查询核对'!N28=1,"低于"&amp;'Sheet1-指标体系'!$J$4&amp;"万元",IF('Sheet5-查询核对'!N28=0,"无低于"&amp;'Sheet1-指标体系'!$J$4&amp;"万元标识","")))</x:f>
      </x:c>
      <x:c r="K43" s="52" t="str">
        <x:f>IF(NOT(ISNUMBER('Sheet5-查询核对'!N28)),"",IF('Sheet5-查询核对'!N28=1,'Sheet1-指标体系'!$J$21,IF('Sheet5-查询核对'!N28=0,'Sheet1-指标体系'!$J$18,"")))</x:f>
      </x:c>
      <x:c r="L43" s="52" t="n">
        <x:f>IF(NOT(ISNUMBER(F43)),"",IF(F43&lt;'Sheet1-指标体系'!$J$15,"",IF(F43&lt;'Sheet1-指标体系'!$J$16,'Sheet1-指标体系'!$J$17,'Sheet1-指标体系'!$J$18)))</x:f>
        <x:v>70</x:v>
      </x:c>
      <x:c r="M43" s="47" t="str">
        <x:f>IF(ISNUMBER('Sheet4-原始数据'!G28),'Sheet4-原始数据'!G28,"")</x:f>
      </x:c>
      <x:c r="N43" s="47" t="str">
        <x:f>IF(ISNUMBER('Sheet4-原始数据'!H28),'Sheet4-原始数据'!H28,"")</x:f>
      </x:c>
      <x:c r="O43" s="47" t="str">
        <x:f>IF(ISNUMBER('Sheet5-查询核对'!Q28),'Sheet5-查询核对'!Q28,"")</x:f>
      </x:c>
      <x:c r="P43" s="44" t="str">
        <x:f>IF($G43&lt;&gt;"入池","",IF($F43&gt;='Sheet1-指标体系'!$J$16,IF(COUNT(M43,N43)&lt;&gt;2,"",IF(OR(1+M43&lt;=0,1+N43&lt;0),"",((1+N43)^'Sheet1-指标体系'!$J$16/(1+M43))^(1/('Sheet1-指标体系'!$J$16-'Sheet1-指标体系'!$J$15))-1)),IF(COUNT(M43,O43)&lt;&gt;2,"",IF(OR(F43&lt;='Sheet1-指标体系'!$J$15,1+M43&lt;=0,1+O43&lt;0),"",((1+O43)^F43/(1+M43))^(1/(F43-'Sheet1-指标体系'!$J$15))-1))))</x:f>
      </x:c>
      <x:c r="Q43" s="52" t="str">
        <x:f>IF(OR($G43&lt;&gt;"入池",NOT(ISNUMBER(M43))),"",IF(COUNTIFS($G$17:$G$99,"入池",$M$17:$M$99,"&gt;=-1E+307",$M$17:$M$99,"&lt;=1E+307")&lt;=1,'Sheet1-指标体系'!$J$18,ROUND('Sheet1-指标体系'!$J$18*(COUNTIFS($G$17:$G$99,"入池",$M$17:$M$99,"&gt;=-1E+307",$M$17:$M$99,"&lt;"&amp;M43)+COUNTIFS($G$17:$G$99,"入池",$M$17:$M$99,"&gt;=-1E+307",$M$17:$M$99,"&lt;=1E+307",$M$17:$M$99,M43)/2-0.5)/(COUNTIFS($G$17:$G$99,"入池",$M$17:$M$99,"&gt;=-1E+307",$M$17:$M$99,"&lt;=1E+307")-1),2)))</x:f>
      </x:c>
      <x:c r="R43" s="52" t="str">
        <x:f>IF(OR($G43&lt;&gt;"入池",NOT(ISNUMBER(P43))),"",IF(COUNTIFS($G$17:$G$99,"入池",$P$17:$P$99,"&gt;=-1E+307",$P$17:$P$99,"&lt;=1E+307")&lt;=1,'Sheet1-指标体系'!$J$18,ROUND('Sheet1-指标体系'!$J$18*(COUNTIFS($G$17:$G$99,"入池",$P$17:$P$99,"&gt;=-1E+307",$P$17:$P$99,"&lt;"&amp;P43)+COUNTIFS($G$17:$G$99,"入池",$P$17:$P$99,"&gt;=-1E+307",$P$17:$P$99,"&lt;=1E+307",$P$17:$P$99,P43)/2-0.5)/(COUNTIFS($G$17:$G$99,"入池",$P$17:$P$99,"&gt;=-1E+307",$P$17:$P$99,"&lt;=1E+307")-1),2)))</x:f>
      </x:c>
      <x:c r="S43" s="52" t="str">
        <x:f>IF(COUNT(Q43,R43)=0,"",ROUND((IF(ISNUMBER(Q43),Q43*'Sheet1-指标体系'!$G$7*'Sheet1-指标体系'!$J$8,0)+IF(ISNUMBER(R43),R43*'Sheet1-指标体系'!$G$7*'Sheet1-指标体系'!$J$9,0))/(IF(ISNUMBER(Q43),'Sheet1-指标体系'!$G$7*'Sheet1-指标体系'!$J$8,0)+IF(ISNUMBER(R43),'Sheet1-指标体系'!$G$7*'Sheet1-指标体系'!$J$9,0)),2))</x:f>
      </x:c>
      <x:c r="T43" s="47" t="str">
        <x:f>IF(ISNUMBER('Sheet4-原始数据'!J28),'Sheet4-原始数据'!J28,"")</x:f>
      </x:c>
      <x:c r="U43" s="47" t="str">
        <x:f>IF(ISNUMBER('Sheet4-原始数据'!I28),'Sheet4-原始数据'!I28,"")</x:f>
      </x:c>
      <x:c r="V43" s="44" t="str">
        <x:f>IF(COUNT(T43:U43)&lt;&gt;2,"",(U43*'Sheet1-指标体系'!$J$6-T43*'Sheet1-指标体系'!$J$5)/'Sheet1-指标体系'!$J$7)</x:f>
      </x:c>
      <x:c r="W43" s="52" t="str">
        <x:f>IF(NOT(ISNUMBER(T43)),"",T43*'Sheet1-指标体系'!$J$18)</x:f>
      </x:c>
      <x:c r="X43" s="52" t="str">
        <x:f>IF(G43&lt;&gt;"入池","",IF(ISNUMBER(V43),IF(AND(V43&gt;=0,V43&lt;=1),V43*'Sheet1-指标体系'!$J$18,IF(MAX(0,(F43-'Sheet1-指标体系'!$J$15)*'Sheet1-指标体系'!$J$20)&lt;'Sheet1-指标体系'!$J$19,'Sheet1-指标体系'!$J$18,"")),IF(MAX(0,(F43-'Sheet1-指标体系'!$J$15)*'Sheet1-指标体系'!$J$20)&lt;'Sheet1-指标体系'!$J$19,'Sheet1-指标体系'!$J$18,"")))</x:f>
      </x:c>
      <x:c r="Y43" s="52" t="str">
        <x:f>IF(NOT(ISNUMBER(W43)),"",IF(COUNT(W43,X43)=0,"",ROUND((IF(ISNUMBER(W43),W43*'Sheet1-指标体系'!$G$8*'Sheet1-指标体系'!$J$8,0)+IF(ISNUMBER(X43),X43*'Sheet1-指标体系'!$G$8*'Sheet1-指标体系'!$J$9,0))/(IF(ISNUMBER(W43),'Sheet1-指标体系'!$G$8*'Sheet1-指标体系'!$J$8,0)+IF(ISNUMBER(X43),'Sheet1-指标体系'!$G$8*'Sheet1-指标体系'!$J$9,0)),2)))</x:f>
      </x:c>
      <x:c r="Z43" s="44" t="str">
        <x:f>IF(COUNT(M43,AD43)&lt;&gt;2,"",IF(AD43=0,"",ABS(M43/AD43)))</x:f>
      </x:c>
      <x:c r="AA43" s="47" t="str">
        <x:f>IF(ISNUMBER('Sheet4-原始数据'!K28),'Sheet4-原始数据'!K28,"")</x:f>
      </x:c>
      <x:c r="AB43" s="44" t="str">
        <x:f>IF(COUNT(Z43:AA43)=0,"",MAX(Z43:AA43))</x:f>
      </x:c>
      <x:c r="AC43" s="52" t="str">
        <x:f>IF(OR($G43&lt;&gt;"入池",NOT(ISNUMBER(AB43))),"",IF(COUNTIFS($G$17:$G$99,"入池",$AB$17:$AB$99,"&gt;=-1E+307",$AB$17:$AB$99,"&lt;=1E+307")&lt;=1,'Sheet1-指标体系'!$J$18,ROUND('Sheet1-指标体系'!$J$18*(COUNTIFS($G$17:$G$99,"入池",$AB$17:$AB$99,"&lt;=1E+307",$AB$17:$AB$99,"&gt;"&amp;AB43)+COUNTIFS($G$17:$G$99,"入池",$AB$17:$AB$99,"&gt;=-1E+307",$AB$17:$AB$99,"&lt;=1E+307",$AB$17:$AB$99,AB43)/2-0.5)/(COUNTIFS($G$17:$G$99,"入池",$AB$17:$AB$99,"&gt;=-1E+307",$AB$17:$AB$99,"&lt;=1E+307")-1),2)))</x:f>
      </x:c>
      <x:c r="AD43" s="48" t="str">
        <x:f>IF(ISNUMBER('Sheet4-原始数据'!M28),'Sheet4-原始数据'!M28,"")</x:f>
      </x:c>
      <x:c r="AE43" s="44" t="str">
        <x:f>IF(COUNT(P43,AA43,Z43)&lt;&gt;3,"",IF(AA43&gt;Z43+'Sheet1-指标体系'!$J$11,AA43,""))</x:f>
      </x:c>
      <x:c r="AF43" s="52" t="str">
        <x:f>IF(COUNT(P43,AE43)&lt;&gt;2,"",IF(AE43=0,"",P43/AE43))</x:f>
      </x:c>
      <x:c r="AG43" s="52" t="str">
        <x:f>IF(OR($G43&lt;&gt;"入池",NOT(ISNUMBER(AD43))),"",IF(COUNTIFS($G$17:$G$99,"入池",$AD$17:$AD$99,"&gt;=-1E+307",$AD$17:$AD$99,"&lt;=1E+307")&lt;=1,'Sheet1-指标体系'!$J$18,ROUND('Sheet1-指标体系'!$J$18*(COUNTIFS($G$17:$G$99,"入池",$AD$17:$AD$99,"&gt;=-1E+307",$AD$17:$AD$99,"&lt;"&amp;AD43)+COUNTIFS($G$17:$G$99,"入池",$AD$17:$AD$99,"&gt;=-1E+307",$AD$17:$AD$99,"&lt;=1E+307",$AD$17:$AD$99,AD43)/2-0.5)/(COUNTIFS($G$17:$G$99,"入池",$AD$17:$AD$99,"&gt;=-1E+307",$AD$17:$AD$99,"&lt;=1E+307")-1),2)))</x:f>
      </x:c>
      <x:c r="AH43" s="52" t="str">
        <x:f>IF(OR($G43&lt;&gt;"入池",NOT(ISNUMBER(AF43))),"",IF(COUNTIFS($G$17:$G$99,"入池",$AF$17:$AF$99,"&gt;=-1E+307",$AF$17:$AF$99,"&lt;=1E+307")&lt;=1,'Sheet1-指标体系'!$J$18,ROUND('Sheet1-指标体系'!$J$18*(COUNTIFS($G$17:$G$99,"入池",$AF$17:$AF$99,"&gt;=-1E+307",$AF$17:$AF$99,"&lt;"&amp;AF43)+COUNTIFS($G$17:$G$99,"入池",$AF$17:$AF$99,"&gt;=-1E+307",$AF$17:$AF$99,"&lt;=1E+307",$AF$17:$AF$99,AF43)/2-0.5)/(COUNTIFS($G$17:$G$99,"入池",$AF$17:$AF$99,"&gt;=-1E+307",$AF$17:$AF$99,"&lt;=1E+307")-1),2)))</x:f>
      </x:c>
      <x:c r="AI43" s="52" t="str">
        <x:f>IF(COUNT(AG43,AH43)=0,"",ROUND((IF(ISNUMBER(AG43),AG43*'Sheet1-指标体系'!$G$10*'Sheet1-指标体系'!$J$8,0)+IF(ISNUMBER(AH43),AH43*'Sheet1-指标体系'!$G$10*'Sheet1-指标体系'!$J$9,0))/(IF(ISNUMBER(AG43),'Sheet1-指标体系'!$G$10*'Sheet1-指标体系'!$J$8,0)+IF(ISNUMBER(AH43),'Sheet1-指标体系'!$G$10*'Sheet1-指标体系'!$J$9,0)),2))</x:f>
      </x:c>
      <x:c r="AJ43" s="44" t="str">
        <x:f>IF(NOT(ISNUMBER(F43)),"",IF(F43&gt;='Sheet1-指标体系'!$J$16,IF(ISNUMBER(N43),N43,""),IF(ISNUMBER(O43),O43,"")))</x:f>
      </x:c>
      <x:c r="AK43" s="52" t="str">
        <x:f>IF(OR(G43&lt;&gt;"入池",COUNT(M43,AJ43)&lt;&gt;2),"",IF(M43&gt;=AJ43,'Sheet1-指标体系'!$J$18,IF(AJ43-M43&lt;'Sheet1-指标体系'!$J$10,'Sheet1-指标体系'!$J$22,'Sheet1-指标体系'!$J$23)))</x:f>
      </x:c>
      <x:c r="AL43" s="52" t="n">
        <x:f>IF(COUNT(I43,K43,L43)=0,"",ROUND((IF(ISNUMBER(I43),I43*'Sheet1-指标体系'!$G$4,0)+IF(ISNUMBER(K43),K43*'Sheet1-指标体系'!$G$5,0)+IF(ISNUMBER(L43),L43*'Sheet1-指标体系'!$G$6,0))/(IF(ISNUMBER(I43),'Sheet1-指标体系'!$G$4,0)+IF(ISNUMBER(K43),'Sheet1-指标体系'!$G$5,0)+IF(ISNUMBER(L43),'Sheet1-指标体系'!$G$6,0)),2))</x:f>
        <x:v>87.14</x:v>
      </x:c>
      <x:c r="AM43" s="52" t="str">
        <x:f>IF(COUNT(Q43,R43,W43,X43)=0,"",ROUND((IF(ISNUMBER(Q43),Q43*'Sheet1-指标体系'!$G$7*'Sheet1-指标体系'!$J$8,0)+IF(ISNUMBER(R43),R43*'Sheet1-指标体系'!$G$7*'Sheet1-指标体系'!$J$9,0)+IF(ISNUMBER(W43),W43*'Sheet1-指标体系'!$G$8*'Sheet1-指标体系'!$J$8,0)+IF(ISNUMBER(X43),X43*'Sheet1-指标体系'!$G$8*'Sheet1-指标体系'!$J$9,0))/(IF(ISNUMBER(Q43),'Sheet1-指标体系'!$G$7*'Sheet1-指标体系'!$J$8,0)+IF(ISNUMBER(R43),'Sheet1-指标体系'!$G$7*'Sheet1-指标体系'!$J$9,0)+IF(ISNUMBER(W43),'Sheet1-指标体系'!$G$8*'Sheet1-指标体系'!$J$8,0)+IF(ISNUMBER(X43),'Sheet1-指标体系'!$G$8*'Sheet1-指标体系'!$J$9,0)),2))</x:f>
      </x:c>
      <x:c r="AN43" s="52" t="str">
        <x:f>IF(ISNUMBER(AC43),AC43,"")</x:f>
      </x:c>
      <x:c r="AO43" s="52" t="str">
        <x:f>IF(COUNT(AG43,AH43)=0,"",ROUND((IF(ISNUMBER(AG43),AG43*'Sheet1-指标体系'!$G$10*'Sheet1-指标体系'!$J$8,0)+IF(ISNUMBER(AH43),AH43*'Sheet1-指标体系'!$G$10*'Sheet1-指标体系'!$J$9,0))/(IF(ISNUMBER(AG43),'Sheet1-指标体系'!$G$10*'Sheet1-指标体系'!$J$8,0)+IF(ISNUMBER(AH43),'Sheet1-指标体系'!$G$10*'Sheet1-指标体系'!$J$9,0)),2))</x:f>
      </x:c>
      <x:c r="AP43" s="52" t="str">
        <x:f>IF(ISNUMBER(AK43),AK43,"")</x:f>
      </x:c>
      <x:c r="AQ43" s="27" t="n">
        <x:f>IF(G43&lt;&gt;"入池",0,IF(ISNUMBER(I43),'Sheet1-指标体系'!$G$4,0)+IF(ISNUMBER(K43),'Sheet1-指标体系'!$G$5,0)+IF(ISNUMBER(L43),'Sheet1-指标体系'!$G$6,0)+IF(ISNUMBER(Q43),'Sheet1-指标体系'!$G$7*'Sheet1-指标体系'!$J$8,0)+IF(ISNUMBER(R43),'Sheet1-指标体系'!$G$7*'Sheet1-指标体系'!$J$9,0)+IF(ISNUMBER(W43),'Sheet1-指标体系'!$G$8*'Sheet1-指标体系'!$J$8,0)+IF(ISNUMBER(X43),'Sheet1-指标体系'!$G$8*'Sheet1-指标体系'!$J$9,0)+IF(ISNUMBER(AC43),'Sheet1-指标体系'!$G$9,0)+IF(ISNUMBER(AG43),'Sheet1-指标体系'!$G$10*'Sheet1-指标体系'!$J$8,0)+IF(ISNUMBER(AH43),'Sheet1-指标体系'!$G$10*'Sheet1-指标体系'!$J$9,0)+IF(ISNUMBER(AK43),'Sheet1-指标体系'!$G$11,0))</x:f>
        <x:v>0.105</x:v>
      </x:c>
      <x:c r="AR43" s="52" t="n">
        <x:f>IF(AQ43=0,"",IF(ISNUMBER(I43),I43*'Sheet1-指标体系'!$G$4,0)+IF(ISNUMBER(K43),K43*'Sheet1-指标体系'!$G$5,0)+IF(ISNUMBER(L43),L43*'Sheet1-指标体系'!$G$6,0)+IF(ISNUMBER(Q43),Q43*'Sheet1-指标体系'!$G$7*'Sheet1-指标体系'!$J$8,0)+IF(ISNUMBER(R43),R43*'Sheet1-指标体系'!$G$7*'Sheet1-指标体系'!$J$9,0)+IF(ISNUMBER(W43),W43*'Sheet1-指标体系'!$G$8*'Sheet1-指标体系'!$J$8,0)+IF(ISNUMBER(X43),X43*'Sheet1-指标体系'!$G$8*'Sheet1-指标体系'!$J$9,0)+IF(ISNUMBER(AC43),AC43*'Sheet1-指标体系'!$G$9,0)+IF(ISNUMBER(AG43),AG43*'Sheet1-指标体系'!$G$10*'Sheet1-指标体系'!$J$8,0)+IF(ISNUMBER(AH43),AH43*'Sheet1-指标体系'!$G$10*'Sheet1-指标体系'!$J$9,0)+IF(ISNUMBER(AK43),AK43*'Sheet1-指标体系'!$G$11,0))</x:f>
        <x:v>9.15</x:v>
      </x:c>
      <x:c r="AS43" s="52" t="n">
        <x:f>IF(AQ43=0,"",ROUND(AR43/AQ43,2))</x:f>
        <x:v>87.14</x:v>
      </x:c>
      <x:c r="AT43" s="49" t="n">
        <x:f>IF(OR(G43&lt;&gt;"入池",NOT(ISNUMBER(AS43))),"",COUNTIFS($G$17:$G$99,"入池",$AS$17:$AS$99,"&gt;"&amp;AS43)+COUNTIFS($G$17:$G$99,"入池",$AS$17:$AS$99,AS43,$AQ$17:$AQ$99,"&gt;"&amp;AQ43)+COUNTIFS($G$17:G43,"入池",$AS$17:AS43,AS43,$AQ$17:AQ43,AQ43))</x:f>
        <x:v>10</x:v>
      </x:c>
      <x:c r="AU43" s="53" t="str">
        <x:f>IF(NOT(ISNUMBER(I43)),"管理人规模；","")&amp;IF(NOT(ISNUMBER(K43)),"产品规模标识；","")&amp;IF(NOT(ISNUMBER(M43)),"近一年收益；","")&amp;IF(NOT(ISNUMBER(T43)),"近一年胜率；","")&amp;IF(NOT(ISNUMBER(N43)),"近三年收益；","")&amp;IF(NOT(ISNUMBER(U43)),"近三年胜率；","")&amp;IF(NOT(ISNUMBER(AA43)),"近三年回撤；","")&amp;IF(NOT(ISNUMBER(AD43)),"近一年卡玛；","")&amp;IF(ISNUMBER(F43),IF(AND(F43&lt;'Sheet1-指标体系'!$J$16,NOT(ISNUMBER(O43))),"成立以来年化；",""),"成立日期；")&amp;IF(ISNUMBER(V43),IF(OR(V43&lt;0,V43&gt;1),"胜率窗口口径不一致；",""),"")&amp;IF(ISNUMBER(P43),IF(NOT(ISNUMBER(AE43)),"DD_long不可识别；",""),"")</x:f>
        <x:v>产品规模标识；近一年收益；近一年胜率；近三年收益；近三年胜率；近三年回撤；近一年卡玛；成立以来年化；</x:v>
      </x:c>
      <x:c r="AV43" s="52" t="str">
        <x:f>IF(ROUND(AQ43,10)=ROUND('Sheet1-指标体系'!$J$25,10),AR43,"")</x:f>
      </x:c>
      <x:c r="AW43" s="14" t="str">
        <x:f>IF(G43&lt;&gt;"入池",G43,IF(AQ43=0,"无有效评分数据",IF(ROUND(AQ43,10)=ROUND('Sheet1-指标体系'!$J$25,10),"完整赋分", "暂定分／数据不完整")))</x:f>
        <x:v>暂定分／数据不完整</x:v>
      </x:c>
      <x:c r="AX43" s="45" t="str">
        <x:f>IF('Sheet4-原始数据'!C28="","",'Sheet4-原始数据'!C28)</x:f>
        <x:v>套利策略</x:v>
      </x:c>
      <x:c r="AY43" s="45" t="str">
        <x:f>IF('Sheet4-原始数据'!D28="","",'Sheet4-原始数据'!D28)</x:f>
        <x:v>期权套利</x:v>
      </x:c>
      <x:c r="AZ43" s="45" t="str">
        <x:f>IF('Sheet5-查询核对'!S28="","",'Sheet5-查询核对'!S28)</x:f>
        <x:v>套利策略—期权套利</x:v>
      </x:c>
      <x:c r="BA43" s="51" t="n">
        <x:f>IF('Sheet5-查询核对'!A28="","",'Sheet5-查询核对'!A28)</x:f>
        <x:v>28</x:v>
      </x:c>
      <x:c r="BB43" s="45" t="str">
        <x:f>IF('Sheet5-查询核对'!F28="","",'Sheet5-查询核对'!F28)</x:f>
        <x:v>备案号匹配</x:v>
      </x:c>
      <x:c r="BC43" s="50" t="str">
        <x:f>IF('Sheet5-查询核对'!I28="","",'Sheet5-查询核对'!I28)</x:f>
        <x:v>https://mp.fof99.com/fund/view/a0e2d40b33d92ad4</x:v>
      </x:c>
      <x:c r="BD43" s="46" t="n">
        <x:f>IF('Sheet5-查询核对'!H28="","",'Sheet5-查询核对'!H28)</x:f>
        <x:v>46269</x:v>
      </x:c>
      <x:c r="BE43" s="50" t="str">
        <x:f>IF('Sheet5-查询核对'!L28="","",'Sheet5-查询核对'!L28)</x:f>
        <x:v>https://mp.fof99.com/fund/view/a0e2d40b33d92ad4</x:v>
      </x:c>
      <x:c r="BF43" s="46" t="n">
        <x:f>IF('Sheet5-查询核对'!M28="","",'Sheet5-查询核对'!M28)</x:f>
        <x:v>46275</x:v>
      </x:c>
      <x:c r="BG43" s="50" t="str">
        <x:f>IF('Sheet5-查询核对'!O28="","",'Sheet5-查询核对'!O28)</x:f>
      </x:c>
      <x:c r="BH43" s="46" t="str">
        <x:f>IF('Sheet5-查询核对'!P28="","",'Sheet5-查询核对'!P28)</x:f>
      </x:c>
      <x:c r="BI43" s="45" t="str">
        <x:f>IF('Sheet5-查询核对'!D28="","",'Sheet5-查询核对'!D28)</x:f>
        <x:v>ASB89C</x:v>
      </x:c>
      <x:c r="BJ43" t="n">
        <x:f>IF(ISNUMBER(AT43),AT43,COUNT($AT$17:$AT$99)+ROWS($AT$17:AT43)-COUNT($AT$17:AT43))</x:f>
        <x:v>10</x:v>
      </x:c>
    </x:row>
    <x:row r="44" ht="44" customHeight="1">
      <x:c r="A44" s="49" t="n">
        <x:f>'Sheet5-查询核对'!A29-1</x:f>
        <x:v>28</x:v>
      </x:c>
      <x:c r="B44" s="50" t="str">
        <x:f>IF('Sheet4-原始数据'!A29="",'Sheet5-查询核对'!B29,'Sheet4-原始数据'!A29)</x:f>
        <x:v>九木套利9号A类</x:v>
      </x:c>
      <x:c r="C44" s="45" t="str">
        <x:f>IF('Sheet4-原始数据'!B29="","",'Sheet4-原始数据'!B29)</x:f>
        <x:v>BSA32A</x:v>
      </x:c>
      <x:c r="D44" s="45" t="str">
        <x:f>IF('Sheet4-原始数据'!E29="","",'Sheet4-原始数据'!E29)</x:f>
        <x:v>深圳九木</x:v>
      </x:c>
      <x:c r="E44" s="46" t="n">
        <x:f>IF('Sheet4-原始数据'!F29="","",'Sheet4-原始数据'!F29)</x:f>
        <x:v>46094</x:v>
      </x:c>
      <x:c r="F44" s="52" t="n">
        <x:f>IF(ISNUMBER(E44),ROUND(('Sheet1-指标体系'!$J$12-E44)/'Sheet1-指标体系'!$J$14,4),"")</x:f>
        <x:v>0.4956</x:v>
      </x:c>
      <x:c r="G44" s="14" t="str">
        <x:f>IF(C44="","未匹配",IF(NOT(ISNUMBER(F44)),"缺成立日期",IF(F44&lt;'Sheet1-指标体系'!$J$15,"不入池","入池")))</x:f>
        <x:v>不入池</x:v>
      </x:c>
      <x:c r="H44" s="45" t="str">
        <x:f>IF('Sheet5-查询核对'!K29="","",'Sheet5-查询核对'!K29)</x:f>
        <x:v>10-20亿元</x:v>
      </x:c>
      <x:c r="I44" s="52" t="n">
        <x:f>IF(H44="","",IF(COUNTIF('Sheet1-指标体系'!$P$4:$P$10,H44)=0,"",INDEX('Sheet1-指标体系'!$Q$4:$Q$10,MATCH(H44,'Sheet1-指标体系'!$P$4:$P$10,0))))</x:f>
        <x:v>80</x:v>
      </x:c>
      <x:c r="J44" s="54" t="str">
        <x:f>IF(NOT(ISNUMBER('Sheet5-查询核对'!N29)),"",IF('Sheet5-查询核对'!N29=1,"低于"&amp;'Sheet1-指标体系'!$J$4&amp;"万元",IF('Sheet5-查询核对'!N29=0,"无低于"&amp;'Sheet1-指标体系'!$J$4&amp;"万元标识","")))</x:f>
      </x:c>
      <x:c r="K44" s="52" t="str">
        <x:f>IF(NOT(ISNUMBER('Sheet5-查询核对'!N29)),"",IF('Sheet5-查询核对'!N29=1,'Sheet1-指标体系'!$J$21,IF('Sheet5-查询核对'!N29=0,'Sheet1-指标体系'!$J$18,"")))</x:f>
      </x:c>
      <x:c r="L44" s="52" t="str">
        <x:f>IF(NOT(ISNUMBER(F44)),"",IF(F44&lt;'Sheet1-指标体系'!$J$15,"",IF(F44&lt;'Sheet1-指标体系'!$J$16,'Sheet1-指标体系'!$J$17,'Sheet1-指标体系'!$J$18)))</x:f>
      </x:c>
      <x:c r="M44" s="47" t="str">
        <x:f>IF(ISNUMBER('Sheet4-原始数据'!G29),'Sheet4-原始数据'!G29,"")</x:f>
      </x:c>
      <x:c r="N44" s="47" t="str">
        <x:f>IF(ISNUMBER('Sheet4-原始数据'!H29),'Sheet4-原始数据'!H29,"")</x:f>
      </x:c>
      <x:c r="O44" s="47" t="str">
        <x:f>IF(ISNUMBER('Sheet5-查询核对'!Q29),'Sheet5-查询核对'!Q29,"")</x:f>
      </x:c>
      <x:c r="P44" s="44" t="str">
        <x:f>IF($G44&lt;&gt;"入池","",IF($F44&gt;='Sheet1-指标体系'!$J$16,IF(COUNT(M44,N44)&lt;&gt;2,"",IF(OR(1+M44&lt;=0,1+N44&lt;0),"",((1+N44)^'Sheet1-指标体系'!$J$16/(1+M44))^(1/('Sheet1-指标体系'!$J$16-'Sheet1-指标体系'!$J$15))-1)),IF(COUNT(M44,O44)&lt;&gt;2,"",IF(OR(F44&lt;='Sheet1-指标体系'!$J$15,1+M44&lt;=0,1+O44&lt;0),"",((1+O44)^F44/(1+M44))^(1/(F44-'Sheet1-指标体系'!$J$15))-1))))</x:f>
      </x:c>
      <x:c r="Q44" s="52" t="str">
        <x:f>IF(OR($G44&lt;&gt;"入池",NOT(ISNUMBER(M44))),"",IF(COUNTIFS($G$17:$G$99,"入池",$M$17:$M$99,"&gt;=-1E+307",$M$17:$M$99,"&lt;=1E+307")&lt;=1,'Sheet1-指标体系'!$J$18,ROUND('Sheet1-指标体系'!$J$18*(COUNTIFS($G$17:$G$99,"入池",$M$17:$M$99,"&gt;=-1E+307",$M$17:$M$99,"&lt;"&amp;M44)+COUNTIFS($G$17:$G$99,"入池",$M$17:$M$99,"&gt;=-1E+307",$M$17:$M$99,"&lt;=1E+307",$M$17:$M$99,M44)/2-0.5)/(COUNTIFS($G$17:$G$99,"入池",$M$17:$M$99,"&gt;=-1E+307",$M$17:$M$99,"&lt;=1E+307")-1),2)))</x:f>
      </x:c>
      <x:c r="R44" s="52" t="str">
        <x:f>IF(OR($G44&lt;&gt;"入池",NOT(ISNUMBER(P44))),"",IF(COUNTIFS($G$17:$G$99,"入池",$P$17:$P$99,"&gt;=-1E+307",$P$17:$P$99,"&lt;=1E+307")&lt;=1,'Sheet1-指标体系'!$J$18,ROUND('Sheet1-指标体系'!$J$18*(COUNTIFS($G$17:$G$99,"入池",$P$17:$P$99,"&gt;=-1E+307",$P$17:$P$99,"&lt;"&amp;P44)+COUNTIFS($G$17:$G$99,"入池",$P$17:$P$99,"&gt;=-1E+307",$P$17:$P$99,"&lt;=1E+307",$P$17:$P$99,P44)/2-0.5)/(COUNTIFS($G$17:$G$99,"入池",$P$17:$P$99,"&gt;=-1E+307",$P$17:$P$99,"&lt;=1E+307")-1),2)))</x:f>
      </x:c>
      <x:c r="S44" s="52" t="str">
        <x:f>IF(COUNT(Q44,R44)=0,"",ROUND((IF(ISNUMBER(Q44),Q44*'Sheet1-指标体系'!$G$7*'Sheet1-指标体系'!$J$8,0)+IF(ISNUMBER(R44),R44*'Sheet1-指标体系'!$G$7*'Sheet1-指标体系'!$J$9,0))/(IF(ISNUMBER(Q44),'Sheet1-指标体系'!$G$7*'Sheet1-指标体系'!$J$8,0)+IF(ISNUMBER(R44),'Sheet1-指标体系'!$G$7*'Sheet1-指标体系'!$J$9,0)),2))</x:f>
      </x:c>
      <x:c r="T44" s="47" t="str">
        <x:f>IF(ISNUMBER('Sheet4-原始数据'!J29),'Sheet4-原始数据'!J29,"")</x:f>
      </x:c>
      <x:c r="U44" s="47" t="str">
        <x:f>IF(ISNUMBER('Sheet4-原始数据'!I29),'Sheet4-原始数据'!I29,"")</x:f>
      </x:c>
      <x:c r="V44" s="44" t="str">
        <x:f>IF(COUNT(T44:U44)&lt;&gt;2,"",(U44*'Sheet1-指标体系'!$J$6-T44*'Sheet1-指标体系'!$J$5)/'Sheet1-指标体系'!$J$7)</x:f>
      </x:c>
      <x:c r="W44" s="52" t="str">
        <x:f>IF(NOT(ISNUMBER(T44)),"",T44*'Sheet1-指标体系'!$J$18)</x:f>
      </x:c>
      <x:c r="X44" s="52" t="str">
        <x:f>IF(G44&lt;&gt;"入池","",IF(ISNUMBER(V44),IF(AND(V44&gt;=0,V44&lt;=1),V44*'Sheet1-指标体系'!$J$18,IF(MAX(0,(F44-'Sheet1-指标体系'!$J$15)*'Sheet1-指标体系'!$J$20)&lt;'Sheet1-指标体系'!$J$19,'Sheet1-指标体系'!$J$18,"")),IF(MAX(0,(F44-'Sheet1-指标体系'!$J$15)*'Sheet1-指标体系'!$J$20)&lt;'Sheet1-指标体系'!$J$19,'Sheet1-指标体系'!$J$18,"")))</x:f>
      </x:c>
      <x:c r="Y44" s="52" t="str">
        <x:f>IF(NOT(ISNUMBER(W44)),"",IF(COUNT(W44,X44)=0,"",ROUND((IF(ISNUMBER(W44),W44*'Sheet1-指标体系'!$G$8*'Sheet1-指标体系'!$J$8,0)+IF(ISNUMBER(X44),X44*'Sheet1-指标体系'!$G$8*'Sheet1-指标体系'!$J$9,0))/(IF(ISNUMBER(W44),'Sheet1-指标体系'!$G$8*'Sheet1-指标体系'!$J$8,0)+IF(ISNUMBER(X44),'Sheet1-指标体系'!$G$8*'Sheet1-指标体系'!$J$9,0)),2)))</x:f>
      </x:c>
      <x:c r="Z44" s="44" t="str">
        <x:f>IF(COUNT(M44,AD44)&lt;&gt;2,"",IF(AD44=0,"",ABS(M44/AD44)))</x:f>
      </x:c>
      <x:c r="AA44" s="47" t="str">
        <x:f>IF(ISNUMBER('Sheet4-原始数据'!K29),'Sheet4-原始数据'!K29,"")</x:f>
      </x:c>
      <x:c r="AB44" s="44" t="str">
        <x:f>IF(COUNT(Z44:AA44)=0,"",MAX(Z44:AA44))</x:f>
      </x:c>
      <x:c r="AC44" s="52" t="str">
        <x:f>IF(OR($G44&lt;&gt;"入池",NOT(ISNUMBER(AB44))),"",IF(COUNTIFS($G$17:$G$99,"入池",$AB$17:$AB$99,"&gt;=-1E+307",$AB$17:$AB$99,"&lt;=1E+307")&lt;=1,'Sheet1-指标体系'!$J$18,ROUND('Sheet1-指标体系'!$J$18*(COUNTIFS($G$17:$G$99,"入池",$AB$17:$AB$99,"&lt;=1E+307",$AB$17:$AB$99,"&gt;"&amp;AB44)+COUNTIFS($G$17:$G$99,"入池",$AB$17:$AB$99,"&gt;=-1E+307",$AB$17:$AB$99,"&lt;=1E+307",$AB$17:$AB$99,AB44)/2-0.5)/(COUNTIFS($G$17:$G$99,"入池",$AB$17:$AB$99,"&gt;=-1E+307",$AB$17:$AB$99,"&lt;=1E+307")-1),2)))</x:f>
      </x:c>
      <x:c r="AD44" s="48" t="str">
        <x:f>IF(ISNUMBER('Sheet4-原始数据'!M29),'Sheet4-原始数据'!M29,"")</x:f>
      </x:c>
      <x:c r="AE44" s="44" t="str">
        <x:f>IF(COUNT(P44,AA44,Z44)&lt;&gt;3,"",IF(AA44&gt;Z44+'Sheet1-指标体系'!$J$11,AA44,""))</x:f>
      </x:c>
      <x:c r="AF44" s="52" t="str">
        <x:f>IF(COUNT(P44,AE44)&lt;&gt;2,"",IF(AE44=0,"",P44/AE44))</x:f>
      </x:c>
      <x:c r="AG44" s="52" t="str">
        <x:f>IF(OR($G44&lt;&gt;"入池",NOT(ISNUMBER(AD44))),"",IF(COUNTIFS($G$17:$G$99,"入池",$AD$17:$AD$99,"&gt;=-1E+307",$AD$17:$AD$99,"&lt;=1E+307")&lt;=1,'Sheet1-指标体系'!$J$18,ROUND('Sheet1-指标体系'!$J$18*(COUNTIFS($G$17:$G$99,"入池",$AD$17:$AD$99,"&gt;=-1E+307",$AD$17:$AD$99,"&lt;"&amp;AD44)+COUNTIFS($G$17:$G$99,"入池",$AD$17:$AD$99,"&gt;=-1E+307",$AD$17:$AD$99,"&lt;=1E+307",$AD$17:$AD$99,AD44)/2-0.5)/(COUNTIFS($G$17:$G$99,"入池",$AD$17:$AD$99,"&gt;=-1E+307",$AD$17:$AD$99,"&lt;=1E+307")-1),2)))</x:f>
      </x:c>
      <x:c r="AH44" s="52" t="str">
        <x:f>IF(OR($G44&lt;&gt;"入池",NOT(ISNUMBER(AF44))),"",IF(COUNTIFS($G$17:$G$99,"入池",$AF$17:$AF$99,"&gt;=-1E+307",$AF$17:$AF$99,"&lt;=1E+307")&lt;=1,'Sheet1-指标体系'!$J$18,ROUND('Sheet1-指标体系'!$J$18*(COUNTIFS($G$17:$G$99,"入池",$AF$17:$AF$99,"&gt;=-1E+307",$AF$17:$AF$99,"&lt;"&amp;AF44)+COUNTIFS($G$17:$G$99,"入池",$AF$17:$AF$99,"&gt;=-1E+307",$AF$17:$AF$99,"&lt;=1E+307",$AF$17:$AF$99,AF44)/2-0.5)/(COUNTIFS($G$17:$G$99,"入池",$AF$17:$AF$99,"&gt;=-1E+307",$AF$17:$AF$99,"&lt;=1E+307")-1),2)))</x:f>
      </x:c>
      <x:c r="AI44" s="52" t="str">
        <x:f>IF(COUNT(AG44,AH44)=0,"",ROUND((IF(ISNUMBER(AG44),AG44*'Sheet1-指标体系'!$G$10*'Sheet1-指标体系'!$J$8,0)+IF(ISNUMBER(AH44),AH44*'Sheet1-指标体系'!$G$10*'Sheet1-指标体系'!$J$9,0))/(IF(ISNUMBER(AG44),'Sheet1-指标体系'!$G$10*'Sheet1-指标体系'!$J$8,0)+IF(ISNUMBER(AH44),'Sheet1-指标体系'!$G$10*'Sheet1-指标体系'!$J$9,0)),2))</x:f>
      </x:c>
      <x:c r="AJ44" s="44" t="str">
        <x:f>IF(NOT(ISNUMBER(F44)),"",IF(F44&gt;='Sheet1-指标体系'!$J$16,IF(ISNUMBER(N44),N44,""),IF(ISNUMBER(O44),O44,"")))</x:f>
      </x:c>
      <x:c r="AK44" s="52" t="str">
        <x:f>IF(OR(G44&lt;&gt;"入池",COUNT(M44,AJ44)&lt;&gt;2),"",IF(M44&gt;=AJ44,'Sheet1-指标体系'!$J$18,IF(AJ44-M44&lt;'Sheet1-指标体系'!$J$10,'Sheet1-指标体系'!$J$22,'Sheet1-指标体系'!$J$23)))</x:f>
      </x:c>
      <x:c r="AL44" s="52" t="n">
        <x:f>IF(COUNT(I44,K44,L44)=0,"",ROUND((IF(ISNUMBER(I44),I44*'Sheet1-指标体系'!$G$4,0)+IF(ISNUMBER(K44),K44*'Sheet1-指标体系'!$G$5,0)+IF(ISNUMBER(L44),L44*'Sheet1-指标体系'!$G$6,0))/(IF(ISNUMBER(I44),'Sheet1-指标体系'!$G$4,0)+IF(ISNUMBER(K44),'Sheet1-指标体系'!$G$5,0)+IF(ISNUMBER(L44),'Sheet1-指标体系'!$G$6,0)),2))</x:f>
        <x:v>80</x:v>
      </x:c>
      <x:c r="AM44" s="52" t="str">
        <x:f>IF(COUNT(Q44,R44,W44,X44)=0,"",ROUND((IF(ISNUMBER(Q44),Q44*'Sheet1-指标体系'!$G$7*'Sheet1-指标体系'!$J$8,0)+IF(ISNUMBER(R44),R44*'Sheet1-指标体系'!$G$7*'Sheet1-指标体系'!$J$9,0)+IF(ISNUMBER(W44),W44*'Sheet1-指标体系'!$G$8*'Sheet1-指标体系'!$J$8,0)+IF(ISNUMBER(X44),X44*'Sheet1-指标体系'!$G$8*'Sheet1-指标体系'!$J$9,0))/(IF(ISNUMBER(Q44),'Sheet1-指标体系'!$G$7*'Sheet1-指标体系'!$J$8,0)+IF(ISNUMBER(R44),'Sheet1-指标体系'!$G$7*'Sheet1-指标体系'!$J$9,0)+IF(ISNUMBER(W44),'Sheet1-指标体系'!$G$8*'Sheet1-指标体系'!$J$8,0)+IF(ISNUMBER(X44),'Sheet1-指标体系'!$G$8*'Sheet1-指标体系'!$J$9,0)),2))</x:f>
      </x:c>
      <x:c r="AN44" s="52" t="str">
        <x:f>IF(ISNUMBER(AC44),AC44,"")</x:f>
      </x:c>
      <x:c r="AO44" s="52" t="str">
        <x:f>IF(COUNT(AG44,AH44)=0,"",ROUND((IF(ISNUMBER(AG44),AG44*'Sheet1-指标体系'!$G$10*'Sheet1-指标体系'!$J$8,0)+IF(ISNUMBER(AH44),AH44*'Sheet1-指标体系'!$G$10*'Sheet1-指标体系'!$J$9,0))/(IF(ISNUMBER(AG44),'Sheet1-指标体系'!$G$10*'Sheet1-指标体系'!$J$8,0)+IF(ISNUMBER(AH44),'Sheet1-指标体系'!$G$10*'Sheet1-指标体系'!$J$9,0)),2))</x:f>
      </x:c>
      <x:c r="AP44" s="52" t="str">
        <x:f>IF(ISNUMBER(AK44),AK44,"")</x:f>
      </x:c>
      <x:c r="AQ44" s="27" t="n">
        <x:f>IF(G44&lt;&gt;"入池",0,IF(ISNUMBER(I44),'Sheet1-指标体系'!$G$4,0)+IF(ISNUMBER(K44),'Sheet1-指标体系'!$G$5,0)+IF(ISNUMBER(L44),'Sheet1-指标体系'!$G$6,0)+IF(ISNUMBER(Q44),'Sheet1-指标体系'!$G$7*'Sheet1-指标体系'!$J$8,0)+IF(ISNUMBER(R44),'Sheet1-指标体系'!$G$7*'Sheet1-指标体系'!$J$9,0)+IF(ISNUMBER(W44),'Sheet1-指标体系'!$G$8*'Sheet1-指标体系'!$J$8,0)+IF(ISNUMBER(X44),'Sheet1-指标体系'!$G$8*'Sheet1-指标体系'!$J$9,0)+IF(ISNUMBER(AC44),'Sheet1-指标体系'!$G$9,0)+IF(ISNUMBER(AG44),'Sheet1-指标体系'!$G$10*'Sheet1-指标体系'!$J$8,0)+IF(ISNUMBER(AH44),'Sheet1-指标体系'!$G$10*'Sheet1-指标体系'!$J$9,0)+IF(ISNUMBER(AK44),'Sheet1-指标体系'!$G$11,0))</x:f>
        <x:v>0</x:v>
      </x:c>
      <x:c r="AR44" s="52" t="str">
        <x:f>IF(AQ44=0,"",IF(ISNUMBER(I44),I44*'Sheet1-指标体系'!$G$4,0)+IF(ISNUMBER(K44),K44*'Sheet1-指标体系'!$G$5,0)+IF(ISNUMBER(L44),L44*'Sheet1-指标体系'!$G$6,0)+IF(ISNUMBER(Q44),Q44*'Sheet1-指标体系'!$G$7*'Sheet1-指标体系'!$J$8,0)+IF(ISNUMBER(R44),R44*'Sheet1-指标体系'!$G$7*'Sheet1-指标体系'!$J$9,0)+IF(ISNUMBER(W44),W44*'Sheet1-指标体系'!$G$8*'Sheet1-指标体系'!$J$8,0)+IF(ISNUMBER(X44),X44*'Sheet1-指标体系'!$G$8*'Sheet1-指标体系'!$J$9,0)+IF(ISNUMBER(AC44),AC44*'Sheet1-指标体系'!$G$9,0)+IF(ISNUMBER(AG44),AG44*'Sheet1-指标体系'!$G$10*'Sheet1-指标体系'!$J$8,0)+IF(ISNUMBER(AH44),AH44*'Sheet1-指标体系'!$G$10*'Sheet1-指标体系'!$J$9,0)+IF(ISNUMBER(AK44),AK44*'Sheet1-指标体系'!$G$11,0))</x:f>
      </x:c>
      <x:c r="AS44" s="52" t="str">
        <x:f>IF(AQ44=0,"",ROUND(AR44/AQ44,2))</x:f>
      </x:c>
      <x:c r="AT44" s="49" t="str">
        <x:f>IF(OR(G44&lt;&gt;"入池",NOT(ISNUMBER(AS44))),"",COUNTIFS($G$17:$G$99,"入池",$AS$17:$AS$99,"&gt;"&amp;AS44)+COUNTIFS($G$17:$G$99,"入池",$AS$17:$AS$99,AS44,$AQ$17:$AQ$99,"&gt;"&amp;AQ44)+COUNTIFS($G$17:G44,"入池",$AS$17:AS44,AS44,$AQ$17:AQ44,AQ44))</x:f>
      </x:c>
      <x:c r="AU44" s="53" t="str">
        <x:f>IF(NOT(ISNUMBER(I44)),"管理人规模；","")&amp;IF(NOT(ISNUMBER(K44)),"产品规模标识；","")&amp;IF(NOT(ISNUMBER(M44)),"近一年收益；","")&amp;IF(NOT(ISNUMBER(T44)),"近一年胜率；","")&amp;IF(NOT(ISNUMBER(N44)),"近三年收益；","")&amp;IF(NOT(ISNUMBER(U44)),"近三年胜率；","")&amp;IF(NOT(ISNUMBER(AA44)),"近三年回撤；","")&amp;IF(NOT(ISNUMBER(AD44)),"近一年卡玛；","")&amp;IF(ISNUMBER(F44),IF(AND(F44&lt;'Sheet1-指标体系'!$J$16,NOT(ISNUMBER(O44))),"成立以来年化；",""),"成立日期；")&amp;IF(ISNUMBER(V44),IF(OR(V44&lt;0,V44&gt;1),"胜率窗口口径不一致；",""),"")&amp;IF(ISNUMBER(P44),IF(NOT(ISNUMBER(AE44)),"DD_long不可识别；",""),"")</x:f>
        <x:v>产品规模标识；近一年收益；近一年胜率；近三年收益；近三年胜率；近三年回撤；近一年卡玛；成立以来年化；</x:v>
      </x:c>
      <x:c r="AV44" s="52" t="str">
        <x:f>IF(ROUND(AQ44,10)=ROUND('Sheet1-指标体系'!$J$25,10),AR44,"")</x:f>
      </x:c>
      <x:c r="AW44" s="14" t="str">
        <x:f>IF(G44&lt;&gt;"入池",G44,IF(AQ44=0,"无有效评分数据",IF(ROUND(AQ44,10)=ROUND('Sheet1-指标体系'!$J$25,10),"完整赋分", "暂定分／数据不完整")))</x:f>
        <x:v>不入池</x:v>
      </x:c>
      <x:c r="AX44" s="45" t="str">
        <x:f>IF('Sheet4-原始数据'!C29="","",'Sheet4-原始数据'!C29)</x:f>
        <x:v>套利策略</x:v>
      </x:c>
      <x:c r="AY44" s="45" t="str">
        <x:f>IF('Sheet4-原始数据'!D29="","",'Sheet4-原始数据'!D29)</x:f>
        <x:v>期货套利</x:v>
      </x:c>
      <x:c r="AZ44" s="45" t="str">
        <x:f>IF('Sheet5-查询核对'!S29="","",'Sheet5-查询核对'!S29)</x:f>
        <x:v>套利策略—期货套利</x:v>
      </x:c>
      <x:c r="BA44" s="51" t="n">
        <x:f>IF('Sheet5-查询核对'!A29="","",'Sheet5-查询核对'!A29)</x:f>
        <x:v>29</x:v>
      </x:c>
      <x:c r="BB44" s="45" t="str">
        <x:f>IF('Sheet5-查询核对'!F29="","",'Sheet5-查询核对'!F29)</x:f>
        <x:v>备案号匹配</x:v>
      </x:c>
      <x:c r="BC44" s="50" t="str">
        <x:f>IF('Sheet5-查询核对'!I29="","",'Sheet5-查询核对'!I29)</x:f>
        <x:v>https://mp.fof99.com/fund/view/54b1f815aaee62da</x:v>
      </x:c>
      <x:c r="BD44" s="46" t="n">
        <x:f>IF('Sheet5-查询核对'!H29="","",'Sheet5-查询核对'!H29)</x:f>
        <x:v>46269</x:v>
      </x:c>
      <x:c r="BE44" s="50" t="str">
        <x:f>IF('Sheet5-查询核对'!L29="","",'Sheet5-查询核对'!L29)</x:f>
        <x:v>https://mp.fof99.com/fund/view/54b1f815aaee62da</x:v>
      </x:c>
      <x:c r="BF44" s="46" t="n">
        <x:f>IF('Sheet5-查询核对'!M29="","",'Sheet5-查询核对'!M29)</x:f>
        <x:v>46275</x:v>
      </x:c>
      <x:c r="BG44" s="50" t="str">
        <x:f>IF('Sheet5-查询核对'!O29="","",'Sheet5-查询核对'!O29)</x:f>
      </x:c>
      <x:c r="BH44" s="46" t="str">
        <x:f>IF('Sheet5-查询核对'!P29="","",'Sheet5-查询核对'!P29)</x:f>
      </x:c>
      <x:c r="BI44" s="45" t="str">
        <x:f>IF('Sheet5-查询核对'!D29="","",'Sheet5-查询核对'!D29)</x:f>
        <x:v>BSA32A</x:v>
      </x:c>
      <x:c r="BJ44" t="n">
        <x:f>IF(ISNUMBER(AT44),AT44,COUNT($AT$17:$AT$99)+ROWS($AT$17:AT44)-COUNT($AT$17:AT44))</x:f>
        <x:v>81</x:v>
      </x:c>
    </x:row>
    <x:row r="45" ht="44" customHeight="1">
      <x:c r="A45" s="49" t="n">
        <x:f>'Sheet5-查询核对'!A30-1</x:f>
        <x:v>29</x:v>
      </x:c>
      <x:c r="B45" s="50" t="str">
        <x:f>IF('Sheet4-原始数据'!A30="",'Sheet5-查询核对'!B30,'Sheet4-原始数据'!A30)</x:f>
        <x:v>九招真格量化套利一号</x:v>
      </x:c>
      <x:c r="C45" s="45" t="str">
        <x:f>IF('Sheet4-原始数据'!B30="","",'Sheet4-原始数据'!B30)</x:f>
        <x:v>SQD546</x:v>
      </x:c>
      <x:c r="D45" s="45" t="str">
        <x:f>IF('Sheet4-原始数据'!E30="","",'Sheet4-原始数据'!E30)</x:f>
        <x:v>武汉九招</x:v>
      </x:c>
      <x:c r="E45" s="46" t="n">
        <x:f>IF('Sheet4-原始数据'!F30="","",'Sheet4-原始数据'!F30)</x:f>
        <x:v>44271</x:v>
      </x:c>
      <x:c r="F45" s="52" t="n">
        <x:f>IF(ISNUMBER(E45),ROUND(('Sheet1-指标体系'!$J$12-E45)/'Sheet1-指标体系'!$J$14,4),"")</x:f>
        <x:v>5.4867</x:v>
      </x:c>
      <x:c r="G45" s="14" t="str">
        <x:f>IF(C45="","未匹配",IF(NOT(ISNUMBER(F45)),"缺成立日期",IF(F45&lt;'Sheet1-指标体系'!$J$15,"不入池","入池")))</x:f>
        <x:v>入池</x:v>
      </x:c>
      <x:c r="H45" s="45" t="str">
        <x:f>IF('Sheet5-查询核对'!K30="","",'Sheet5-查询核对'!K30)</x:f>
        <x:v>5-10亿元</x:v>
      </x:c>
      <x:c r="I45" s="52" t="n">
        <x:f>IF(H45="","",IF(COUNTIF('Sheet1-指标体系'!$P$4:$P$10,H45)=0,"",INDEX('Sheet1-指标体系'!$Q$4:$Q$10,MATCH(H45,'Sheet1-指标体系'!$P$4:$P$10,0))))</x:f>
        <x:v>70</x:v>
      </x:c>
      <x:c r="J45" s="54" t="str">
        <x:f>IF(NOT(ISNUMBER('Sheet5-查询核对'!N30)),"",IF('Sheet5-查询核对'!N30=1,"低于"&amp;'Sheet1-指标体系'!$J$4&amp;"万元",IF('Sheet5-查询核对'!N30=0,"无低于"&amp;'Sheet1-指标体系'!$J$4&amp;"万元标识","")))</x:f>
        <x:v>无低于1000万元标识</x:v>
      </x:c>
      <x:c r="K45" s="52" t="n">
        <x:f>IF(NOT(ISNUMBER('Sheet5-查询核对'!N30)),"",IF('Sheet5-查询核对'!N30=1,'Sheet1-指标体系'!$J$21,IF('Sheet5-查询核对'!N30=0,'Sheet1-指标体系'!$J$18,"")))</x:f>
        <x:v>100</x:v>
      </x:c>
      <x:c r="L45" s="52" t="n">
        <x:f>IF(NOT(ISNUMBER(F45)),"",IF(F45&lt;'Sheet1-指标体系'!$J$15,"",IF(F45&lt;'Sheet1-指标体系'!$J$16,'Sheet1-指标体系'!$J$17,'Sheet1-指标体系'!$J$18)))</x:f>
        <x:v>100</x:v>
      </x:c>
      <x:c r="M45" s="47" t="n">
        <x:f>IF(ISNUMBER('Sheet4-原始数据'!G30),'Sheet4-原始数据'!G30,"")</x:f>
        <x:v>0.1369</x:v>
      </x:c>
      <x:c r="N45" s="47" t="n">
        <x:f>IF(ISNUMBER('Sheet4-原始数据'!H30),'Sheet4-原始数据'!H30,"")</x:f>
        <x:v>0.1341</x:v>
      </x:c>
      <x:c r="O45" s="47" t="n">
        <x:f>IF(ISNUMBER('Sheet5-查询核对'!Q30),'Sheet5-查询核对'!Q30,"")</x:f>
        <x:v>0.1149</x:v>
      </x:c>
      <x:c r="P45" s="44" t="n">
        <x:f>IF($G45&lt;&gt;"入池","",IF($F45&gt;='Sheet1-指标体系'!$J$16,IF(COUNT(M45,N45)&lt;&gt;2,"",IF(OR(1+M45&lt;=0,1+N45&lt;0),"",((1+N45)^'Sheet1-指标体系'!$J$16/(1+M45))^(1/('Sheet1-指标体系'!$J$16-'Sheet1-指标体系'!$J$15))-1)),IF(COUNT(M45,O45)&lt;&gt;2,"",IF(OR(F45&lt;='Sheet1-指标体系'!$J$15,1+M45&lt;=0,1+O45&lt;0),"",((1+O45)^F45/(1+M45))^(1/(F45-'Sheet1-指标体系'!$J$15))-1))))</x:f>
        <x:v>0.13270258704187388</x:v>
      </x:c>
      <x:c r="Q45" s="52" t="n">
        <x:f>IF(OR($G45&lt;&gt;"入池",NOT(ISNUMBER(M45))),"",IF(COUNTIFS($G$17:$G$99,"入池",$M$17:$M$99,"&gt;=-1E+307",$M$17:$M$99,"&lt;=1E+307")&lt;=1,'Sheet1-指标体系'!$J$18,ROUND('Sheet1-指标体系'!$J$18*(COUNTIFS($G$17:$G$99,"入池",$M$17:$M$99,"&gt;=-1E+307",$M$17:$M$99,"&lt;"&amp;M45)+COUNTIFS($G$17:$G$99,"入池",$M$17:$M$99,"&gt;=-1E+307",$M$17:$M$99,"&lt;=1E+307",$M$17:$M$99,M45)/2-0.5)/(COUNTIFS($G$17:$G$99,"入池",$M$17:$M$99,"&gt;=-1E+307",$M$17:$M$99,"&lt;=1E+307")-1),2)))</x:f>
        <x:v>80.36</x:v>
      </x:c>
      <x:c r="R45" s="52" t="n">
        <x:f>IF(OR($G45&lt;&gt;"入池",NOT(ISNUMBER(P45))),"",IF(COUNTIFS($G$17:$G$99,"入池",$P$17:$P$99,"&gt;=-1E+307",$P$17:$P$99,"&lt;=1E+307")&lt;=1,'Sheet1-指标体系'!$J$18,ROUND('Sheet1-指标体系'!$J$18*(COUNTIFS($G$17:$G$99,"入池",$P$17:$P$99,"&gt;=-1E+307",$P$17:$P$99,"&lt;"&amp;P45)+COUNTIFS($G$17:$G$99,"入池",$P$17:$P$99,"&gt;=-1E+307",$P$17:$P$99,"&lt;=1E+307",$P$17:$P$99,P45)/2-0.5)/(COUNTIFS($G$17:$G$99,"入池",$P$17:$P$99,"&gt;=-1E+307",$P$17:$P$99,"&lt;=1E+307")-1),2)))</x:f>
        <x:v>81.48</x:v>
      </x:c>
      <x:c r="S45" s="52" t="n">
        <x:f>IF(COUNT(Q45,R45)=0,"",ROUND((IF(ISNUMBER(Q45),Q45*'Sheet1-指标体系'!$G$7*'Sheet1-指标体系'!$J$8,0)+IF(ISNUMBER(R45),R45*'Sheet1-指标体系'!$G$7*'Sheet1-指标体系'!$J$9,0))/(IF(ISNUMBER(Q45),'Sheet1-指标体系'!$G$7*'Sheet1-指标体系'!$J$8,0)+IF(ISNUMBER(R45),'Sheet1-指标体系'!$G$7*'Sheet1-指标体系'!$J$9,0)),2))</x:f>
        <x:v>80.81</x:v>
      </x:c>
      <x:c r="T45" s="47" t="n">
        <x:f>IF(ISNUMBER('Sheet4-原始数据'!J30),'Sheet4-原始数据'!J30,"")</x:f>
        <x:v>1</x:v>
      </x:c>
      <x:c r="U45" s="47" t="n">
        <x:f>IF(ISNUMBER('Sheet4-原始数据'!I30),'Sheet4-原始数据'!I30,"")</x:f>
        <x:v>0.8919</x:v>
      </x:c>
      <x:c r="V45" s="44" t="n">
        <x:f>IF(COUNT(T45:U45)&lt;&gt;2,"",(U45*'Sheet1-指标体系'!$J$6-T45*'Sheet1-指标体系'!$J$5)/'Sheet1-指标体系'!$J$7)</x:f>
        <x:v>0.8333458333333335</x:v>
      </x:c>
      <x:c r="W45" s="52" t="n">
        <x:f>IF(NOT(ISNUMBER(T45)),"",T45*'Sheet1-指标体系'!$J$18)</x:f>
        <x:v>100</x:v>
      </x:c>
      <x:c r="X45" s="52" t="n">
        <x:f>IF(G45&lt;&gt;"入池","",IF(ISNUMBER(V45),IF(AND(V45&gt;=0,V45&lt;=1),V45*'Sheet1-指标体系'!$J$18,IF(MAX(0,(F45-'Sheet1-指标体系'!$J$15)*'Sheet1-指标体系'!$J$20)&lt;'Sheet1-指标体系'!$J$19,'Sheet1-指标体系'!$J$18,"")),IF(MAX(0,(F45-'Sheet1-指标体系'!$J$15)*'Sheet1-指标体系'!$J$20)&lt;'Sheet1-指标体系'!$J$19,'Sheet1-指标体系'!$J$18,"")))</x:f>
        <x:v>83.33458333333334</x:v>
      </x:c>
      <x:c r="Y45" s="52" t="n">
        <x:f>IF(NOT(ISNUMBER(W45)),"",IF(COUNT(W45,X45)=0,"",ROUND((IF(ISNUMBER(W45),W45*'Sheet1-指标体系'!$G$8*'Sheet1-指标体系'!$J$8,0)+IF(ISNUMBER(X45),X45*'Sheet1-指标体系'!$G$8*'Sheet1-指标体系'!$J$9,0))/(IF(ISNUMBER(W45),'Sheet1-指标体系'!$G$8*'Sheet1-指标体系'!$J$8,0)+IF(ISNUMBER(X45),'Sheet1-指标体系'!$G$8*'Sheet1-指标体系'!$J$9,0)),2)))</x:f>
        <x:v>93.33</x:v>
      </x:c>
      <x:c r="Z45" s="44" t="n">
        <x:f>IF(COUNT(M45,AD45)&lt;&gt;2,"",IF(AD45=0,"",ABS(M45/AD45)))</x:f>
        <x:v>0.004746418516926234</x:v>
      </x:c>
      <x:c r="AA45" s="47" t="n">
        <x:f>IF(ISNUMBER('Sheet4-原始数据'!K30),'Sheet4-原始数据'!K30,"")</x:f>
        <x:v>0.024900000000000002</x:v>
      </x:c>
      <x:c r="AB45" s="44" t="n">
        <x:f>IF(COUNT(Z45:AA45)=0,"",MAX(Z45:AA45))</x:f>
        <x:v>0.024900000000000002</x:v>
      </x:c>
      <x:c r="AC45" s="52" t="n">
        <x:f>IF(OR($G45&lt;&gt;"入池",NOT(ISNUMBER(AB45))),"",IF(COUNTIFS($G$17:$G$99,"入池",$AB$17:$AB$99,"&gt;=-1E+307",$AB$17:$AB$99,"&lt;=1E+307")&lt;=1,'Sheet1-指标体系'!$J$18,ROUND('Sheet1-指标体系'!$J$18*(COUNTIFS($G$17:$G$99,"入池",$AB$17:$AB$99,"&lt;=1E+307",$AB$17:$AB$99,"&gt;"&amp;AB45)+COUNTIFS($G$17:$G$99,"入池",$AB$17:$AB$99,"&gt;=-1E+307",$AB$17:$AB$99,"&lt;=1E+307",$AB$17:$AB$99,AB45)/2-0.5)/(COUNTIFS($G$17:$G$99,"入池",$AB$17:$AB$99,"&gt;=-1E+307",$AB$17:$AB$99,"&lt;=1E+307")-1),2)))</x:f>
        <x:v>48.28</x:v>
      </x:c>
      <x:c r="AD45" s="48" t="n">
        <x:f>IF(ISNUMBER('Sheet4-原始数据'!M30),'Sheet4-原始数据'!M30,"")</x:f>
        <x:v>28.8428</x:v>
      </x:c>
      <x:c r="AE45" s="44" t="n">
        <x:f>IF(COUNT(P45,AA45,Z45)&lt;&gt;3,"",IF(AA45&gt;Z45+'Sheet1-指标体系'!$J$11,AA45,""))</x:f>
        <x:v>0.024900000000000002</x:v>
      </x:c>
      <x:c r="AF45" s="52" t="n">
        <x:f>IF(COUNT(P45,AE45)&lt;&gt;2,"",IF(AE45=0,"",P45/AE45))</x:f>
        <x:v>5.329421166340316</x:v>
      </x:c>
      <x:c r="AG45" s="52" t="n">
        <x:f>IF(OR($G45&lt;&gt;"入池",NOT(ISNUMBER(AD45))),"",IF(COUNTIFS($G$17:$G$99,"入池",$AD$17:$AD$99,"&gt;=-1E+307",$AD$17:$AD$99,"&lt;=1E+307")&lt;=1,'Sheet1-指标体系'!$J$18,ROUND('Sheet1-指标体系'!$J$18*(COUNTIFS($G$17:$G$99,"入池",$AD$17:$AD$99,"&gt;=-1E+307",$AD$17:$AD$99,"&lt;"&amp;AD45)+COUNTIFS($G$17:$G$99,"入池",$AD$17:$AD$99,"&gt;=-1E+307",$AD$17:$AD$99,"&lt;=1E+307",$AD$17:$AD$99,AD45)/2-0.5)/(COUNTIFS($G$17:$G$99,"入池",$AD$17:$AD$99,"&gt;=-1E+307",$AD$17:$AD$99,"&lt;=1E+307")-1),2)))</x:f>
        <x:v>89.09</x:v>
      </x:c>
      <x:c r="AH45" s="52" t="n">
        <x:f>IF(OR($G45&lt;&gt;"入池",NOT(ISNUMBER(AF45))),"",IF(COUNTIFS($G$17:$G$99,"入池",$AF$17:$AF$99,"&gt;=-1E+307",$AF$17:$AF$99,"&lt;=1E+307")&lt;=1,'Sheet1-指标体系'!$J$18,ROUND('Sheet1-指标体系'!$J$18*(COUNTIFS($G$17:$G$99,"入池",$AF$17:$AF$99,"&gt;=-1E+307",$AF$17:$AF$99,"&lt;"&amp;AF45)+COUNTIFS($G$17:$G$99,"入池",$AF$17:$AF$99,"&gt;=-1E+307",$AF$17:$AF$99,"&lt;=1E+307",$AF$17:$AF$99,AF45)/2-0.5)/(COUNTIFS($G$17:$G$99,"入池",$AF$17:$AF$99,"&gt;=-1E+307",$AF$17:$AF$99,"&lt;=1E+307")-1),2)))</x:f>
        <x:v>67.86</x:v>
      </x:c>
      <x:c r="AI45" s="52" t="n">
        <x:f>IF(COUNT(AG45,AH45)=0,"",ROUND((IF(ISNUMBER(AG45),AG45*'Sheet1-指标体系'!$G$10*'Sheet1-指标体系'!$J$8,0)+IF(ISNUMBER(AH45),AH45*'Sheet1-指标体系'!$G$10*'Sheet1-指标体系'!$J$9,0))/(IF(ISNUMBER(AG45),'Sheet1-指标体系'!$G$10*'Sheet1-指标体系'!$J$8,0)+IF(ISNUMBER(AH45),'Sheet1-指标体系'!$G$10*'Sheet1-指标体系'!$J$9,0)),2))</x:f>
        <x:v>80.6</x:v>
      </x:c>
      <x:c r="AJ45" s="44" t="n">
        <x:f>IF(NOT(ISNUMBER(F45)),"",IF(F45&gt;='Sheet1-指标体系'!$J$16,IF(ISNUMBER(N45),N45,""),IF(ISNUMBER(O45),O45,"")))</x:f>
        <x:v>0.1341</x:v>
      </x:c>
      <x:c r="AK45" s="52" t="n">
        <x:f>IF(OR(G45&lt;&gt;"入池",COUNT(M45,AJ45)&lt;&gt;2),"",IF(M45&gt;=AJ45,'Sheet1-指标体系'!$J$18,IF(AJ45-M45&lt;'Sheet1-指标体系'!$J$10,'Sheet1-指标体系'!$J$22,'Sheet1-指标体系'!$J$23)))</x:f>
        <x:v>100</x:v>
      </x:c>
      <x:c r="AL45" s="52" t="n">
        <x:f>IF(COUNT(I45,K45,L45)=0,"",ROUND((IF(ISNUMBER(I45),I45*'Sheet1-指标体系'!$G$4,0)+IF(ISNUMBER(K45),K45*'Sheet1-指标体系'!$G$5,0)+IF(ISNUMBER(L45),L45*'Sheet1-指标体系'!$G$6,0))/(IF(ISNUMBER(I45),'Sheet1-指标体系'!$G$4,0)+IF(ISNUMBER(K45),'Sheet1-指标体系'!$G$5,0)+IF(ISNUMBER(L45),'Sheet1-指标体系'!$G$6,0)),2))</x:f>
        <x:v>88</x:v>
      </x:c>
      <x:c r="AM45" s="52" t="n">
        <x:f>IF(COUNT(Q45,R45,W45,X45)=0,"",ROUND((IF(ISNUMBER(Q45),Q45*'Sheet1-指标体系'!$G$7*'Sheet1-指标体系'!$J$8,0)+IF(ISNUMBER(R45),R45*'Sheet1-指标体系'!$G$7*'Sheet1-指标体系'!$J$9,0)+IF(ISNUMBER(W45),W45*'Sheet1-指标体系'!$G$8*'Sheet1-指标体系'!$J$8,0)+IF(ISNUMBER(X45),X45*'Sheet1-指标体系'!$G$8*'Sheet1-指标体系'!$J$9,0))/(IF(ISNUMBER(Q45),'Sheet1-指标体系'!$G$7*'Sheet1-指标体系'!$J$8,0)+IF(ISNUMBER(R45),'Sheet1-指标体系'!$G$7*'Sheet1-指标体系'!$J$9,0)+IF(ISNUMBER(W45),'Sheet1-指标体系'!$G$8*'Sheet1-指标体系'!$J$8,0)+IF(ISNUMBER(X45),'Sheet1-指标体系'!$G$8*'Sheet1-指标体系'!$J$9,0)),2))</x:f>
        <x:v>84.57</x:v>
      </x:c>
      <x:c r="AN45" s="52" t="n">
        <x:f>IF(ISNUMBER(AC45),AC45,"")</x:f>
        <x:v>48.28</x:v>
      </x:c>
      <x:c r="AO45" s="52" t="n">
        <x:f>IF(COUNT(AG45,AH45)=0,"",ROUND((IF(ISNUMBER(AG45),AG45*'Sheet1-指标体系'!$G$10*'Sheet1-指标体系'!$J$8,0)+IF(ISNUMBER(AH45),AH45*'Sheet1-指标体系'!$G$10*'Sheet1-指标体系'!$J$9,0))/(IF(ISNUMBER(AG45),'Sheet1-指标体系'!$G$10*'Sheet1-指标体系'!$J$8,0)+IF(ISNUMBER(AH45),'Sheet1-指标体系'!$G$10*'Sheet1-指标体系'!$J$9,0)),2))</x:f>
        <x:v>80.6</x:v>
      </x:c>
      <x:c r="AP45" s="52" t="n">
        <x:f>IF(ISNUMBER(AK45),AK45,"")</x:f>
        <x:v>100</x:v>
      </x:c>
      <x:c r="AQ45" s="27" t="n">
        <x:f>IF(G45&lt;&gt;"入池",0,IF(ISNUMBER(I45),'Sheet1-指标体系'!$G$4,0)+IF(ISNUMBER(K45),'Sheet1-指标体系'!$G$5,0)+IF(ISNUMBER(L45),'Sheet1-指标体系'!$G$6,0)+IF(ISNUMBER(Q45),'Sheet1-指标体系'!$G$7*'Sheet1-指标体系'!$J$8,0)+IF(ISNUMBER(R45),'Sheet1-指标体系'!$G$7*'Sheet1-指标体系'!$J$9,0)+IF(ISNUMBER(W45),'Sheet1-指标体系'!$G$8*'Sheet1-指标体系'!$J$8,0)+IF(ISNUMBER(X45),'Sheet1-指标体系'!$G$8*'Sheet1-指标体系'!$J$9,0)+IF(ISNUMBER(AC45),'Sheet1-指标体系'!$G$9,0)+IF(ISNUMBER(AG45),'Sheet1-指标体系'!$G$10*'Sheet1-指标体系'!$J$8,0)+IF(ISNUMBER(AH45),'Sheet1-指标体系'!$G$10*'Sheet1-指标体系'!$J$9,0)+IF(ISNUMBER(AK45),'Sheet1-指标体系'!$G$11,0))</x:f>
        <x:v>1</x:v>
      </x:c>
      <x:c r="AR45" s="52" t="n">
        <x:f>IF(AQ45=0,"",IF(ISNUMBER(I45),I45*'Sheet1-指标体系'!$G$4,0)+IF(ISNUMBER(K45),K45*'Sheet1-指标体系'!$G$5,0)+IF(ISNUMBER(L45),L45*'Sheet1-指标体系'!$G$6,0)+IF(ISNUMBER(Q45),Q45*'Sheet1-指标体系'!$G$7*'Sheet1-指标体系'!$J$8,0)+IF(ISNUMBER(R45),R45*'Sheet1-指标体系'!$G$7*'Sheet1-指标体系'!$J$9,0)+IF(ISNUMBER(W45),W45*'Sheet1-指标体系'!$G$8*'Sheet1-指标体系'!$J$8,0)+IF(ISNUMBER(X45),X45*'Sheet1-指标体系'!$G$8*'Sheet1-指标体系'!$J$9,0)+IF(ISNUMBER(AC45),AC45*'Sheet1-指标体系'!$G$9,0)+IF(ISNUMBER(AG45),AG45*'Sheet1-指标体系'!$G$10*'Sheet1-指标体系'!$J$8,0)+IF(ISNUMBER(AH45),AH45*'Sheet1-指标体系'!$G$10*'Sheet1-指标体系'!$J$9,0)+IF(ISNUMBER(AK45),AK45*'Sheet1-指标体系'!$G$11,0))</x:f>
        <x:v>76.36255</x:v>
      </x:c>
      <x:c r="AS45" s="52" t="n">
        <x:f>IF(AQ45=0,"",ROUND(AR45/AQ45,2))</x:f>
        <x:v>76.36</x:v>
      </x:c>
      <x:c r="AT45" s="49" t="n">
        <x:f>IF(OR(G45&lt;&gt;"入池",NOT(ISNUMBER(AS45))),"",COUNTIFS($G$17:$G$99,"入池",$AS$17:$AS$99,"&gt;"&amp;AS45)+COUNTIFS($G$17:$G$99,"入池",$AS$17:$AS$99,AS45,$AQ$17:$AQ$99,"&gt;"&amp;AQ45)+COUNTIFS($G$17:G45,"入池",$AS$17:AS45,AS45,$AQ$17:AQ45,AQ45))</x:f>
        <x:v>30</x:v>
      </x:c>
      <x:c r="AU45" s="53" t="str">
        <x:f>IF(NOT(ISNUMBER(I45)),"管理人规模；","")&amp;IF(NOT(ISNUMBER(K45)),"产品规模标识；","")&amp;IF(NOT(ISNUMBER(M45)),"近一年收益；","")&amp;IF(NOT(ISNUMBER(T45)),"近一年胜率；","")&amp;IF(NOT(ISNUMBER(N45)),"近三年收益；","")&amp;IF(NOT(ISNUMBER(U45)),"近三年胜率；","")&amp;IF(NOT(ISNUMBER(AA45)),"近三年回撤；","")&amp;IF(NOT(ISNUMBER(AD45)),"近一年卡玛；","")&amp;IF(ISNUMBER(F45),IF(AND(F45&lt;'Sheet1-指标体系'!$J$16,NOT(ISNUMBER(O45))),"成立以来年化；",""),"成立日期；")&amp;IF(ISNUMBER(V45),IF(OR(V45&lt;0,V45&gt;1),"胜率窗口口径不一致；",""),"")&amp;IF(ISNUMBER(P45),IF(NOT(ISNUMBER(AE45)),"DD_long不可识别；",""),"")</x:f>
      </x:c>
      <x:c r="AV45" s="52" t="n">
        <x:f>IF(ROUND(AQ45,10)=ROUND('Sheet1-指标体系'!$J$25,10),AR45,"")</x:f>
        <x:v>76.36255</x:v>
      </x:c>
      <x:c r="AW45" s="14" t="str">
        <x:f>IF(G45&lt;&gt;"入池",G45,IF(AQ45=0,"无有效评分数据",IF(ROUND(AQ45,10)=ROUND('Sheet1-指标体系'!$J$25,10),"完整赋分", "暂定分／数据不完整")))</x:f>
        <x:v>完整赋分</x:v>
      </x:c>
      <x:c r="AX45" s="45" t="str">
        <x:f>IF('Sheet4-原始数据'!C30="","",'Sheet4-原始数据'!C30)</x:f>
        <x:v>套利策略</x:v>
      </x:c>
      <x:c r="AY45" s="45" t="str">
        <x:f>IF('Sheet4-原始数据'!D30="","",'Sheet4-原始数据'!D30)</x:f>
        <x:v>期货套利</x:v>
      </x:c>
      <x:c r="AZ45" s="45" t="str">
        <x:f>IF('Sheet5-查询核对'!S30="","",'Sheet5-查询核对'!S30)</x:f>
        <x:v>套利策略—期货套利</x:v>
      </x:c>
      <x:c r="BA45" s="51" t="n">
        <x:f>IF('Sheet5-查询核对'!A30="","",'Sheet5-查询核对'!A30)</x:f>
        <x:v>30</x:v>
      </x:c>
      <x:c r="BB45" s="45" t="str">
        <x:f>IF('Sheet5-查询核对'!F30="","",'Sheet5-查询核对'!F30)</x:f>
        <x:v>备案号匹配</x:v>
      </x:c>
      <x:c r="BC45" s="50" t="str">
        <x:f>IF('Sheet5-查询核对'!I30="","",'Sheet5-查询核对'!I30)</x:f>
        <x:v>https://mp.fof99.com/fund/view/206ccc429e7e2414</x:v>
      </x:c>
      <x:c r="BD45" s="46" t="n">
        <x:f>IF('Sheet5-查询核对'!H30="","",'Sheet5-查询核对'!H30)</x:f>
        <x:v>46269</x:v>
      </x:c>
      <x:c r="BE45" s="50" t="str">
        <x:f>IF('Sheet5-查询核对'!L30="","",'Sheet5-查询核对'!L30)</x:f>
        <x:v>https://mp.fof99.com/fund/view/206ccc429e7e2414</x:v>
      </x:c>
      <x:c r="BF45" s="46" t="n">
        <x:f>IF('Sheet5-查询核对'!M30="","",'Sheet5-查询核对'!M30)</x:f>
        <x:v>46275</x:v>
      </x:c>
      <x:c r="BG45" s="50" t="str">
        <x:f>IF('Sheet5-查询核对'!O30="","",'Sheet5-查询核对'!O30)</x:f>
        <x:v>https://gs.amac.org.cn/amac-infodisc/res/pof/fund/2103231905105915.html</x:v>
      </x:c>
      <x:c r="BH45" s="46" t="n">
        <x:f>IF('Sheet5-查询核对'!P30="","",'Sheet5-查询核对'!P30)</x:f>
        <x:v>46275</x:v>
      </x:c>
      <x:c r="BI45" s="45" t="str">
        <x:f>IF('Sheet5-查询核对'!D30="","",'Sheet5-查询核对'!D30)</x:f>
        <x:v>SQD546</x:v>
      </x:c>
      <x:c r="BJ45" t="n">
        <x:f>IF(ISNUMBER(AT45),AT45,COUNT($AT$17:$AT$99)+ROWS($AT$17:AT45)-COUNT($AT$17:AT45))</x:f>
        <x:v>30</x:v>
      </x:c>
    </x:row>
    <x:row r="46" ht="44" customHeight="1">
      <x:c r="A46" s="49" t="n">
        <x:f>'Sheet5-查询核对'!A31-1</x:f>
        <x:v>30</x:v>
      </x:c>
      <x:c r="B46" s="50" t="str">
        <x:f>IF('Sheet4-原始数据'!A31="",'Sheet5-查询核对'!B31,'Sheet4-原始数据'!A31)</x:f>
        <x:v>聚亿具臻B类</x:v>
      </x:c>
      <x:c r="C46" s="45" t="str">
        <x:f>IF('Sheet4-原始数据'!B31="","",'Sheet4-原始数据'!B31)</x:f>
        <x:v>LM995B</x:v>
      </x:c>
      <x:c r="D46" s="45" t="str">
        <x:f>IF('Sheet4-原始数据'!E31="","",'Sheet4-原始数据'!E31)</x:f>
        <x:v>珠海聚亿基金</x:v>
      </x:c>
      <x:c r="E46" s="46" t="n">
        <x:f>IF('Sheet4-原始数据'!F31="","",'Sheet4-原始数据'!F31)</x:f>
        <x:v>44061</x:v>
      </x:c>
      <x:c r="F46" s="52" t="n">
        <x:f>IF(ISNUMBER(E46),ROUND(('Sheet1-指标体系'!$J$12-E46)/'Sheet1-指标体系'!$J$14,4),"")</x:f>
        <x:v>6.0616</x:v>
      </x:c>
      <x:c r="G46" s="14" t="str">
        <x:f>IF(C46="","未匹配",IF(NOT(ISNUMBER(F46)),"缺成立日期",IF(F46&lt;'Sheet1-指标体系'!$J$15,"不入池","入池")))</x:f>
        <x:v>入池</x:v>
      </x:c>
      <x:c r="H46" s="45" t="str">
        <x:f>IF('Sheet5-查询核对'!K31="","",'Sheet5-查询核对'!K31)</x:f>
        <x:v>0-5亿元</x:v>
      </x:c>
      <x:c r="I46" s="52" t="n">
        <x:f>IF(H46="","",IF(COUNTIF('Sheet1-指标体系'!$P$4:$P$10,H46)=0,"",INDEX('Sheet1-指标体系'!$Q$4:$Q$10,MATCH(H46,'Sheet1-指标体系'!$P$4:$P$10,0))))</x:f>
        <x:v>60</x:v>
      </x:c>
      <x:c r="J46" s="54" t="str">
        <x:f>IF(NOT(ISNUMBER('Sheet5-查询核对'!N31)),"",IF('Sheet5-查询核对'!N31=1,"低于"&amp;'Sheet1-指标体系'!$J$4&amp;"万元",IF('Sheet5-查询核对'!N31=0,"无低于"&amp;'Sheet1-指标体系'!$J$4&amp;"万元标识","")))</x:f>
      </x:c>
      <x:c r="K46" s="52" t="str">
        <x:f>IF(NOT(ISNUMBER('Sheet5-查询核对'!N31)),"",IF('Sheet5-查询核对'!N31=1,'Sheet1-指标体系'!$J$21,IF('Sheet5-查询核对'!N31=0,'Sheet1-指标体系'!$J$18,"")))</x:f>
      </x:c>
      <x:c r="L46" s="52" t="n">
        <x:f>IF(NOT(ISNUMBER(F46)),"",IF(F46&lt;'Sheet1-指标体系'!$J$15,"",IF(F46&lt;'Sheet1-指标体系'!$J$16,'Sheet1-指标体系'!$J$17,'Sheet1-指标体系'!$J$18)))</x:f>
        <x:v>100</x:v>
      </x:c>
      <x:c r="M46" s="47" t="n">
        <x:f>IF(ISNUMBER('Sheet4-原始数据'!G31),'Sheet4-原始数据'!G31,"")</x:f>
        <x:v>0.3558</x:v>
      </x:c>
      <x:c r="N46" s="47" t="str">
        <x:f>IF(ISNUMBER('Sheet4-原始数据'!H31),'Sheet4-原始数据'!H31,"")</x:f>
      </x:c>
      <x:c r="O46" s="47" t="n">
        <x:f>IF(ISNUMBER('Sheet5-查询核对'!Q31),'Sheet5-查询核对'!Q31,"")</x:f>
        <x:v>0.27390000000000003</x:v>
      </x:c>
      <x:c r="P46" s="44" t="str">
        <x:f>IF($G46&lt;&gt;"入池","",IF($F46&gt;='Sheet1-指标体系'!$J$16,IF(COUNT(M46,N46)&lt;&gt;2,"",IF(OR(1+M46&lt;=0,1+N46&lt;0),"",((1+N46)^'Sheet1-指标体系'!$J$16/(1+M46))^(1/('Sheet1-指标体系'!$J$16-'Sheet1-指标体系'!$J$15))-1)),IF(COUNT(M46,O46)&lt;&gt;2,"",IF(OR(F46&lt;='Sheet1-指标体系'!$J$15,1+M46&lt;=0,1+O46&lt;0),"",((1+O46)^F46/(1+M46))^(1/(F46-'Sheet1-指标体系'!$J$15))-1))))</x:f>
      </x:c>
      <x:c r="Q46" s="52" t="n">
        <x:f>IF(OR($G46&lt;&gt;"入池",NOT(ISNUMBER(M46))),"",IF(COUNTIFS($G$17:$G$99,"入池",$M$17:$M$99,"&gt;=-1E+307",$M$17:$M$99,"&lt;=1E+307")&lt;=1,'Sheet1-指标体系'!$J$18,ROUND('Sheet1-指标体系'!$J$18*(COUNTIFS($G$17:$G$99,"入池",$M$17:$M$99,"&gt;=-1E+307",$M$17:$M$99,"&lt;"&amp;M46)+COUNTIFS($G$17:$G$99,"入池",$M$17:$M$99,"&gt;=-1E+307",$M$17:$M$99,"&lt;=1E+307",$M$17:$M$99,M46)/2-0.5)/(COUNTIFS($G$17:$G$99,"入池",$M$17:$M$99,"&gt;=-1E+307",$M$17:$M$99,"&lt;=1E+307")-1),2)))</x:f>
        <x:v>98.21</x:v>
      </x:c>
      <x:c r="R46" s="52" t="str">
        <x:f>IF(OR($G46&lt;&gt;"入池",NOT(ISNUMBER(P46))),"",IF(COUNTIFS($G$17:$G$99,"入池",$P$17:$P$99,"&gt;=-1E+307",$P$17:$P$99,"&lt;=1E+307")&lt;=1,'Sheet1-指标体系'!$J$18,ROUND('Sheet1-指标体系'!$J$18*(COUNTIFS($G$17:$G$99,"入池",$P$17:$P$99,"&gt;=-1E+307",$P$17:$P$99,"&lt;"&amp;P46)+COUNTIFS($G$17:$G$99,"入池",$P$17:$P$99,"&gt;=-1E+307",$P$17:$P$99,"&lt;=1E+307",$P$17:$P$99,P46)/2-0.5)/(COUNTIFS($G$17:$G$99,"入池",$P$17:$P$99,"&gt;=-1E+307",$P$17:$P$99,"&lt;=1E+307")-1),2)))</x:f>
      </x:c>
      <x:c r="S46" s="52" t="n">
        <x:f>IF(COUNT(Q46,R46)=0,"",ROUND((IF(ISNUMBER(Q46),Q46*'Sheet1-指标体系'!$G$7*'Sheet1-指标体系'!$J$8,0)+IF(ISNUMBER(R46),R46*'Sheet1-指标体系'!$G$7*'Sheet1-指标体系'!$J$9,0))/(IF(ISNUMBER(Q46),'Sheet1-指标体系'!$G$7*'Sheet1-指标体系'!$J$8,0)+IF(ISNUMBER(R46),'Sheet1-指标体系'!$G$7*'Sheet1-指标体系'!$J$9,0)),2))</x:f>
        <x:v>98.21</x:v>
      </x:c>
      <x:c r="T46" s="47" t="n">
        <x:f>IF(ISNUMBER('Sheet4-原始数据'!J31),'Sheet4-原始数据'!J31,"")</x:f>
        <x:v>0.7692</x:v>
      </x:c>
      <x:c r="U46" s="47" t="str">
        <x:f>IF(ISNUMBER('Sheet4-原始数据'!I31),'Sheet4-原始数据'!I31,"")</x:f>
      </x:c>
      <x:c r="V46" s="44" t="str">
        <x:f>IF(COUNT(T46:U46)&lt;&gt;2,"",(U46*'Sheet1-指标体系'!$J$6-T46*'Sheet1-指标体系'!$J$5)/'Sheet1-指标体系'!$J$7)</x:f>
      </x:c>
      <x:c r="W46" s="52" t="n">
        <x:f>IF(NOT(ISNUMBER(T46)),"",T46*'Sheet1-指标体系'!$J$18)</x:f>
        <x:v>76.92</x:v>
      </x:c>
      <x:c r="X46" s="52" t="str">
        <x:f>IF(G46&lt;&gt;"入池","",IF(ISNUMBER(V46),IF(AND(V46&gt;=0,V46&lt;=1),V46*'Sheet1-指标体系'!$J$18,IF(MAX(0,(F46-'Sheet1-指标体系'!$J$15)*'Sheet1-指标体系'!$J$20)&lt;'Sheet1-指标体系'!$J$19,'Sheet1-指标体系'!$J$18,"")),IF(MAX(0,(F46-'Sheet1-指标体系'!$J$15)*'Sheet1-指标体系'!$J$20)&lt;'Sheet1-指标体系'!$J$19,'Sheet1-指标体系'!$J$18,"")))</x:f>
      </x:c>
      <x:c r="Y46" s="52" t="n">
        <x:f>IF(NOT(ISNUMBER(W46)),"",IF(COUNT(W46,X46)=0,"",ROUND((IF(ISNUMBER(W46),W46*'Sheet1-指标体系'!$G$8*'Sheet1-指标体系'!$J$8,0)+IF(ISNUMBER(X46),X46*'Sheet1-指标体系'!$G$8*'Sheet1-指标体系'!$J$9,0))/(IF(ISNUMBER(W46),'Sheet1-指标体系'!$G$8*'Sheet1-指标体系'!$J$8,0)+IF(ISNUMBER(X46),'Sheet1-指标体系'!$G$8*'Sheet1-指标体系'!$J$9,0)),2)))</x:f>
        <x:v>76.92</x:v>
      </x:c>
      <x:c r="Z46" s="44" t="n">
        <x:f>IF(COUNT(M46,AD46)&lt;&gt;2,"",IF(AD46=0,"",ABS(M46/AD46)))</x:f>
        <x:v>0.02564342806074278</x:v>
      </x:c>
      <x:c r="AA46" s="47" t="str">
        <x:f>IF(ISNUMBER('Sheet4-原始数据'!K31),'Sheet4-原始数据'!K31,"")</x:f>
      </x:c>
      <x:c r="AB46" s="44" t="n">
        <x:f>IF(COUNT(Z46:AA46)=0,"",MAX(Z46:AA46))</x:f>
        <x:v>0.02564342806074278</x:v>
      </x:c>
      <x:c r="AC46" s="52" t="n">
        <x:f>IF(OR($G46&lt;&gt;"入池",NOT(ISNUMBER(AB46))),"",IF(COUNTIFS($G$17:$G$99,"入池",$AB$17:$AB$99,"&gt;=-1E+307",$AB$17:$AB$99,"&lt;=1E+307")&lt;=1,'Sheet1-指标体系'!$J$18,ROUND('Sheet1-指标体系'!$J$18*(COUNTIFS($G$17:$G$99,"入池",$AB$17:$AB$99,"&lt;=1E+307",$AB$17:$AB$99,"&gt;"&amp;AB46)+COUNTIFS($G$17:$G$99,"入池",$AB$17:$AB$99,"&gt;=-1E+307",$AB$17:$AB$99,"&lt;=1E+307",$AB$17:$AB$99,AB46)/2-0.5)/(COUNTIFS($G$17:$G$99,"入池",$AB$17:$AB$99,"&gt;=-1E+307",$AB$17:$AB$99,"&lt;=1E+307")-1),2)))</x:f>
        <x:v>43.1</x:v>
      </x:c>
      <x:c r="AD46" s="48" t="n">
        <x:f>IF(ISNUMBER('Sheet4-原始数据'!M31),'Sheet4-原始数据'!M31,"")</x:f>
        <x:v>13.8749</x:v>
      </x:c>
      <x:c r="AE46" s="44" t="str">
        <x:f>IF(COUNT(P46,AA46,Z46)&lt;&gt;3,"",IF(AA46&gt;Z46+'Sheet1-指标体系'!$J$11,AA46,""))</x:f>
      </x:c>
      <x:c r="AF46" s="52" t="str">
        <x:f>IF(COUNT(P46,AE46)&lt;&gt;2,"",IF(AE46=0,"",P46/AE46))</x:f>
      </x:c>
      <x:c r="AG46" s="52" t="n">
        <x:f>IF(OR($G46&lt;&gt;"入池",NOT(ISNUMBER(AD46))),"",IF(COUNTIFS($G$17:$G$99,"入池",$AD$17:$AD$99,"&gt;=-1E+307",$AD$17:$AD$99,"&lt;=1E+307")&lt;=1,'Sheet1-指标体系'!$J$18,ROUND('Sheet1-指标体系'!$J$18*(COUNTIFS($G$17:$G$99,"入池",$AD$17:$AD$99,"&gt;=-1E+307",$AD$17:$AD$99,"&lt;"&amp;AD46)+COUNTIFS($G$17:$G$99,"入池",$AD$17:$AD$99,"&gt;=-1E+307",$AD$17:$AD$99,"&lt;=1E+307",$AD$17:$AD$99,AD46)/2-0.5)/(COUNTIFS($G$17:$G$99,"入池",$AD$17:$AD$99,"&gt;=-1E+307",$AD$17:$AD$99,"&lt;=1E+307")-1),2)))</x:f>
        <x:v>70.91</x:v>
      </x:c>
      <x:c r="AH46" s="52" t="str">
        <x:f>IF(OR($G46&lt;&gt;"入池",NOT(ISNUMBER(AF46))),"",IF(COUNTIFS($G$17:$G$99,"入池",$AF$17:$AF$99,"&gt;=-1E+307",$AF$17:$AF$99,"&lt;=1E+307")&lt;=1,'Sheet1-指标体系'!$J$18,ROUND('Sheet1-指标体系'!$J$18*(COUNTIFS($G$17:$G$99,"入池",$AF$17:$AF$99,"&gt;=-1E+307",$AF$17:$AF$99,"&lt;"&amp;AF46)+COUNTIFS($G$17:$G$99,"入池",$AF$17:$AF$99,"&gt;=-1E+307",$AF$17:$AF$99,"&lt;=1E+307",$AF$17:$AF$99,AF46)/2-0.5)/(COUNTIFS($G$17:$G$99,"入池",$AF$17:$AF$99,"&gt;=-1E+307",$AF$17:$AF$99,"&lt;=1E+307")-1),2)))</x:f>
      </x:c>
      <x:c r="AI46" s="52" t="n">
        <x:f>IF(COUNT(AG46,AH46)=0,"",ROUND((IF(ISNUMBER(AG46),AG46*'Sheet1-指标体系'!$G$10*'Sheet1-指标体系'!$J$8,0)+IF(ISNUMBER(AH46),AH46*'Sheet1-指标体系'!$G$10*'Sheet1-指标体系'!$J$9,0))/(IF(ISNUMBER(AG46),'Sheet1-指标体系'!$G$10*'Sheet1-指标体系'!$J$8,0)+IF(ISNUMBER(AH46),'Sheet1-指标体系'!$G$10*'Sheet1-指标体系'!$J$9,0)),2))</x:f>
        <x:v>70.91</x:v>
      </x:c>
      <x:c r="AJ46" s="44" t="str">
        <x:f>IF(NOT(ISNUMBER(F46)),"",IF(F46&gt;='Sheet1-指标体系'!$J$16,IF(ISNUMBER(N46),N46,""),IF(ISNUMBER(O46),O46,"")))</x:f>
      </x:c>
      <x:c r="AK46" s="52" t="str">
        <x:f>IF(OR(G46&lt;&gt;"入池",COUNT(M46,AJ46)&lt;&gt;2),"",IF(M46&gt;=AJ46,'Sheet1-指标体系'!$J$18,IF(AJ46-M46&lt;'Sheet1-指标体系'!$J$10,'Sheet1-指标体系'!$J$22,'Sheet1-指标体系'!$J$23)))</x:f>
      </x:c>
      <x:c r="AL46" s="52" t="n">
        <x:f>IF(COUNT(I46,K46,L46)=0,"",ROUND((IF(ISNUMBER(I46),I46*'Sheet1-指标体系'!$G$4,0)+IF(ISNUMBER(K46),K46*'Sheet1-指标体系'!$G$5,0)+IF(ISNUMBER(L46),L46*'Sheet1-指标体系'!$G$6,0))/(IF(ISNUMBER(I46),'Sheet1-指标体系'!$G$4,0)+IF(ISNUMBER(K46),'Sheet1-指标体系'!$G$5,0)+IF(ISNUMBER(L46),'Sheet1-指标体系'!$G$6,0)),2))</x:f>
        <x:v>77.14</x:v>
      </x:c>
      <x:c r="AM46" s="52" t="n">
        <x:f>IF(COUNT(Q46,R46,W46,X46)=0,"",ROUND((IF(ISNUMBER(Q46),Q46*'Sheet1-指标体系'!$G$7*'Sheet1-指标体系'!$J$8,0)+IF(ISNUMBER(R46),R46*'Sheet1-指标体系'!$G$7*'Sheet1-指标体系'!$J$9,0)+IF(ISNUMBER(W46),W46*'Sheet1-指标体系'!$G$8*'Sheet1-指标体系'!$J$8,0)+IF(ISNUMBER(X46),X46*'Sheet1-指标体系'!$G$8*'Sheet1-指标体系'!$J$9,0))/(IF(ISNUMBER(Q46),'Sheet1-指标体系'!$G$7*'Sheet1-指标体系'!$J$8,0)+IF(ISNUMBER(R46),'Sheet1-指标体系'!$G$7*'Sheet1-指标体系'!$J$9,0)+IF(ISNUMBER(W46),'Sheet1-指标体系'!$G$8*'Sheet1-指标体系'!$J$8,0)+IF(ISNUMBER(X46),'Sheet1-指标体系'!$G$8*'Sheet1-指标体系'!$J$9,0)),2))</x:f>
        <x:v>91.82</x:v>
      </x:c>
      <x:c r="AN46" s="52" t="n">
        <x:f>IF(ISNUMBER(AC46),AC46,"")</x:f>
        <x:v>43.1</x:v>
      </x:c>
      <x:c r="AO46" s="52" t="n">
        <x:f>IF(COUNT(AG46,AH46)=0,"",ROUND((IF(ISNUMBER(AG46),AG46*'Sheet1-指标体系'!$G$10*'Sheet1-指标体系'!$J$8,0)+IF(ISNUMBER(AH46),AH46*'Sheet1-指标体系'!$G$10*'Sheet1-指标体系'!$J$9,0))/(IF(ISNUMBER(AG46),'Sheet1-指标体系'!$G$10*'Sheet1-指标体系'!$J$8,0)+IF(ISNUMBER(AH46),'Sheet1-指标体系'!$G$10*'Sheet1-指标体系'!$J$9,0)),2))</x:f>
        <x:v>70.91</x:v>
      </x:c>
      <x:c r="AP46" s="52" t="str">
        <x:f>IF(ISNUMBER(AK46),AK46,"")</x:f>
      </x:c>
      <x:c r="AQ46" s="27" t="n">
        <x:f>IF(G46&lt;&gt;"入池",0,IF(ISNUMBER(I46),'Sheet1-指标体系'!$G$4,0)+IF(ISNUMBER(K46),'Sheet1-指标体系'!$G$5,0)+IF(ISNUMBER(L46),'Sheet1-指标体系'!$G$6,0)+IF(ISNUMBER(Q46),'Sheet1-指标体系'!$G$7*'Sheet1-指标体系'!$J$8,0)+IF(ISNUMBER(R46),'Sheet1-指标体系'!$G$7*'Sheet1-指标体系'!$J$9,0)+IF(ISNUMBER(W46),'Sheet1-指标体系'!$G$8*'Sheet1-指标体系'!$J$8,0)+IF(ISNUMBER(X46),'Sheet1-指标体系'!$G$8*'Sheet1-指标体系'!$J$9,0)+IF(ISNUMBER(AC46),'Sheet1-指标体系'!$G$9,0)+IF(ISNUMBER(AG46),'Sheet1-指标体系'!$G$10*'Sheet1-指标体系'!$J$8,0)+IF(ISNUMBER(AH46),'Sheet1-指标体系'!$G$10*'Sheet1-指标体系'!$J$9,0)+IF(ISNUMBER(AK46),'Sheet1-指标体系'!$G$11,0))</x:f>
        <x:v>0.655</x:v>
      </x:c>
      <x:c r="AR46" s="52" t="n">
        <x:f>IF(AQ46=0,"",IF(ISNUMBER(I46),I46*'Sheet1-指标体系'!$G$4,0)+IF(ISNUMBER(K46),K46*'Sheet1-指标体系'!$G$5,0)+IF(ISNUMBER(L46),L46*'Sheet1-指标体系'!$G$6,0)+IF(ISNUMBER(Q46),Q46*'Sheet1-指标体系'!$G$7*'Sheet1-指标体系'!$J$8,0)+IF(ISNUMBER(R46),R46*'Sheet1-指标体系'!$G$7*'Sheet1-指标体系'!$J$9,0)+IF(ISNUMBER(W46),W46*'Sheet1-指标体系'!$G$8*'Sheet1-指标体系'!$J$8,0)+IF(ISNUMBER(X46),X46*'Sheet1-指标体系'!$G$8*'Sheet1-指标体系'!$J$9,0)+IF(ISNUMBER(AC46),AC46*'Sheet1-指标体系'!$G$9,0)+IF(ISNUMBER(AG46),AG46*'Sheet1-指标体系'!$G$10*'Sheet1-指标体系'!$J$8,0)+IF(ISNUMBER(AH46),AH46*'Sheet1-指标体系'!$G$10*'Sheet1-指标体系'!$J$9,0)+IF(ISNUMBER(AK46),AK46*'Sheet1-指标体系'!$G$11,0))</x:f>
        <x:v>42.657560000000004</x:v>
      </x:c>
      <x:c r="AS46" s="52" t="n">
        <x:f>IF(AQ46=0,"",ROUND(AR46/AQ46,2))</x:f>
        <x:v>65.13</x:v>
      </x:c>
      <x:c r="AT46" s="49" t="n">
        <x:f>IF(OR(G46&lt;&gt;"入池",NOT(ISNUMBER(AS46))),"",COUNTIFS($G$17:$G$99,"入池",$AS$17:$AS$99,"&gt;"&amp;AS46)+COUNTIFS($G$17:$G$99,"入池",$AS$17:$AS$99,AS46,$AQ$17:$AQ$99,"&gt;"&amp;AQ46)+COUNTIFS($G$17:G46,"入池",$AS$17:AS46,AS46,$AQ$17:AQ46,AQ46))</x:f>
        <x:v>47</x:v>
      </x:c>
      <x:c r="AU46" s="53" t="str">
        <x:f>IF(NOT(ISNUMBER(I46)),"管理人规模；","")&amp;IF(NOT(ISNUMBER(K46)),"产品规模标识；","")&amp;IF(NOT(ISNUMBER(M46)),"近一年收益；","")&amp;IF(NOT(ISNUMBER(T46)),"近一年胜率；","")&amp;IF(NOT(ISNUMBER(N46)),"近三年收益；","")&amp;IF(NOT(ISNUMBER(U46)),"近三年胜率；","")&amp;IF(NOT(ISNUMBER(AA46)),"近三年回撤；","")&amp;IF(NOT(ISNUMBER(AD46)),"近一年卡玛；","")&amp;IF(ISNUMBER(F46),IF(AND(F46&lt;'Sheet1-指标体系'!$J$16,NOT(ISNUMBER(O46))),"成立以来年化；",""),"成立日期；")&amp;IF(ISNUMBER(V46),IF(OR(V46&lt;0,V46&gt;1),"胜率窗口口径不一致；",""),"")&amp;IF(ISNUMBER(P46),IF(NOT(ISNUMBER(AE46)),"DD_long不可识别；",""),"")</x:f>
        <x:v>产品规模标识；近三年收益；近三年胜率；近三年回撤；</x:v>
      </x:c>
      <x:c r="AV46" s="52" t="str">
        <x:f>IF(ROUND(AQ46,10)=ROUND('Sheet1-指标体系'!$J$25,10),AR46,"")</x:f>
      </x:c>
      <x:c r="AW46" s="14" t="str">
        <x:f>IF(G46&lt;&gt;"入池",G46,IF(AQ46=0,"无有效评分数据",IF(ROUND(AQ46,10)=ROUND('Sheet1-指标体系'!$J$25,10),"完整赋分", "暂定分／数据不完整")))</x:f>
        <x:v>暂定分／数据不完整</x:v>
      </x:c>
      <x:c r="AX46" s="45" t="str">
        <x:f>IF('Sheet4-原始数据'!C31="","",'Sheet4-原始数据'!C31)</x:f>
        <x:v>套利策略</x:v>
      </x:c>
      <x:c r="AY46" s="45" t="str">
        <x:f>IF('Sheet4-原始数据'!D31="","",'Sheet4-原始数据'!D31)</x:f>
        <x:v>期货套利</x:v>
      </x:c>
      <x:c r="AZ46" s="45" t="str">
        <x:f>IF('Sheet5-查询核对'!S31="","",'Sheet5-查询核对'!S31)</x:f>
        <x:v>套利策略—期货套利</x:v>
      </x:c>
      <x:c r="BA46" s="51" t="n">
        <x:f>IF('Sheet5-查询核对'!A31="","",'Sheet5-查询核对'!A31)</x:f>
        <x:v>31</x:v>
      </x:c>
      <x:c r="BB46" s="45" t="str">
        <x:f>IF('Sheet5-查询核对'!F31="","",'Sheet5-查询核对'!F31)</x:f>
        <x:v>备案号匹配</x:v>
      </x:c>
      <x:c r="BC46" s="50" t="str">
        <x:f>IF('Sheet5-查询核对'!I31="","",'Sheet5-查询核对'!I31)</x:f>
        <x:v>https://mp.fof99.com/fund/view/62a3dc6ac3c3204d</x:v>
      </x:c>
      <x:c r="BD46" s="46" t="n">
        <x:f>IF('Sheet5-查询核对'!H31="","",'Sheet5-查询核对'!H31)</x:f>
        <x:v>46269</x:v>
      </x:c>
      <x:c r="BE46" s="50" t="str">
        <x:f>IF('Sheet5-查询核对'!L31="","",'Sheet5-查询核对'!L31)</x:f>
        <x:v>https://mp.fof99.com/fund/view/62a3dc6ac3c3204d</x:v>
      </x:c>
      <x:c r="BF46" s="46" t="n">
        <x:f>IF('Sheet5-查询核对'!M31="","",'Sheet5-查询核对'!M31)</x:f>
        <x:v>46275</x:v>
      </x:c>
      <x:c r="BG46" s="50" t="str">
        <x:f>IF('Sheet5-查询核对'!O31="","",'Sheet5-查询核对'!O31)</x:f>
      </x:c>
      <x:c r="BH46" s="46" t="str">
        <x:f>IF('Sheet5-查询核对'!P31="","",'Sheet5-查询核对'!P31)</x:f>
      </x:c>
      <x:c r="BI46" s="45" t="str">
        <x:f>IF('Sheet5-查询核对'!D31="","",'Sheet5-查询核对'!D31)</x:f>
        <x:v>LM995B</x:v>
      </x:c>
      <x:c r="BJ46" t="n">
        <x:f>IF(ISNUMBER(AT46),AT46,COUNT($AT$17:$AT$99)+ROWS($AT$17:AT46)-COUNT($AT$17:AT46))</x:f>
        <x:v>47</x:v>
      </x:c>
    </x:row>
    <x:row r="47" ht="44" customHeight="1">
      <x:c r="A47" s="49" t="n">
        <x:f>'Sheet5-查询核对'!A32-1</x:f>
        <x:v>31</x:v>
      </x:c>
      <x:c r="B47" s="50" t="str">
        <x:f>IF('Sheet4-原始数据'!A32="",'Sheet5-查询核对'!B32,'Sheet4-原始数据'!A32)</x:f>
        <x:v>钧誉厚德量化对冲11号</x:v>
      </x:c>
      <x:c r="C47" s="45" t="str">
        <x:f>IF('Sheet4-原始数据'!B32="","",'Sheet4-原始数据'!B32)</x:f>
        <x:v>SQN453</x:v>
      </x:c>
      <x:c r="D47" s="45" t="str">
        <x:f>IF('Sheet4-原始数据'!E32="","",'Sheet4-原始数据'!E32)</x:f>
        <x:v>珠海钧誉资管</x:v>
      </x:c>
      <x:c r="E47" s="46" t="n">
        <x:f>IF('Sheet4-原始数据'!F32="","",'Sheet4-原始数据'!F32)</x:f>
        <x:v>44323</x:v>
      </x:c>
      <x:c r="F47" s="52" t="n">
        <x:f>IF(ISNUMBER(E47),ROUND(('Sheet1-指标体系'!$J$12-E47)/'Sheet1-指标体系'!$J$14,4),"")</x:f>
        <x:v>5.3443</x:v>
      </x:c>
      <x:c r="G47" s="14" t="str">
        <x:f>IF(C47="","未匹配",IF(NOT(ISNUMBER(F47)),"缺成立日期",IF(F47&lt;'Sheet1-指标体系'!$J$15,"不入池","入池")))</x:f>
        <x:v>入池</x:v>
      </x:c>
      <x:c r="H47" s="45" t="str">
        <x:f>IF('Sheet5-查询核对'!K32="","",'Sheet5-查询核对'!K32)</x:f>
        <x:v>0-5亿元</x:v>
      </x:c>
      <x:c r="I47" s="52" t="n">
        <x:f>IF(H47="","",IF(COUNTIF('Sheet1-指标体系'!$P$4:$P$10,H47)=0,"",INDEX('Sheet1-指标体系'!$Q$4:$Q$10,MATCH(H47,'Sheet1-指标体系'!$P$4:$P$10,0))))</x:f>
        <x:v>60</x:v>
      </x:c>
      <x:c r="J47" s="54" t="str">
        <x:f>IF(NOT(ISNUMBER('Sheet5-查询核对'!N32)),"",IF('Sheet5-查询核对'!N32=1,"低于"&amp;'Sheet1-指标体系'!$J$4&amp;"万元",IF('Sheet5-查询核对'!N32=0,"无低于"&amp;'Sheet1-指标体系'!$J$4&amp;"万元标识","")))</x:f>
        <x:v>无低于1000万元标识</x:v>
      </x:c>
      <x:c r="K47" s="52" t="n">
        <x:f>IF(NOT(ISNUMBER('Sheet5-查询核对'!N32)),"",IF('Sheet5-查询核对'!N32=1,'Sheet1-指标体系'!$J$21,IF('Sheet5-查询核对'!N32=0,'Sheet1-指标体系'!$J$18,"")))</x:f>
        <x:v>100</x:v>
      </x:c>
      <x:c r="L47" s="52" t="n">
        <x:f>IF(NOT(ISNUMBER(F47)),"",IF(F47&lt;'Sheet1-指标体系'!$J$15,"",IF(F47&lt;'Sheet1-指标体系'!$J$16,'Sheet1-指标体系'!$J$17,'Sheet1-指标体系'!$J$18)))</x:f>
        <x:v>100</x:v>
      </x:c>
      <x:c r="M47" s="47" t="str">
        <x:f>IF(ISNUMBER('Sheet4-原始数据'!G32),'Sheet4-原始数据'!G32,"")</x:f>
      </x:c>
      <x:c r="N47" s="47" t="str">
        <x:f>IF(ISNUMBER('Sheet4-原始数据'!H32),'Sheet4-原始数据'!H32,"")</x:f>
      </x:c>
      <x:c r="O47" s="47" t="str">
        <x:f>IF(ISNUMBER('Sheet5-查询核对'!Q32),'Sheet5-查询核对'!Q32,"")</x:f>
      </x:c>
      <x:c r="P47" s="44" t="str">
        <x:f>IF($G47&lt;&gt;"入池","",IF($F47&gt;='Sheet1-指标体系'!$J$16,IF(COUNT(M47,N47)&lt;&gt;2,"",IF(OR(1+M47&lt;=0,1+N47&lt;0),"",((1+N47)^'Sheet1-指标体系'!$J$16/(1+M47))^(1/('Sheet1-指标体系'!$J$16-'Sheet1-指标体系'!$J$15))-1)),IF(COUNT(M47,O47)&lt;&gt;2,"",IF(OR(F47&lt;='Sheet1-指标体系'!$J$15,1+M47&lt;=0,1+O47&lt;0),"",((1+O47)^F47/(1+M47))^(1/(F47-'Sheet1-指标体系'!$J$15))-1))))</x:f>
      </x:c>
      <x:c r="Q47" s="52" t="str">
        <x:f>IF(OR($G47&lt;&gt;"入池",NOT(ISNUMBER(M47))),"",IF(COUNTIFS($G$17:$G$99,"入池",$M$17:$M$99,"&gt;=-1E+307",$M$17:$M$99,"&lt;=1E+307")&lt;=1,'Sheet1-指标体系'!$J$18,ROUND('Sheet1-指标体系'!$J$18*(COUNTIFS($G$17:$G$99,"入池",$M$17:$M$99,"&gt;=-1E+307",$M$17:$M$99,"&lt;"&amp;M47)+COUNTIFS($G$17:$G$99,"入池",$M$17:$M$99,"&gt;=-1E+307",$M$17:$M$99,"&lt;=1E+307",$M$17:$M$99,M47)/2-0.5)/(COUNTIFS($G$17:$G$99,"入池",$M$17:$M$99,"&gt;=-1E+307",$M$17:$M$99,"&lt;=1E+307")-1),2)))</x:f>
      </x:c>
      <x:c r="R47" s="52" t="str">
        <x:f>IF(OR($G47&lt;&gt;"入池",NOT(ISNUMBER(P47))),"",IF(COUNTIFS($G$17:$G$99,"入池",$P$17:$P$99,"&gt;=-1E+307",$P$17:$P$99,"&lt;=1E+307")&lt;=1,'Sheet1-指标体系'!$J$18,ROUND('Sheet1-指标体系'!$J$18*(COUNTIFS($G$17:$G$99,"入池",$P$17:$P$99,"&gt;=-1E+307",$P$17:$P$99,"&lt;"&amp;P47)+COUNTIFS($G$17:$G$99,"入池",$P$17:$P$99,"&gt;=-1E+307",$P$17:$P$99,"&lt;=1E+307",$P$17:$P$99,P47)/2-0.5)/(COUNTIFS($G$17:$G$99,"入池",$P$17:$P$99,"&gt;=-1E+307",$P$17:$P$99,"&lt;=1E+307")-1),2)))</x:f>
      </x:c>
      <x:c r="S47" s="52" t="str">
        <x:f>IF(COUNT(Q47,R47)=0,"",ROUND((IF(ISNUMBER(Q47),Q47*'Sheet1-指标体系'!$G$7*'Sheet1-指标体系'!$J$8,0)+IF(ISNUMBER(R47),R47*'Sheet1-指标体系'!$G$7*'Sheet1-指标体系'!$J$9,0))/(IF(ISNUMBER(Q47),'Sheet1-指标体系'!$G$7*'Sheet1-指标体系'!$J$8,0)+IF(ISNUMBER(R47),'Sheet1-指标体系'!$G$7*'Sheet1-指标体系'!$J$9,0)),2))</x:f>
      </x:c>
      <x:c r="T47" s="47" t="str">
        <x:f>IF(ISNUMBER('Sheet4-原始数据'!J32),'Sheet4-原始数据'!J32,"")</x:f>
      </x:c>
      <x:c r="U47" s="47" t="str">
        <x:f>IF(ISNUMBER('Sheet4-原始数据'!I32),'Sheet4-原始数据'!I32,"")</x:f>
      </x:c>
      <x:c r="V47" s="44" t="str">
        <x:f>IF(COUNT(T47:U47)&lt;&gt;2,"",(U47*'Sheet1-指标体系'!$J$6-T47*'Sheet1-指标体系'!$J$5)/'Sheet1-指标体系'!$J$7)</x:f>
      </x:c>
      <x:c r="W47" s="52" t="str">
        <x:f>IF(NOT(ISNUMBER(T47)),"",T47*'Sheet1-指标体系'!$J$18)</x:f>
      </x:c>
      <x:c r="X47" s="52" t="str">
        <x:f>IF(G47&lt;&gt;"入池","",IF(ISNUMBER(V47),IF(AND(V47&gt;=0,V47&lt;=1),V47*'Sheet1-指标体系'!$J$18,IF(MAX(0,(F47-'Sheet1-指标体系'!$J$15)*'Sheet1-指标体系'!$J$20)&lt;'Sheet1-指标体系'!$J$19,'Sheet1-指标体系'!$J$18,"")),IF(MAX(0,(F47-'Sheet1-指标体系'!$J$15)*'Sheet1-指标体系'!$J$20)&lt;'Sheet1-指标体系'!$J$19,'Sheet1-指标体系'!$J$18,"")))</x:f>
      </x:c>
      <x:c r="Y47" s="52" t="str">
        <x:f>IF(NOT(ISNUMBER(W47)),"",IF(COUNT(W47,X47)=0,"",ROUND((IF(ISNUMBER(W47),W47*'Sheet1-指标体系'!$G$8*'Sheet1-指标体系'!$J$8,0)+IF(ISNUMBER(X47),X47*'Sheet1-指标体系'!$G$8*'Sheet1-指标体系'!$J$9,0))/(IF(ISNUMBER(W47),'Sheet1-指标体系'!$G$8*'Sheet1-指标体系'!$J$8,0)+IF(ISNUMBER(X47),'Sheet1-指标体系'!$G$8*'Sheet1-指标体系'!$J$9,0)),2)))</x:f>
      </x:c>
      <x:c r="Z47" s="44" t="str">
        <x:f>IF(COUNT(M47,AD47)&lt;&gt;2,"",IF(AD47=0,"",ABS(M47/AD47)))</x:f>
      </x:c>
      <x:c r="AA47" s="47" t="str">
        <x:f>IF(ISNUMBER('Sheet4-原始数据'!K32),'Sheet4-原始数据'!K32,"")</x:f>
      </x:c>
      <x:c r="AB47" s="44" t="str">
        <x:f>IF(COUNT(Z47:AA47)=0,"",MAX(Z47:AA47))</x:f>
      </x:c>
      <x:c r="AC47" s="52" t="str">
        <x:f>IF(OR($G47&lt;&gt;"入池",NOT(ISNUMBER(AB47))),"",IF(COUNTIFS($G$17:$G$99,"入池",$AB$17:$AB$99,"&gt;=-1E+307",$AB$17:$AB$99,"&lt;=1E+307")&lt;=1,'Sheet1-指标体系'!$J$18,ROUND('Sheet1-指标体系'!$J$18*(COUNTIFS($G$17:$G$99,"入池",$AB$17:$AB$99,"&lt;=1E+307",$AB$17:$AB$99,"&gt;"&amp;AB47)+COUNTIFS($G$17:$G$99,"入池",$AB$17:$AB$99,"&gt;=-1E+307",$AB$17:$AB$99,"&lt;=1E+307",$AB$17:$AB$99,AB47)/2-0.5)/(COUNTIFS($G$17:$G$99,"入池",$AB$17:$AB$99,"&gt;=-1E+307",$AB$17:$AB$99,"&lt;=1E+307")-1),2)))</x:f>
      </x:c>
      <x:c r="AD47" s="48" t="str">
        <x:f>IF(ISNUMBER('Sheet4-原始数据'!M32),'Sheet4-原始数据'!M32,"")</x:f>
      </x:c>
      <x:c r="AE47" s="44" t="str">
        <x:f>IF(COUNT(P47,AA47,Z47)&lt;&gt;3,"",IF(AA47&gt;Z47+'Sheet1-指标体系'!$J$11,AA47,""))</x:f>
      </x:c>
      <x:c r="AF47" s="52" t="str">
        <x:f>IF(COUNT(P47,AE47)&lt;&gt;2,"",IF(AE47=0,"",P47/AE47))</x:f>
      </x:c>
      <x:c r="AG47" s="52" t="str">
        <x:f>IF(OR($G47&lt;&gt;"入池",NOT(ISNUMBER(AD47))),"",IF(COUNTIFS($G$17:$G$99,"入池",$AD$17:$AD$99,"&gt;=-1E+307",$AD$17:$AD$99,"&lt;=1E+307")&lt;=1,'Sheet1-指标体系'!$J$18,ROUND('Sheet1-指标体系'!$J$18*(COUNTIFS($G$17:$G$99,"入池",$AD$17:$AD$99,"&gt;=-1E+307",$AD$17:$AD$99,"&lt;"&amp;AD47)+COUNTIFS($G$17:$G$99,"入池",$AD$17:$AD$99,"&gt;=-1E+307",$AD$17:$AD$99,"&lt;=1E+307",$AD$17:$AD$99,AD47)/2-0.5)/(COUNTIFS($G$17:$G$99,"入池",$AD$17:$AD$99,"&gt;=-1E+307",$AD$17:$AD$99,"&lt;=1E+307")-1),2)))</x:f>
      </x:c>
      <x:c r="AH47" s="52" t="str">
        <x:f>IF(OR($G47&lt;&gt;"入池",NOT(ISNUMBER(AF47))),"",IF(COUNTIFS($G$17:$G$99,"入池",$AF$17:$AF$99,"&gt;=-1E+307",$AF$17:$AF$99,"&lt;=1E+307")&lt;=1,'Sheet1-指标体系'!$J$18,ROUND('Sheet1-指标体系'!$J$18*(COUNTIFS($G$17:$G$99,"入池",$AF$17:$AF$99,"&gt;=-1E+307",$AF$17:$AF$99,"&lt;"&amp;AF47)+COUNTIFS($G$17:$G$99,"入池",$AF$17:$AF$99,"&gt;=-1E+307",$AF$17:$AF$99,"&lt;=1E+307",$AF$17:$AF$99,AF47)/2-0.5)/(COUNTIFS($G$17:$G$99,"入池",$AF$17:$AF$99,"&gt;=-1E+307",$AF$17:$AF$99,"&lt;=1E+307")-1),2)))</x:f>
      </x:c>
      <x:c r="AI47" s="52" t="str">
        <x:f>IF(COUNT(AG47,AH47)=0,"",ROUND((IF(ISNUMBER(AG47),AG47*'Sheet1-指标体系'!$G$10*'Sheet1-指标体系'!$J$8,0)+IF(ISNUMBER(AH47),AH47*'Sheet1-指标体系'!$G$10*'Sheet1-指标体系'!$J$9,0))/(IF(ISNUMBER(AG47),'Sheet1-指标体系'!$G$10*'Sheet1-指标体系'!$J$8,0)+IF(ISNUMBER(AH47),'Sheet1-指标体系'!$G$10*'Sheet1-指标体系'!$J$9,0)),2))</x:f>
      </x:c>
      <x:c r="AJ47" s="44" t="str">
        <x:f>IF(NOT(ISNUMBER(F47)),"",IF(F47&gt;='Sheet1-指标体系'!$J$16,IF(ISNUMBER(N47),N47,""),IF(ISNUMBER(O47),O47,"")))</x:f>
      </x:c>
      <x:c r="AK47" s="52" t="str">
        <x:f>IF(OR(G47&lt;&gt;"入池",COUNT(M47,AJ47)&lt;&gt;2),"",IF(M47&gt;=AJ47,'Sheet1-指标体系'!$J$18,IF(AJ47-M47&lt;'Sheet1-指标体系'!$J$10,'Sheet1-指标体系'!$J$22,'Sheet1-指标体系'!$J$23)))</x:f>
      </x:c>
      <x:c r="AL47" s="52" t="n">
        <x:f>IF(COUNT(I47,K47,L47)=0,"",ROUND((IF(ISNUMBER(I47),I47*'Sheet1-指标体系'!$G$4,0)+IF(ISNUMBER(K47),K47*'Sheet1-指标体系'!$G$5,0)+IF(ISNUMBER(L47),L47*'Sheet1-指标体系'!$G$6,0))/(IF(ISNUMBER(I47),'Sheet1-指标体系'!$G$4,0)+IF(ISNUMBER(K47),'Sheet1-指标体系'!$G$5,0)+IF(ISNUMBER(L47),'Sheet1-指标体系'!$G$6,0)),2))</x:f>
        <x:v>84</x:v>
      </x:c>
      <x:c r="AM47" s="52" t="str">
        <x:f>IF(COUNT(Q47,R47,W47,X47)=0,"",ROUND((IF(ISNUMBER(Q47),Q47*'Sheet1-指标体系'!$G$7*'Sheet1-指标体系'!$J$8,0)+IF(ISNUMBER(R47),R47*'Sheet1-指标体系'!$G$7*'Sheet1-指标体系'!$J$9,0)+IF(ISNUMBER(W47),W47*'Sheet1-指标体系'!$G$8*'Sheet1-指标体系'!$J$8,0)+IF(ISNUMBER(X47),X47*'Sheet1-指标体系'!$G$8*'Sheet1-指标体系'!$J$9,0))/(IF(ISNUMBER(Q47),'Sheet1-指标体系'!$G$7*'Sheet1-指标体系'!$J$8,0)+IF(ISNUMBER(R47),'Sheet1-指标体系'!$G$7*'Sheet1-指标体系'!$J$9,0)+IF(ISNUMBER(W47),'Sheet1-指标体系'!$G$8*'Sheet1-指标体系'!$J$8,0)+IF(ISNUMBER(X47),'Sheet1-指标体系'!$G$8*'Sheet1-指标体系'!$J$9,0)),2))</x:f>
      </x:c>
      <x:c r="AN47" s="52" t="str">
        <x:f>IF(ISNUMBER(AC47),AC47,"")</x:f>
      </x:c>
      <x:c r="AO47" s="52" t="str">
        <x:f>IF(COUNT(AG47,AH47)=0,"",ROUND((IF(ISNUMBER(AG47),AG47*'Sheet1-指标体系'!$G$10*'Sheet1-指标体系'!$J$8,0)+IF(ISNUMBER(AH47),AH47*'Sheet1-指标体系'!$G$10*'Sheet1-指标体系'!$J$9,0))/(IF(ISNUMBER(AG47),'Sheet1-指标体系'!$G$10*'Sheet1-指标体系'!$J$8,0)+IF(ISNUMBER(AH47),'Sheet1-指标体系'!$G$10*'Sheet1-指标体系'!$J$9,0)),2))</x:f>
      </x:c>
      <x:c r="AP47" s="52" t="str">
        <x:f>IF(ISNUMBER(AK47),AK47,"")</x:f>
      </x:c>
      <x:c r="AQ47" s="27" t="n">
        <x:f>IF(G47&lt;&gt;"入池",0,IF(ISNUMBER(I47),'Sheet1-指标体系'!$G$4,0)+IF(ISNUMBER(K47),'Sheet1-指标体系'!$G$5,0)+IF(ISNUMBER(L47),'Sheet1-指标体系'!$G$6,0)+IF(ISNUMBER(Q47),'Sheet1-指标体系'!$G$7*'Sheet1-指标体系'!$J$8,0)+IF(ISNUMBER(R47),'Sheet1-指标体系'!$G$7*'Sheet1-指标体系'!$J$9,0)+IF(ISNUMBER(W47),'Sheet1-指标体系'!$G$8*'Sheet1-指标体系'!$J$8,0)+IF(ISNUMBER(X47),'Sheet1-指标体系'!$G$8*'Sheet1-指标体系'!$J$9,0)+IF(ISNUMBER(AC47),'Sheet1-指标体系'!$G$9,0)+IF(ISNUMBER(AG47),'Sheet1-指标体系'!$G$10*'Sheet1-指标体系'!$J$8,0)+IF(ISNUMBER(AH47),'Sheet1-指标体系'!$G$10*'Sheet1-指标体系'!$J$9,0)+IF(ISNUMBER(AK47),'Sheet1-指标体系'!$G$11,0))</x:f>
        <x:v>0.15</x:v>
      </x:c>
      <x:c r="AR47" s="52" t="n">
        <x:f>IF(AQ47=0,"",IF(ISNUMBER(I47),I47*'Sheet1-指标体系'!$G$4,0)+IF(ISNUMBER(K47),K47*'Sheet1-指标体系'!$G$5,0)+IF(ISNUMBER(L47),L47*'Sheet1-指标体系'!$G$6,0)+IF(ISNUMBER(Q47),Q47*'Sheet1-指标体系'!$G$7*'Sheet1-指标体系'!$J$8,0)+IF(ISNUMBER(R47),R47*'Sheet1-指标体系'!$G$7*'Sheet1-指标体系'!$J$9,0)+IF(ISNUMBER(W47),W47*'Sheet1-指标体系'!$G$8*'Sheet1-指标体系'!$J$8,0)+IF(ISNUMBER(X47),X47*'Sheet1-指标体系'!$G$8*'Sheet1-指标体系'!$J$9,0)+IF(ISNUMBER(AC47),AC47*'Sheet1-指标体系'!$G$9,0)+IF(ISNUMBER(AG47),AG47*'Sheet1-指标体系'!$G$10*'Sheet1-指标体系'!$J$8,0)+IF(ISNUMBER(AH47),AH47*'Sheet1-指标体系'!$G$10*'Sheet1-指标体系'!$J$9,0)+IF(ISNUMBER(AK47),AK47*'Sheet1-指标体系'!$G$11,0))</x:f>
        <x:v>12.6</x:v>
      </x:c>
      <x:c r="AS47" s="52" t="n">
        <x:f>IF(AQ47=0,"",ROUND(AR47/AQ47,2))</x:f>
        <x:v>84</x:v>
      </x:c>
      <x:c r="AT47" s="49" t="n">
        <x:f>IF(OR(G47&lt;&gt;"入池",NOT(ISNUMBER(AS47))),"",COUNTIFS($G$17:$G$99,"入池",$AS$17:$AS$99,"&gt;"&amp;AS47)+COUNTIFS($G$17:$G$99,"入池",$AS$17:$AS$99,AS47,$AQ$17:$AQ$99,"&gt;"&amp;AQ47)+COUNTIFS($G$17:G47,"入池",$AS$17:AS47,AS47,$AQ$17:AQ47,AQ47))</x:f>
        <x:v>18</x:v>
      </x:c>
      <x:c r="AU47" s="53" t="str">
        <x:f>IF(NOT(ISNUMBER(I47)),"管理人规模；","")&amp;IF(NOT(ISNUMBER(K47)),"产品规模标识；","")&amp;IF(NOT(ISNUMBER(M47)),"近一年收益；","")&amp;IF(NOT(ISNUMBER(T47)),"近一年胜率；","")&amp;IF(NOT(ISNUMBER(N47)),"近三年收益；","")&amp;IF(NOT(ISNUMBER(U47)),"近三年胜率；","")&amp;IF(NOT(ISNUMBER(AA47)),"近三年回撤；","")&amp;IF(NOT(ISNUMBER(AD47)),"近一年卡玛；","")&amp;IF(ISNUMBER(F47),IF(AND(F47&lt;'Sheet1-指标体系'!$J$16,NOT(ISNUMBER(O47))),"成立以来年化；",""),"成立日期；")&amp;IF(ISNUMBER(V47),IF(OR(V47&lt;0,V47&gt;1),"胜率窗口口径不一致；",""),"")&amp;IF(ISNUMBER(P47),IF(NOT(ISNUMBER(AE47)),"DD_long不可识别；",""),"")</x:f>
        <x:v>近一年收益；近一年胜率；近三年收益；近三年胜率；近三年回撤；近一年卡玛；</x:v>
      </x:c>
      <x:c r="AV47" s="52" t="str">
        <x:f>IF(ROUND(AQ47,10)=ROUND('Sheet1-指标体系'!$J$25,10),AR47,"")</x:f>
      </x:c>
      <x:c r="AW47" s="14" t="str">
        <x:f>IF(G47&lt;&gt;"入池",G47,IF(AQ47=0,"无有效评分数据",IF(ROUND(AQ47,10)=ROUND('Sheet1-指标体系'!$J$25,10),"完整赋分", "暂定分／数据不完整")))</x:f>
        <x:v>暂定分／数据不完整</x:v>
      </x:c>
      <x:c r="AX47" s="45" t="str">
        <x:f>IF('Sheet4-原始数据'!C32="","",'Sheet4-原始数据'!C32)</x:f>
        <x:v>套利策略</x:v>
      </x:c>
      <x:c r="AY47" s="45" t="str">
        <x:f>IF('Sheet4-原始数据'!D32="","",'Sheet4-原始数据'!D32)</x:f>
        <x:v>期货套利</x:v>
      </x:c>
      <x:c r="AZ47" s="45" t="str">
        <x:f>IF('Sheet5-查询核对'!S32="","",'Sheet5-查询核对'!S32)</x:f>
        <x:v>套利策略—期货套利</x:v>
      </x:c>
      <x:c r="BA47" s="51" t="n">
        <x:f>IF('Sheet5-查询核对'!A32="","",'Sheet5-查询核对'!A32)</x:f>
        <x:v>32</x:v>
      </x:c>
      <x:c r="BB47" s="45" t="str">
        <x:f>IF('Sheet5-查询核对'!F32="","",'Sheet5-查询核对'!F32)</x:f>
        <x:v>备案号匹配</x:v>
      </x:c>
      <x:c r="BC47" s="50" t="str">
        <x:f>IF('Sheet5-查询核对'!I32="","",'Sheet5-查询核对'!I32)</x:f>
        <x:v>https://mp.fof99.com/fund/view/8e3ad7d155f41bc3</x:v>
      </x:c>
      <x:c r="BD47" s="46" t="n">
        <x:f>IF('Sheet5-查询核对'!H32="","",'Sheet5-查询核对'!H32)</x:f>
        <x:v>46269</x:v>
      </x:c>
      <x:c r="BE47" s="50" t="str">
        <x:f>IF('Sheet5-查询核对'!L32="","",'Sheet5-查询核对'!L32)</x:f>
        <x:v>https://mp.fof99.com/fund/view/8e3ad7d155f41bc3</x:v>
      </x:c>
      <x:c r="BF47" s="46" t="n">
        <x:f>IF('Sheet5-查询核对'!M32="","",'Sheet5-查询核对'!M32)</x:f>
        <x:v>46275</x:v>
      </x:c>
      <x:c r="BG47" s="50" t="str">
        <x:f>IF('Sheet5-查询核对'!O32="","",'Sheet5-查询核对'!O32)</x:f>
        <x:v>https://gs.amac.org.cn/amac-infodisc/res/pof/fund/2105111737102298.html</x:v>
      </x:c>
      <x:c r="BH47" s="46" t="n">
        <x:f>IF('Sheet5-查询核对'!P32="","",'Sheet5-查询核对'!P32)</x:f>
        <x:v>46275</x:v>
      </x:c>
      <x:c r="BI47" s="45" t="str">
        <x:f>IF('Sheet5-查询核对'!D32="","",'Sheet5-查询核对'!D32)</x:f>
        <x:v>SQN453</x:v>
      </x:c>
      <x:c r="BJ47" t="n">
        <x:f>IF(ISNUMBER(AT47),AT47,COUNT($AT$17:$AT$99)+ROWS($AT$17:AT47)-COUNT($AT$17:AT47))</x:f>
        <x:v>18</x:v>
      </x:c>
    </x:row>
    <x:row r="48" ht="44" customHeight="1">
      <x:c r="A48" s="49" t="n">
        <x:f>'Sheet5-查询核对'!A33-1</x:f>
        <x:v>32</x:v>
      </x:c>
      <x:c r="B48" s="50" t="str">
        <x:f>IF('Sheet4-原始数据'!A33="",'Sheet5-查询核对'!B33,'Sheet4-原始数据'!A33)</x:f>
        <x:v>澜胜稳赋套利1号</x:v>
      </x:c>
      <x:c r="C48" s="45" t="str">
        <x:f>IF('Sheet4-原始数据'!B33="","",'Sheet4-原始数据'!B33)</x:f>
        <x:v>SBPY84</x:v>
      </x:c>
      <x:c r="D48" s="45" t="str">
        <x:f>IF('Sheet4-原始数据'!E33="","",'Sheet4-原始数据'!E33)</x:f>
        <x:v>上海澜胜</x:v>
      </x:c>
      <x:c r="E48" s="46" t="n">
        <x:f>IF('Sheet4-原始数据'!F33="","",'Sheet4-原始数据'!F33)</x:f>
        <x:v>46049</x:v>
      </x:c>
      <x:c r="F48" s="52" t="n">
        <x:f>IF(ISNUMBER(E48),ROUND(('Sheet1-指标体系'!$J$12-E48)/'Sheet1-指标体系'!$J$14,4),"")</x:f>
        <x:v>0.6188</x:v>
      </x:c>
      <x:c r="G48" s="14" t="str">
        <x:f>IF(C48="","未匹配",IF(NOT(ISNUMBER(F48)),"缺成立日期",IF(F48&lt;'Sheet1-指标体系'!$J$15,"不入池","入池")))</x:f>
        <x:v>不入池</x:v>
      </x:c>
      <x:c r="H48" s="45" t="str">
        <x:f>IF('Sheet5-查询核对'!K33="","",'Sheet5-查询核对'!K33)</x:f>
        <x:v>0-5亿元</x:v>
      </x:c>
      <x:c r="I48" s="52" t="n">
        <x:f>IF(H48="","",IF(COUNTIF('Sheet1-指标体系'!$P$4:$P$10,H48)=0,"",INDEX('Sheet1-指标体系'!$Q$4:$Q$10,MATCH(H48,'Sheet1-指标体系'!$P$4:$P$10,0))))</x:f>
        <x:v>60</x:v>
      </x:c>
      <x:c r="J48" s="54" t="str">
        <x:f>IF(NOT(ISNUMBER('Sheet5-查询核对'!N33)),"",IF('Sheet5-查询核对'!N33=1,"低于"&amp;'Sheet1-指标体系'!$J$4&amp;"万元",IF('Sheet5-查询核对'!N33=0,"无低于"&amp;'Sheet1-指标体系'!$J$4&amp;"万元标识","")))</x:f>
        <x:v>无低于1000万元标识</x:v>
      </x:c>
      <x:c r="K48" s="52" t="n">
        <x:f>IF(NOT(ISNUMBER('Sheet5-查询核对'!N33)),"",IF('Sheet5-查询核对'!N33=1,'Sheet1-指标体系'!$J$21,IF('Sheet5-查询核对'!N33=0,'Sheet1-指标体系'!$J$18,"")))</x:f>
        <x:v>100</x:v>
      </x:c>
      <x:c r="L48" s="52" t="str">
        <x:f>IF(NOT(ISNUMBER(F48)),"",IF(F48&lt;'Sheet1-指标体系'!$J$15,"",IF(F48&lt;'Sheet1-指标体系'!$J$16,'Sheet1-指标体系'!$J$17,'Sheet1-指标体系'!$J$18)))</x:f>
      </x:c>
      <x:c r="M48" s="47" t="str">
        <x:f>IF(ISNUMBER('Sheet4-原始数据'!G33),'Sheet4-原始数据'!G33,"")</x:f>
      </x:c>
      <x:c r="N48" s="47" t="str">
        <x:f>IF(ISNUMBER('Sheet4-原始数据'!H33),'Sheet4-原始数据'!H33,"")</x:f>
      </x:c>
      <x:c r="O48" s="47" t="str">
        <x:f>IF(ISNUMBER('Sheet5-查询核对'!Q33),'Sheet5-查询核对'!Q33,"")</x:f>
      </x:c>
      <x:c r="P48" s="44" t="str">
        <x:f>IF($G48&lt;&gt;"入池","",IF($F48&gt;='Sheet1-指标体系'!$J$16,IF(COUNT(M48,N48)&lt;&gt;2,"",IF(OR(1+M48&lt;=0,1+N48&lt;0),"",((1+N48)^'Sheet1-指标体系'!$J$16/(1+M48))^(1/('Sheet1-指标体系'!$J$16-'Sheet1-指标体系'!$J$15))-1)),IF(COUNT(M48,O48)&lt;&gt;2,"",IF(OR(F48&lt;='Sheet1-指标体系'!$J$15,1+M48&lt;=0,1+O48&lt;0),"",((1+O48)^F48/(1+M48))^(1/(F48-'Sheet1-指标体系'!$J$15))-1))))</x:f>
      </x:c>
      <x:c r="Q48" s="52" t="str">
        <x:f>IF(OR($G48&lt;&gt;"入池",NOT(ISNUMBER(M48))),"",IF(COUNTIFS($G$17:$G$99,"入池",$M$17:$M$99,"&gt;=-1E+307",$M$17:$M$99,"&lt;=1E+307")&lt;=1,'Sheet1-指标体系'!$J$18,ROUND('Sheet1-指标体系'!$J$18*(COUNTIFS($G$17:$G$99,"入池",$M$17:$M$99,"&gt;=-1E+307",$M$17:$M$99,"&lt;"&amp;M48)+COUNTIFS($G$17:$G$99,"入池",$M$17:$M$99,"&gt;=-1E+307",$M$17:$M$99,"&lt;=1E+307",$M$17:$M$99,M48)/2-0.5)/(COUNTIFS($G$17:$G$99,"入池",$M$17:$M$99,"&gt;=-1E+307",$M$17:$M$99,"&lt;=1E+307")-1),2)))</x:f>
      </x:c>
      <x:c r="R48" s="52" t="str">
        <x:f>IF(OR($G48&lt;&gt;"入池",NOT(ISNUMBER(P48))),"",IF(COUNTIFS($G$17:$G$99,"入池",$P$17:$P$99,"&gt;=-1E+307",$P$17:$P$99,"&lt;=1E+307")&lt;=1,'Sheet1-指标体系'!$J$18,ROUND('Sheet1-指标体系'!$J$18*(COUNTIFS($G$17:$G$99,"入池",$P$17:$P$99,"&gt;=-1E+307",$P$17:$P$99,"&lt;"&amp;P48)+COUNTIFS($G$17:$G$99,"入池",$P$17:$P$99,"&gt;=-1E+307",$P$17:$P$99,"&lt;=1E+307",$P$17:$P$99,P48)/2-0.5)/(COUNTIFS($G$17:$G$99,"入池",$P$17:$P$99,"&gt;=-1E+307",$P$17:$P$99,"&lt;=1E+307")-1),2)))</x:f>
      </x:c>
      <x:c r="S48" s="52" t="str">
        <x:f>IF(COUNT(Q48,R48)=0,"",ROUND((IF(ISNUMBER(Q48),Q48*'Sheet1-指标体系'!$G$7*'Sheet1-指标体系'!$J$8,0)+IF(ISNUMBER(R48),R48*'Sheet1-指标体系'!$G$7*'Sheet1-指标体系'!$J$9,0))/(IF(ISNUMBER(Q48),'Sheet1-指标体系'!$G$7*'Sheet1-指标体系'!$J$8,0)+IF(ISNUMBER(R48),'Sheet1-指标体系'!$G$7*'Sheet1-指标体系'!$J$9,0)),2))</x:f>
      </x:c>
      <x:c r="T48" s="47" t="str">
        <x:f>IF(ISNUMBER('Sheet4-原始数据'!J33),'Sheet4-原始数据'!J33,"")</x:f>
      </x:c>
      <x:c r="U48" s="47" t="str">
        <x:f>IF(ISNUMBER('Sheet4-原始数据'!I33),'Sheet4-原始数据'!I33,"")</x:f>
      </x:c>
      <x:c r="V48" s="44" t="str">
        <x:f>IF(COUNT(T48:U48)&lt;&gt;2,"",(U48*'Sheet1-指标体系'!$J$6-T48*'Sheet1-指标体系'!$J$5)/'Sheet1-指标体系'!$J$7)</x:f>
      </x:c>
      <x:c r="W48" s="52" t="str">
        <x:f>IF(NOT(ISNUMBER(T48)),"",T48*'Sheet1-指标体系'!$J$18)</x:f>
      </x:c>
      <x:c r="X48" s="52" t="str">
        <x:f>IF(G48&lt;&gt;"入池","",IF(ISNUMBER(V48),IF(AND(V48&gt;=0,V48&lt;=1),V48*'Sheet1-指标体系'!$J$18,IF(MAX(0,(F48-'Sheet1-指标体系'!$J$15)*'Sheet1-指标体系'!$J$20)&lt;'Sheet1-指标体系'!$J$19,'Sheet1-指标体系'!$J$18,"")),IF(MAX(0,(F48-'Sheet1-指标体系'!$J$15)*'Sheet1-指标体系'!$J$20)&lt;'Sheet1-指标体系'!$J$19,'Sheet1-指标体系'!$J$18,"")))</x:f>
      </x:c>
      <x:c r="Y48" s="52" t="str">
        <x:f>IF(NOT(ISNUMBER(W48)),"",IF(COUNT(W48,X48)=0,"",ROUND((IF(ISNUMBER(W48),W48*'Sheet1-指标体系'!$G$8*'Sheet1-指标体系'!$J$8,0)+IF(ISNUMBER(X48),X48*'Sheet1-指标体系'!$G$8*'Sheet1-指标体系'!$J$9,0))/(IF(ISNUMBER(W48),'Sheet1-指标体系'!$G$8*'Sheet1-指标体系'!$J$8,0)+IF(ISNUMBER(X48),'Sheet1-指标体系'!$G$8*'Sheet1-指标体系'!$J$9,0)),2)))</x:f>
      </x:c>
      <x:c r="Z48" s="44" t="str">
        <x:f>IF(COUNT(M48,AD48)&lt;&gt;2,"",IF(AD48=0,"",ABS(M48/AD48)))</x:f>
      </x:c>
      <x:c r="AA48" s="47" t="str">
        <x:f>IF(ISNUMBER('Sheet4-原始数据'!K33),'Sheet4-原始数据'!K33,"")</x:f>
      </x:c>
      <x:c r="AB48" s="44" t="str">
        <x:f>IF(COUNT(Z48:AA48)=0,"",MAX(Z48:AA48))</x:f>
      </x:c>
      <x:c r="AC48" s="52" t="str">
        <x:f>IF(OR($G48&lt;&gt;"入池",NOT(ISNUMBER(AB48))),"",IF(COUNTIFS($G$17:$G$99,"入池",$AB$17:$AB$99,"&gt;=-1E+307",$AB$17:$AB$99,"&lt;=1E+307")&lt;=1,'Sheet1-指标体系'!$J$18,ROUND('Sheet1-指标体系'!$J$18*(COUNTIFS($G$17:$G$99,"入池",$AB$17:$AB$99,"&lt;=1E+307",$AB$17:$AB$99,"&gt;"&amp;AB48)+COUNTIFS($G$17:$G$99,"入池",$AB$17:$AB$99,"&gt;=-1E+307",$AB$17:$AB$99,"&lt;=1E+307",$AB$17:$AB$99,AB48)/2-0.5)/(COUNTIFS($G$17:$G$99,"入池",$AB$17:$AB$99,"&gt;=-1E+307",$AB$17:$AB$99,"&lt;=1E+307")-1),2)))</x:f>
      </x:c>
      <x:c r="AD48" s="48" t="str">
        <x:f>IF(ISNUMBER('Sheet4-原始数据'!M33),'Sheet4-原始数据'!M33,"")</x:f>
      </x:c>
      <x:c r="AE48" s="44" t="str">
        <x:f>IF(COUNT(P48,AA48,Z48)&lt;&gt;3,"",IF(AA48&gt;Z48+'Sheet1-指标体系'!$J$11,AA48,""))</x:f>
      </x:c>
      <x:c r="AF48" s="52" t="str">
        <x:f>IF(COUNT(P48,AE48)&lt;&gt;2,"",IF(AE48=0,"",P48/AE48))</x:f>
      </x:c>
      <x:c r="AG48" s="52" t="str">
        <x:f>IF(OR($G48&lt;&gt;"入池",NOT(ISNUMBER(AD48))),"",IF(COUNTIFS($G$17:$G$99,"入池",$AD$17:$AD$99,"&gt;=-1E+307",$AD$17:$AD$99,"&lt;=1E+307")&lt;=1,'Sheet1-指标体系'!$J$18,ROUND('Sheet1-指标体系'!$J$18*(COUNTIFS($G$17:$G$99,"入池",$AD$17:$AD$99,"&gt;=-1E+307",$AD$17:$AD$99,"&lt;"&amp;AD48)+COUNTIFS($G$17:$G$99,"入池",$AD$17:$AD$99,"&gt;=-1E+307",$AD$17:$AD$99,"&lt;=1E+307",$AD$17:$AD$99,AD48)/2-0.5)/(COUNTIFS($G$17:$G$99,"入池",$AD$17:$AD$99,"&gt;=-1E+307",$AD$17:$AD$99,"&lt;=1E+307")-1),2)))</x:f>
      </x:c>
      <x:c r="AH48" s="52" t="str">
        <x:f>IF(OR($G48&lt;&gt;"入池",NOT(ISNUMBER(AF48))),"",IF(COUNTIFS($G$17:$G$99,"入池",$AF$17:$AF$99,"&gt;=-1E+307",$AF$17:$AF$99,"&lt;=1E+307")&lt;=1,'Sheet1-指标体系'!$J$18,ROUND('Sheet1-指标体系'!$J$18*(COUNTIFS($G$17:$G$99,"入池",$AF$17:$AF$99,"&gt;=-1E+307",$AF$17:$AF$99,"&lt;"&amp;AF48)+COUNTIFS($G$17:$G$99,"入池",$AF$17:$AF$99,"&gt;=-1E+307",$AF$17:$AF$99,"&lt;=1E+307",$AF$17:$AF$99,AF48)/2-0.5)/(COUNTIFS($G$17:$G$99,"入池",$AF$17:$AF$99,"&gt;=-1E+307",$AF$17:$AF$99,"&lt;=1E+307")-1),2)))</x:f>
      </x:c>
      <x:c r="AI48" s="52" t="str">
        <x:f>IF(COUNT(AG48,AH48)=0,"",ROUND((IF(ISNUMBER(AG48),AG48*'Sheet1-指标体系'!$G$10*'Sheet1-指标体系'!$J$8,0)+IF(ISNUMBER(AH48),AH48*'Sheet1-指标体系'!$G$10*'Sheet1-指标体系'!$J$9,0))/(IF(ISNUMBER(AG48),'Sheet1-指标体系'!$G$10*'Sheet1-指标体系'!$J$8,0)+IF(ISNUMBER(AH48),'Sheet1-指标体系'!$G$10*'Sheet1-指标体系'!$J$9,0)),2))</x:f>
      </x:c>
      <x:c r="AJ48" s="44" t="str">
        <x:f>IF(NOT(ISNUMBER(F48)),"",IF(F48&gt;='Sheet1-指标体系'!$J$16,IF(ISNUMBER(N48),N48,""),IF(ISNUMBER(O48),O48,"")))</x:f>
      </x:c>
      <x:c r="AK48" s="52" t="str">
        <x:f>IF(OR(G48&lt;&gt;"入池",COUNT(M48,AJ48)&lt;&gt;2),"",IF(M48&gt;=AJ48,'Sheet1-指标体系'!$J$18,IF(AJ48-M48&lt;'Sheet1-指标体系'!$J$10,'Sheet1-指标体系'!$J$22,'Sheet1-指标体系'!$J$23)))</x:f>
      </x:c>
      <x:c r="AL48" s="52" t="n">
        <x:f>IF(COUNT(I48,K48,L48)=0,"",ROUND((IF(ISNUMBER(I48),I48*'Sheet1-指标体系'!$G$4,0)+IF(ISNUMBER(K48),K48*'Sheet1-指标体系'!$G$5,0)+IF(ISNUMBER(L48),L48*'Sheet1-指标体系'!$G$6,0))/(IF(ISNUMBER(I48),'Sheet1-指标体系'!$G$4,0)+IF(ISNUMBER(K48),'Sheet1-指标体系'!$G$5,0)+IF(ISNUMBER(L48),'Sheet1-指标体系'!$G$6,0)),2))</x:f>
        <x:v>77.14</x:v>
      </x:c>
      <x:c r="AM48" s="52" t="str">
        <x:f>IF(COUNT(Q48,R48,W48,X48)=0,"",ROUND((IF(ISNUMBER(Q48),Q48*'Sheet1-指标体系'!$G$7*'Sheet1-指标体系'!$J$8,0)+IF(ISNUMBER(R48),R48*'Sheet1-指标体系'!$G$7*'Sheet1-指标体系'!$J$9,0)+IF(ISNUMBER(W48),W48*'Sheet1-指标体系'!$G$8*'Sheet1-指标体系'!$J$8,0)+IF(ISNUMBER(X48),X48*'Sheet1-指标体系'!$G$8*'Sheet1-指标体系'!$J$9,0))/(IF(ISNUMBER(Q48),'Sheet1-指标体系'!$G$7*'Sheet1-指标体系'!$J$8,0)+IF(ISNUMBER(R48),'Sheet1-指标体系'!$G$7*'Sheet1-指标体系'!$J$9,0)+IF(ISNUMBER(W48),'Sheet1-指标体系'!$G$8*'Sheet1-指标体系'!$J$8,0)+IF(ISNUMBER(X48),'Sheet1-指标体系'!$G$8*'Sheet1-指标体系'!$J$9,0)),2))</x:f>
      </x:c>
      <x:c r="AN48" s="52" t="str">
        <x:f>IF(ISNUMBER(AC48),AC48,"")</x:f>
      </x:c>
      <x:c r="AO48" s="52" t="str">
        <x:f>IF(COUNT(AG48,AH48)=0,"",ROUND((IF(ISNUMBER(AG48),AG48*'Sheet1-指标体系'!$G$10*'Sheet1-指标体系'!$J$8,0)+IF(ISNUMBER(AH48),AH48*'Sheet1-指标体系'!$G$10*'Sheet1-指标体系'!$J$9,0))/(IF(ISNUMBER(AG48),'Sheet1-指标体系'!$G$10*'Sheet1-指标体系'!$J$8,0)+IF(ISNUMBER(AH48),'Sheet1-指标体系'!$G$10*'Sheet1-指标体系'!$J$9,0)),2))</x:f>
      </x:c>
      <x:c r="AP48" s="52" t="str">
        <x:f>IF(ISNUMBER(AK48),AK48,"")</x:f>
      </x:c>
      <x:c r="AQ48" s="27" t="n">
        <x:f>IF(G48&lt;&gt;"入池",0,IF(ISNUMBER(I48),'Sheet1-指标体系'!$G$4,0)+IF(ISNUMBER(K48),'Sheet1-指标体系'!$G$5,0)+IF(ISNUMBER(L48),'Sheet1-指标体系'!$G$6,0)+IF(ISNUMBER(Q48),'Sheet1-指标体系'!$G$7*'Sheet1-指标体系'!$J$8,0)+IF(ISNUMBER(R48),'Sheet1-指标体系'!$G$7*'Sheet1-指标体系'!$J$9,0)+IF(ISNUMBER(W48),'Sheet1-指标体系'!$G$8*'Sheet1-指标体系'!$J$8,0)+IF(ISNUMBER(X48),'Sheet1-指标体系'!$G$8*'Sheet1-指标体系'!$J$9,0)+IF(ISNUMBER(AC48),'Sheet1-指标体系'!$G$9,0)+IF(ISNUMBER(AG48),'Sheet1-指标体系'!$G$10*'Sheet1-指标体系'!$J$8,0)+IF(ISNUMBER(AH48),'Sheet1-指标体系'!$G$10*'Sheet1-指标体系'!$J$9,0)+IF(ISNUMBER(AK48),'Sheet1-指标体系'!$G$11,0))</x:f>
        <x:v>0</x:v>
      </x:c>
      <x:c r="AR48" s="52" t="str">
        <x:f>IF(AQ48=0,"",IF(ISNUMBER(I48),I48*'Sheet1-指标体系'!$G$4,0)+IF(ISNUMBER(K48),K48*'Sheet1-指标体系'!$G$5,0)+IF(ISNUMBER(L48),L48*'Sheet1-指标体系'!$G$6,0)+IF(ISNUMBER(Q48),Q48*'Sheet1-指标体系'!$G$7*'Sheet1-指标体系'!$J$8,0)+IF(ISNUMBER(R48),R48*'Sheet1-指标体系'!$G$7*'Sheet1-指标体系'!$J$9,0)+IF(ISNUMBER(W48),W48*'Sheet1-指标体系'!$G$8*'Sheet1-指标体系'!$J$8,0)+IF(ISNUMBER(X48),X48*'Sheet1-指标体系'!$G$8*'Sheet1-指标体系'!$J$9,0)+IF(ISNUMBER(AC48),AC48*'Sheet1-指标体系'!$G$9,0)+IF(ISNUMBER(AG48),AG48*'Sheet1-指标体系'!$G$10*'Sheet1-指标体系'!$J$8,0)+IF(ISNUMBER(AH48),AH48*'Sheet1-指标体系'!$G$10*'Sheet1-指标体系'!$J$9,0)+IF(ISNUMBER(AK48),AK48*'Sheet1-指标体系'!$G$11,0))</x:f>
      </x:c>
      <x:c r="AS48" s="52" t="str">
        <x:f>IF(AQ48=0,"",ROUND(AR48/AQ48,2))</x:f>
      </x:c>
      <x:c r="AT48" s="49" t="str">
        <x:f>IF(OR(G48&lt;&gt;"入池",NOT(ISNUMBER(AS48))),"",COUNTIFS($G$17:$G$99,"入池",$AS$17:$AS$99,"&gt;"&amp;AS48)+COUNTIFS($G$17:$G$99,"入池",$AS$17:$AS$99,AS48,$AQ$17:$AQ$99,"&gt;"&amp;AQ48)+COUNTIFS($G$17:G48,"入池",$AS$17:AS48,AS48,$AQ$17:AQ48,AQ48))</x:f>
      </x:c>
      <x:c r="AU48" s="53" t="str">
        <x:f>IF(NOT(ISNUMBER(I48)),"管理人规模；","")&amp;IF(NOT(ISNUMBER(K48)),"产品规模标识；","")&amp;IF(NOT(ISNUMBER(M48)),"近一年收益；","")&amp;IF(NOT(ISNUMBER(T48)),"近一年胜率；","")&amp;IF(NOT(ISNUMBER(N48)),"近三年收益；","")&amp;IF(NOT(ISNUMBER(U48)),"近三年胜率；","")&amp;IF(NOT(ISNUMBER(AA48)),"近三年回撤；","")&amp;IF(NOT(ISNUMBER(AD48)),"近一年卡玛；","")&amp;IF(ISNUMBER(F48),IF(AND(F48&lt;'Sheet1-指标体系'!$J$16,NOT(ISNUMBER(O48))),"成立以来年化；",""),"成立日期；")&amp;IF(ISNUMBER(V48),IF(OR(V48&lt;0,V48&gt;1),"胜率窗口口径不一致；",""),"")&amp;IF(ISNUMBER(P48),IF(NOT(ISNUMBER(AE48)),"DD_long不可识别；",""),"")</x:f>
        <x:v>近一年收益；近一年胜率；近三年收益；近三年胜率；近三年回撤；近一年卡玛；成立以来年化；</x:v>
      </x:c>
      <x:c r="AV48" s="52" t="str">
        <x:f>IF(ROUND(AQ48,10)=ROUND('Sheet1-指标体系'!$J$25,10),AR48,"")</x:f>
      </x:c>
      <x:c r="AW48" s="14" t="str">
        <x:f>IF(G48&lt;&gt;"入池",G48,IF(AQ48=0,"无有效评分数据",IF(ROUND(AQ48,10)=ROUND('Sheet1-指标体系'!$J$25,10),"完整赋分", "暂定分／数据不完整")))</x:f>
        <x:v>不入池</x:v>
      </x:c>
      <x:c r="AX48" s="45" t="str">
        <x:f>IF('Sheet4-原始数据'!C33="","",'Sheet4-原始数据'!C33)</x:f>
        <x:v>套利策略</x:v>
      </x:c>
      <x:c r="AY48" s="45" t="str">
        <x:f>IF('Sheet4-原始数据'!D33="","",'Sheet4-原始数据'!D33)</x:f>
      </x:c>
      <x:c r="AZ48" s="45" t="str">
        <x:f>IF('Sheet5-查询核对'!S33="","",'Sheet5-查询核对'!S33)</x:f>
        <x:v>套利策略—其他</x:v>
      </x:c>
      <x:c r="BA48" s="51" t="n">
        <x:f>IF('Sheet5-查询核对'!A33="","",'Sheet5-查询核对'!A33)</x:f>
        <x:v>33</x:v>
      </x:c>
      <x:c r="BB48" s="45" t="str">
        <x:f>IF('Sheet5-查询核对'!F33="","",'Sheet5-查询核对'!F33)</x:f>
        <x:v>备案号匹配</x:v>
      </x:c>
      <x:c r="BC48" s="50" t="str">
        <x:f>IF('Sheet5-查询核对'!I33="","",'Sheet5-查询核对'!I33)</x:f>
        <x:v>https://mp.fof99.com/fund/view/fd609fddab73af1e</x:v>
      </x:c>
      <x:c r="BD48" s="46" t="n">
        <x:f>IF('Sheet5-查询核对'!H33="","",'Sheet5-查询核对'!H33)</x:f>
        <x:v>46269</x:v>
      </x:c>
      <x:c r="BE48" s="50" t="str">
        <x:f>IF('Sheet5-查询核对'!L33="","",'Sheet5-查询核对'!L33)</x:f>
        <x:v>https://mp.fof99.com/fund/view/fd609fddab73af1e</x:v>
      </x:c>
      <x:c r="BF48" s="46" t="n">
        <x:f>IF('Sheet5-查询核对'!M33="","",'Sheet5-查询核对'!M33)</x:f>
        <x:v>46275</x:v>
      </x:c>
      <x:c r="BG48" s="50" t="str">
        <x:f>IF('Sheet5-查询核对'!O33="","",'Sheet5-查询核对'!O33)</x:f>
        <x:v>https://gs.amac.org.cn/amac-infodisc/res/pof/fund/2602121726109819.html</x:v>
      </x:c>
      <x:c r="BH48" s="46" t="n">
        <x:f>IF('Sheet5-查询核对'!P33="","",'Sheet5-查询核对'!P33)</x:f>
        <x:v>46275</x:v>
      </x:c>
      <x:c r="BI48" s="45" t="str">
        <x:f>IF('Sheet5-查询核对'!D33="","",'Sheet5-查询核对'!D33)</x:f>
        <x:v>SBPY84</x:v>
      </x:c>
      <x:c r="BJ48" t="n">
        <x:f>IF(ISNUMBER(AT48),AT48,COUNT($AT$17:$AT$99)+ROWS($AT$17:AT48)-COUNT($AT$17:AT48))</x:f>
        <x:v>82</x:v>
      </x:c>
    </x:row>
    <x:row r="49" ht="44" customHeight="1">
      <x:c r="A49" s="49" t="n">
        <x:f>'Sheet5-查询核对'!A34-1</x:f>
        <x:v>33</x:v>
      </x:c>
      <x:c r="B49" s="50" t="str">
        <x:f>IF('Sheet4-原始数据'!A34="",'Sheet5-查询核对'!B34,'Sheet4-原始数据'!A34)</x:f>
        <x:v>量金灵瑞1号</x:v>
      </x:c>
      <x:c r="C49" s="45" t="str">
        <x:f>IF('Sheet4-原始数据'!B34="","",'Sheet4-原始数据'!B34)</x:f>
        <x:v>SAPV10</x:v>
      </x:c>
      <x:c r="D49" s="45" t="str">
        <x:f>IF('Sheet4-原始数据'!E34="","",'Sheet4-原始数据'!E34)</x:f>
        <x:v>上海坤灵</x:v>
      </x:c>
      <x:c r="E49" s="46" t="n">
        <x:f>IF('Sheet4-原始数据'!F34="","",'Sheet4-原始数据'!F34)</x:f>
        <x:v>45594</x:v>
      </x:c>
      <x:c r="F49" s="52" t="n">
        <x:f>IF(ISNUMBER(E49),ROUND(('Sheet1-指标体系'!$J$12-E49)/'Sheet1-指标体系'!$J$14,4),"")</x:f>
        <x:v>1.8645</x:v>
      </x:c>
      <x:c r="G49" s="14" t="str">
        <x:f>IF(C49="","未匹配",IF(NOT(ISNUMBER(F49)),"缺成立日期",IF(F49&lt;'Sheet1-指标体系'!$J$15,"不入池","入池")))</x:f>
        <x:v>入池</x:v>
      </x:c>
      <x:c r="H49" s="45" t="str">
        <x:f>IF('Sheet5-查询核对'!K34="","",'Sheet5-查询核对'!K34)</x:f>
        <x:v>20-50亿元</x:v>
      </x:c>
      <x:c r="I49" s="52" t="n">
        <x:f>IF(H49="","",IF(COUNTIF('Sheet1-指标体系'!$P$4:$P$10,H49)=0,"",INDEX('Sheet1-指标体系'!$Q$4:$Q$10,MATCH(H49,'Sheet1-指标体系'!$P$4:$P$10,0))))</x:f>
        <x:v>90</x:v>
      </x:c>
      <x:c r="J49" s="54" t="str">
        <x:f>IF(NOT(ISNUMBER('Sheet5-查询核对'!N34)),"",IF('Sheet5-查询核对'!N34=1,"低于"&amp;'Sheet1-指标体系'!$J$4&amp;"万元",IF('Sheet5-查询核对'!N34=0,"无低于"&amp;'Sheet1-指标体系'!$J$4&amp;"万元标识","")))</x:f>
        <x:v>无低于1000万元标识</x:v>
      </x:c>
      <x:c r="K49" s="52" t="n">
        <x:f>IF(NOT(ISNUMBER('Sheet5-查询核对'!N34)),"",IF('Sheet5-查询核对'!N34=1,'Sheet1-指标体系'!$J$21,IF('Sheet5-查询核对'!N34=0,'Sheet1-指标体系'!$J$18,"")))</x:f>
        <x:v>100</x:v>
      </x:c>
      <x:c r="L49" s="52" t="n">
        <x:f>IF(NOT(ISNUMBER(F49)),"",IF(F49&lt;'Sheet1-指标体系'!$J$15,"",IF(F49&lt;'Sheet1-指标体系'!$J$16,'Sheet1-指标体系'!$J$17,'Sheet1-指标体系'!$J$18)))</x:f>
        <x:v>70</x:v>
      </x:c>
      <x:c r="M49" s="47" t="str">
        <x:f>IF(ISNUMBER('Sheet4-原始数据'!G34),'Sheet4-原始数据'!G34,"")</x:f>
      </x:c>
      <x:c r="N49" s="47" t="str">
        <x:f>IF(ISNUMBER('Sheet4-原始数据'!H34),'Sheet4-原始数据'!H34,"")</x:f>
      </x:c>
      <x:c r="O49" s="47" t="str">
        <x:f>IF(ISNUMBER('Sheet5-查询核对'!Q34),'Sheet5-查询核对'!Q34,"")</x:f>
      </x:c>
      <x:c r="P49" s="44" t="str">
        <x:f>IF($G49&lt;&gt;"入池","",IF($F49&gt;='Sheet1-指标体系'!$J$16,IF(COUNT(M49,N49)&lt;&gt;2,"",IF(OR(1+M49&lt;=0,1+N49&lt;0),"",((1+N49)^'Sheet1-指标体系'!$J$16/(1+M49))^(1/('Sheet1-指标体系'!$J$16-'Sheet1-指标体系'!$J$15))-1)),IF(COUNT(M49,O49)&lt;&gt;2,"",IF(OR(F49&lt;='Sheet1-指标体系'!$J$15,1+M49&lt;=0,1+O49&lt;0),"",((1+O49)^F49/(1+M49))^(1/(F49-'Sheet1-指标体系'!$J$15))-1))))</x:f>
      </x:c>
      <x:c r="Q49" s="52" t="str">
        <x:f>IF(OR($G49&lt;&gt;"入池",NOT(ISNUMBER(M49))),"",IF(COUNTIFS($G$17:$G$99,"入池",$M$17:$M$99,"&gt;=-1E+307",$M$17:$M$99,"&lt;=1E+307")&lt;=1,'Sheet1-指标体系'!$J$18,ROUND('Sheet1-指标体系'!$J$18*(COUNTIFS($G$17:$G$99,"入池",$M$17:$M$99,"&gt;=-1E+307",$M$17:$M$99,"&lt;"&amp;M49)+COUNTIFS($G$17:$G$99,"入池",$M$17:$M$99,"&gt;=-1E+307",$M$17:$M$99,"&lt;=1E+307",$M$17:$M$99,M49)/2-0.5)/(COUNTIFS($G$17:$G$99,"入池",$M$17:$M$99,"&gt;=-1E+307",$M$17:$M$99,"&lt;=1E+307")-1),2)))</x:f>
      </x:c>
      <x:c r="R49" s="52" t="str">
        <x:f>IF(OR($G49&lt;&gt;"入池",NOT(ISNUMBER(P49))),"",IF(COUNTIFS($G$17:$G$99,"入池",$P$17:$P$99,"&gt;=-1E+307",$P$17:$P$99,"&lt;=1E+307")&lt;=1,'Sheet1-指标体系'!$J$18,ROUND('Sheet1-指标体系'!$J$18*(COUNTIFS($G$17:$G$99,"入池",$P$17:$P$99,"&gt;=-1E+307",$P$17:$P$99,"&lt;"&amp;P49)+COUNTIFS($G$17:$G$99,"入池",$P$17:$P$99,"&gt;=-1E+307",$P$17:$P$99,"&lt;=1E+307",$P$17:$P$99,P49)/2-0.5)/(COUNTIFS($G$17:$G$99,"入池",$P$17:$P$99,"&gt;=-1E+307",$P$17:$P$99,"&lt;=1E+307")-1),2)))</x:f>
      </x:c>
      <x:c r="S49" s="52" t="str">
        <x:f>IF(COUNT(Q49,R49)=0,"",ROUND((IF(ISNUMBER(Q49),Q49*'Sheet1-指标体系'!$G$7*'Sheet1-指标体系'!$J$8,0)+IF(ISNUMBER(R49),R49*'Sheet1-指标体系'!$G$7*'Sheet1-指标体系'!$J$9,0))/(IF(ISNUMBER(Q49),'Sheet1-指标体系'!$G$7*'Sheet1-指标体系'!$J$8,0)+IF(ISNUMBER(R49),'Sheet1-指标体系'!$G$7*'Sheet1-指标体系'!$J$9,0)),2))</x:f>
      </x:c>
      <x:c r="T49" s="47" t="str">
        <x:f>IF(ISNUMBER('Sheet4-原始数据'!J34),'Sheet4-原始数据'!J34,"")</x:f>
      </x:c>
      <x:c r="U49" s="47" t="str">
        <x:f>IF(ISNUMBER('Sheet4-原始数据'!I34),'Sheet4-原始数据'!I34,"")</x:f>
      </x:c>
      <x:c r="V49" s="44" t="str">
        <x:f>IF(COUNT(T49:U49)&lt;&gt;2,"",(U49*'Sheet1-指标体系'!$J$6-T49*'Sheet1-指标体系'!$J$5)/'Sheet1-指标体系'!$J$7)</x:f>
      </x:c>
      <x:c r="W49" s="52" t="str">
        <x:f>IF(NOT(ISNUMBER(T49)),"",T49*'Sheet1-指标体系'!$J$18)</x:f>
      </x:c>
      <x:c r="X49" s="52" t="str">
        <x:f>IF(G49&lt;&gt;"入池","",IF(ISNUMBER(V49),IF(AND(V49&gt;=0,V49&lt;=1),V49*'Sheet1-指标体系'!$J$18,IF(MAX(0,(F49-'Sheet1-指标体系'!$J$15)*'Sheet1-指标体系'!$J$20)&lt;'Sheet1-指标体系'!$J$19,'Sheet1-指标体系'!$J$18,"")),IF(MAX(0,(F49-'Sheet1-指标体系'!$J$15)*'Sheet1-指标体系'!$J$20)&lt;'Sheet1-指标体系'!$J$19,'Sheet1-指标体系'!$J$18,"")))</x:f>
      </x:c>
      <x:c r="Y49" s="52" t="str">
        <x:f>IF(NOT(ISNUMBER(W49)),"",IF(COUNT(W49,X49)=0,"",ROUND((IF(ISNUMBER(W49),W49*'Sheet1-指标体系'!$G$8*'Sheet1-指标体系'!$J$8,0)+IF(ISNUMBER(X49),X49*'Sheet1-指标体系'!$G$8*'Sheet1-指标体系'!$J$9,0))/(IF(ISNUMBER(W49),'Sheet1-指标体系'!$G$8*'Sheet1-指标体系'!$J$8,0)+IF(ISNUMBER(X49),'Sheet1-指标体系'!$G$8*'Sheet1-指标体系'!$J$9,0)),2)))</x:f>
      </x:c>
      <x:c r="Z49" s="44" t="str">
        <x:f>IF(COUNT(M49,AD49)&lt;&gt;2,"",IF(AD49=0,"",ABS(M49/AD49)))</x:f>
      </x:c>
      <x:c r="AA49" s="47" t="str">
        <x:f>IF(ISNUMBER('Sheet4-原始数据'!K34),'Sheet4-原始数据'!K34,"")</x:f>
      </x:c>
      <x:c r="AB49" s="44" t="str">
        <x:f>IF(COUNT(Z49:AA49)=0,"",MAX(Z49:AA49))</x:f>
      </x:c>
      <x:c r="AC49" s="52" t="str">
        <x:f>IF(OR($G49&lt;&gt;"入池",NOT(ISNUMBER(AB49))),"",IF(COUNTIFS($G$17:$G$99,"入池",$AB$17:$AB$99,"&gt;=-1E+307",$AB$17:$AB$99,"&lt;=1E+307")&lt;=1,'Sheet1-指标体系'!$J$18,ROUND('Sheet1-指标体系'!$J$18*(COUNTIFS($G$17:$G$99,"入池",$AB$17:$AB$99,"&lt;=1E+307",$AB$17:$AB$99,"&gt;"&amp;AB49)+COUNTIFS($G$17:$G$99,"入池",$AB$17:$AB$99,"&gt;=-1E+307",$AB$17:$AB$99,"&lt;=1E+307",$AB$17:$AB$99,AB49)/2-0.5)/(COUNTIFS($G$17:$G$99,"入池",$AB$17:$AB$99,"&gt;=-1E+307",$AB$17:$AB$99,"&lt;=1E+307")-1),2)))</x:f>
      </x:c>
      <x:c r="AD49" s="48" t="str">
        <x:f>IF(ISNUMBER('Sheet4-原始数据'!M34),'Sheet4-原始数据'!M34,"")</x:f>
      </x:c>
      <x:c r="AE49" s="44" t="str">
        <x:f>IF(COUNT(P49,AA49,Z49)&lt;&gt;3,"",IF(AA49&gt;Z49+'Sheet1-指标体系'!$J$11,AA49,""))</x:f>
      </x:c>
      <x:c r="AF49" s="52" t="str">
        <x:f>IF(COUNT(P49,AE49)&lt;&gt;2,"",IF(AE49=0,"",P49/AE49))</x:f>
      </x:c>
      <x:c r="AG49" s="52" t="str">
        <x:f>IF(OR($G49&lt;&gt;"入池",NOT(ISNUMBER(AD49))),"",IF(COUNTIFS($G$17:$G$99,"入池",$AD$17:$AD$99,"&gt;=-1E+307",$AD$17:$AD$99,"&lt;=1E+307")&lt;=1,'Sheet1-指标体系'!$J$18,ROUND('Sheet1-指标体系'!$J$18*(COUNTIFS($G$17:$G$99,"入池",$AD$17:$AD$99,"&gt;=-1E+307",$AD$17:$AD$99,"&lt;"&amp;AD49)+COUNTIFS($G$17:$G$99,"入池",$AD$17:$AD$99,"&gt;=-1E+307",$AD$17:$AD$99,"&lt;=1E+307",$AD$17:$AD$99,AD49)/2-0.5)/(COUNTIFS($G$17:$G$99,"入池",$AD$17:$AD$99,"&gt;=-1E+307",$AD$17:$AD$99,"&lt;=1E+307")-1),2)))</x:f>
      </x:c>
      <x:c r="AH49" s="52" t="str">
        <x:f>IF(OR($G49&lt;&gt;"入池",NOT(ISNUMBER(AF49))),"",IF(COUNTIFS($G$17:$G$99,"入池",$AF$17:$AF$99,"&gt;=-1E+307",$AF$17:$AF$99,"&lt;=1E+307")&lt;=1,'Sheet1-指标体系'!$J$18,ROUND('Sheet1-指标体系'!$J$18*(COUNTIFS($G$17:$G$99,"入池",$AF$17:$AF$99,"&gt;=-1E+307",$AF$17:$AF$99,"&lt;"&amp;AF49)+COUNTIFS($G$17:$G$99,"入池",$AF$17:$AF$99,"&gt;=-1E+307",$AF$17:$AF$99,"&lt;=1E+307",$AF$17:$AF$99,AF49)/2-0.5)/(COUNTIFS($G$17:$G$99,"入池",$AF$17:$AF$99,"&gt;=-1E+307",$AF$17:$AF$99,"&lt;=1E+307")-1),2)))</x:f>
      </x:c>
      <x:c r="AI49" s="52" t="str">
        <x:f>IF(COUNT(AG49,AH49)=0,"",ROUND((IF(ISNUMBER(AG49),AG49*'Sheet1-指标体系'!$G$10*'Sheet1-指标体系'!$J$8,0)+IF(ISNUMBER(AH49),AH49*'Sheet1-指标体系'!$G$10*'Sheet1-指标体系'!$J$9,0))/(IF(ISNUMBER(AG49),'Sheet1-指标体系'!$G$10*'Sheet1-指标体系'!$J$8,0)+IF(ISNUMBER(AH49),'Sheet1-指标体系'!$G$10*'Sheet1-指标体系'!$J$9,0)),2))</x:f>
      </x:c>
      <x:c r="AJ49" s="44" t="str">
        <x:f>IF(NOT(ISNUMBER(F49)),"",IF(F49&gt;='Sheet1-指标体系'!$J$16,IF(ISNUMBER(N49),N49,""),IF(ISNUMBER(O49),O49,"")))</x:f>
      </x:c>
      <x:c r="AK49" s="52" t="str">
        <x:f>IF(OR(G49&lt;&gt;"入池",COUNT(M49,AJ49)&lt;&gt;2),"",IF(M49&gt;=AJ49,'Sheet1-指标体系'!$J$18,IF(AJ49-M49&lt;'Sheet1-指标体系'!$J$10,'Sheet1-指标体系'!$J$22,'Sheet1-指标体系'!$J$23)))</x:f>
      </x:c>
      <x:c r="AL49" s="52" t="n">
        <x:f>IF(COUNT(I49,K49,L49)=0,"",ROUND((IF(ISNUMBER(I49),I49*'Sheet1-指标体系'!$G$4,0)+IF(ISNUMBER(K49),K49*'Sheet1-指标体系'!$G$5,0)+IF(ISNUMBER(L49),L49*'Sheet1-指标体系'!$G$6,0))/(IF(ISNUMBER(I49),'Sheet1-指标体系'!$G$4,0)+IF(ISNUMBER(K49),'Sheet1-指标体系'!$G$5,0)+IF(ISNUMBER(L49),'Sheet1-指标体系'!$G$6,0)),2))</x:f>
        <x:v>87</x:v>
      </x:c>
      <x:c r="AM49" s="52" t="str">
        <x:f>IF(COUNT(Q49,R49,W49,X49)=0,"",ROUND((IF(ISNUMBER(Q49),Q49*'Sheet1-指标体系'!$G$7*'Sheet1-指标体系'!$J$8,0)+IF(ISNUMBER(R49),R49*'Sheet1-指标体系'!$G$7*'Sheet1-指标体系'!$J$9,0)+IF(ISNUMBER(W49),W49*'Sheet1-指标体系'!$G$8*'Sheet1-指标体系'!$J$8,0)+IF(ISNUMBER(X49),X49*'Sheet1-指标体系'!$G$8*'Sheet1-指标体系'!$J$9,0))/(IF(ISNUMBER(Q49),'Sheet1-指标体系'!$G$7*'Sheet1-指标体系'!$J$8,0)+IF(ISNUMBER(R49),'Sheet1-指标体系'!$G$7*'Sheet1-指标体系'!$J$9,0)+IF(ISNUMBER(W49),'Sheet1-指标体系'!$G$8*'Sheet1-指标体系'!$J$8,0)+IF(ISNUMBER(X49),'Sheet1-指标体系'!$G$8*'Sheet1-指标体系'!$J$9,0)),2))</x:f>
      </x:c>
      <x:c r="AN49" s="52" t="str">
        <x:f>IF(ISNUMBER(AC49),AC49,"")</x:f>
      </x:c>
      <x:c r="AO49" s="52" t="str">
        <x:f>IF(COUNT(AG49,AH49)=0,"",ROUND((IF(ISNUMBER(AG49),AG49*'Sheet1-指标体系'!$G$10*'Sheet1-指标体系'!$J$8,0)+IF(ISNUMBER(AH49),AH49*'Sheet1-指标体系'!$G$10*'Sheet1-指标体系'!$J$9,0))/(IF(ISNUMBER(AG49),'Sheet1-指标体系'!$G$10*'Sheet1-指标体系'!$J$8,0)+IF(ISNUMBER(AH49),'Sheet1-指标体系'!$G$10*'Sheet1-指标体系'!$J$9,0)),2))</x:f>
      </x:c>
      <x:c r="AP49" s="52" t="str">
        <x:f>IF(ISNUMBER(AK49),AK49,"")</x:f>
      </x:c>
      <x:c r="AQ49" s="27" t="n">
        <x:f>IF(G49&lt;&gt;"入池",0,IF(ISNUMBER(I49),'Sheet1-指标体系'!$G$4,0)+IF(ISNUMBER(K49),'Sheet1-指标体系'!$G$5,0)+IF(ISNUMBER(L49),'Sheet1-指标体系'!$G$6,0)+IF(ISNUMBER(Q49),'Sheet1-指标体系'!$G$7*'Sheet1-指标体系'!$J$8,0)+IF(ISNUMBER(R49),'Sheet1-指标体系'!$G$7*'Sheet1-指标体系'!$J$9,0)+IF(ISNUMBER(W49),'Sheet1-指标体系'!$G$8*'Sheet1-指标体系'!$J$8,0)+IF(ISNUMBER(X49),'Sheet1-指标体系'!$G$8*'Sheet1-指标体系'!$J$9,0)+IF(ISNUMBER(AC49),'Sheet1-指标体系'!$G$9,0)+IF(ISNUMBER(AG49),'Sheet1-指标体系'!$G$10*'Sheet1-指标体系'!$J$8,0)+IF(ISNUMBER(AH49),'Sheet1-指标体系'!$G$10*'Sheet1-指标体系'!$J$9,0)+IF(ISNUMBER(AK49),'Sheet1-指标体系'!$G$11,0))</x:f>
        <x:v>0.15</x:v>
      </x:c>
      <x:c r="AR49" s="52" t="n">
        <x:f>IF(AQ49=0,"",IF(ISNUMBER(I49),I49*'Sheet1-指标体系'!$G$4,0)+IF(ISNUMBER(K49),K49*'Sheet1-指标体系'!$G$5,0)+IF(ISNUMBER(L49),L49*'Sheet1-指标体系'!$G$6,0)+IF(ISNUMBER(Q49),Q49*'Sheet1-指标体系'!$G$7*'Sheet1-指标体系'!$J$8,0)+IF(ISNUMBER(R49),R49*'Sheet1-指标体系'!$G$7*'Sheet1-指标体系'!$J$9,0)+IF(ISNUMBER(W49),W49*'Sheet1-指标体系'!$G$8*'Sheet1-指标体系'!$J$8,0)+IF(ISNUMBER(X49),X49*'Sheet1-指标体系'!$G$8*'Sheet1-指标体系'!$J$9,0)+IF(ISNUMBER(AC49),AC49*'Sheet1-指标体系'!$G$9,0)+IF(ISNUMBER(AG49),AG49*'Sheet1-指标体系'!$G$10*'Sheet1-指标体系'!$J$8,0)+IF(ISNUMBER(AH49),AH49*'Sheet1-指标体系'!$G$10*'Sheet1-指标体系'!$J$9,0)+IF(ISNUMBER(AK49),AK49*'Sheet1-指标体系'!$G$11,0))</x:f>
        <x:v>13.049999999999999</x:v>
      </x:c>
      <x:c r="AS49" s="52" t="n">
        <x:f>IF(AQ49=0,"",ROUND(AR49/AQ49,2))</x:f>
        <x:v>87</x:v>
      </x:c>
      <x:c r="AT49" s="49" t="n">
        <x:f>IF(OR(G49&lt;&gt;"入池",NOT(ISNUMBER(AS49))),"",COUNTIFS($G$17:$G$99,"入池",$AS$17:$AS$99,"&gt;"&amp;AS49)+COUNTIFS($G$17:$G$99,"入池",$AS$17:$AS$99,AS49,$AQ$17:$AQ$99,"&gt;"&amp;AQ49)+COUNTIFS($G$17:G49,"入池",$AS$17:AS49,AS49,$AQ$17:AQ49,AQ49))</x:f>
        <x:v>11</x:v>
      </x:c>
      <x:c r="AU49" s="53" t="str">
        <x:f>IF(NOT(ISNUMBER(I49)),"管理人规模；","")&amp;IF(NOT(ISNUMBER(K49)),"产品规模标识；","")&amp;IF(NOT(ISNUMBER(M49)),"近一年收益；","")&amp;IF(NOT(ISNUMBER(T49)),"近一年胜率；","")&amp;IF(NOT(ISNUMBER(N49)),"近三年收益；","")&amp;IF(NOT(ISNUMBER(U49)),"近三年胜率；","")&amp;IF(NOT(ISNUMBER(AA49)),"近三年回撤；","")&amp;IF(NOT(ISNUMBER(AD49)),"近一年卡玛；","")&amp;IF(ISNUMBER(F49),IF(AND(F49&lt;'Sheet1-指标体系'!$J$16,NOT(ISNUMBER(O49))),"成立以来年化；",""),"成立日期；")&amp;IF(ISNUMBER(V49),IF(OR(V49&lt;0,V49&gt;1),"胜率窗口口径不一致；",""),"")&amp;IF(ISNUMBER(P49),IF(NOT(ISNUMBER(AE49)),"DD_long不可识别；",""),"")</x:f>
        <x:v>近一年收益；近一年胜率；近三年收益；近三年胜率；近三年回撤；近一年卡玛；成立以来年化；</x:v>
      </x:c>
      <x:c r="AV49" s="52" t="str">
        <x:f>IF(ROUND(AQ49,10)=ROUND('Sheet1-指标体系'!$J$25,10),AR49,"")</x:f>
      </x:c>
      <x:c r="AW49" s="14" t="str">
        <x:f>IF(G49&lt;&gt;"入池",G49,IF(AQ49=0,"无有效评分数据",IF(ROUND(AQ49,10)=ROUND('Sheet1-指标体系'!$J$25,10),"完整赋分", "暂定分／数据不完整")))</x:f>
        <x:v>暂定分／数据不完整</x:v>
      </x:c>
      <x:c r="AX49" s="45" t="str">
        <x:f>IF('Sheet4-原始数据'!C34="","",'Sheet4-原始数据'!C34)</x:f>
        <x:v>套利策略</x:v>
      </x:c>
      <x:c r="AY49" s="45" t="str">
        <x:f>IF('Sheet4-原始数据'!D34="","",'Sheet4-原始数据'!D34)</x:f>
        <x:v>期货套利</x:v>
      </x:c>
      <x:c r="AZ49" s="45" t="str">
        <x:f>IF('Sheet5-查询核对'!S34="","",'Sheet5-查询核对'!S34)</x:f>
        <x:v>套利策略—期货套利</x:v>
      </x:c>
      <x:c r="BA49" s="51" t="n">
        <x:f>IF('Sheet5-查询核对'!A34="","",'Sheet5-查询核对'!A34)</x:f>
        <x:v>34</x:v>
      </x:c>
      <x:c r="BB49" s="45" t="str">
        <x:f>IF('Sheet5-查询核对'!F34="","",'Sheet5-查询核对'!F34)</x:f>
        <x:v>备案号匹配</x:v>
      </x:c>
      <x:c r="BC49" s="50" t="str">
        <x:f>IF('Sheet5-查询核对'!I34="","",'Sheet5-查询核对'!I34)</x:f>
        <x:v>https://mp.fof99.com/fund/view/672dc1ead9cd9d03</x:v>
      </x:c>
      <x:c r="BD49" s="46" t="n">
        <x:f>IF('Sheet5-查询核对'!H34="","",'Sheet5-查询核对'!H34)</x:f>
        <x:v>46269</x:v>
      </x:c>
      <x:c r="BE49" s="50" t="str">
        <x:f>IF('Sheet5-查询核对'!L34="","",'Sheet5-查询核对'!L34)</x:f>
        <x:v>https://mp.fof99.com/fund/view/672dc1ead9cd9d03</x:v>
      </x:c>
      <x:c r="BF49" s="46" t="n">
        <x:f>IF('Sheet5-查询核对'!M34="","",'Sheet5-查询核对'!M34)</x:f>
        <x:v>46275</x:v>
      </x:c>
      <x:c r="BG49" s="50" t="str">
        <x:f>IF('Sheet5-查询核对'!O34="","",'Sheet5-查询核对'!O34)</x:f>
        <x:v>https://gs.amac.org.cn/amac-infodisc/res/pof/fund/2410291900103465.html</x:v>
      </x:c>
      <x:c r="BH49" s="46" t="n">
        <x:f>IF('Sheet5-查询核对'!P34="","",'Sheet5-查询核对'!P34)</x:f>
        <x:v>46275</x:v>
      </x:c>
      <x:c r="BI49" s="45" t="str">
        <x:f>IF('Sheet5-查询核对'!D34="","",'Sheet5-查询核对'!D34)</x:f>
        <x:v>SAPV10</x:v>
      </x:c>
      <x:c r="BJ49" t="n">
        <x:f>IF(ISNUMBER(AT49),AT49,COUNT($AT$17:$AT$99)+ROWS($AT$17:AT49)-COUNT($AT$17:AT49))</x:f>
        <x:v>11</x:v>
      </x:c>
    </x:row>
    <x:row r="50" ht="44" customHeight="1">
      <x:c r="A50" s="49" t="n">
        <x:f>'Sheet5-查询核对'!A35-1</x:f>
        <x:v>34</x:v>
      </x:c>
      <x:c r="B50" s="50" t="str">
        <x:f>IF('Sheet4-原始数据'!A35="",'Sheet5-查询核对'!B35,'Sheet4-原始数据'!A35)</x:f>
        <x:v>量客投资金选套利1号</x:v>
      </x:c>
      <x:c r="C50" s="45" t="str">
        <x:f>IF('Sheet4-原始数据'!B35="","",'Sheet4-原始数据'!B35)</x:f>
        <x:v>SNH457</x:v>
      </x:c>
      <x:c r="D50" s="45" t="str">
        <x:f>IF('Sheet4-原始数据'!E35="","",'Sheet4-原始数据'!E35)</x:f>
        <x:v>上海量客</x:v>
      </x:c>
      <x:c r="E50" s="46" t="n">
        <x:f>IF('Sheet4-原始数据'!F35="","",'Sheet4-原始数据'!F35)</x:f>
        <x:v>44196</x:v>
      </x:c>
      <x:c r="F50" s="52" t="n">
        <x:f>IF(ISNUMBER(E50),ROUND(('Sheet1-指标体系'!$J$12-E50)/'Sheet1-指标体系'!$J$14,4),"")</x:f>
        <x:v>5.692</x:v>
      </x:c>
      <x:c r="G50" s="14" t="str">
        <x:f>IF(C50="","未匹配",IF(NOT(ISNUMBER(F50)),"缺成立日期",IF(F50&lt;'Sheet1-指标体系'!$J$15,"不入池","入池")))</x:f>
        <x:v>入池</x:v>
      </x:c>
      <x:c r="H50" s="45" t="str">
        <x:f>IF('Sheet5-查询核对'!K35="","",'Sheet5-查询核对'!K35)</x:f>
        <x:v>50-100亿元</x:v>
      </x:c>
      <x:c r="I50" s="52" t="n">
        <x:f>IF(H50="","",IF(COUNTIF('Sheet1-指标体系'!$P$4:$P$10,H50)=0,"",INDEX('Sheet1-指标体系'!$Q$4:$Q$10,MATCH(H50,'Sheet1-指标体系'!$P$4:$P$10,0))))</x:f>
        <x:v>90</x:v>
      </x:c>
      <x:c r="J50" s="54" t="str">
        <x:f>IF(NOT(ISNUMBER('Sheet5-查询核对'!N35)),"",IF('Sheet5-查询核对'!N35=1,"低于"&amp;'Sheet1-指标体系'!$J$4&amp;"万元",IF('Sheet5-查询核对'!N35=0,"无低于"&amp;'Sheet1-指标体系'!$J$4&amp;"万元标识","")))</x:f>
        <x:v>无低于1000万元标识</x:v>
      </x:c>
      <x:c r="K50" s="52" t="n">
        <x:f>IF(NOT(ISNUMBER('Sheet5-查询核对'!N35)),"",IF('Sheet5-查询核对'!N35=1,'Sheet1-指标体系'!$J$21,IF('Sheet5-查询核对'!N35=0,'Sheet1-指标体系'!$J$18,"")))</x:f>
        <x:v>100</x:v>
      </x:c>
      <x:c r="L50" s="52" t="n">
        <x:f>IF(NOT(ISNUMBER(F50)),"",IF(F50&lt;'Sheet1-指标体系'!$J$15,"",IF(F50&lt;'Sheet1-指标体系'!$J$16,'Sheet1-指标体系'!$J$17,'Sheet1-指标体系'!$J$18)))</x:f>
        <x:v>100</x:v>
      </x:c>
      <x:c r="M50" s="47" t="str">
        <x:f>IF(ISNUMBER('Sheet4-原始数据'!G35),'Sheet4-原始数据'!G35,"")</x:f>
      </x:c>
      <x:c r="N50" s="47" t="str">
        <x:f>IF(ISNUMBER('Sheet4-原始数据'!H35),'Sheet4-原始数据'!H35,"")</x:f>
      </x:c>
      <x:c r="O50" s="47" t="str">
        <x:f>IF(ISNUMBER('Sheet5-查询核对'!Q35),'Sheet5-查询核对'!Q35,"")</x:f>
      </x:c>
      <x:c r="P50" s="44" t="str">
        <x:f>IF($G50&lt;&gt;"入池","",IF($F50&gt;='Sheet1-指标体系'!$J$16,IF(COUNT(M50,N50)&lt;&gt;2,"",IF(OR(1+M50&lt;=0,1+N50&lt;0),"",((1+N50)^'Sheet1-指标体系'!$J$16/(1+M50))^(1/('Sheet1-指标体系'!$J$16-'Sheet1-指标体系'!$J$15))-1)),IF(COUNT(M50,O50)&lt;&gt;2,"",IF(OR(F50&lt;='Sheet1-指标体系'!$J$15,1+M50&lt;=0,1+O50&lt;0),"",((1+O50)^F50/(1+M50))^(1/(F50-'Sheet1-指标体系'!$J$15))-1))))</x:f>
      </x:c>
      <x:c r="Q50" s="52" t="str">
        <x:f>IF(OR($G50&lt;&gt;"入池",NOT(ISNUMBER(M50))),"",IF(COUNTIFS($G$17:$G$99,"入池",$M$17:$M$99,"&gt;=-1E+307",$M$17:$M$99,"&lt;=1E+307")&lt;=1,'Sheet1-指标体系'!$J$18,ROUND('Sheet1-指标体系'!$J$18*(COUNTIFS($G$17:$G$99,"入池",$M$17:$M$99,"&gt;=-1E+307",$M$17:$M$99,"&lt;"&amp;M50)+COUNTIFS($G$17:$G$99,"入池",$M$17:$M$99,"&gt;=-1E+307",$M$17:$M$99,"&lt;=1E+307",$M$17:$M$99,M50)/2-0.5)/(COUNTIFS($G$17:$G$99,"入池",$M$17:$M$99,"&gt;=-1E+307",$M$17:$M$99,"&lt;=1E+307")-1),2)))</x:f>
      </x:c>
      <x:c r="R50" s="52" t="str">
        <x:f>IF(OR($G50&lt;&gt;"入池",NOT(ISNUMBER(P50))),"",IF(COUNTIFS($G$17:$G$99,"入池",$P$17:$P$99,"&gt;=-1E+307",$P$17:$P$99,"&lt;=1E+307")&lt;=1,'Sheet1-指标体系'!$J$18,ROUND('Sheet1-指标体系'!$J$18*(COUNTIFS($G$17:$G$99,"入池",$P$17:$P$99,"&gt;=-1E+307",$P$17:$P$99,"&lt;"&amp;P50)+COUNTIFS($G$17:$G$99,"入池",$P$17:$P$99,"&gt;=-1E+307",$P$17:$P$99,"&lt;=1E+307",$P$17:$P$99,P50)/2-0.5)/(COUNTIFS($G$17:$G$99,"入池",$P$17:$P$99,"&gt;=-1E+307",$P$17:$P$99,"&lt;=1E+307")-1),2)))</x:f>
      </x:c>
      <x:c r="S50" s="52" t="str">
        <x:f>IF(COUNT(Q50,R50)=0,"",ROUND((IF(ISNUMBER(Q50),Q50*'Sheet1-指标体系'!$G$7*'Sheet1-指标体系'!$J$8,0)+IF(ISNUMBER(R50),R50*'Sheet1-指标体系'!$G$7*'Sheet1-指标体系'!$J$9,0))/(IF(ISNUMBER(Q50),'Sheet1-指标体系'!$G$7*'Sheet1-指标体系'!$J$8,0)+IF(ISNUMBER(R50),'Sheet1-指标体系'!$G$7*'Sheet1-指标体系'!$J$9,0)),2))</x:f>
      </x:c>
      <x:c r="T50" s="47" t="str">
        <x:f>IF(ISNUMBER('Sheet4-原始数据'!J35),'Sheet4-原始数据'!J35,"")</x:f>
      </x:c>
      <x:c r="U50" s="47" t="str">
        <x:f>IF(ISNUMBER('Sheet4-原始数据'!I35),'Sheet4-原始数据'!I35,"")</x:f>
      </x:c>
      <x:c r="V50" s="44" t="str">
        <x:f>IF(COUNT(T50:U50)&lt;&gt;2,"",(U50*'Sheet1-指标体系'!$J$6-T50*'Sheet1-指标体系'!$J$5)/'Sheet1-指标体系'!$J$7)</x:f>
      </x:c>
      <x:c r="W50" s="52" t="str">
        <x:f>IF(NOT(ISNUMBER(T50)),"",T50*'Sheet1-指标体系'!$J$18)</x:f>
      </x:c>
      <x:c r="X50" s="52" t="str">
        <x:f>IF(G50&lt;&gt;"入池","",IF(ISNUMBER(V50),IF(AND(V50&gt;=0,V50&lt;=1),V50*'Sheet1-指标体系'!$J$18,IF(MAX(0,(F50-'Sheet1-指标体系'!$J$15)*'Sheet1-指标体系'!$J$20)&lt;'Sheet1-指标体系'!$J$19,'Sheet1-指标体系'!$J$18,"")),IF(MAX(0,(F50-'Sheet1-指标体系'!$J$15)*'Sheet1-指标体系'!$J$20)&lt;'Sheet1-指标体系'!$J$19,'Sheet1-指标体系'!$J$18,"")))</x:f>
      </x:c>
      <x:c r="Y50" s="52" t="str">
        <x:f>IF(NOT(ISNUMBER(W50)),"",IF(COUNT(W50,X50)=0,"",ROUND((IF(ISNUMBER(W50),W50*'Sheet1-指标体系'!$G$8*'Sheet1-指标体系'!$J$8,0)+IF(ISNUMBER(X50),X50*'Sheet1-指标体系'!$G$8*'Sheet1-指标体系'!$J$9,0))/(IF(ISNUMBER(W50),'Sheet1-指标体系'!$G$8*'Sheet1-指标体系'!$J$8,0)+IF(ISNUMBER(X50),'Sheet1-指标体系'!$G$8*'Sheet1-指标体系'!$J$9,0)),2)))</x:f>
      </x:c>
      <x:c r="Z50" s="44" t="str">
        <x:f>IF(COUNT(M50,AD50)&lt;&gt;2,"",IF(AD50=0,"",ABS(M50/AD50)))</x:f>
      </x:c>
      <x:c r="AA50" s="47" t="str">
        <x:f>IF(ISNUMBER('Sheet4-原始数据'!K35),'Sheet4-原始数据'!K35,"")</x:f>
      </x:c>
      <x:c r="AB50" s="44" t="str">
        <x:f>IF(COUNT(Z50:AA50)=0,"",MAX(Z50:AA50))</x:f>
      </x:c>
      <x:c r="AC50" s="52" t="str">
        <x:f>IF(OR($G50&lt;&gt;"入池",NOT(ISNUMBER(AB50))),"",IF(COUNTIFS($G$17:$G$99,"入池",$AB$17:$AB$99,"&gt;=-1E+307",$AB$17:$AB$99,"&lt;=1E+307")&lt;=1,'Sheet1-指标体系'!$J$18,ROUND('Sheet1-指标体系'!$J$18*(COUNTIFS($G$17:$G$99,"入池",$AB$17:$AB$99,"&lt;=1E+307",$AB$17:$AB$99,"&gt;"&amp;AB50)+COUNTIFS($G$17:$G$99,"入池",$AB$17:$AB$99,"&gt;=-1E+307",$AB$17:$AB$99,"&lt;=1E+307",$AB$17:$AB$99,AB50)/2-0.5)/(COUNTIFS($G$17:$G$99,"入池",$AB$17:$AB$99,"&gt;=-1E+307",$AB$17:$AB$99,"&lt;=1E+307")-1),2)))</x:f>
      </x:c>
      <x:c r="AD50" s="48" t="str">
        <x:f>IF(ISNUMBER('Sheet4-原始数据'!M35),'Sheet4-原始数据'!M35,"")</x:f>
      </x:c>
      <x:c r="AE50" s="44" t="str">
        <x:f>IF(COUNT(P50,AA50,Z50)&lt;&gt;3,"",IF(AA50&gt;Z50+'Sheet1-指标体系'!$J$11,AA50,""))</x:f>
      </x:c>
      <x:c r="AF50" s="52" t="str">
        <x:f>IF(COUNT(P50,AE50)&lt;&gt;2,"",IF(AE50=0,"",P50/AE50))</x:f>
      </x:c>
      <x:c r="AG50" s="52" t="str">
        <x:f>IF(OR($G50&lt;&gt;"入池",NOT(ISNUMBER(AD50))),"",IF(COUNTIFS($G$17:$G$99,"入池",$AD$17:$AD$99,"&gt;=-1E+307",$AD$17:$AD$99,"&lt;=1E+307")&lt;=1,'Sheet1-指标体系'!$J$18,ROUND('Sheet1-指标体系'!$J$18*(COUNTIFS($G$17:$G$99,"入池",$AD$17:$AD$99,"&gt;=-1E+307",$AD$17:$AD$99,"&lt;"&amp;AD50)+COUNTIFS($G$17:$G$99,"入池",$AD$17:$AD$99,"&gt;=-1E+307",$AD$17:$AD$99,"&lt;=1E+307",$AD$17:$AD$99,AD50)/2-0.5)/(COUNTIFS($G$17:$G$99,"入池",$AD$17:$AD$99,"&gt;=-1E+307",$AD$17:$AD$99,"&lt;=1E+307")-1),2)))</x:f>
      </x:c>
      <x:c r="AH50" s="52" t="str">
        <x:f>IF(OR($G50&lt;&gt;"入池",NOT(ISNUMBER(AF50))),"",IF(COUNTIFS($G$17:$G$99,"入池",$AF$17:$AF$99,"&gt;=-1E+307",$AF$17:$AF$99,"&lt;=1E+307")&lt;=1,'Sheet1-指标体系'!$J$18,ROUND('Sheet1-指标体系'!$J$18*(COUNTIFS($G$17:$G$99,"入池",$AF$17:$AF$99,"&gt;=-1E+307",$AF$17:$AF$99,"&lt;"&amp;AF50)+COUNTIFS($G$17:$G$99,"入池",$AF$17:$AF$99,"&gt;=-1E+307",$AF$17:$AF$99,"&lt;=1E+307",$AF$17:$AF$99,AF50)/2-0.5)/(COUNTIFS($G$17:$G$99,"入池",$AF$17:$AF$99,"&gt;=-1E+307",$AF$17:$AF$99,"&lt;=1E+307")-1),2)))</x:f>
      </x:c>
      <x:c r="AI50" s="52" t="str">
        <x:f>IF(COUNT(AG50,AH50)=0,"",ROUND((IF(ISNUMBER(AG50),AG50*'Sheet1-指标体系'!$G$10*'Sheet1-指标体系'!$J$8,0)+IF(ISNUMBER(AH50),AH50*'Sheet1-指标体系'!$G$10*'Sheet1-指标体系'!$J$9,0))/(IF(ISNUMBER(AG50),'Sheet1-指标体系'!$G$10*'Sheet1-指标体系'!$J$8,0)+IF(ISNUMBER(AH50),'Sheet1-指标体系'!$G$10*'Sheet1-指标体系'!$J$9,0)),2))</x:f>
      </x:c>
      <x:c r="AJ50" s="44" t="str">
        <x:f>IF(NOT(ISNUMBER(F50)),"",IF(F50&gt;='Sheet1-指标体系'!$J$16,IF(ISNUMBER(N50),N50,""),IF(ISNUMBER(O50),O50,"")))</x:f>
      </x:c>
      <x:c r="AK50" s="52" t="str">
        <x:f>IF(OR(G50&lt;&gt;"入池",COUNT(M50,AJ50)&lt;&gt;2),"",IF(M50&gt;=AJ50,'Sheet1-指标体系'!$J$18,IF(AJ50-M50&lt;'Sheet1-指标体系'!$J$10,'Sheet1-指标体系'!$J$22,'Sheet1-指标体系'!$J$23)))</x:f>
      </x:c>
      <x:c r="AL50" s="52" t="n">
        <x:f>IF(COUNT(I50,K50,L50)=0,"",ROUND((IF(ISNUMBER(I50),I50*'Sheet1-指标体系'!$G$4,0)+IF(ISNUMBER(K50),K50*'Sheet1-指标体系'!$G$5,0)+IF(ISNUMBER(L50),L50*'Sheet1-指标体系'!$G$6,0))/(IF(ISNUMBER(I50),'Sheet1-指标体系'!$G$4,0)+IF(ISNUMBER(K50),'Sheet1-指标体系'!$G$5,0)+IF(ISNUMBER(L50),'Sheet1-指标体系'!$G$6,0)),2))</x:f>
        <x:v>96</x:v>
      </x:c>
      <x:c r="AM50" s="52" t="str">
        <x:f>IF(COUNT(Q50,R50,W50,X50)=0,"",ROUND((IF(ISNUMBER(Q50),Q50*'Sheet1-指标体系'!$G$7*'Sheet1-指标体系'!$J$8,0)+IF(ISNUMBER(R50),R50*'Sheet1-指标体系'!$G$7*'Sheet1-指标体系'!$J$9,0)+IF(ISNUMBER(W50),W50*'Sheet1-指标体系'!$G$8*'Sheet1-指标体系'!$J$8,0)+IF(ISNUMBER(X50),X50*'Sheet1-指标体系'!$G$8*'Sheet1-指标体系'!$J$9,0))/(IF(ISNUMBER(Q50),'Sheet1-指标体系'!$G$7*'Sheet1-指标体系'!$J$8,0)+IF(ISNUMBER(R50),'Sheet1-指标体系'!$G$7*'Sheet1-指标体系'!$J$9,0)+IF(ISNUMBER(W50),'Sheet1-指标体系'!$G$8*'Sheet1-指标体系'!$J$8,0)+IF(ISNUMBER(X50),'Sheet1-指标体系'!$G$8*'Sheet1-指标体系'!$J$9,0)),2))</x:f>
      </x:c>
      <x:c r="AN50" s="52" t="str">
        <x:f>IF(ISNUMBER(AC50),AC50,"")</x:f>
      </x:c>
      <x:c r="AO50" s="52" t="str">
        <x:f>IF(COUNT(AG50,AH50)=0,"",ROUND((IF(ISNUMBER(AG50),AG50*'Sheet1-指标体系'!$G$10*'Sheet1-指标体系'!$J$8,0)+IF(ISNUMBER(AH50),AH50*'Sheet1-指标体系'!$G$10*'Sheet1-指标体系'!$J$9,0))/(IF(ISNUMBER(AG50),'Sheet1-指标体系'!$G$10*'Sheet1-指标体系'!$J$8,0)+IF(ISNUMBER(AH50),'Sheet1-指标体系'!$G$10*'Sheet1-指标体系'!$J$9,0)),2))</x:f>
      </x:c>
      <x:c r="AP50" s="52" t="str">
        <x:f>IF(ISNUMBER(AK50),AK50,"")</x:f>
      </x:c>
      <x:c r="AQ50" s="27" t="n">
        <x:f>IF(G50&lt;&gt;"入池",0,IF(ISNUMBER(I50),'Sheet1-指标体系'!$G$4,0)+IF(ISNUMBER(K50),'Sheet1-指标体系'!$G$5,0)+IF(ISNUMBER(L50),'Sheet1-指标体系'!$G$6,0)+IF(ISNUMBER(Q50),'Sheet1-指标体系'!$G$7*'Sheet1-指标体系'!$J$8,0)+IF(ISNUMBER(R50),'Sheet1-指标体系'!$G$7*'Sheet1-指标体系'!$J$9,0)+IF(ISNUMBER(W50),'Sheet1-指标体系'!$G$8*'Sheet1-指标体系'!$J$8,0)+IF(ISNUMBER(X50),'Sheet1-指标体系'!$G$8*'Sheet1-指标体系'!$J$9,0)+IF(ISNUMBER(AC50),'Sheet1-指标体系'!$G$9,0)+IF(ISNUMBER(AG50),'Sheet1-指标体系'!$G$10*'Sheet1-指标体系'!$J$8,0)+IF(ISNUMBER(AH50),'Sheet1-指标体系'!$G$10*'Sheet1-指标体系'!$J$9,0)+IF(ISNUMBER(AK50),'Sheet1-指标体系'!$G$11,0))</x:f>
        <x:v>0.15</x:v>
      </x:c>
      <x:c r="AR50" s="52" t="n">
        <x:f>IF(AQ50=0,"",IF(ISNUMBER(I50),I50*'Sheet1-指标体系'!$G$4,0)+IF(ISNUMBER(K50),K50*'Sheet1-指标体系'!$G$5,0)+IF(ISNUMBER(L50),L50*'Sheet1-指标体系'!$G$6,0)+IF(ISNUMBER(Q50),Q50*'Sheet1-指标体系'!$G$7*'Sheet1-指标体系'!$J$8,0)+IF(ISNUMBER(R50),R50*'Sheet1-指标体系'!$G$7*'Sheet1-指标体系'!$J$9,0)+IF(ISNUMBER(W50),W50*'Sheet1-指标体系'!$G$8*'Sheet1-指标体系'!$J$8,0)+IF(ISNUMBER(X50),X50*'Sheet1-指标体系'!$G$8*'Sheet1-指标体系'!$J$9,0)+IF(ISNUMBER(AC50),AC50*'Sheet1-指标体系'!$G$9,0)+IF(ISNUMBER(AG50),AG50*'Sheet1-指标体系'!$G$10*'Sheet1-指标体系'!$J$8,0)+IF(ISNUMBER(AH50),AH50*'Sheet1-指标体系'!$G$10*'Sheet1-指标体系'!$J$9,0)+IF(ISNUMBER(AK50),AK50*'Sheet1-指标体系'!$G$11,0))</x:f>
        <x:v>14.399999999999999</x:v>
      </x:c>
      <x:c r="AS50" s="52" t="n">
        <x:f>IF(AQ50=0,"",ROUND(AR50/AQ50,2))</x:f>
        <x:v>96</x:v>
      </x:c>
      <x:c r="AT50" s="49" t="n">
        <x:f>IF(OR(G50&lt;&gt;"入池",NOT(ISNUMBER(AS50))),"",COUNTIFS($G$17:$G$99,"入池",$AS$17:$AS$99,"&gt;"&amp;AS50)+COUNTIFS($G$17:$G$99,"入池",$AS$17:$AS$99,AS50,$AQ$17:$AQ$99,"&gt;"&amp;AQ50)+COUNTIFS($G$17:G50,"入池",$AS$17:AS50,AS50,$AQ$17:AQ50,AQ50))</x:f>
        <x:v>1</x:v>
      </x:c>
      <x:c r="AU50" s="53" t="str">
        <x:f>IF(NOT(ISNUMBER(I50)),"管理人规模；","")&amp;IF(NOT(ISNUMBER(K50)),"产品规模标识；","")&amp;IF(NOT(ISNUMBER(M50)),"近一年收益；","")&amp;IF(NOT(ISNUMBER(T50)),"近一年胜率；","")&amp;IF(NOT(ISNUMBER(N50)),"近三年收益；","")&amp;IF(NOT(ISNUMBER(U50)),"近三年胜率；","")&amp;IF(NOT(ISNUMBER(AA50)),"近三年回撤；","")&amp;IF(NOT(ISNUMBER(AD50)),"近一年卡玛；","")&amp;IF(ISNUMBER(F50),IF(AND(F50&lt;'Sheet1-指标体系'!$J$16,NOT(ISNUMBER(O50))),"成立以来年化；",""),"成立日期；")&amp;IF(ISNUMBER(V50),IF(OR(V50&lt;0,V50&gt;1),"胜率窗口口径不一致；",""),"")&amp;IF(ISNUMBER(P50),IF(NOT(ISNUMBER(AE50)),"DD_long不可识别；",""),"")</x:f>
        <x:v>近一年收益；近一年胜率；近三年收益；近三年胜率；近三年回撤；近一年卡玛；</x:v>
      </x:c>
      <x:c r="AV50" s="52" t="str">
        <x:f>IF(ROUND(AQ50,10)=ROUND('Sheet1-指标体系'!$J$25,10),AR50,"")</x:f>
      </x:c>
      <x:c r="AW50" s="14" t="str">
        <x:f>IF(G50&lt;&gt;"入池",G50,IF(AQ50=0,"无有效评分数据",IF(ROUND(AQ50,10)=ROUND('Sheet1-指标体系'!$J$25,10),"完整赋分", "暂定分／数据不完整")))</x:f>
        <x:v>暂定分／数据不完整</x:v>
      </x:c>
      <x:c r="AX50" s="45" t="str">
        <x:f>IF('Sheet4-原始数据'!C35="","",'Sheet4-原始数据'!C35)</x:f>
        <x:v>套利策略</x:v>
      </x:c>
      <x:c r="AY50" s="45" t="str">
        <x:f>IF('Sheet4-原始数据'!D35="","",'Sheet4-原始数据'!D35)</x:f>
        <x:v>期权套利</x:v>
      </x:c>
      <x:c r="AZ50" s="45" t="str">
        <x:f>IF('Sheet5-查询核对'!S35="","",'Sheet5-查询核对'!S35)</x:f>
        <x:v>套利策略—期权套利</x:v>
      </x:c>
      <x:c r="BA50" s="51" t="n">
        <x:f>IF('Sheet5-查询核对'!A35="","",'Sheet5-查询核对'!A35)</x:f>
        <x:v>35</x:v>
      </x:c>
      <x:c r="BB50" s="45" t="str">
        <x:f>IF('Sheet5-查询核对'!F35="","",'Sheet5-查询核对'!F35)</x:f>
        <x:v>备案号匹配</x:v>
      </x:c>
      <x:c r="BC50" s="50" t="str">
        <x:f>IF('Sheet5-查询核对'!I35="","",'Sheet5-查询核对'!I35)</x:f>
        <x:v>https://mp.fof99.com/fund/view/509478ab548cc2b3</x:v>
      </x:c>
      <x:c r="BD50" s="46" t="n">
        <x:f>IF('Sheet5-查询核对'!H35="","",'Sheet5-查询核对'!H35)</x:f>
        <x:v>46269</x:v>
      </x:c>
      <x:c r="BE50" s="50" t="str">
        <x:f>IF('Sheet5-查询核对'!L35="","",'Sheet5-查询核对'!L35)</x:f>
        <x:v>https://mp.fof99.com/fund/view/509478ab548cc2b3</x:v>
      </x:c>
      <x:c r="BF50" s="46" t="n">
        <x:f>IF('Sheet5-查询核对'!M35="","",'Sheet5-查询核对'!M35)</x:f>
        <x:v>46275</x:v>
      </x:c>
      <x:c r="BG50" s="50" t="str">
        <x:f>IF('Sheet5-查询核对'!O35="","",'Sheet5-查询核对'!O35)</x:f>
        <x:v>https://gs.amac.org.cn/amac-infodisc/res/pof/fund/2101061734111873.html</x:v>
      </x:c>
      <x:c r="BH50" s="46" t="n">
        <x:f>IF('Sheet5-查询核对'!P35="","",'Sheet5-查询核对'!P35)</x:f>
        <x:v>46275</x:v>
      </x:c>
      <x:c r="BI50" s="45" t="str">
        <x:f>IF('Sheet5-查询核对'!D35="","",'Sheet5-查询核对'!D35)</x:f>
        <x:v>SNH457</x:v>
      </x:c>
      <x:c r="BJ50" t="n">
        <x:f>IF(ISNUMBER(AT50),AT50,COUNT($AT$17:$AT$99)+ROWS($AT$17:AT50)-COUNT($AT$17:AT50))</x:f>
        <x:v>1</x:v>
      </x:c>
    </x:row>
    <x:row r="51" ht="44" customHeight="1">
      <x:c r="A51" s="49" t="n">
        <x:f>'Sheet5-查询核对'!A36-1</x:f>
        <x:v>35</x:v>
      </x:c>
      <x:c r="B51" s="50" t="str">
        <x:f>IF('Sheet4-原始数据'!A36="",'Sheet5-查询核对'!B36,'Sheet4-原始数据'!A36)</x:f>
        <x:v>龙帆恒盛稳固9号</x:v>
      </x:c>
      <x:c r="C51" s="45" t="str">
        <x:f>IF('Sheet4-原始数据'!B36="","",'Sheet4-原始数据'!B36)</x:f>
        <x:v>SSX605</x:v>
      </x:c>
      <x:c r="D51" s="45" t="str">
        <x:f>IF('Sheet4-原始数据'!E36="","",'Sheet4-原始数据'!E36)</x:f>
        <x:v>厦门龙帆资管</x:v>
      </x:c>
      <x:c r="E51" s="46" t="n">
        <x:f>IF('Sheet4-原始数据'!F36="","",'Sheet4-原始数据'!F36)</x:f>
        <x:v>44489</x:v>
      </x:c>
      <x:c r="F51" s="52" t="n">
        <x:f>IF(ISNUMBER(E51),ROUND(('Sheet1-指标体系'!$J$12-E51)/'Sheet1-指标体系'!$J$14,4),"")</x:f>
        <x:v>4.8898</x:v>
      </x:c>
      <x:c r="G51" s="14" t="str">
        <x:f>IF(C51="","未匹配",IF(NOT(ISNUMBER(F51)),"缺成立日期",IF(F51&lt;'Sheet1-指标体系'!$J$15,"不入池","入池")))</x:f>
        <x:v>入池</x:v>
      </x:c>
      <x:c r="H51" s="45" t="str">
        <x:f>IF('Sheet5-查询核对'!K36="","",'Sheet5-查询核对'!K36)</x:f>
        <x:v>5-10亿元</x:v>
      </x:c>
      <x:c r="I51" s="52" t="n">
        <x:f>IF(H51="","",IF(COUNTIF('Sheet1-指标体系'!$P$4:$P$10,H51)=0,"",INDEX('Sheet1-指标体系'!$Q$4:$Q$10,MATCH(H51,'Sheet1-指标体系'!$P$4:$P$10,0))))</x:f>
        <x:v>70</x:v>
      </x:c>
      <x:c r="J51" s="54" t="str">
        <x:f>IF(NOT(ISNUMBER('Sheet5-查询核对'!N36)),"",IF('Sheet5-查询核对'!N36=1,"低于"&amp;'Sheet1-指标体系'!$J$4&amp;"万元",IF('Sheet5-查询核对'!N36=0,"无低于"&amp;'Sheet1-指标体系'!$J$4&amp;"万元标识","")))</x:f>
        <x:v>无低于1000万元标识</x:v>
      </x:c>
      <x:c r="K51" s="52" t="n">
        <x:f>IF(NOT(ISNUMBER('Sheet5-查询核对'!N36)),"",IF('Sheet5-查询核对'!N36=1,'Sheet1-指标体系'!$J$21,IF('Sheet5-查询核对'!N36=0,'Sheet1-指标体系'!$J$18,"")))</x:f>
        <x:v>100</x:v>
      </x:c>
      <x:c r="L51" s="52" t="n">
        <x:f>IF(NOT(ISNUMBER(F51)),"",IF(F51&lt;'Sheet1-指标体系'!$J$15,"",IF(F51&lt;'Sheet1-指标体系'!$J$16,'Sheet1-指标体系'!$J$17,'Sheet1-指标体系'!$J$18)))</x:f>
        <x:v>100</x:v>
      </x:c>
      <x:c r="M51" s="47" t="n">
        <x:f>IF(ISNUMBER('Sheet4-原始数据'!G36),'Sheet4-原始数据'!G36,"")</x:f>
        <x:v>0.08689999999999999</x:v>
      </x:c>
      <x:c r="N51" s="47" t="n">
        <x:f>IF(ISNUMBER('Sheet4-原始数据'!H36),'Sheet4-原始数据'!H36,"")</x:f>
        <x:v>0.049800000000000004</x:v>
      </x:c>
      <x:c r="O51" s="47" t="n">
        <x:f>IF(ISNUMBER('Sheet5-查询核对'!Q36),'Sheet5-查询核对'!Q36,"")</x:f>
        <x:v>0.0697</x:v>
      </x:c>
      <x:c r="P51" s="44" t="n">
        <x:f>IF($G51&lt;&gt;"入池","",IF($F51&gt;='Sheet1-指标体系'!$J$16,IF(COUNT(M51,N51)&lt;&gt;2,"",IF(OR(1+M51&lt;=0,1+N51&lt;0),"",((1+N51)^'Sheet1-指标体系'!$J$16/(1+M51))^(1/('Sheet1-指标体系'!$J$16-'Sheet1-指标体系'!$J$15))-1)),IF(COUNT(M51,O51)&lt;&gt;2,"",IF(OR(F51&lt;='Sheet1-指标体系'!$J$15,1+M51&lt;=0,1+O51&lt;0),"",((1+O51)^F51/(1+M51))^(1/(F51-'Sheet1-指标体系'!$J$15))-1))))</x:f>
        <x:v>0.03172762293679643</x:v>
      </x:c>
      <x:c r="Q51" s="52" t="n">
        <x:f>IF(OR($G51&lt;&gt;"入池",NOT(ISNUMBER(M51))),"",IF(COUNTIFS($G$17:$G$99,"入池",$M$17:$M$99,"&gt;=-1E+307",$M$17:$M$99,"&lt;=1E+307")&lt;=1,'Sheet1-指标体系'!$J$18,ROUND('Sheet1-指标体系'!$J$18*(COUNTIFS($G$17:$G$99,"入池",$M$17:$M$99,"&gt;=-1E+307",$M$17:$M$99,"&lt;"&amp;M51)+COUNTIFS($G$17:$G$99,"入池",$M$17:$M$99,"&gt;=-1E+307",$M$17:$M$99,"&lt;=1E+307",$M$17:$M$99,M51)/2-0.5)/(COUNTIFS($G$17:$G$99,"入池",$M$17:$M$99,"&gt;=-1E+307",$M$17:$M$99,"&lt;=1E+307")-1),2)))</x:f>
        <x:v>51.79</x:v>
      </x:c>
      <x:c r="R51" s="52" t="n">
        <x:f>IF(OR($G51&lt;&gt;"入池",NOT(ISNUMBER(P51))),"",IF(COUNTIFS($G$17:$G$99,"入池",$P$17:$P$99,"&gt;=-1E+307",$P$17:$P$99,"&lt;=1E+307")&lt;=1,'Sheet1-指标体系'!$J$18,ROUND('Sheet1-指标体系'!$J$18*(COUNTIFS($G$17:$G$99,"入池",$P$17:$P$99,"&gt;=-1E+307",$P$17:$P$99,"&lt;"&amp;P51)+COUNTIFS($G$17:$G$99,"入池",$P$17:$P$99,"&gt;=-1E+307",$P$17:$P$99,"&lt;=1E+307",$P$17:$P$99,P51)/2-0.5)/(COUNTIFS($G$17:$G$99,"入池",$P$17:$P$99,"&gt;=-1E+307",$P$17:$P$99,"&lt;=1E+307")-1),2)))</x:f>
        <x:v>7.41</x:v>
      </x:c>
      <x:c r="S51" s="52" t="n">
        <x:f>IF(COUNT(Q51,R51)=0,"",ROUND((IF(ISNUMBER(Q51),Q51*'Sheet1-指标体系'!$G$7*'Sheet1-指标体系'!$J$8,0)+IF(ISNUMBER(R51),R51*'Sheet1-指标体系'!$G$7*'Sheet1-指标体系'!$J$9,0))/(IF(ISNUMBER(Q51),'Sheet1-指标体系'!$G$7*'Sheet1-指标体系'!$J$8,0)+IF(ISNUMBER(R51),'Sheet1-指标体系'!$G$7*'Sheet1-指标体系'!$J$9,0)),2))</x:f>
        <x:v>34.04</x:v>
      </x:c>
      <x:c r="T51" s="47" t="n">
        <x:f>IF(ISNUMBER('Sheet4-原始数据'!J36),'Sheet4-原始数据'!J36,"")</x:f>
        <x:v>0.7692</x:v>
      </x:c>
      <x:c r="U51" s="47" t="n">
        <x:f>IF(ISNUMBER('Sheet4-原始数据'!I36),'Sheet4-原始数据'!I36,"")</x:f>
        <x:v>0.7297</x:v>
      </x:c>
      <x:c r="V51" s="44" t="n">
        <x:f>IF(COUNT(T51:U51)&lt;&gt;2,"",(U51*'Sheet1-指标体系'!$J$6-T51*'Sheet1-指标体系'!$J$5)/'Sheet1-指标体系'!$J$7)</x:f>
        <x:v>0.7083041666666666</x:v>
      </x:c>
      <x:c r="W51" s="52" t="n">
        <x:f>IF(NOT(ISNUMBER(T51)),"",T51*'Sheet1-指标体系'!$J$18)</x:f>
        <x:v>76.92</x:v>
      </x:c>
      <x:c r="X51" s="52" t="n">
        <x:f>IF(G51&lt;&gt;"入池","",IF(ISNUMBER(V51),IF(AND(V51&gt;=0,V51&lt;=1),V51*'Sheet1-指标体系'!$J$18,IF(MAX(0,(F51-'Sheet1-指标体系'!$J$15)*'Sheet1-指标体系'!$J$20)&lt;'Sheet1-指标体系'!$J$19,'Sheet1-指标体系'!$J$18,"")),IF(MAX(0,(F51-'Sheet1-指标体系'!$J$15)*'Sheet1-指标体系'!$J$20)&lt;'Sheet1-指标体系'!$J$19,'Sheet1-指标体系'!$J$18,"")))</x:f>
        <x:v>70.83041666666666</x:v>
      </x:c>
      <x:c r="Y51" s="52" t="n">
        <x:f>IF(NOT(ISNUMBER(W51)),"",IF(COUNT(W51,X51)=0,"",ROUND((IF(ISNUMBER(W51),W51*'Sheet1-指标体系'!$G$8*'Sheet1-指标体系'!$J$8,0)+IF(ISNUMBER(X51),X51*'Sheet1-指标体系'!$G$8*'Sheet1-指标体系'!$J$9,0))/(IF(ISNUMBER(W51),'Sheet1-指标体系'!$G$8*'Sheet1-指标体系'!$J$8,0)+IF(ISNUMBER(X51),'Sheet1-指标体系'!$G$8*'Sheet1-指标体系'!$J$9,0)),2)))</x:f>
        <x:v>74.48</x:v>
      </x:c>
      <x:c r="Z51" s="44" t="n">
        <x:f>IF(COUNT(M51,AD51)&lt;&gt;2,"",IF(AD51=0,"",ABS(M51/AD51)))</x:f>
        <x:v>0.004207519306655046</x:v>
      </x:c>
      <x:c r="AA51" s="47" t="n">
        <x:f>IF(ISNUMBER('Sheet4-原始数据'!K36),'Sheet4-原始数据'!K36,"")</x:f>
        <x:v>0.013000000000000001</x:v>
      </x:c>
      <x:c r="AB51" s="44" t="n">
        <x:f>IF(COUNT(Z51:AA51)=0,"",MAX(Z51:AA51))</x:f>
        <x:v>0.013000000000000001</x:v>
      </x:c>
      <x:c r="AC51" s="52" t="n">
        <x:f>IF(OR($G51&lt;&gt;"入池",NOT(ISNUMBER(AB51))),"",IF(COUNTIFS($G$17:$G$99,"入池",$AB$17:$AB$99,"&gt;=-1E+307",$AB$17:$AB$99,"&lt;=1E+307")&lt;=1,'Sheet1-指标体系'!$J$18,ROUND('Sheet1-指标体系'!$J$18*(COUNTIFS($G$17:$G$99,"入池",$AB$17:$AB$99,"&lt;=1E+307",$AB$17:$AB$99,"&gt;"&amp;AB51)+COUNTIFS($G$17:$G$99,"入池",$AB$17:$AB$99,"&gt;=-1E+307",$AB$17:$AB$99,"&lt;=1E+307",$AB$17:$AB$99,AB51)/2-0.5)/(COUNTIFS($G$17:$G$99,"入池",$AB$17:$AB$99,"&gt;=-1E+307",$AB$17:$AB$99,"&lt;=1E+307")-1),2)))</x:f>
        <x:v>68.97</x:v>
      </x:c>
      <x:c r="AD51" s="48" t="n">
        <x:f>IF(ISNUMBER('Sheet4-原始数据'!M36),'Sheet4-原始数据'!M36,"")</x:f>
        <x:v>20.6535</x:v>
      </x:c>
      <x:c r="AE51" s="44" t="n">
        <x:f>IF(COUNT(P51,AA51,Z51)&lt;&gt;3,"",IF(AA51&gt;Z51+'Sheet1-指标体系'!$J$11,AA51,""))</x:f>
        <x:v>0.013000000000000001</x:v>
      </x:c>
      <x:c r="AF51" s="52" t="n">
        <x:f>IF(COUNT(P51,AE51)&lt;&gt;2,"",IF(AE51=0,"",P51/AE51))</x:f>
        <x:v>2.4405863797535714</x:v>
      </x:c>
      <x:c r="AG51" s="52" t="n">
        <x:f>IF(OR($G51&lt;&gt;"入池",NOT(ISNUMBER(AD51))),"",IF(COUNTIFS($G$17:$G$99,"入池",$AD$17:$AD$99,"&gt;=-1E+307",$AD$17:$AD$99,"&lt;=1E+307")&lt;=1,'Sheet1-指标体系'!$J$18,ROUND('Sheet1-指标体系'!$J$18*(COUNTIFS($G$17:$G$99,"入池",$AD$17:$AD$99,"&gt;=-1E+307",$AD$17:$AD$99,"&lt;"&amp;AD51)+COUNTIFS($G$17:$G$99,"入池",$AD$17:$AD$99,"&gt;=-1E+307",$AD$17:$AD$99,"&lt;=1E+307",$AD$17:$AD$99,AD51)/2-0.5)/(COUNTIFS($G$17:$G$99,"入池",$AD$17:$AD$99,"&gt;=-1E+307",$AD$17:$AD$99,"&lt;=1E+307")-1),2)))</x:f>
        <x:v>81.82</x:v>
      </x:c>
      <x:c r="AH51" s="52" t="n">
        <x:f>IF(OR($G51&lt;&gt;"入池",NOT(ISNUMBER(AF51))),"",IF(COUNTIFS($G$17:$G$99,"入池",$AF$17:$AF$99,"&gt;=-1E+307",$AF$17:$AF$99,"&lt;=1E+307")&lt;=1,'Sheet1-指标体系'!$J$18,ROUND('Sheet1-指标体系'!$J$18*(COUNTIFS($G$17:$G$99,"入池",$AF$17:$AF$99,"&gt;=-1E+307",$AF$17:$AF$99,"&lt;"&amp;AF51)+COUNTIFS($G$17:$G$99,"入池",$AF$17:$AF$99,"&gt;=-1E+307",$AF$17:$AF$99,"&lt;=1E+307",$AF$17:$AF$99,AF51)/2-0.5)/(COUNTIFS($G$17:$G$99,"入池",$AF$17:$AF$99,"&gt;=-1E+307",$AF$17:$AF$99,"&lt;=1E+307")-1),2)))</x:f>
        <x:v>42.86</x:v>
      </x:c>
      <x:c r="AI51" s="52" t="n">
        <x:f>IF(COUNT(AG51,AH51)=0,"",ROUND((IF(ISNUMBER(AG51),AG51*'Sheet1-指标体系'!$G$10*'Sheet1-指标体系'!$J$8,0)+IF(ISNUMBER(AH51),AH51*'Sheet1-指标体系'!$G$10*'Sheet1-指标体系'!$J$9,0))/(IF(ISNUMBER(AG51),'Sheet1-指标体系'!$G$10*'Sheet1-指标体系'!$J$8,0)+IF(ISNUMBER(AH51),'Sheet1-指标体系'!$G$10*'Sheet1-指标体系'!$J$9,0)),2))</x:f>
        <x:v>66.24</x:v>
      </x:c>
      <x:c r="AJ51" s="44" t="n">
        <x:f>IF(NOT(ISNUMBER(F51)),"",IF(F51&gt;='Sheet1-指标体系'!$J$16,IF(ISNUMBER(N51),N51,""),IF(ISNUMBER(O51),O51,"")))</x:f>
        <x:v>0.049800000000000004</x:v>
      </x:c>
      <x:c r="AK51" s="52" t="n">
        <x:f>IF(OR(G51&lt;&gt;"入池",COUNT(M51,AJ51)&lt;&gt;2),"",IF(M51&gt;=AJ51,'Sheet1-指标体系'!$J$18,IF(AJ51-M51&lt;'Sheet1-指标体系'!$J$10,'Sheet1-指标体系'!$J$22,'Sheet1-指标体系'!$J$23)))</x:f>
        <x:v>100</x:v>
      </x:c>
      <x:c r="AL51" s="52" t="n">
        <x:f>IF(COUNT(I51,K51,L51)=0,"",ROUND((IF(ISNUMBER(I51),I51*'Sheet1-指标体系'!$G$4,0)+IF(ISNUMBER(K51),K51*'Sheet1-指标体系'!$G$5,0)+IF(ISNUMBER(L51),L51*'Sheet1-指标体系'!$G$6,0))/(IF(ISNUMBER(I51),'Sheet1-指标体系'!$G$4,0)+IF(ISNUMBER(K51),'Sheet1-指标体系'!$G$5,0)+IF(ISNUMBER(L51),'Sheet1-指标体系'!$G$6,0)),2))</x:f>
        <x:v>88</x:v>
      </x:c>
      <x:c r="AM51" s="52" t="n">
        <x:f>IF(COUNT(Q51,R51,W51,X51)=0,"",ROUND((IF(ISNUMBER(Q51),Q51*'Sheet1-指标体系'!$G$7*'Sheet1-指标体系'!$J$8,0)+IF(ISNUMBER(R51),R51*'Sheet1-指标体系'!$G$7*'Sheet1-指标体系'!$J$9,0)+IF(ISNUMBER(W51),W51*'Sheet1-指标体系'!$G$8*'Sheet1-指标体系'!$J$8,0)+IF(ISNUMBER(X51),X51*'Sheet1-指标体系'!$G$8*'Sheet1-指标体系'!$J$9,0))/(IF(ISNUMBER(Q51),'Sheet1-指标体系'!$G$7*'Sheet1-指标体系'!$J$8,0)+IF(ISNUMBER(R51),'Sheet1-指标体系'!$G$7*'Sheet1-指标体系'!$J$9,0)+IF(ISNUMBER(W51),'Sheet1-指标体系'!$G$8*'Sheet1-指标体系'!$J$8,0)+IF(ISNUMBER(X51),'Sheet1-指标体系'!$G$8*'Sheet1-指标体系'!$J$9,0)),2))</x:f>
        <x:v>46.17</x:v>
      </x:c>
      <x:c r="AN51" s="52" t="n">
        <x:f>IF(ISNUMBER(AC51),AC51,"")</x:f>
        <x:v>68.97</x:v>
      </x:c>
      <x:c r="AO51" s="52" t="n">
        <x:f>IF(COUNT(AG51,AH51)=0,"",ROUND((IF(ISNUMBER(AG51),AG51*'Sheet1-指标体系'!$G$10*'Sheet1-指标体系'!$J$8,0)+IF(ISNUMBER(AH51),AH51*'Sheet1-指标体系'!$G$10*'Sheet1-指标体系'!$J$9,0))/(IF(ISNUMBER(AG51),'Sheet1-指标体系'!$G$10*'Sheet1-指标体系'!$J$8,0)+IF(ISNUMBER(AH51),'Sheet1-指标体系'!$G$10*'Sheet1-指标体系'!$J$9,0)),2))</x:f>
        <x:v>66.24</x:v>
      </x:c>
      <x:c r="AP51" s="52" t="n">
        <x:f>IF(ISNUMBER(AK51),AK51,"")</x:f>
        <x:v>100</x:v>
      </x:c>
      <x:c r="AQ51" s="27" t="n">
        <x:f>IF(G51&lt;&gt;"入池",0,IF(ISNUMBER(I51),'Sheet1-指标体系'!$G$4,0)+IF(ISNUMBER(K51),'Sheet1-指标体系'!$G$5,0)+IF(ISNUMBER(L51),'Sheet1-指标体系'!$G$6,0)+IF(ISNUMBER(Q51),'Sheet1-指标体系'!$G$7*'Sheet1-指标体系'!$J$8,0)+IF(ISNUMBER(R51),'Sheet1-指标体系'!$G$7*'Sheet1-指标体系'!$J$9,0)+IF(ISNUMBER(W51),'Sheet1-指标体系'!$G$8*'Sheet1-指标体系'!$J$8,0)+IF(ISNUMBER(X51),'Sheet1-指标体系'!$G$8*'Sheet1-指标体系'!$J$9,0)+IF(ISNUMBER(AC51),'Sheet1-指标体系'!$G$9,0)+IF(ISNUMBER(AG51),'Sheet1-指标体系'!$G$10*'Sheet1-指标体系'!$J$8,0)+IF(ISNUMBER(AH51),'Sheet1-指标体系'!$G$10*'Sheet1-指标体系'!$J$9,0)+IF(ISNUMBER(AK51),'Sheet1-指标体系'!$G$11,0))</x:f>
        <x:v>1</x:v>
      </x:c>
      <x:c r="AR51" s="52" t="n">
        <x:f>IF(AQ51=0,"",IF(ISNUMBER(I51),I51*'Sheet1-指标体系'!$G$4,0)+IF(ISNUMBER(K51),K51*'Sheet1-指标体系'!$G$5,0)+IF(ISNUMBER(L51),L51*'Sheet1-指标体系'!$G$6,0)+IF(ISNUMBER(Q51),Q51*'Sheet1-指标体系'!$G$7*'Sheet1-指标体系'!$J$8,0)+IF(ISNUMBER(R51),R51*'Sheet1-指标体系'!$G$7*'Sheet1-指标体系'!$J$9,0)+IF(ISNUMBER(W51),W51*'Sheet1-指标体系'!$G$8*'Sheet1-指标体系'!$J$8,0)+IF(ISNUMBER(X51),X51*'Sheet1-指标体系'!$G$8*'Sheet1-指标体系'!$J$9,0)+IF(ISNUMBER(AC51),AC51*'Sheet1-指标体系'!$G$9,0)+IF(ISNUMBER(AG51),AG51*'Sheet1-指标体系'!$G$10*'Sheet1-指标体系'!$J$8,0)+IF(ISNUMBER(AH51),AH51*'Sheet1-指标体系'!$G$10*'Sheet1-指标体系'!$J$9,0)+IF(ISNUMBER(AK51),AK51*'Sheet1-指标体系'!$G$11,0))</x:f>
        <x:v>69.54766999999998</x:v>
      </x:c>
      <x:c r="AS51" s="52" t="n">
        <x:f>IF(AQ51=0,"",ROUND(AR51/AQ51,2))</x:f>
        <x:v>69.55</x:v>
      </x:c>
      <x:c r="AT51" s="49" t="n">
        <x:f>IF(OR(G51&lt;&gt;"入池",NOT(ISNUMBER(AS51))),"",COUNTIFS($G$17:$G$99,"入池",$AS$17:$AS$99,"&gt;"&amp;AS51)+COUNTIFS($G$17:$G$99,"入池",$AS$17:$AS$99,AS51,$AQ$17:$AQ$99,"&gt;"&amp;AQ51)+COUNTIFS($G$17:G51,"入池",$AS$17:AS51,AS51,$AQ$17:AQ51,AQ51))</x:f>
        <x:v>41</x:v>
      </x:c>
      <x:c r="AU51" s="53" t="str">
        <x:f>IF(NOT(ISNUMBER(I51)),"管理人规模；","")&amp;IF(NOT(ISNUMBER(K51)),"产品规模标识；","")&amp;IF(NOT(ISNUMBER(M51)),"近一年收益；","")&amp;IF(NOT(ISNUMBER(T51)),"近一年胜率；","")&amp;IF(NOT(ISNUMBER(N51)),"近三年收益；","")&amp;IF(NOT(ISNUMBER(U51)),"近三年胜率；","")&amp;IF(NOT(ISNUMBER(AA51)),"近三年回撤；","")&amp;IF(NOT(ISNUMBER(AD51)),"近一年卡玛；","")&amp;IF(ISNUMBER(F51),IF(AND(F51&lt;'Sheet1-指标体系'!$J$16,NOT(ISNUMBER(O51))),"成立以来年化；",""),"成立日期；")&amp;IF(ISNUMBER(V51),IF(OR(V51&lt;0,V51&gt;1),"胜率窗口口径不一致；",""),"")&amp;IF(ISNUMBER(P51),IF(NOT(ISNUMBER(AE51)),"DD_long不可识别；",""),"")</x:f>
      </x:c>
      <x:c r="AV51" s="52" t="n">
        <x:f>IF(ROUND(AQ51,10)=ROUND('Sheet1-指标体系'!$J$25,10),AR51,"")</x:f>
        <x:v>69.54766999999998</x:v>
      </x:c>
      <x:c r="AW51" s="14" t="str">
        <x:f>IF(G51&lt;&gt;"入池",G51,IF(AQ51=0,"无有效评分数据",IF(ROUND(AQ51,10)=ROUND('Sheet1-指标体系'!$J$25,10),"完整赋分", "暂定分／数据不完整")))</x:f>
        <x:v>完整赋分</x:v>
      </x:c>
      <x:c r="AX51" s="45" t="str">
        <x:f>IF('Sheet4-原始数据'!C36="","",'Sheet4-原始数据'!C36)</x:f>
        <x:v>套利策略</x:v>
      </x:c>
      <x:c r="AY51" s="45" t="str">
        <x:f>IF('Sheet4-原始数据'!D36="","",'Sheet4-原始数据'!D36)</x:f>
        <x:v>期货套利</x:v>
      </x:c>
      <x:c r="AZ51" s="45" t="str">
        <x:f>IF('Sheet5-查询核对'!S36="","",'Sheet5-查询核对'!S36)</x:f>
        <x:v>套利策略—期货套利</x:v>
      </x:c>
      <x:c r="BA51" s="51" t="n">
        <x:f>IF('Sheet5-查询核对'!A36="","",'Sheet5-查询核对'!A36)</x:f>
        <x:v>36</x:v>
      </x:c>
      <x:c r="BB51" s="45" t="str">
        <x:f>IF('Sheet5-查询核对'!F36="","",'Sheet5-查询核对'!F36)</x:f>
        <x:v>备案号匹配</x:v>
      </x:c>
      <x:c r="BC51" s="50" t="str">
        <x:f>IF('Sheet5-查询核对'!I36="","",'Sheet5-查询核对'!I36)</x:f>
        <x:v>https://mp.fof99.com/fund/view/3ccbf07c4d4ac642</x:v>
      </x:c>
      <x:c r="BD51" s="46" t="n">
        <x:f>IF('Sheet5-查询核对'!H36="","",'Sheet5-查询核对'!H36)</x:f>
        <x:v>46269</x:v>
      </x:c>
      <x:c r="BE51" s="50" t="str">
        <x:f>IF('Sheet5-查询核对'!L36="","",'Sheet5-查询核对'!L36)</x:f>
        <x:v>https://mp.fof99.com/fund/view/3ccbf07c4d4ac642</x:v>
      </x:c>
      <x:c r="BF51" s="46" t="n">
        <x:f>IF('Sheet5-查询核对'!M36="","",'Sheet5-查询核对'!M36)</x:f>
        <x:v>46275</x:v>
      </x:c>
      <x:c r="BG51" s="50" t="str">
        <x:f>IF('Sheet5-查询核对'!O36="","",'Sheet5-查询核对'!O36)</x:f>
        <x:v>https://gs.amac.org.cn/amac-infodisc/res/pof/fund/2110191748104317.html</x:v>
      </x:c>
      <x:c r="BH51" s="46" t="n">
        <x:f>IF('Sheet5-查询核对'!P36="","",'Sheet5-查询核对'!P36)</x:f>
        <x:v>46275</x:v>
      </x:c>
      <x:c r="BI51" s="45" t="str">
        <x:f>IF('Sheet5-查询核对'!D36="","",'Sheet5-查询核对'!D36)</x:f>
        <x:v>SSX605</x:v>
      </x:c>
      <x:c r="BJ51" t="n">
        <x:f>IF(ISNUMBER(AT51),AT51,COUNT($AT$17:$AT$99)+ROWS($AT$17:AT51)-COUNT($AT$17:AT51))</x:f>
        <x:v>41</x:v>
      </x:c>
    </x:row>
    <x:row r="52" ht="44" customHeight="1">
      <x:c r="A52" s="49" t="n">
        <x:f>'Sheet5-查询核对'!A37-1</x:f>
        <x:v>36</x:v>
      </x:c>
      <x:c r="B52" s="50" t="str">
        <x:f>IF('Sheet4-原始数据'!A37="",'Sheet5-查询核对'!B37,'Sheet4-原始数据'!A37)</x:f>
        <x:v>龙壹盛善时1号</x:v>
      </x:c>
      <x:c r="C52" s="45" t="str">
        <x:f>IF('Sheet4-原始数据'!B37="","",'Sheet4-原始数据'!B37)</x:f>
        <x:v>SB1261</x:v>
      </x:c>
      <x:c r="D52" s="45" t="str">
        <x:f>IF('Sheet4-原始数据'!E37="","",'Sheet4-原始数据'!E37)</x:f>
        <x:v>杭州龙壹盛</x:v>
      </x:c>
      <x:c r="E52" s="46" t="n">
        <x:f>IF('Sheet4-原始数据'!F37="","",'Sheet4-原始数据'!F37)</x:f>
        <x:v>45096</x:v>
      </x:c>
      <x:c r="F52" s="52" t="n">
        <x:f>IF(ISNUMBER(E52),ROUND(('Sheet1-指标体系'!$J$12-E52)/'Sheet1-指标体系'!$J$14,4),"")</x:f>
        <x:v>3.2279</x:v>
      </x:c>
      <x:c r="G52" s="14" t="str">
        <x:f>IF(C52="","未匹配",IF(NOT(ISNUMBER(F52)),"缺成立日期",IF(F52&lt;'Sheet1-指标体系'!$J$15,"不入池","入池")))</x:f>
        <x:v>入池</x:v>
      </x:c>
      <x:c r="H52" s="45" t="str">
        <x:f>IF('Sheet5-查询核对'!K37="","",'Sheet5-查询核对'!K37)</x:f>
        <x:v>10-20亿元</x:v>
      </x:c>
      <x:c r="I52" s="52" t="n">
        <x:f>IF(H52="","",IF(COUNTIF('Sheet1-指标体系'!$P$4:$P$10,H52)=0,"",INDEX('Sheet1-指标体系'!$Q$4:$Q$10,MATCH(H52,'Sheet1-指标体系'!$P$4:$P$10,0))))</x:f>
        <x:v>80</x:v>
      </x:c>
      <x:c r="J52" s="54" t="str">
        <x:f>IF(NOT(ISNUMBER('Sheet5-查询核对'!N37)),"",IF('Sheet5-查询核对'!N37=1,"低于"&amp;'Sheet1-指标体系'!$J$4&amp;"万元",IF('Sheet5-查询核对'!N37=0,"无低于"&amp;'Sheet1-指标体系'!$J$4&amp;"万元标识","")))</x:f>
        <x:v>无低于1000万元标识</x:v>
      </x:c>
      <x:c r="K52" s="52" t="n">
        <x:f>IF(NOT(ISNUMBER('Sheet5-查询核对'!N37)),"",IF('Sheet5-查询核对'!N37=1,'Sheet1-指标体系'!$J$21,IF('Sheet5-查询核对'!N37=0,'Sheet1-指标体系'!$J$18,"")))</x:f>
        <x:v>100</x:v>
      </x:c>
      <x:c r="L52" s="52" t="n">
        <x:f>IF(NOT(ISNUMBER(F52)),"",IF(F52&lt;'Sheet1-指标体系'!$J$15,"",IF(F52&lt;'Sheet1-指标体系'!$J$16,'Sheet1-指标体系'!$J$17,'Sheet1-指标体系'!$J$18)))</x:f>
        <x:v>100</x:v>
      </x:c>
      <x:c r="M52" s="47" t="str">
        <x:f>IF(ISNUMBER('Sheet4-原始数据'!G37),'Sheet4-原始数据'!G37,"")</x:f>
      </x:c>
      <x:c r="N52" s="47" t="str">
        <x:f>IF(ISNUMBER('Sheet4-原始数据'!H37),'Sheet4-原始数据'!H37,"")</x:f>
      </x:c>
      <x:c r="O52" s="47" t="str">
        <x:f>IF(ISNUMBER('Sheet5-查询核对'!Q37),'Sheet5-查询核对'!Q37,"")</x:f>
      </x:c>
      <x:c r="P52" s="44" t="str">
        <x:f>IF($G52&lt;&gt;"入池","",IF($F52&gt;='Sheet1-指标体系'!$J$16,IF(COUNT(M52,N52)&lt;&gt;2,"",IF(OR(1+M52&lt;=0,1+N52&lt;0),"",((1+N52)^'Sheet1-指标体系'!$J$16/(1+M52))^(1/('Sheet1-指标体系'!$J$16-'Sheet1-指标体系'!$J$15))-1)),IF(COUNT(M52,O52)&lt;&gt;2,"",IF(OR(F52&lt;='Sheet1-指标体系'!$J$15,1+M52&lt;=0,1+O52&lt;0),"",((1+O52)^F52/(1+M52))^(1/(F52-'Sheet1-指标体系'!$J$15))-1))))</x:f>
      </x:c>
      <x:c r="Q52" s="52" t="str">
        <x:f>IF(OR($G52&lt;&gt;"入池",NOT(ISNUMBER(M52))),"",IF(COUNTIFS($G$17:$G$99,"入池",$M$17:$M$99,"&gt;=-1E+307",$M$17:$M$99,"&lt;=1E+307")&lt;=1,'Sheet1-指标体系'!$J$18,ROUND('Sheet1-指标体系'!$J$18*(COUNTIFS($G$17:$G$99,"入池",$M$17:$M$99,"&gt;=-1E+307",$M$17:$M$99,"&lt;"&amp;M52)+COUNTIFS($G$17:$G$99,"入池",$M$17:$M$99,"&gt;=-1E+307",$M$17:$M$99,"&lt;=1E+307",$M$17:$M$99,M52)/2-0.5)/(COUNTIFS($G$17:$G$99,"入池",$M$17:$M$99,"&gt;=-1E+307",$M$17:$M$99,"&lt;=1E+307")-1),2)))</x:f>
      </x:c>
      <x:c r="R52" s="52" t="str">
        <x:f>IF(OR($G52&lt;&gt;"入池",NOT(ISNUMBER(P52))),"",IF(COUNTIFS($G$17:$G$99,"入池",$P$17:$P$99,"&gt;=-1E+307",$P$17:$P$99,"&lt;=1E+307")&lt;=1,'Sheet1-指标体系'!$J$18,ROUND('Sheet1-指标体系'!$J$18*(COUNTIFS($G$17:$G$99,"入池",$P$17:$P$99,"&gt;=-1E+307",$P$17:$P$99,"&lt;"&amp;P52)+COUNTIFS($G$17:$G$99,"入池",$P$17:$P$99,"&gt;=-1E+307",$P$17:$P$99,"&lt;=1E+307",$P$17:$P$99,P52)/2-0.5)/(COUNTIFS($G$17:$G$99,"入池",$P$17:$P$99,"&gt;=-1E+307",$P$17:$P$99,"&lt;=1E+307")-1),2)))</x:f>
      </x:c>
      <x:c r="S52" s="52" t="str">
        <x:f>IF(COUNT(Q52,R52)=0,"",ROUND((IF(ISNUMBER(Q52),Q52*'Sheet1-指标体系'!$G$7*'Sheet1-指标体系'!$J$8,0)+IF(ISNUMBER(R52),R52*'Sheet1-指标体系'!$G$7*'Sheet1-指标体系'!$J$9,0))/(IF(ISNUMBER(Q52),'Sheet1-指标体系'!$G$7*'Sheet1-指标体系'!$J$8,0)+IF(ISNUMBER(R52),'Sheet1-指标体系'!$G$7*'Sheet1-指标体系'!$J$9,0)),2))</x:f>
      </x:c>
      <x:c r="T52" s="47" t="str">
        <x:f>IF(ISNUMBER('Sheet4-原始数据'!J37),'Sheet4-原始数据'!J37,"")</x:f>
      </x:c>
      <x:c r="U52" s="47" t="str">
        <x:f>IF(ISNUMBER('Sheet4-原始数据'!I37),'Sheet4-原始数据'!I37,"")</x:f>
      </x:c>
      <x:c r="V52" s="44" t="str">
        <x:f>IF(COUNT(T52:U52)&lt;&gt;2,"",(U52*'Sheet1-指标体系'!$J$6-T52*'Sheet1-指标体系'!$J$5)/'Sheet1-指标体系'!$J$7)</x:f>
      </x:c>
      <x:c r="W52" s="52" t="str">
        <x:f>IF(NOT(ISNUMBER(T52)),"",T52*'Sheet1-指标体系'!$J$18)</x:f>
      </x:c>
      <x:c r="X52" s="52" t="str">
        <x:f>IF(G52&lt;&gt;"入池","",IF(ISNUMBER(V52),IF(AND(V52&gt;=0,V52&lt;=1),V52*'Sheet1-指标体系'!$J$18,IF(MAX(0,(F52-'Sheet1-指标体系'!$J$15)*'Sheet1-指标体系'!$J$20)&lt;'Sheet1-指标体系'!$J$19,'Sheet1-指标体系'!$J$18,"")),IF(MAX(0,(F52-'Sheet1-指标体系'!$J$15)*'Sheet1-指标体系'!$J$20)&lt;'Sheet1-指标体系'!$J$19,'Sheet1-指标体系'!$J$18,"")))</x:f>
      </x:c>
      <x:c r="Y52" s="52" t="str">
        <x:f>IF(NOT(ISNUMBER(W52)),"",IF(COUNT(W52,X52)=0,"",ROUND((IF(ISNUMBER(W52),W52*'Sheet1-指标体系'!$G$8*'Sheet1-指标体系'!$J$8,0)+IF(ISNUMBER(X52),X52*'Sheet1-指标体系'!$G$8*'Sheet1-指标体系'!$J$9,0))/(IF(ISNUMBER(W52),'Sheet1-指标体系'!$G$8*'Sheet1-指标体系'!$J$8,0)+IF(ISNUMBER(X52),'Sheet1-指标体系'!$G$8*'Sheet1-指标体系'!$J$9,0)),2)))</x:f>
      </x:c>
      <x:c r="Z52" s="44" t="str">
        <x:f>IF(COUNT(M52,AD52)&lt;&gt;2,"",IF(AD52=0,"",ABS(M52/AD52)))</x:f>
      </x:c>
      <x:c r="AA52" s="47" t="str">
        <x:f>IF(ISNUMBER('Sheet4-原始数据'!K37),'Sheet4-原始数据'!K37,"")</x:f>
      </x:c>
      <x:c r="AB52" s="44" t="str">
        <x:f>IF(COUNT(Z52:AA52)=0,"",MAX(Z52:AA52))</x:f>
      </x:c>
      <x:c r="AC52" s="52" t="str">
        <x:f>IF(OR($G52&lt;&gt;"入池",NOT(ISNUMBER(AB52))),"",IF(COUNTIFS($G$17:$G$99,"入池",$AB$17:$AB$99,"&gt;=-1E+307",$AB$17:$AB$99,"&lt;=1E+307")&lt;=1,'Sheet1-指标体系'!$J$18,ROUND('Sheet1-指标体系'!$J$18*(COUNTIFS($G$17:$G$99,"入池",$AB$17:$AB$99,"&lt;=1E+307",$AB$17:$AB$99,"&gt;"&amp;AB52)+COUNTIFS($G$17:$G$99,"入池",$AB$17:$AB$99,"&gt;=-1E+307",$AB$17:$AB$99,"&lt;=1E+307",$AB$17:$AB$99,AB52)/2-0.5)/(COUNTIFS($G$17:$G$99,"入池",$AB$17:$AB$99,"&gt;=-1E+307",$AB$17:$AB$99,"&lt;=1E+307")-1),2)))</x:f>
      </x:c>
      <x:c r="AD52" s="48" t="str">
        <x:f>IF(ISNUMBER('Sheet4-原始数据'!M37),'Sheet4-原始数据'!M37,"")</x:f>
      </x:c>
      <x:c r="AE52" s="44" t="str">
        <x:f>IF(COUNT(P52,AA52,Z52)&lt;&gt;3,"",IF(AA52&gt;Z52+'Sheet1-指标体系'!$J$11,AA52,""))</x:f>
      </x:c>
      <x:c r="AF52" s="52" t="str">
        <x:f>IF(COUNT(P52,AE52)&lt;&gt;2,"",IF(AE52=0,"",P52/AE52))</x:f>
      </x:c>
      <x:c r="AG52" s="52" t="str">
        <x:f>IF(OR($G52&lt;&gt;"入池",NOT(ISNUMBER(AD52))),"",IF(COUNTIFS($G$17:$G$99,"入池",$AD$17:$AD$99,"&gt;=-1E+307",$AD$17:$AD$99,"&lt;=1E+307")&lt;=1,'Sheet1-指标体系'!$J$18,ROUND('Sheet1-指标体系'!$J$18*(COUNTIFS($G$17:$G$99,"入池",$AD$17:$AD$99,"&gt;=-1E+307",$AD$17:$AD$99,"&lt;"&amp;AD52)+COUNTIFS($G$17:$G$99,"入池",$AD$17:$AD$99,"&gt;=-1E+307",$AD$17:$AD$99,"&lt;=1E+307",$AD$17:$AD$99,AD52)/2-0.5)/(COUNTIFS($G$17:$G$99,"入池",$AD$17:$AD$99,"&gt;=-1E+307",$AD$17:$AD$99,"&lt;=1E+307")-1),2)))</x:f>
      </x:c>
      <x:c r="AH52" s="52" t="str">
        <x:f>IF(OR($G52&lt;&gt;"入池",NOT(ISNUMBER(AF52))),"",IF(COUNTIFS($G$17:$G$99,"入池",$AF$17:$AF$99,"&gt;=-1E+307",$AF$17:$AF$99,"&lt;=1E+307")&lt;=1,'Sheet1-指标体系'!$J$18,ROUND('Sheet1-指标体系'!$J$18*(COUNTIFS($G$17:$G$99,"入池",$AF$17:$AF$99,"&gt;=-1E+307",$AF$17:$AF$99,"&lt;"&amp;AF52)+COUNTIFS($G$17:$G$99,"入池",$AF$17:$AF$99,"&gt;=-1E+307",$AF$17:$AF$99,"&lt;=1E+307",$AF$17:$AF$99,AF52)/2-0.5)/(COUNTIFS($G$17:$G$99,"入池",$AF$17:$AF$99,"&gt;=-1E+307",$AF$17:$AF$99,"&lt;=1E+307")-1),2)))</x:f>
      </x:c>
      <x:c r="AI52" s="52" t="str">
        <x:f>IF(COUNT(AG52,AH52)=0,"",ROUND((IF(ISNUMBER(AG52),AG52*'Sheet1-指标体系'!$G$10*'Sheet1-指标体系'!$J$8,0)+IF(ISNUMBER(AH52),AH52*'Sheet1-指标体系'!$G$10*'Sheet1-指标体系'!$J$9,0))/(IF(ISNUMBER(AG52),'Sheet1-指标体系'!$G$10*'Sheet1-指标体系'!$J$8,0)+IF(ISNUMBER(AH52),'Sheet1-指标体系'!$G$10*'Sheet1-指标体系'!$J$9,0)),2))</x:f>
      </x:c>
      <x:c r="AJ52" s="44" t="str">
        <x:f>IF(NOT(ISNUMBER(F52)),"",IF(F52&gt;='Sheet1-指标体系'!$J$16,IF(ISNUMBER(N52),N52,""),IF(ISNUMBER(O52),O52,"")))</x:f>
      </x:c>
      <x:c r="AK52" s="52" t="str">
        <x:f>IF(OR(G52&lt;&gt;"入池",COUNT(M52,AJ52)&lt;&gt;2),"",IF(M52&gt;=AJ52,'Sheet1-指标体系'!$J$18,IF(AJ52-M52&lt;'Sheet1-指标体系'!$J$10,'Sheet1-指标体系'!$J$22,'Sheet1-指标体系'!$J$23)))</x:f>
      </x:c>
      <x:c r="AL52" s="52" t="n">
        <x:f>IF(COUNT(I52,K52,L52)=0,"",ROUND((IF(ISNUMBER(I52),I52*'Sheet1-指标体系'!$G$4,0)+IF(ISNUMBER(K52),K52*'Sheet1-指标体系'!$G$5,0)+IF(ISNUMBER(L52),L52*'Sheet1-指标体系'!$G$6,0))/(IF(ISNUMBER(I52),'Sheet1-指标体系'!$G$4,0)+IF(ISNUMBER(K52),'Sheet1-指标体系'!$G$5,0)+IF(ISNUMBER(L52),'Sheet1-指标体系'!$G$6,0)),2))</x:f>
        <x:v>92</x:v>
      </x:c>
      <x:c r="AM52" s="52" t="str">
        <x:f>IF(COUNT(Q52,R52,W52,X52)=0,"",ROUND((IF(ISNUMBER(Q52),Q52*'Sheet1-指标体系'!$G$7*'Sheet1-指标体系'!$J$8,0)+IF(ISNUMBER(R52),R52*'Sheet1-指标体系'!$G$7*'Sheet1-指标体系'!$J$9,0)+IF(ISNUMBER(W52),W52*'Sheet1-指标体系'!$G$8*'Sheet1-指标体系'!$J$8,0)+IF(ISNUMBER(X52),X52*'Sheet1-指标体系'!$G$8*'Sheet1-指标体系'!$J$9,0))/(IF(ISNUMBER(Q52),'Sheet1-指标体系'!$G$7*'Sheet1-指标体系'!$J$8,0)+IF(ISNUMBER(R52),'Sheet1-指标体系'!$G$7*'Sheet1-指标体系'!$J$9,0)+IF(ISNUMBER(W52),'Sheet1-指标体系'!$G$8*'Sheet1-指标体系'!$J$8,0)+IF(ISNUMBER(X52),'Sheet1-指标体系'!$G$8*'Sheet1-指标体系'!$J$9,0)),2))</x:f>
      </x:c>
      <x:c r="AN52" s="52" t="str">
        <x:f>IF(ISNUMBER(AC52),AC52,"")</x:f>
      </x:c>
      <x:c r="AO52" s="52" t="str">
        <x:f>IF(COUNT(AG52,AH52)=0,"",ROUND((IF(ISNUMBER(AG52),AG52*'Sheet1-指标体系'!$G$10*'Sheet1-指标体系'!$J$8,0)+IF(ISNUMBER(AH52),AH52*'Sheet1-指标体系'!$G$10*'Sheet1-指标体系'!$J$9,0))/(IF(ISNUMBER(AG52),'Sheet1-指标体系'!$G$10*'Sheet1-指标体系'!$J$8,0)+IF(ISNUMBER(AH52),'Sheet1-指标体系'!$G$10*'Sheet1-指标体系'!$J$9,0)),2))</x:f>
      </x:c>
      <x:c r="AP52" s="52" t="str">
        <x:f>IF(ISNUMBER(AK52),AK52,"")</x:f>
      </x:c>
      <x:c r="AQ52" s="27" t="n">
        <x:f>IF(G52&lt;&gt;"入池",0,IF(ISNUMBER(I52),'Sheet1-指标体系'!$G$4,0)+IF(ISNUMBER(K52),'Sheet1-指标体系'!$G$5,0)+IF(ISNUMBER(L52),'Sheet1-指标体系'!$G$6,0)+IF(ISNUMBER(Q52),'Sheet1-指标体系'!$G$7*'Sheet1-指标体系'!$J$8,0)+IF(ISNUMBER(R52),'Sheet1-指标体系'!$G$7*'Sheet1-指标体系'!$J$9,0)+IF(ISNUMBER(W52),'Sheet1-指标体系'!$G$8*'Sheet1-指标体系'!$J$8,0)+IF(ISNUMBER(X52),'Sheet1-指标体系'!$G$8*'Sheet1-指标体系'!$J$9,0)+IF(ISNUMBER(AC52),'Sheet1-指标体系'!$G$9,0)+IF(ISNUMBER(AG52),'Sheet1-指标体系'!$G$10*'Sheet1-指标体系'!$J$8,0)+IF(ISNUMBER(AH52),'Sheet1-指标体系'!$G$10*'Sheet1-指标体系'!$J$9,0)+IF(ISNUMBER(AK52),'Sheet1-指标体系'!$G$11,0))</x:f>
        <x:v>0.15</x:v>
      </x:c>
      <x:c r="AR52" s="52" t="n">
        <x:f>IF(AQ52=0,"",IF(ISNUMBER(I52),I52*'Sheet1-指标体系'!$G$4,0)+IF(ISNUMBER(K52),K52*'Sheet1-指标体系'!$G$5,0)+IF(ISNUMBER(L52),L52*'Sheet1-指标体系'!$G$6,0)+IF(ISNUMBER(Q52),Q52*'Sheet1-指标体系'!$G$7*'Sheet1-指标体系'!$J$8,0)+IF(ISNUMBER(R52),R52*'Sheet1-指标体系'!$G$7*'Sheet1-指标体系'!$J$9,0)+IF(ISNUMBER(W52),W52*'Sheet1-指标体系'!$G$8*'Sheet1-指标体系'!$J$8,0)+IF(ISNUMBER(X52),X52*'Sheet1-指标体系'!$G$8*'Sheet1-指标体系'!$J$9,0)+IF(ISNUMBER(AC52),AC52*'Sheet1-指标体系'!$G$9,0)+IF(ISNUMBER(AG52),AG52*'Sheet1-指标体系'!$G$10*'Sheet1-指标体系'!$J$8,0)+IF(ISNUMBER(AH52),AH52*'Sheet1-指标体系'!$G$10*'Sheet1-指标体系'!$J$9,0)+IF(ISNUMBER(AK52),AK52*'Sheet1-指标体系'!$G$11,0))</x:f>
        <x:v>13.8</x:v>
      </x:c>
      <x:c r="AS52" s="52" t="n">
        <x:f>IF(AQ52=0,"",ROUND(AR52/AQ52,2))</x:f>
        <x:v>92</x:v>
      </x:c>
      <x:c r="AT52" s="49" t="n">
        <x:f>IF(OR(G52&lt;&gt;"入池",NOT(ISNUMBER(AS52))),"",COUNTIFS($G$17:$G$99,"入池",$AS$17:$AS$99,"&gt;"&amp;AS52)+COUNTIFS($G$17:$G$99,"入池",$AS$17:$AS$99,AS52,$AQ$17:$AQ$99,"&gt;"&amp;AQ52)+COUNTIFS($G$17:G52,"入池",$AS$17:AS52,AS52,$AQ$17:AQ52,AQ52))</x:f>
        <x:v>4</x:v>
      </x:c>
      <x:c r="AU52" s="53" t="str">
        <x:f>IF(NOT(ISNUMBER(I52)),"管理人规模；","")&amp;IF(NOT(ISNUMBER(K52)),"产品规模标识；","")&amp;IF(NOT(ISNUMBER(M52)),"近一年收益；","")&amp;IF(NOT(ISNUMBER(T52)),"近一年胜率；","")&amp;IF(NOT(ISNUMBER(N52)),"近三年收益；","")&amp;IF(NOT(ISNUMBER(U52)),"近三年胜率；","")&amp;IF(NOT(ISNUMBER(AA52)),"近三年回撤；","")&amp;IF(NOT(ISNUMBER(AD52)),"近一年卡玛；","")&amp;IF(ISNUMBER(F52),IF(AND(F52&lt;'Sheet1-指标体系'!$J$16,NOT(ISNUMBER(O52))),"成立以来年化；",""),"成立日期；")&amp;IF(ISNUMBER(V52),IF(OR(V52&lt;0,V52&gt;1),"胜率窗口口径不一致；",""),"")&amp;IF(ISNUMBER(P52),IF(NOT(ISNUMBER(AE52)),"DD_long不可识别；",""),"")</x:f>
        <x:v>近一年收益；近一年胜率；近三年收益；近三年胜率；近三年回撤；近一年卡玛；</x:v>
      </x:c>
      <x:c r="AV52" s="52" t="str">
        <x:f>IF(ROUND(AQ52,10)=ROUND('Sheet1-指标体系'!$J$25,10),AR52,"")</x:f>
      </x:c>
      <x:c r="AW52" s="14" t="str">
        <x:f>IF(G52&lt;&gt;"入池",G52,IF(AQ52=0,"无有效评分数据",IF(ROUND(AQ52,10)=ROUND('Sheet1-指标体系'!$J$25,10),"完整赋分", "暂定分／数据不完整")))</x:f>
        <x:v>暂定分／数据不完整</x:v>
      </x:c>
      <x:c r="AX52" s="45" t="str">
        <x:f>IF('Sheet4-原始数据'!C37="","",'Sheet4-原始数据'!C37)</x:f>
        <x:v>套利策略</x:v>
      </x:c>
      <x:c r="AY52" s="45" t="str">
        <x:f>IF('Sheet4-原始数据'!D37="","",'Sheet4-原始数据'!D37)</x:f>
        <x:v>期货套利</x:v>
      </x:c>
      <x:c r="AZ52" s="45" t="str">
        <x:f>IF('Sheet5-查询核对'!S37="","",'Sheet5-查询核对'!S37)</x:f>
        <x:v>套利策略—期货套利</x:v>
      </x:c>
      <x:c r="BA52" s="51" t="n">
        <x:f>IF('Sheet5-查询核对'!A37="","",'Sheet5-查询核对'!A37)</x:f>
        <x:v>37</x:v>
      </x:c>
      <x:c r="BB52" s="45" t="str">
        <x:f>IF('Sheet5-查询核对'!F37="","",'Sheet5-查询核对'!F37)</x:f>
        <x:v>备案号匹配</x:v>
      </x:c>
      <x:c r="BC52" s="50" t="str">
        <x:f>IF('Sheet5-查询核对'!I37="","",'Sheet5-查询核对'!I37)</x:f>
        <x:v>https://mp.fof99.com/fund/view/beb13b86d2a4cfb2</x:v>
      </x:c>
      <x:c r="BD52" s="46" t="n">
        <x:f>IF('Sheet5-查询核对'!H37="","",'Sheet5-查询核对'!H37)</x:f>
        <x:v>46269</x:v>
      </x:c>
      <x:c r="BE52" s="50" t="str">
        <x:f>IF('Sheet5-查询核对'!L37="","",'Sheet5-查询核对'!L37)</x:f>
        <x:v>https://mp.fof99.com/fund/view/beb13b86d2a4cfb2</x:v>
      </x:c>
      <x:c r="BF52" s="46" t="n">
        <x:f>IF('Sheet5-查询核对'!M37="","",'Sheet5-查询核对'!M37)</x:f>
        <x:v>46275</x:v>
      </x:c>
      <x:c r="BG52" s="50" t="str">
        <x:f>IF('Sheet5-查询核对'!O37="","",'Sheet5-查询核对'!O37)</x:f>
        <x:v>https://gs.amac.org.cn/amac-infodisc/res/pof/fund/2306261750102641.html</x:v>
      </x:c>
      <x:c r="BH52" s="46" t="n">
        <x:f>IF('Sheet5-查询核对'!P37="","",'Sheet5-查询核对'!P37)</x:f>
        <x:v>46275</x:v>
      </x:c>
      <x:c r="BI52" s="45" t="str">
        <x:f>IF('Sheet5-查询核对'!D37="","",'Sheet5-查询核对'!D37)</x:f>
        <x:v>SB1261</x:v>
      </x:c>
      <x:c r="BJ52" t="n">
        <x:f>IF(ISNUMBER(AT52),AT52,COUNT($AT$17:$AT$99)+ROWS($AT$17:AT52)-COUNT($AT$17:AT52))</x:f>
        <x:v>4</x:v>
      </x:c>
    </x:row>
    <x:row r="53" ht="44" customHeight="1">
      <x:c r="A53" s="49" t="n">
        <x:f>'Sheet5-查询核对'!A38-1</x:f>
        <x:v>37</x:v>
      </x:c>
      <x:c r="B53" s="50" t="str">
        <x:f>IF('Sheet4-原始数据'!A38="",'Sheet5-查询核对'!B38,'Sheet4-原始数据'!A38)</x:f>
        <x:v>鸣熙资产-招享套利1号</x:v>
      </x:c>
      <x:c r="C53" s="45" t="str">
        <x:f>IF('Sheet4-原始数据'!B38="","",'Sheet4-原始数据'!B38)</x:f>
        <x:v>SJZ381</x:v>
      </x:c>
      <x:c r="D53" s="45" t="str">
        <x:f>IF('Sheet4-原始数据'!E38="","",'Sheet4-原始数据'!E38)</x:f>
        <x:v>鸣熙资本</x:v>
      </x:c>
      <x:c r="E53" s="46" t="n">
        <x:f>IF('Sheet4-原始数据'!F38="","",'Sheet4-原始数据'!F38)</x:f>
        <x:v>43937</x:v>
      </x:c>
      <x:c r="F53" s="52" t="n">
        <x:f>IF(ISNUMBER(E53),ROUND(('Sheet1-指标体系'!$J$12-E53)/'Sheet1-指标体系'!$J$14,4),"")</x:f>
        <x:v>6.4011</x:v>
      </x:c>
      <x:c r="G53" s="14" t="str">
        <x:f>IF(C53="","未匹配",IF(NOT(ISNUMBER(F53)),"缺成立日期",IF(F53&lt;'Sheet1-指标体系'!$J$15,"不入池","入池")))</x:f>
        <x:v>入池</x:v>
      </x:c>
      <x:c r="H53" s="45" t="str">
        <x:f>IF('Sheet5-查询核对'!K38="","",'Sheet5-查询核对'!K38)</x:f>
        <x:v>100亿元以上</x:v>
      </x:c>
      <x:c r="I53" s="52" t="n">
        <x:f>IF(H53="","",IF(COUNTIF('Sheet1-指标体系'!$P$4:$P$10,H53)=0,"",INDEX('Sheet1-指标体系'!$Q$4:$Q$10,MATCH(H53,'Sheet1-指标体系'!$P$4:$P$10,0))))</x:f>
        <x:v>100</x:v>
      </x:c>
      <x:c r="J53" s="54" t="str">
        <x:f>IF(NOT(ISNUMBER('Sheet5-查询核对'!N38)),"",IF('Sheet5-查询核对'!N38=1,"低于"&amp;'Sheet1-指标体系'!$J$4&amp;"万元",IF('Sheet5-查询核对'!N38=0,"无低于"&amp;'Sheet1-指标体系'!$J$4&amp;"万元标识","")))</x:f>
        <x:v>无低于1000万元标识</x:v>
      </x:c>
      <x:c r="K53" s="52" t="n">
        <x:f>IF(NOT(ISNUMBER('Sheet5-查询核对'!N38)),"",IF('Sheet5-查询核对'!N38=1,'Sheet1-指标体系'!$J$21,IF('Sheet5-查询核对'!N38=0,'Sheet1-指标体系'!$J$18,"")))</x:f>
        <x:v>100</x:v>
      </x:c>
      <x:c r="L53" s="52" t="n">
        <x:f>IF(NOT(ISNUMBER(F53)),"",IF(F53&lt;'Sheet1-指标体系'!$J$15,"",IF(F53&lt;'Sheet1-指标体系'!$J$16,'Sheet1-指标体系'!$J$17,'Sheet1-指标体系'!$J$18)))</x:f>
        <x:v>100</x:v>
      </x:c>
      <x:c r="M53" s="47" t="n">
        <x:f>IF(ISNUMBER('Sheet4-原始数据'!G38),'Sheet4-原始数据'!G38,"")</x:f>
        <x:v>0.0406</x:v>
      </x:c>
      <x:c r="N53" s="47" t="n">
        <x:f>IF(ISNUMBER('Sheet4-原始数据'!H38),'Sheet4-原始数据'!H38,"")</x:f>
        <x:v>0.0728</x:v>
      </x:c>
      <x:c r="O53" s="47" t="n">
        <x:f>IF(ISNUMBER('Sheet5-查询核对'!Q38),'Sheet5-查询核对'!Q38,"")</x:f>
        <x:v>0.1002</x:v>
      </x:c>
      <x:c r="P53" s="44" t="n">
        <x:f>IF($G53&lt;&gt;"入池","",IF($F53&gt;='Sheet1-指标体系'!$J$16,IF(COUNT(M53,N53)&lt;&gt;2,"",IF(OR(1+M53&lt;=0,1+N53&lt;0),"",((1+N53)^'Sheet1-指标体系'!$J$16/(1+M53))^(1/('Sheet1-指标体系'!$J$16-'Sheet1-指标体系'!$J$15))-1)),IF(COUNT(M53,O53)&lt;&gt;2,"",IF(OR(F53&lt;='Sheet1-指标体系'!$J$15,1+M53&lt;=0,1+O53&lt;0),"",((1+O53)^F53/(1+M53))^(1/(F53-'Sheet1-指标体系'!$J$15))-1))))</x:f>
        <x:v>0.08927174004090421</x:v>
      </x:c>
      <x:c r="Q53" s="52" t="n">
        <x:f>IF(OR($G53&lt;&gt;"入池",NOT(ISNUMBER(M53))),"",IF(COUNTIFS($G$17:$G$99,"入池",$M$17:$M$99,"&gt;=-1E+307",$M$17:$M$99,"&lt;=1E+307")&lt;=1,'Sheet1-指标体系'!$J$18,ROUND('Sheet1-指标体系'!$J$18*(COUNTIFS($G$17:$G$99,"入池",$M$17:$M$99,"&gt;=-1E+307",$M$17:$M$99,"&lt;"&amp;M53)+COUNTIFS($G$17:$G$99,"入池",$M$17:$M$99,"&gt;=-1E+307",$M$17:$M$99,"&lt;=1E+307",$M$17:$M$99,M53)/2-0.5)/(COUNTIFS($G$17:$G$99,"入池",$M$17:$M$99,"&gt;=-1E+307",$M$17:$M$99,"&lt;=1E+307")-1),2)))</x:f>
        <x:v>17.86</x:v>
      </x:c>
      <x:c r="R53" s="52" t="n">
        <x:f>IF(OR($G53&lt;&gt;"入池",NOT(ISNUMBER(P53))),"",IF(COUNTIFS($G$17:$G$99,"入池",$P$17:$P$99,"&gt;=-1E+307",$P$17:$P$99,"&lt;=1E+307")&lt;=1,'Sheet1-指标体系'!$J$18,ROUND('Sheet1-指标体系'!$J$18*(COUNTIFS($G$17:$G$99,"入池",$P$17:$P$99,"&gt;=-1E+307",$P$17:$P$99,"&lt;"&amp;P53)+COUNTIFS($G$17:$G$99,"入池",$P$17:$P$99,"&gt;=-1E+307",$P$17:$P$99,"&lt;=1E+307",$P$17:$P$99,P53)/2-0.5)/(COUNTIFS($G$17:$G$99,"入池",$P$17:$P$99,"&gt;=-1E+307",$P$17:$P$99,"&lt;=1E+307")-1),2)))</x:f>
        <x:v>66.67</x:v>
      </x:c>
      <x:c r="S53" s="52" t="n">
        <x:f>IF(COUNT(Q53,R53)=0,"",ROUND((IF(ISNUMBER(Q53),Q53*'Sheet1-指标体系'!$G$7*'Sheet1-指标体系'!$J$8,0)+IF(ISNUMBER(R53),R53*'Sheet1-指标体系'!$G$7*'Sheet1-指标体系'!$J$9,0))/(IF(ISNUMBER(Q53),'Sheet1-指标体系'!$G$7*'Sheet1-指标体系'!$J$8,0)+IF(ISNUMBER(R53),'Sheet1-指标体系'!$G$7*'Sheet1-指标体系'!$J$9,0)),2))</x:f>
        <x:v>37.38</x:v>
      </x:c>
      <x:c r="T53" s="47" t="n">
        <x:f>IF(ISNUMBER('Sheet4-原始数据'!J38),'Sheet4-原始数据'!J38,"")</x:f>
        <x:v>0.7692</x:v>
      </x:c>
      <x:c r="U53" s="47" t="n">
        <x:f>IF(ISNUMBER('Sheet4-原始数据'!I38),'Sheet4-原始数据'!I38,"")</x:f>
        <x:v>0.8919</x:v>
      </x:c>
      <x:c r="V53" s="44" t="n">
        <x:f>IF(COUNT(T53:U53)&lt;&gt;2,"",(U53*'Sheet1-指标体系'!$J$6-T53*'Sheet1-指标体系'!$J$5)/'Sheet1-指标体系'!$J$7)</x:f>
        <x:v>0.9583625000000001</x:v>
      </x:c>
      <x:c r="W53" s="52" t="n">
        <x:f>IF(NOT(ISNUMBER(T53)),"",T53*'Sheet1-指标体系'!$J$18)</x:f>
        <x:v>76.92</x:v>
      </x:c>
      <x:c r="X53" s="52" t="n">
        <x:f>IF(G53&lt;&gt;"入池","",IF(ISNUMBER(V53),IF(AND(V53&gt;=0,V53&lt;=1),V53*'Sheet1-指标体系'!$J$18,IF(MAX(0,(F53-'Sheet1-指标体系'!$J$15)*'Sheet1-指标体系'!$J$20)&lt;'Sheet1-指标体系'!$J$19,'Sheet1-指标体系'!$J$18,"")),IF(MAX(0,(F53-'Sheet1-指标体系'!$J$15)*'Sheet1-指标体系'!$J$20)&lt;'Sheet1-指标体系'!$J$19,'Sheet1-指标体系'!$J$18,"")))</x:f>
        <x:v>95.83625</x:v>
      </x:c>
      <x:c r="Y53" s="52" t="n">
        <x:f>IF(NOT(ISNUMBER(W53)),"",IF(COUNT(W53,X53)=0,"",ROUND((IF(ISNUMBER(W53),W53*'Sheet1-指标体系'!$G$8*'Sheet1-指标体系'!$J$8,0)+IF(ISNUMBER(X53),X53*'Sheet1-指标体系'!$G$8*'Sheet1-指标体系'!$J$9,0))/(IF(ISNUMBER(W53),'Sheet1-指标体系'!$G$8*'Sheet1-指标体系'!$J$8,0)+IF(ISNUMBER(X53),'Sheet1-指标体系'!$G$8*'Sheet1-指标体系'!$J$9,0)),2)))</x:f>
        <x:v>84.49</x:v>
      </x:c>
      <x:c r="Z53" s="44" t="n">
        <x:f>IF(COUNT(M53,AD53)&lt;&gt;2,"",IF(AD53=0,"",ABS(M53/AD53)))</x:f>
        <x:v>0.0046932075646183005</x:v>
      </x:c>
      <x:c r="AA53" s="47" t="n">
        <x:f>IF(ISNUMBER('Sheet4-原始数据'!K38),'Sheet4-原始数据'!K38,"")</x:f>
        <x:v>0.004699999999999999</x:v>
      </x:c>
      <x:c r="AB53" s="44" t="n">
        <x:f>IF(COUNT(Z53:AA53)=0,"",MAX(Z53:AA53))</x:f>
        <x:v>0.004699999999999999</x:v>
      </x:c>
      <x:c r="AC53" s="52" t="n">
        <x:f>IF(OR($G53&lt;&gt;"入池",NOT(ISNUMBER(AB53))),"",IF(COUNTIFS($G$17:$G$99,"入池",$AB$17:$AB$99,"&gt;=-1E+307",$AB$17:$AB$99,"&lt;=1E+307")&lt;=1,'Sheet1-指标体系'!$J$18,ROUND('Sheet1-指标体系'!$J$18*(COUNTIFS($G$17:$G$99,"入池",$AB$17:$AB$99,"&lt;=1E+307",$AB$17:$AB$99,"&gt;"&amp;AB53)+COUNTIFS($G$17:$G$99,"入池",$AB$17:$AB$99,"&gt;=-1E+307",$AB$17:$AB$99,"&lt;=1E+307",$AB$17:$AB$99,AB53)/2-0.5)/(COUNTIFS($G$17:$G$99,"入池",$AB$17:$AB$99,"&gt;=-1E+307",$AB$17:$AB$99,"&lt;=1E+307")-1),2)))</x:f>
        <x:v>93.1</x:v>
      </x:c>
      <x:c r="AD53" s="48" t="n">
        <x:f>IF(ISNUMBER('Sheet4-原始数据'!M38),'Sheet4-原始数据'!M38,"")</x:f>
        <x:v>8.6508</x:v>
      </x:c>
      <x:c r="AE53" s="44" t="str">
        <x:f>IF(COUNT(P53,AA53,Z53)&lt;&gt;3,"",IF(AA53&gt;Z53+'Sheet1-指标体系'!$J$11,AA53,""))</x:f>
      </x:c>
      <x:c r="AF53" s="52" t="str">
        <x:f>IF(COUNT(P53,AE53)&lt;&gt;2,"",IF(AE53=0,"",P53/AE53))</x:f>
      </x:c>
      <x:c r="AG53" s="52" t="n">
        <x:f>IF(OR($G53&lt;&gt;"入池",NOT(ISNUMBER(AD53))),"",IF(COUNTIFS($G$17:$G$99,"入池",$AD$17:$AD$99,"&gt;=-1E+307",$AD$17:$AD$99,"&lt;=1E+307")&lt;=1,'Sheet1-指标体系'!$J$18,ROUND('Sheet1-指标体系'!$J$18*(COUNTIFS($G$17:$G$99,"入池",$AD$17:$AD$99,"&gt;=-1E+307",$AD$17:$AD$99,"&lt;"&amp;AD53)+COUNTIFS($G$17:$G$99,"入池",$AD$17:$AD$99,"&gt;=-1E+307",$AD$17:$AD$99,"&lt;=1E+307",$AD$17:$AD$99,AD53)/2-0.5)/(COUNTIFS($G$17:$G$99,"入池",$AD$17:$AD$99,"&gt;=-1E+307",$AD$17:$AD$99,"&lt;=1E+307")-1),2)))</x:f>
        <x:v>56.36</x:v>
      </x:c>
      <x:c r="AH53" s="52" t="str">
        <x:f>IF(OR($G53&lt;&gt;"入池",NOT(ISNUMBER(AF53))),"",IF(COUNTIFS($G$17:$G$99,"入池",$AF$17:$AF$99,"&gt;=-1E+307",$AF$17:$AF$99,"&lt;=1E+307")&lt;=1,'Sheet1-指标体系'!$J$18,ROUND('Sheet1-指标体系'!$J$18*(COUNTIFS($G$17:$G$99,"入池",$AF$17:$AF$99,"&gt;=-1E+307",$AF$17:$AF$99,"&lt;"&amp;AF53)+COUNTIFS($G$17:$G$99,"入池",$AF$17:$AF$99,"&gt;=-1E+307",$AF$17:$AF$99,"&lt;=1E+307",$AF$17:$AF$99,AF53)/2-0.5)/(COUNTIFS($G$17:$G$99,"入池",$AF$17:$AF$99,"&gt;=-1E+307",$AF$17:$AF$99,"&lt;=1E+307")-1),2)))</x:f>
      </x:c>
      <x:c r="AI53" s="52" t="n">
        <x:f>IF(COUNT(AG53,AH53)=0,"",ROUND((IF(ISNUMBER(AG53),AG53*'Sheet1-指标体系'!$G$10*'Sheet1-指标体系'!$J$8,0)+IF(ISNUMBER(AH53),AH53*'Sheet1-指标体系'!$G$10*'Sheet1-指标体系'!$J$9,0))/(IF(ISNUMBER(AG53),'Sheet1-指标体系'!$G$10*'Sheet1-指标体系'!$J$8,0)+IF(ISNUMBER(AH53),'Sheet1-指标体系'!$G$10*'Sheet1-指标体系'!$J$9,0)),2))</x:f>
        <x:v>56.36</x:v>
      </x:c>
      <x:c r="AJ53" s="44" t="n">
        <x:f>IF(NOT(ISNUMBER(F53)),"",IF(F53&gt;='Sheet1-指标体系'!$J$16,IF(ISNUMBER(N53),N53,""),IF(ISNUMBER(O53),O53,"")))</x:f>
        <x:v>0.0728</x:v>
      </x:c>
      <x:c r="AK53" s="52" t="n">
        <x:f>IF(OR(G53&lt;&gt;"入池",COUNT(M53,AJ53)&lt;&gt;2),"",IF(M53&gt;=AJ53,'Sheet1-指标体系'!$J$18,IF(AJ53-M53&lt;'Sheet1-指标体系'!$J$10,'Sheet1-指标体系'!$J$22,'Sheet1-指标体系'!$J$23)))</x:f>
        <x:v>80</x:v>
      </x:c>
      <x:c r="AL53" s="52" t="n">
        <x:f>IF(COUNT(I53,K53,L53)=0,"",ROUND((IF(ISNUMBER(I53),I53*'Sheet1-指标体系'!$G$4,0)+IF(ISNUMBER(K53),K53*'Sheet1-指标体系'!$G$5,0)+IF(ISNUMBER(L53),L53*'Sheet1-指标体系'!$G$6,0))/(IF(ISNUMBER(I53),'Sheet1-指标体系'!$G$4,0)+IF(ISNUMBER(K53),'Sheet1-指标体系'!$G$5,0)+IF(ISNUMBER(L53),'Sheet1-指标体系'!$G$6,0)),2))</x:f>
        <x:v>100</x:v>
      </x:c>
      <x:c r="AM53" s="52" t="n">
        <x:f>IF(COUNT(Q53,R53,W53,X53)=0,"",ROUND((IF(ISNUMBER(Q53),Q53*'Sheet1-指标体系'!$G$7*'Sheet1-指标体系'!$J$8,0)+IF(ISNUMBER(R53),R53*'Sheet1-指标体系'!$G$7*'Sheet1-指标体系'!$J$9,0)+IF(ISNUMBER(W53),W53*'Sheet1-指标体系'!$G$8*'Sheet1-指标体系'!$J$8,0)+IF(ISNUMBER(X53),X53*'Sheet1-指标体系'!$G$8*'Sheet1-指标体系'!$J$9,0))/(IF(ISNUMBER(Q53),'Sheet1-指标体系'!$G$7*'Sheet1-指标体系'!$J$8,0)+IF(ISNUMBER(R53),'Sheet1-指标体系'!$G$7*'Sheet1-指标体系'!$J$9,0)+IF(ISNUMBER(W53),'Sheet1-指标体系'!$G$8*'Sheet1-指标体系'!$J$8,0)+IF(ISNUMBER(X53),'Sheet1-指标体系'!$G$8*'Sheet1-指标体系'!$J$9,0)),2))</x:f>
        <x:v>51.51</x:v>
      </x:c>
      <x:c r="AN53" s="52" t="n">
        <x:f>IF(ISNUMBER(AC53),AC53,"")</x:f>
        <x:v>93.1</x:v>
      </x:c>
      <x:c r="AO53" s="52" t="n">
        <x:f>IF(COUNT(AG53,AH53)=0,"",ROUND((IF(ISNUMBER(AG53),AG53*'Sheet1-指标体系'!$G$10*'Sheet1-指标体系'!$J$8,0)+IF(ISNUMBER(AH53),AH53*'Sheet1-指标体系'!$G$10*'Sheet1-指标体系'!$J$9,0))/(IF(ISNUMBER(AG53),'Sheet1-指标体系'!$G$10*'Sheet1-指标体系'!$J$8,0)+IF(ISNUMBER(AH53),'Sheet1-指标体系'!$G$10*'Sheet1-指标体系'!$J$9,0)),2))</x:f>
        <x:v>56.36</x:v>
      </x:c>
      <x:c r="AP53" s="52" t="n">
        <x:f>IF(ISNUMBER(AK53),AK53,"")</x:f>
        <x:v>80</x:v>
      </x:c>
      <x:c r="AQ53" s="27" t="n">
        <x:f>IF(G53&lt;&gt;"入池",0,IF(ISNUMBER(I53),'Sheet1-指标体系'!$G$4,0)+IF(ISNUMBER(K53),'Sheet1-指标体系'!$G$5,0)+IF(ISNUMBER(L53),'Sheet1-指标体系'!$G$6,0)+IF(ISNUMBER(Q53),'Sheet1-指标体系'!$G$7*'Sheet1-指标体系'!$J$8,0)+IF(ISNUMBER(R53),'Sheet1-指标体系'!$G$7*'Sheet1-指标体系'!$J$9,0)+IF(ISNUMBER(W53),'Sheet1-指标体系'!$G$8*'Sheet1-指标体系'!$J$8,0)+IF(ISNUMBER(X53),'Sheet1-指标体系'!$G$8*'Sheet1-指标体系'!$J$9,0)+IF(ISNUMBER(AC53),'Sheet1-指标体系'!$G$9,0)+IF(ISNUMBER(AG53),'Sheet1-指标体系'!$G$10*'Sheet1-指标体系'!$J$8,0)+IF(ISNUMBER(AH53),'Sheet1-指标体系'!$G$10*'Sheet1-指标体系'!$J$9,0)+IF(ISNUMBER(AK53),'Sheet1-指标体系'!$G$11,0))</x:f>
        <x:v>0.88</x:v>
      </x:c>
      <x:c r="AR53" s="52" t="n">
        <x:f>IF(AQ53=0,"",IF(ISNUMBER(I53),I53*'Sheet1-指标体系'!$G$4,0)+IF(ISNUMBER(K53),K53*'Sheet1-指标体系'!$G$5,0)+IF(ISNUMBER(L53),L53*'Sheet1-指标体系'!$G$6,0)+IF(ISNUMBER(Q53),Q53*'Sheet1-指标体系'!$G$7*'Sheet1-指标体系'!$J$8,0)+IF(ISNUMBER(R53),R53*'Sheet1-指标体系'!$G$7*'Sheet1-指标体系'!$J$9,0)+IF(ISNUMBER(W53),W53*'Sheet1-指标体系'!$G$8*'Sheet1-指标体系'!$J$8,0)+IF(ISNUMBER(X53),X53*'Sheet1-指标体系'!$G$8*'Sheet1-指标体系'!$J$9,0)+IF(ISNUMBER(AC53),AC53*'Sheet1-指标体系'!$G$9,0)+IF(ISNUMBER(AG53),AG53*'Sheet1-指标体系'!$G$10*'Sheet1-指标体系'!$J$8,0)+IF(ISNUMBER(AH53),AH53*'Sheet1-指标体系'!$G$10*'Sheet1-指标体系'!$J$9,0)+IF(ISNUMBER(AK53),AK53*'Sheet1-指标体系'!$G$11,0))</x:f>
        <x:v>66.72274999999999</x:v>
      </x:c>
      <x:c r="AS53" s="52" t="n">
        <x:f>IF(AQ53=0,"",ROUND(AR53/AQ53,2))</x:f>
        <x:v>75.82</x:v>
      </x:c>
      <x:c r="AT53" s="49" t="n">
        <x:f>IF(OR(G53&lt;&gt;"入池",NOT(ISNUMBER(AS53))),"",COUNTIFS($G$17:$G$99,"入池",$AS$17:$AS$99,"&gt;"&amp;AS53)+COUNTIFS($G$17:$G$99,"入池",$AS$17:$AS$99,AS53,$AQ$17:$AQ$99,"&gt;"&amp;AQ53)+COUNTIFS($G$17:G53,"入池",$AS$17:AS53,AS53,$AQ$17:AQ53,AQ53))</x:f>
        <x:v>32</x:v>
      </x:c>
      <x:c r="AU53" s="53" t="str">
        <x:f>IF(NOT(ISNUMBER(I53)),"管理人规模；","")&amp;IF(NOT(ISNUMBER(K53)),"产品规模标识；","")&amp;IF(NOT(ISNUMBER(M53)),"近一年收益；","")&amp;IF(NOT(ISNUMBER(T53)),"近一年胜率；","")&amp;IF(NOT(ISNUMBER(N53)),"近三年收益；","")&amp;IF(NOT(ISNUMBER(U53)),"近三年胜率；","")&amp;IF(NOT(ISNUMBER(AA53)),"近三年回撤；","")&amp;IF(NOT(ISNUMBER(AD53)),"近一年卡玛；","")&amp;IF(ISNUMBER(F53),IF(AND(F53&lt;'Sheet1-指标体系'!$J$16,NOT(ISNUMBER(O53))),"成立以来年化；",""),"成立日期；")&amp;IF(ISNUMBER(V53),IF(OR(V53&lt;0,V53&gt;1),"胜率窗口口径不一致；",""),"")&amp;IF(ISNUMBER(P53),IF(NOT(ISNUMBER(AE53)),"DD_long不可识别；",""),"")</x:f>
        <x:v>DD_long不可识别；</x:v>
      </x:c>
      <x:c r="AV53" s="52" t="str">
        <x:f>IF(ROUND(AQ53,10)=ROUND('Sheet1-指标体系'!$J$25,10),AR53,"")</x:f>
      </x:c>
      <x:c r="AW53" s="14" t="str">
        <x:f>IF(G53&lt;&gt;"入池",G53,IF(AQ53=0,"无有效评分数据",IF(ROUND(AQ53,10)=ROUND('Sheet1-指标体系'!$J$25,10),"完整赋分", "暂定分／数据不完整")))</x:f>
        <x:v>暂定分／数据不完整</x:v>
      </x:c>
      <x:c r="AX53" s="45" t="str">
        <x:f>IF('Sheet4-原始数据'!C38="","",'Sheet4-原始数据'!C38)</x:f>
        <x:v>套利策略</x:v>
      </x:c>
      <x:c r="AY53" s="45" t="str">
        <x:f>IF('Sheet4-原始数据'!D38="","",'Sheet4-原始数据'!D38)</x:f>
        <x:v>期货套利</x:v>
      </x:c>
      <x:c r="AZ53" s="45" t="str">
        <x:f>IF('Sheet5-查询核对'!S38="","",'Sheet5-查询核对'!S38)</x:f>
        <x:v>套利策略—期货套利</x:v>
      </x:c>
      <x:c r="BA53" s="51" t="n">
        <x:f>IF('Sheet5-查询核对'!A38="","",'Sheet5-查询核对'!A38)</x:f>
        <x:v>38</x:v>
      </x:c>
      <x:c r="BB53" s="45" t="str">
        <x:f>IF('Sheet5-查询核对'!F38="","",'Sheet5-查询核对'!F38)</x:f>
        <x:v>备案号匹配</x:v>
      </x:c>
      <x:c r="BC53" s="50" t="str">
        <x:f>IF('Sheet5-查询核对'!I38="","",'Sheet5-查询核对'!I38)</x:f>
        <x:v>https://mp.fof99.com/fund/view/28d3372af2406528</x:v>
      </x:c>
      <x:c r="BD53" s="46" t="n">
        <x:f>IF('Sheet5-查询核对'!H38="","",'Sheet5-查询核对'!H38)</x:f>
        <x:v>46269</x:v>
      </x:c>
      <x:c r="BE53" s="50" t="str">
        <x:f>IF('Sheet5-查询核对'!L38="","",'Sheet5-查询核对'!L38)</x:f>
        <x:v>https://mp.fof99.com/fund/view/28d3372af2406528</x:v>
      </x:c>
      <x:c r="BF53" s="46" t="n">
        <x:f>IF('Sheet5-查询核对'!M38="","",'Sheet5-查询核对'!M38)</x:f>
        <x:v>46275</x:v>
      </x:c>
      <x:c r="BG53" s="50" t="str">
        <x:f>IF('Sheet5-查询核对'!O38="","",'Sheet5-查询核对'!O38)</x:f>
        <x:v>https://gs.amac.org.cn/amac-infodisc/res/pof/fund/2004141732109376.html</x:v>
      </x:c>
      <x:c r="BH53" s="46" t="n">
        <x:f>IF('Sheet5-查询核对'!P38="","",'Sheet5-查询核对'!P38)</x:f>
        <x:v>46275</x:v>
      </x:c>
      <x:c r="BI53" s="45" t="str">
        <x:f>IF('Sheet5-查询核对'!D38="","",'Sheet5-查询核对'!D38)</x:f>
        <x:v>SJZ381</x:v>
      </x:c>
      <x:c r="BJ53" t="n">
        <x:f>IF(ISNUMBER(AT53),AT53,COUNT($AT$17:$AT$99)+ROWS($AT$17:AT53)-COUNT($AT$17:AT53))</x:f>
        <x:v>32</x:v>
      </x:c>
    </x:row>
    <x:row r="54" ht="44" customHeight="1">
      <x:c r="A54" s="49" t="n">
        <x:f>'Sheet5-查询核对'!A39-1</x:f>
        <x:v>38</x:v>
      </x:c>
      <x:c r="B54" s="50" t="str">
        <x:f>IF('Sheet4-原始数据'!A39="",'Sheet5-查询核对'!B39,'Sheet4-原始数据'!A39)</x:f>
        <x:v>铭杉量化稳健5号</x:v>
      </x:c>
      <x:c r="C54" s="45" t="str">
        <x:f>IF('Sheet4-原始数据'!B39="","",'Sheet4-原始数据'!B39)</x:f>
        <x:v>SLT573</x:v>
      </x:c>
      <x:c r="D54" s="45" t="str">
        <x:f>IF('Sheet4-原始数据'!E39="","",'Sheet4-原始数据'!E39)</x:f>
        <x:v>上海铭杉投资</x:v>
      </x:c>
      <x:c r="E54" s="46" t="n">
        <x:f>IF('Sheet4-原始数据'!F39="","",'Sheet4-原始数据'!F39)</x:f>
        <x:v>44088</x:v>
      </x:c>
      <x:c r="F54" s="52" t="n">
        <x:f>IF(ISNUMBER(E54),ROUND(('Sheet1-指标体系'!$J$12-E54)/'Sheet1-指标体系'!$J$14,4),"")</x:f>
        <x:v>5.9877</x:v>
      </x:c>
      <x:c r="G54" s="14" t="str">
        <x:f>IF(C54="","未匹配",IF(NOT(ISNUMBER(F54)),"缺成立日期",IF(F54&lt;'Sheet1-指标体系'!$J$15,"不入池","入池")))</x:f>
        <x:v>入池</x:v>
      </x:c>
      <x:c r="H54" s="45" t="str">
        <x:f>IF('Sheet5-查询核对'!K39="","",'Sheet5-查询核对'!K39)</x:f>
        <x:v>0-5亿元</x:v>
      </x:c>
      <x:c r="I54" s="52" t="n">
        <x:f>IF(H54="","",IF(COUNTIF('Sheet1-指标体系'!$P$4:$P$10,H54)=0,"",INDEX('Sheet1-指标体系'!$Q$4:$Q$10,MATCH(H54,'Sheet1-指标体系'!$P$4:$P$10,0))))</x:f>
        <x:v>60</x:v>
      </x:c>
      <x:c r="J54" s="54" t="str">
        <x:f>IF(NOT(ISNUMBER('Sheet5-查询核对'!N39)),"",IF('Sheet5-查询核对'!N39=1,"低于"&amp;'Sheet1-指标体系'!$J$4&amp;"万元",IF('Sheet5-查询核对'!N39=0,"无低于"&amp;'Sheet1-指标体系'!$J$4&amp;"万元标识","")))</x:f>
        <x:v>无低于1000万元标识</x:v>
      </x:c>
      <x:c r="K54" s="52" t="n">
        <x:f>IF(NOT(ISNUMBER('Sheet5-查询核对'!N39)),"",IF('Sheet5-查询核对'!N39=1,'Sheet1-指标体系'!$J$21,IF('Sheet5-查询核对'!N39=0,'Sheet1-指标体系'!$J$18,"")))</x:f>
        <x:v>100</x:v>
      </x:c>
      <x:c r="L54" s="52" t="n">
        <x:f>IF(NOT(ISNUMBER(F54)),"",IF(F54&lt;'Sheet1-指标体系'!$J$15,"",IF(F54&lt;'Sheet1-指标体系'!$J$16,'Sheet1-指标体系'!$J$17,'Sheet1-指标体系'!$J$18)))</x:f>
        <x:v>100</x:v>
      </x:c>
      <x:c r="M54" s="47" t="n">
        <x:f>IF(ISNUMBER('Sheet4-原始数据'!G39),'Sheet4-原始数据'!G39,"")</x:f>
        <x:v>0.050499999999999996</x:v>
      </x:c>
      <x:c r="N54" s="47" t="n">
        <x:f>IF(ISNUMBER('Sheet4-原始数据'!H39),'Sheet4-原始数据'!H39,"")</x:f>
        <x:v>0.0567</x:v>
      </x:c>
      <x:c r="O54" s="47" t="n">
        <x:f>IF(ISNUMBER('Sheet5-查询核对'!Q39),'Sheet5-查询核对'!Q39,"")</x:f>
        <x:v>0.0599</x:v>
      </x:c>
      <x:c r="P54" s="44" t="n">
        <x:f>IF($G54&lt;&gt;"入池","",IF($F54&gt;='Sheet1-指标体系'!$J$16,IF(COUNT(M54,N54)&lt;&gt;2,"",IF(OR(1+M54&lt;=0,1+N54&lt;0),"",((1+N54)^'Sheet1-指标体系'!$J$16/(1+M54))^(1/('Sheet1-指标体系'!$J$16-'Sheet1-指标体系'!$J$15))-1)),IF(COUNT(M54,O54)&lt;&gt;2,"",IF(OR(F54&lt;='Sheet1-指标体系'!$J$15,1+M54&lt;=0,1+O54&lt;0),"",((1+O54)^F54/(1+M54))^(1/(F54-'Sheet1-指标体系'!$J$15))-1))))</x:f>
        <x:v>0.05981370856911172</x:v>
      </x:c>
      <x:c r="Q54" s="52" t="n">
        <x:f>IF(OR($G54&lt;&gt;"入池",NOT(ISNUMBER(M54))),"",IF(COUNTIFS($G$17:$G$99,"入池",$M$17:$M$99,"&gt;=-1E+307",$M$17:$M$99,"&lt;=1E+307")&lt;=1,'Sheet1-指标体系'!$J$18,ROUND('Sheet1-指标体系'!$J$18*(COUNTIFS($G$17:$G$99,"入池",$M$17:$M$99,"&gt;=-1E+307",$M$17:$M$99,"&lt;"&amp;M54)+COUNTIFS($G$17:$G$99,"入池",$M$17:$M$99,"&gt;=-1E+307",$M$17:$M$99,"&lt;=1E+307",$M$17:$M$99,M54)/2-0.5)/(COUNTIFS($G$17:$G$99,"入池",$M$17:$M$99,"&gt;=-1E+307",$M$17:$M$99,"&lt;=1E+307")-1),2)))</x:f>
        <x:v>21.43</x:v>
      </x:c>
      <x:c r="R54" s="52" t="n">
        <x:f>IF(OR($G54&lt;&gt;"入池",NOT(ISNUMBER(P54))),"",IF(COUNTIFS($G$17:$G$99,"入池",$P$17:$P$99,"&gt;=-1E+307",$P$17:$P$99,"&lt;=1E+307")&lt;=1,'Sheet1-指标体系'!$J$18,ROUND('Sheet1-指标体系'!$J$18*(COUNTIFS($G$17:$G$99,"入池",$P$17:$P$99,"&gt;=-1E+307",$P$17:$P$99,"&lt;"&amp;P54)+COUNTIFS($G$17:$G$99,"入池",$P$17:$P$99,"&gt;=-1E+307",$P$17:$P$99,"&lt;=1E+307",$P$17:$P$99,P54)/2-0.5)/(COUNTIFS($G$17:$G$99,"入池",$P$17:$P$99,"&gt;=-1E+307",$P$17:$P$99,"&lt;=1E+307")-1),2)))</x:f>
        <x:v>35.19</x:v>
      </x:c>
      <x:c r="S54" s="52" t="n">
        <x:f>IF(COUNT(Q54,R54)=0,"",ROUND((IF(ISNUMBER(Q54),Q54*'Sheet1-指标体系'!$G$7*'Sheet1-指标体系'!$J$8,0)+IF(ISNUMBER(R54),R54*'Sheet1-指标体系'!$G$7*'Sheet1-指标体系'!$J$9,0))/(IF(ISNUMBER(Q54),'Sheet1-指标体系'!$G$7*'Sheet1-指标体系'!$J$8,0)+IF(ISNUMBER(R54),'Sheet1-指标体系'!$G$7*'Sheet1-指标体系'!$J$9,0)),2))</x:f>
        <x:v>26.93</x:v>
      </x:c>
      <x:c r="T54" s="47" t="n">
        <x:f>IF(ISNUMBER('Sheet4-原始数据'!J39),'Sheet4-原始数据'!J39,"")</x:f>
        <x:v>0.7692</x:v>
      </x:c>
      <x:c r="U54" s="47" t="n">
        <x:f>IF(ISNUMBER('Sheet4-原始数据'!I39),'Sheet4-原始数据'!I39,"")</x:f>
        <x:v>0.8649</x:v>
      </x:c>
      <x:c r="V54" s="44" t="n">
        <x:f>IF(COUNT(T54:U54)&lt;&gt;2,"",(U54*'Sheet1-指标体系'!$J$6-T54*'Sheet1-指标体系'!$J$5)/'Sheet1-指标体系'!$J$7)</x:f>
        <x:v>0.9167375</x:v>
      </x:c>
      <x:c r="W54" s="52" t="n">
        <x:f>IF(NOT(ISNUMBER(T54)),"",T54*'Sheet1-指标体系'!$J$18)</x:f>
        <x:v>76.92</x:v>
      </x:c>
      <x:c r="X54" s="52" t="n">
        <x:f>IF(G54&lt;&gt;"入池","",IF(ISNUMBER(V54),IF(AND(V54&gt;=0,V54&lt;=1),V54*'Sheet1-指标体系'!$J$18,IF(MAX(0,(F54-'Sheet1-指标体系'!$J$15)*'Sheet1-指标体系'!$J$20)&lt;'Sheet1-指标体系'!$J$19,'Sheet1-指标体系'!$J$18,"")),IF(MAX(0,(F54-'Sheet1-指标体系'!$J$15)*'Sheet1-指标体系'!$J$20)&lt;'Sheet1-指标体系'!$J$19,'Sheet1-指标体系'!$J$18,"")))</x:f>
        <x:v>91.67375</x:v>
      </x:c>
      <x:c r="Y54" s="52" t="n">
        <x:f>IF(NOT(ISNUMBER(W54)),"",IF(COUNT(W54,X54)=0,"",ROUND((IF(ISNUMBER(W54),W54*'Sheet1-指标体系'!$G$8*'Sheet1-指标体系'!$J$8,0)+IF(ISNUMBER(X54),X54*'Sheet1-指标体系'!$G$8*'Sheet1-指标体系'!$J$9,0))/(IF(ISNUMBER(W54),'Sheet1-指标体系'!$G$8*'Sheet1-指标体系'!$J$8,0)+IF(ISNUMBER(X54),'Sheet1-指标体系'!$G$8*'Sheet1-指标体系'!$J$9,0)),2)))</x:f>
        <x:v>82.82</x:v>
      </x:c>
      <x:c r="Z54" s="44" t="n">
        <x:f>IF(COUNT(M54,AD54)&lt;&gt;2,"",IF(AD54=0,"",ABS(M54/AD54)))</x:f>
        <x:v>0.025083196741667906</x:v>
      </x:c>
      <x:c r="AA54" s="47" t="n">
        <x:f>IF(ISNUMBER('Sheet4-原始数据'!K39),'Sheet4-原始数据'!K39,"")</x:f>
        <x:v>0.025099999999999997</x:v>
      </x:c>
      <x:c r="AB54" s="44" t="n">
        <x:f>IF(COUNT(Z54:AA54)=0,"",MAX(Z54:AA54))</x:f>
        <x:v>0.025099999999999997</x:v>
      </x:c>
      <x:c r="AC54" s="52" t="n">
        <x:f>IF(OR($G54&lt;&gt;"入池",NOT(ISNUMBER(AB54))),"",IF(COUNTIFS($G$17:$G$99,"入池",$AB$17:$AB$99,"&gt;=-1E+307",$AB$17:$AB$99,"&lt;=1E+307")&lt;=1,'Sheet1-指标体系'!$J$18,ROUND('Sheet1-指标体系'!$J$18*(COUNTIFS($G$17:$G$99,"入池",$AB$17:$AB$99,"&lt;=1E+307",$AB$17:$AB$99,"&gt;"&amp;AB54)+COUNTIFS($G$17:$G$99,"入池",$AB$17:$AB$99,"&gt;=-1E+307",$AB$17:$AB$99,"&lt;=1E+307",$AB$17:$AB$99,AB54)/2-0.5)/(COUNTIFS($G$17:$G$99,"入池",$AB$17:$AB$99,"&gt;=-1E+307",$AB$17:$AB$99,"&lt;=1E+307")-1),2)))</x:f>
        <x:v>46.55</x:v>
      </x:c>
      <x:c r="AD54" s="48" t="n">
        <x:f>IF(ISNUMBER('Sheet4-原始数据'!M39),'Sheet4-原始数据'!M39,"")</x:f>
        <x:v>2.0133</x:v>
      </x:c>
      <x:c r="AE54" s="44" t="str">
        <x:f>IF(COUNT(P54,AA54,Z54)&lt;&gt;3,"",IF(AA54&gt;Z54+'Sheet1-指标体系'!$J$11,AA54,""))</x:f>
      </x:c>
      <x:c r="AF54" s="52" t="str">
        <x:f>IF(COUNT(P54,AE54)&lt;&gt;2,"",IF(AE54=0,"",P54/AE54))</x:f>
      </x:c>
      <x:c r="AG54" s="52" t="n">
        <x:f>IF(OR($G54&lt;&gt;"入池",NOT(ISNUMBER(AD54))),"",IF(COUNTIFS($G$17:$G$99,"入池",$AD$17:$AD$99,"&gt;=-1E+307",$AD$17:$AD$99,"&lt;=1E+307")&lt;=1,'Sheet1-指标体系'!$J$18,ROUND('Sheet1-指标体系'!$J$18*(COUNTIFS($G$17:$G$99,"入池",$AD$17:$AD$99,"&gt;=-1E+307",$AD$17:$AD$99,"&lt;"&amp;AD54)+COUNTIFS($G$17:$G$99,"入池",$AD$17:$AD$99,"&gt;=-1E+307",$AD$17:$AD$99,"&lt;=1E+307",$AD$17:$AD$99,AD54)/2-0.5)/(COUNTIFS($G$17:$G$99,"入池",$AD$17:$AD$99,"&gt;=-1E+307",$AD$17:$AD$99,"&lt;=1E+307")-1),2)))</x:f>
        <x:v>12.73</x:v>
      </x:c>
      <x:c r="AH54" s="52" t="str">
        <x:f>IF(OR($G54&lt;&gt;"入池",NOT(ISNUMBER(AF54))),"",IF(COUNTIFS($G$17:$G$99,"入池",$AF$17:$AF$99,"&gt;=-1E+307",$AF$17:$AF$99,"&lt;=1E+307")&lt;=1,'Sheet1-指标体系'!$J$18,ROUND('Sheet1-指标体系'!$J$18*(COUNTIFS($G$17:$G$99,"入池",$AF$17:$AF$99,"&gt;=-1E+307",$AF$17:$AF$99,"&lt;"&amp;AF54)+COUNTIFS($G$17:$G$99,"入池",$AF$17:$AF$99,"&gt;=-1E+307",$AF$17:$AF$99,"&lt;=1E+307",$AF$17:$AF$99,AF54)/2-0.5)/(COUNTIFS($G$17:$G$99,"入池",$AF$17:$AF$99,"&gt;=-1E+307",$AF$17:$AF$99,"&lt;=1E+307")-1),2)))</x:f>
      </x:c>
      <x:c r="AI54" s="52" t="n">
        <x:f>IF(COUNT(AG54,AH54)=0,"",ROUND((IF(ISNUMBER(AG54),AG54*'Sheet1-指标体系'!$G$10*'Sheet1-指标体系'!$J$8,0)+IF(ISNUMBER(AH54),AH54*'Sheet1-指标体系'!$G$10*'Sheet1-指标体系'!$J$9,0))/(IF(ISNUMBER(AG54),'Sheet1-指标体系'!$G$10*'Sheet1-指标体系'!$J$8,0)+IF(ISNUMBER(AH54),'Sheet1-指标体系'!$G$10*'Sheet1-指标体系'!$J$9,0)),2))</x:f>
        <x:v>12.73</x:v>
      </x:c>
      <x:c r="AJ54" s="44" t="n">
        <x:f>IF(NOT(ISNUMBER(F54)),"",IF(F54&gt;='Sheet1-指标体系'!$J$16,IF(ISNUMBER(N54),N54,""),IF(ISNUMBER(O54),O54,"")))</x:f>
        <x:v>0.0567</x:v>
      </x:c>
      <x:c r="AK54" s="52" t="n">
        <x:f>IF(OR(G54&lt;&gt;"入池",COUNT(M54,AJ54)&lt;&gt;2),"",IF(M54&gt;=AJ54,'Sheet1-指标体系'!$J$18,IF(AJ54-M54&lt;'Sheet1-指标体系'!$J$10,'Sheet1-指标体系'!$J$22,'Sheet1-指标体系'!$J$23)))</x:f>
        <x:v>80</x:v>
      </x:c>
      <x:c r="AL54" s="52" t="n">
        <x:f>IF(COUNT(I54,K54,L54)=0,"",ROUND((IF(ISNUMBER(I54),I54*'Sheet1-指标体系'!$G$4,0)+IF(ISNUMBER(K54),K54*'Sheet1-指标体系'!$G$5,0)+IF(ISNUMBER(L54),L54*'Sheet1-指标体系'!$G$6,0))/(IF(ISNUMBER(I54),'Sheet1-指标体系'!$G$4,0)+IF(ISNUMBER(K54),'Sheet1-指标体系'!$G$5,0)+IF(ISNUMBER(L54),'Sheet1-指标体系'!$G$6,0)),2))</x:f>
        <x:v>84</x:v>
      </x:c>
      <x:c r="AM54" s="52" t="n">
        <x:f>IF(COUNT(Q54,R54,W54,X54)=0,"",ROUND((IF(ISNUMBER(Q54),Q54*'Sheet1-指标体系'!$G$7*'Sheet1-指标体系'!$J$8,0)+IF(ISNUMBER(R54),R54*'Sheet1-指标体系'!$G$7*'Sheet1-指标体系'!$J$9,0)+IF(ISNUMBER(W54),W54*'Sheet1-指标体系'!$G$8*'Sheet1-指标体系'!$J$8,0)+IF(ISNUMBER(X54),X54*'Sheet1-指标体系'!$G$8*'Sheet1-指标体系'!$J$9,0))/(IF(ISNUMBER(Q54),'Sheet1-指标体系'!$G$7*'Sheet1-指标体系'!$J$8,0)+IF(ISNUMBER(R54),'Sheet1-指标体系'!$G$7*'Sheet1-指标体系'!$J$9,0)+IF(ISNUMBER(W54),'Sheet1-指标体系'!$G$8*'Sheet1-指标体系'!$J$8,0)+IF(ISNUMBER(X54),'Sheet1-指标体系'!$G$8*'Sheet1-指标体系'!$J$9,0)),2))</x:f>
        <x:v>43.7</x:v>
      </x:c>
      <x:c r="AN54" s="52" t="n">
        <x:f>IF(ISNUMBER(AC54),AC54,"")</x:f>
        <x:v>46.55</x:v>
      </x:c>
      <x:c r="AO54" s="52" t="n">
        <x:f>IF(COUNT(AG54,AH54)=0,"",ROUND((IF(ISNUMBER(AG54),AG54*'Sheet1-指标体系'!$G$10*'Sheet1-指标体系'!$J$8,0)+IF(ISNUMBER(AH54),AH54*'Sheet1-指标体系'!$G$10*'Sheet1-指标体系'!$J$9,0))/(IF(ISNUMBER(AG54),'Sheet1-指标体系'!$G$10*'Sheet1-指标体系'!$J$8,0)+IF(ISNUMBER(AH54),'Sheet1-指标体系'!$G$10*'Sheet1-指标体系'!$J$9,0)),2))</x:f>
        <x:v>12.73</x:v>
      </x:c>
      <x:c r="AP54" s="52" t="n">
        <x:f>IF(ISNUMBER(AK54),AK54,"")</x:f>
        <x:v>80</x:v>
      </x:c>
      <x:c r="AQ54" s="27" t="n">
        <x:f>IF(G54&lt;&gt;"入池",0,IF(ISNUMBER(I54),'Sheet1-指标体系'!$G$4,0)+IF(ISNUMBER(K54),'Sheet1-指标体系'!$G$5,0)+IF(ISNUMBER(L54),'Sheet1-指标体系'!$G$6,0)+IF(ISNUMBER(Q54),'Sheet1-指标体系'!$G$7*'Sheet1-指标体系'!$J$8,0)+IF(ISNUMBER(R54),'Sheet1-指标体系'!$G$7*'Sheet1-指标体系'!$J$9,0)+IF(ISNUMBER(W54),'Sheet1-指标体系'!$G$8*'Sheet1-指标体系'!$J$8,0)+IF(ISNUMBER(X54),'Sheet1-指标体系'!$G$8*'Sheet1-指标体系'!$J$9,0)+IF(ISNUMBER(AC54),'Sheet1-指标体系'!$G$9,0)+IF(ISNUMBER(AG54),'Sheet1-指标体系'!$G$10*'Sheet1-指标体系'!$J$8,0)+IF(ISNUMBER(AH54),'Sheet1-指标体系'!$G$10*'Sheet1-指标体系'!$J$9,0)+IF(ISNUMBER(AK54),'Sheet1-指标体系'!$G$11,0))</x:f>
        <x:v>0.88</x:v>
      </x:c>
      <x:c r="AR54" s="52" t="n">
        <x:f>IF(AQ54=0,"",IF(ISNUMBER(I54),I54*'Sheet1-指标体系'!$G$4,0)+IF(ISNUMBER(K54),K54*'Sheet1-指标体系'!$G$5,0)+IF(ISNUMBER(L54),L54*'Sheet1-指标体系'!$G$6,0)+IF(ISNUMBER(Q54),Q54*'Sheet1-指标体系'!$G$7*'Sheet1-指标体系'!$J$8,0)+IF(ISNUMBER(R54),R54*'Sheet1-指标体系'!$G$7*'Sheet1-指标体系'!$J$9,0)+IF(ISNUMBER(W54),W54*'Sheet1-指标体系'!$G$8*'Sheet1-指标体系'!$J$8,0)+IF(ISNUMBER(X54),X54*'Sheet1-指标体系'!$G$8*'Sheet1-指标体系'!$J$9,0)+IF(ISNUMBER(AC54),AC54*'Sheet1-指标体系'!$G$9,0)+IF(ISNUMBER(AG54),AG54*'Sheet1-指标体系'!$G$10*'Sheet1-指标体系'!$J$8,0)+IF(ISNUMBER(AH54),AH54*'Sheet1-指标体系'!$G$10*'Sheet1-指标体系'!$J$9,0)+IF(ISNUMBER(AK54),AK54*'Sheet1-指标体系'!$G$11,0))</x:f>
        <x:v>43.26895</x:v>
      </x:c>
      <x:c r="AS54" s="52" t="n">
        <x:f>IF(AQ54=0,"",ROUND(AR54/AQ54,2))</x:f>
        <x:v>49.17</x:v>
      </x:c>
      <x:c r="AT54" s="49" t="n">
        <x:f>IF(OR(G54&lt;&gt;"入池",NOT(ISNUMBER(AS54))),"",COUNTIFS($G$17:$G$99,"入池",$AS$17:$AS$99,"&gt;"&amp;AS54)+COUNTIFS($G$17:$G$99,"入池",$AS$17:$AS$99,AS54,$AQ$17:$AQ$99,"&gt;"&amp;AQ54)+COUNTIFS($G$17:G54,"入池",$AS$17:AS54,AS54,$AQ$17:AQ54,AQ54))</x:f>
        <x:v>65</x:v>
      </x:c>
      <x:c r="AU54" s="53" t="str">
        <x:f>IF(NOT(ISNUMBER(I54)),"管理人规模；","")&amp;IF(NOT(ISNUMBER(K54)),"产品规模标识；","")&amp;IF(NOT(ISNUMBER(M54)),"近一年收益；","")&amp;IF(NOT(ISNUMBER(T54)),"近一年胜率；","")&amp;IF(NOT(ISNUMBER(N54)),"近三年收益；","")&amp;IF(NOT(ISNUMBER(U54)),"近三年胜率；","")&amp;IF(NOT(ISNUMBER(AA54)),"近三年回撤；","")&amp;IF(NOT(ISNUMBER(AD54)),"近一年卡玛；","")&amp;IF(ISNUMBER(F54),IF(AND(F54&lt;'Sheet1-指标体系'!$J$16,NOT(ISNUMBER(O54))),"成立以来年化；",""),"成立日期；")&amp;IF(ISNUMBER(V54),IF(OR(V54&lt;0,V54&gt;1),"胜率窗口口径不一致；",""),"")&amp;IF(ISNUMBER(P54),IF(NOT(ISNUMBER(AE54)),"DD_long不可识别；",""),"")</x:f>
        <x:v>DD_long不可识别；</x:v>
      </x:c>
      <x:c r="AV54" s="52" t="str">
        <x:f>IF(ROUND(AQ54,10)=ROUND('Sheet1-指标体系'!$J$25,10),AR54,"")</x:f>
      </x:c>
      <x:c r="AW54" s="14" t="str">
        <x:f>IF(G54&lt;&gt;"入池",G54,IF(AQ54=0,"无有效评分数据",IF(ROUND(AQ54,10)=ROUND('Sheet1-指标体系'!$J$25,10),"完整赋分", "暂定分／数据不完整")))</x:f>
        <x:v>暂定分／数据不完整</x:v>
      </x:c>
      <x:c r="AX54" s="45" t="str">
        <x:f>IF('Sheet4-原始数据'!C39="","",'Sheet4-原始数据'!C39)</x:f>
        <x:v>套利策略</x:v>
      </x:c>
      <x:c r="AY54" s="45" t="str">
        <x:f>IF('Sheet4-原始数据'!D39="","",'Sheet4-原始数据'!D39)</x:f>
        <x:v>期货套利</x:v>
      </x:c>
      <x:c r="AZ54" s="45" t="str">
        <x:f>IF('Sheet5-查询核对'!S39="","",'Sheet5-查询核对'!S39)</x:f>
        <x:v>套利策略—期货套利</x:v>
      </x:c>
      <x:c r="BA54" s="51" t="n">
        <x:f>IF('Sheet5-查询核对'!A39="","",'Sheet5-查询核对'!A39)</x:f>
        <x:v>39</x:v>
      </x:c>
      <x:c r="BB54" s="45" t="str">
        <x:f>IF('Sheet5-查询核对'!F39="","",'Sheet5-查询核对'!F39)</x:f>
        <x:v>备案号匹配</x:v>
      </x:c>
      <x:c r="BC54" s="50" t="str">
        <x:f>IF('Sheet5-查询核对'!I39="","",'Sheet5-查询核对'!I39)</x:f>
        <x:v>https://mp.fof99.com/fund/view/9289c50ffc89f5de</x:v>
      </x:c>
      <x:c r="BD54" s="46" t="n">
        <x:f>IF('Sheet5-查询核对'!H39="","",'Sheet5-查询核对'!H39)</x:f>
        <x:v>46269</x:v>
      </x:c>
      <x:c r="BE54" s="50" t="str">
        <x:f>IF('Sheet5-查询核对'!L39="","",'Sheet5-查询核对'!L39)</x:f>
        <x:v>https://mp.fof99.com/fund/view/9289c50ffc89f5de</x:v>
      </x:c>
      <x:c r="BF54" s="46" t="n">
        <x:f>IF('Sheet5-查询核对'!M39="","",'Sheet5-查询核对'!M39)</x:f>
        <x:v>46275</x:v>
      </x:c>
      <x:c r="BG54" s="50" t="str">
        <x:f>IF('Sheet5-查询核对'!O39="","",'Sheet5-查询核对'!O39)</x:f>
        <x:v>https://gs.amac.org.cn/amac-infodisc/res/pof/fund/2009171717131963.html</x:v>
      </x:c>
      <x:c r="BH54" s="46" t="n">
        <x:f>IF('Sheet5-查询核对'!P39="","",'Sheet5-查询核对'!P39)</x:f>
        <x:v>46275</x:v>
      </x:c>
      <x:c r="BI54" s="45" t="str">
        <x:f>IF('Sheet5-查询核对'!D39="","",'Sheet5-查询核对'!D39)</x:f>
        <x:v>SLT573</x:v>
      </x:c>
      <x:c r="BJ54" t="n">
        <x:f>IF(ISNUMBER(AT54),AT54,COUNT($AT$17:$AT$99)+ROWS($AT$17:AT54)-COUNT($AT$17:AT54))</x:f>
        <x:v>65</x:v>
      </x:c>
    </x:row>
    <x:row r="55" ht="44" customHeight="1">
      <x:c r="A55" s="49" t="n">
        <x:f>'Sheet5-查询核对'!A40-1</x:f>
        <x:v>39</x:v>
      </x:c>
      <x:c r="B55" s="50" t="str">
        <x:f>IF('Sheet4-原始数据'!A40="",'Sheet5-查询核对'!B40,'Sheet4-原始数据'!A40)</x:f>
        <x:v>摩旗ETF套利1号</x:v>
      </x:c>
      <x:c r="C55" s="45" t="str">
        <x:f>IF('Sheet4-原始数据'!B40="","",'Sheet4-原始数据'!B40)</x:f>
        <x:v>STR466</x:v>
      </x:c>
      <x:c r="D55" s="45" t="str">
        <x:f>IF('Sheet4-原始数据'!E40="","",'Sheet4-原始数据'!E40)</x:f>
        <x:v>上海摩旗投资</x:v>
      </x:c>
      <x:c r="E55" s="46" t="n">
        <x:f>IF('Sheet4-原始数据'!F40="","",'Sheet4-原始数据'!F40)</x:f>
        <x:v>44571</x:v>
      </x:c>
      <x:c r="F55" s="52" t="n">
        <x:f>IF(ISNUMBER(E55),ROUND(('Sheet1-指标体系'!$J$12-E55)/'Sheet1-指标体系'!$J$14,4),"")</x:f>
        <x:v>4.6653</x:v>
      </x:c>
      <x:c r="G55" s="14" t="str">
        <x:f>IF(C55="","未匹配",IF(NOT(ISNUMBER(F55)),"缺成立日期",IF(F55&lt;'Sheet1-指标体系'!$J$15,"不入池","入池")))</x:f>
        <x:v>入池</x:v>
      </x:c>
      <x:c r="H55" s="45" t="str">
        <x:f>IF('Sheet5-查询核对'!K40="","",'Sheet5-查询核对'!K40)</x:f>
        <x:v>10-20亿元</x:v>
      </x:c>
      <x:c r="I55" s="52" t="n">
        <x:f>IF(H55="","",IF(COUNTIF('Sheet1-指标体系'!$P$4:$P$10,H55)=0,"",INDEX('Sheet1-指标体系'!$Q$4:$Q$10,MATCH(H55,'Sheet1-指标体系'!$P$4:$P$10,0))))</x:f>
        <x:v>80</x:v>
      </x:c>
      <x:c r="J55" s="54" t="str">
        <x:f>IF(NOT(ISNUMBER('Sheet5-查询核对'!N40)),"",IF('Sheet5-查询核对'!N40=1,"低于"&amp;'Sheet1-指标体系'!$J$4&amp;"万元",IF('Sheet5-查询核对'!N40=0,"无低于"&amp;'Sheet1-指标体系'!$J$4&amp;"万元标识","")))</x:f>
        <x:v>无低于1000万元标识</x:v>
      </x:c>
      <x:c r="K55" s="52" t="n">
        <x:f>IF(NOT(ISNUMBER('Sheet5-查询核对'!N40)),"",IF('Sheet5-查询核对'!N40=1,'Sheet1-指标体系'!$J$21,IF('Sheet5-查询核对'!N40=0,'Sheet1-指标体系'!$J$18,"")))</x:f>
        <x:v>100</x:v>
      </x:c>
      <x:c r="L55" s="52" t="n">
        <x:f>IF(NOT(ISNUMBER(F55)),"",IF(F55&lt;'Sheet1-指标体系'!$J$15,"",IF(F55&lt;'Sheet1-指标体系'!$J$16,'Sheet1-指标体系'!$J$17,'Sheet1-指标体系'!$J$18)))</x:f>
        <x:v>100</x:v>
      </x:c>
      <x:c r="M55" s="47" t="n">
        <x:f>IF(ISNUMBER('Sheet4-原始数据'!G40),'Sheet4-原始数据'!G40,"")</x:f>
        <x:v>0.1092</x:v>
      </x:c>
      <x:c r="N55" s="47" t="n">
        <x:f>IF(ISNUMBER('Sheet4-原始数据'!H40),'Sheet4-原始数据'!H40,"")</x:f>
        <x:v>0.1448</x:v>
      </x:c>
      <x:c r="O55" s="47" t="n">
        <x:f>IF(ISNUMBER('Sheet5-查询核对'!Q40),'Sheet5-查询核对'!Q40,"")</x:f>
        <x:v>0.1133</x:v>
      </x:c>
      <x:c r="P55" s="44" t="n">
        <x:f>IF($G55&lt;&gt;"入池","",IF($F55&gt;='Sheet1-指标体系'!$J$16,IF(COUNT(M55,N55)&lt;&gt;2,"",IF(OR(1+M55&lt;=0,1+N55&lt;0),"",((1+N55)^'Sheet1-指标体系'!$J$16/(1+M55))^(1/('Sheet1-指标体系'!$J$16-'Sheet1-指标体系'!$J$15))-1)),IF(COUNT(M55,O55)&lt;&gt;2,"",IF(OR(F55&lt;='Sheet1-指标体系'!$J$15,1+M55&lt;=0,1+O55&lt;0),"",((1+O55)^F55/(1+M55))^(1/(F55-'Sheet1-指标体系'!$J$15))-1))))</x:f>
        <x:v>0.16302620614387942</x:v>
      </x:c>
      <x:c r="Q55" s="52" t="n">
        <x:f>IF(OR($G55&lt;&gt;"入池",NOT(ISNUMBER(M55))),"",IF(COUNTIFS($G$17:$G$99,"入池",$M$17:$M$99,"&gt;=-1E+307",$M$17:$M$99,"&lt;=1E+307")&lt;=1,'Sheet1-指标体系'!$J$18,ROUND('Sheet1-指标体系'!$J$18*(COUNTIFS($G$17:$G$99,"入池",$M$17:$M$99,"&gt;=-1E+307",$M$17:$M$99,"&lt;"&amp;M55)+COUNTIFS($G$17:$G$99,"入池",$M$17:$M$99,"&gt;=-1E+307",$M$17:$M$99,"&lt;=1E+307",$M$17:$M$99,M55)/2-0.5)/(COUNTIFS($G$17:$G$99,"入池",$M$17:$M$99,"&gt;=-1E+307",$M$17:$M$99,"&lt;=1E+307")-1),2)))</x:f>
        <x:v>67.86</x:v>
      </x:c>
      <x:c r="R55" s="52" t="n">
        <x:f>IF(OR($G55&lt;&gt;"入池",NOT(ISNUMBER(P55))),"",IF(COUNTIFS($G$17:$G$99,"入池",$P$17:$P$99,"&gt;=-1E+307",$P$17:$P$99,"&lt;=1E+307")&lt;=1,'Sheet1-指标体系'!$J$18,ROUND('Sheet1-指标体系'!$J$18*(COUNTIFS($G$17:$G$99,"入池",$P$17:$P$99,"&gt;=-1E+307",$P$17:$P$99,"&lt;"&amp;P55)+COUNTIFS($G$17:$G$99,"入池",$P$17:$P$99,"&gt;=-1E+307",$P$17:$P$99,"&lt;=1E+307",$P$17:$P$99,P55)/2-0.5)/(COUNTIFS($G$17:$G$99,"入池",$P$17:$P$99,"&gt;=-1E+307",$P$17:$P$99,"&lt;=1E+307")-1),2)))</x:f>
        <x:v>92.59</x:v>
      </x:c>
      <x:c r="S55" s="52" t="n">
        <x:f>IF(COUNT(Q55,R55)=0,"",ROUND((IF(ISNUMBER(Q55),Q55*'Sheet1-指标体系'!$G$7*'Sheet1-指标体系'!$J$8,0)+IF(ISNUMBER(R55),R55*'Sheet1-指标体系'!$G$7*'Sheet1-指标体系'!$J$9,0))/(IF(ISNUMBER(Q55),'Sheet1-指标体系'!$G$7*'Sheet1-指标体系'!$J$8,0)+IF(ISNUMBER(R55),'Sheet1-指标体系'!$G$7*'Sheet1-指标体系'!$J$9,0)),2))</x:f>
        <x:v>77.75</x:v>
      </x:c>
      <x:c r="T55" s="47" t="n">
        <x:f>IF(ISNUMBER('Sheet4-原始数据'!J40),'Sheet4-原始数据'!J40,"")</x:f>
        <x:v>0.9231</x:v>
      </x:c>
      <x:c r="U55" s="47" t="n">
        <x:f>IF(ISNUMBER('Sheet4-原始数据'!I40),'Sheet4-原始数据'!I40,"")</x:f>
        <x:v>0.9459000000000001</x:v>
      </x:c>
      <x:c r="V55" s="44" t="n">
        <x:f>IF(COUNT(T55:U55)&lt;&gt;2,"",(U55*'Sheet1-指标体系'!$J$6-T55*'Sheet1-指标体系'!$J$5)/'Sheet1-指标体系'!$J$7)</x:f>
        <x:v>0.9582499999999999</x:v>
      </x:c>
      <x:c r="W55" s="52" t="n">
        <x:f>IF(NOT(ISNUMBER(T55)),"",T55*'Sheet1-指标体系'!$J$18)</x:f>
        <x:v>92.31</x:v>
      </x:c>
      <x:c r="X55" s="52" t="n">
        <x:f>IF(G55&lt;&gt;"入池","",IF(ISNUMBER(V55),IF(AND(V55&gt;=0,V55&lt;=1),V55*'Sheet1-指标体系'!$J$18,IF(MAX(0,(F55-'Sheet1-指标体系'!$J$15)*'Sheet1-指标体系'!$J$20)&lt;'Sheet1-指标体系'!$J$19,'Sheet1-指标体系'!$J$18,"")),IF(MAX(0,(F55-'Sheet1-指标体系'!$J$15)*'Sheet1-指标体系'!$J$20)&lt;'Sheet1-指标体系'!$J$19,'Sheet1-指标体系'!$J$18,"")))</x:f>
        <x:v>95.82499999999999</x:v>
      </x:c>
      <x:c r="Y55" s="52" t="n">
        <x:f>IF(NOT(ISNUMBER(W55)),"",IF(COUNT(W55,X55)=0,"",ROUND((IF(ISNUMBER(W55),W55*'Sheet1-指标体系'!$G$8*'Sheet1-指标体系'!$J$8,0)+IF(ISNUMBER(X55),X55*'Sheet1-指标体系'!$G$8*'Sheet1-指标体系'!$J$9,0))/(IF(ISNUMBER(W55),'Sheet1-指标体系'!$G$8*'Sheet1-指标体系'!$J$8,0)+IF(ISNUMBER(X55),'Sheet1-指标体系'!$G$8*'Sheet1-指标体系'!$J$9,0)),2)))</x:f>
        <x:v>93.72</x:v>
      </x:c>
      <x:c r="Z55" s="44" t="n">
        <x:f>IF(COUNT(M55,AD55)&lt;&gt;2,"",IF(AD55=0,"",ABS(M55/AD55)))</x:f>
        <x:v>0.005704554240280839</x:v>
      </x:c>
      <x:c r="AA55" s="47" t="n">
        <x:f>IF(ISNUMBER('Sheet4-原始数据'!K40),'Sheet4-原始数据'!K40,"")</x:f>
        <x:v>0.005699999999999999</x:v>
      </x:c>
      <x:c r="AB55" s="44" t="n">
        <x:f>IF(COUNT(Z55:AA55)=0,"",MAX(Z55:AA55))</x:f>
        <x:v>0.005704554240280839</x:v>
      </x:c>
      <x:c r="AC55" s="52" t="n">
        <x:f>IF(OR($G55&lt;&gt;"入池",NOT(ISNUMBER(AB55))),"",IF(COUNTIFS($G$17:$G$99,"入池",$AB$17:$AB$99,"&gt;=-1E+307",$AB$17:$AB$99,"&lt;=1E+307")&lt;=1,'Sheet1-指标体系'!$J$18,ROUND('Sheet1-指标体系'!$J$18*(COUNTIFS($G$17:$G$99,"入池",$AB$17:$AB$99,"&lt;=1E+307",$AB$17:$AB$99,"&gt;"&amp;AB55)+COUNTIFS($G$17:$G$99,"入池",$AB$17:$AB$99,"&gt;=-1E+307",$AB$17:$AB$99,"&lt;=1E+307",$AB$17:$AB$99,AB55)/2-0.5)/(COUNTIFS($G$17:$G$99,"入池",$AB$17:$AB$99,"&gt;=-1E+307",$AB$17:$AB$99,"&lt;=1E+307")-1),2)))</x:f>
        <x:v>87.93</x:v>
      </x:c>
      <x:c r="AD55" s="48" t="n">
        <x:f>IF(ISNUMBER('Sheet4-原始数据'!M40),'Sheet4-原始数据'!M40,"")</x:f>
        <x:v>19.1426</x:v>
      </x:c>
      <x:c r="AE55" s="44" t="str">
        <x:f>IF(COUNT(P55,AA55,Z55)&lt;&gt;3,"",IF(AA55&gt;Z55+'Sheet1-指标体系'!$J$11,AA55,""))</x:f>
      </x:c>
      <x:c r="AF55" s="52" t="str">
        <x:f>IF(COUNT(P55,AE55)&lt;&gt;2,"",IF(AE55=0,"",P55/AE55))</x:f>
      </x:c>
      <x:c r="AG55" s="52" t="n">
        <x:f>IF(OR($G55&lt;&gt;"入池",NOT(ISNUMBER(AD55))),"",IF(COUNTIFS($G$17:$G$99,"入池",$AD$17:$AD$99,"&gt;=-1E+307",$AD$17:$AD$99,"&lt;=1E+307")&lt;=1,'Sheet1-指标体系'!$J$18,ROUND('Sheet1-指标体系'!$J$18*(COUNTIFS($G$17:$G$99,"入池",$AD$17:$AD$99,"&gt;=-1E+307",$AD$17:$AD$99,"&lt;"&amp;AD55)+COUNTIFS($G$17:$G$99,"入池",$AD$17:$AD$99,"&gt;=-1E+307",$AD$17:$AD$99,"&lt;=1E+307",$AD$17:$AD$99,AD55)/2-0.5)/(COUNTIFS($G$17:$G$99,"入池",$AD$17:$AD$99,"&gt;=-1E+307",$AD$17:$AD$99,"&lt;=1E+307")-1),2)))</x:f>
        <x:v>80</x:v>
      </x:c>
      <x:c r="AH55" s="52" t="str">
        <x:f>IF(OR($G55&lt;&gt;"入池",NOT(ISNUMBER(AF55))),"",IF(COUNTIFS($G$17:$G$99,"入池",$AF$17:$AF$99,"&gt;=-1E+307",$AF$17:$AF$99,"&lt;=1E+307")&lt;=1,'Sheet1-指标体系'!$J$18,ROUND('Sheet1-指标体系'!$J$18*(COUNTIFS($G$17:$G$99,"入池",$AF$17:$AF$99,"&gt;=-1E+307",$AF$17:$AF$99,"&lt;"&amp;AF55)+COUNTIFS($G$17:$G$99,"入池",$AF$17:$AF$99,"&gt;=-1E+307",$AF$17:$AF$99,"&lt;=1E+307",$AF$17:$AF$99,AF55)/2-0.5)/(COUNTIFS($G$17:$G$99,"入池",$AF$17:$AF$99,"&gt;=-1E+307",$AF$17:$AF$99,"&lt;=1E+307")-1),2)))</x:f>
      </x:c>
      <x:c r="AI55" s="52" t="n">
        <x:f>IF(COUNT(AG55,AH55)=0,"",ROUND((IF(ISNUMBER(AG55),AG55*'Sheet1-指标体系'!$G$10*'Sheet1-指标体系'!$J$8,0)+IF(ISNUMBER(AH55),AH55*'Sheet1-指标体系'!$G$10*'Sheet1-指标体系'!$J$9,0))/(IF(ISNUMBER(AG55),'Sheet1-指标体系'!$G$10*'Sheet1-指标体系'!$J$8,0)+IF(ISNUMBER(AH55),'Sheet1-指标体系'!$G$10*'Sheet1-指标体系'!$J$9,0)),2))</x:f>
        <x:v>80</x:v>
      </x:c>
      <x:c r="AJ55" s="44" t="n">
        <x:f>IF(NOT(ISNUMBER(F55)),"",IF(F55&gt;='Sheet1-指标体系'!$J$16,IF(ISNUMBER(N55),N55,""),IF(ISNUMBER(O55),O55,"")))</x:f>
        <x:v>0.1448</x:v>
      </x:c>
      <x:c r="AK55" s="52" t="n">
        <x:f>IF(OR(G55&lt;&gt;"入池",COUNT(M55,AJ55)&lt;&gt;2),"",IF(M55&gt;=AJ55,'Sheet1-指标体系'!$J$18,IF(AJ55-M55&lt;'Sheet1-指标体系'!$J$10,'Sheet1-指标体系'!$J$22,'Sheet1-指标体系'!$J$23)))</x:f>
        <x:v>80</x:v>
      </x:c>
      <x:c r="AL55" s="52" t="n">
        <x:f>IF(COUNT(I55,K55,L55)=0,"",ROUND((IF(ISNUMBER(I55),I55*'Sheet1-指标体系'!$G$4,0)+IF(ISNUMBER(K55),K55*'Sheet1-指标体系'!$G$5,0)+IF(ISNUMBER(L55),L55*'Sheet1-指标体系'!$G$6,0))/(IF(ISNUMBER(I55),'Sheet1-指标体系'!$G$4,0)+IF(ISNUMBER(K55),'Sheet1-指标体系'!$G$5,0)+IF(ISNUMBER(L55),'Sheet1-指标体系'!$G$6,0)),2))</x:f>
        <x:v>92</x:v>
      </x:c>
      <x:c r="AM55" s="52" t="n">
        <x:f>IF(COUNT(Q55,R55,W55,X55)=0,"",ROUND((IF(ISNUMBER(Q55),Q55*'Sheet1-指标体系'!$G$7*'Sheet1-指标体系'!$J$8,0)+IF(ISNUMBER(R55),R55*'Sheet1-指标体系'!$G$7*'Sheet1-指标体系'!$J$9,0)+IF(ISNUMBER(W55),W55*'Sheet1-指标体系'!$G$8*'Sheet1-指标体系'!$J$8,0)+IF(ISNUMBER(X55),X55*'Sheet1-指标体系'!$G$8*'Sheet1-指标体系'!$J$9,0))/(IF(ISNUMBER(Q55),'Sheet1-指标体系'!$G$7*'Sheet1-指标体系'!$J$8,0)+IF(ISNUMBER(R55),'Sheet1-指标体系'!$G$7*'Sheet1-指标体系'!$J$9,0)+IF(ISNUMBER(W55),'Sheet1-指标体系'!$G$8*'Sheet1-指标体系'!$J$8,0)+IF(ISNUMBER(X55),'Sheet1-指标体系'!$G$8*'Sheet1-指标体系'!$J$9,0)),2))</x:f>
        <x:v>82.54</x:v>
      </x:c>
      <x:c r="AN55" s="52" t="n">
        <x:f>IF(ISNUMBER(AC55),AC55,"")</x:f>
        <x:v>87.93</x:v>
      </x:c>
      <x:c r="AO55" s="52" t="n">
        <x:f>IF(COUNT(AG55,AH55)=0,"",ROUND((IF(ISNUMBER(AG55),AG55*'Sheet1-指标体系'!$G$10*'Sheet1-指标体系'!$J$8,0)+IF(ISNUMBER(AH55),AH55*'Sheet1-指标体系'!$G$10*'Sheet1-指标体系'!$J$9,0))/(IF(ISNUMBER(AG55),'Sheet1-指标体系'!$G$10*'Sheet1-指标体系'!$J$8,0)+IF(ISNUMBER(AH55),'Sheet1-指标体系'!$G$10*'Sheet1-指标体系'!$J$9,0)),2))</x:f>
        <x:v>80</x:v>
      </x:c>
      <x:c r="AP55" s="52" t="n">
        <x:f>IF(ISNUMBER(AK55),AK55,"")</x:f>
        <x:v>80</x:v>
      </x:c>
      <x:c r="AQ55" s="27" t="n">
        <x:f>IF(G55&lt;&gt;"入池",0,IF(ISNUMBER(I55),'Sheet1-指标体系'!$G$4,0)+IF(ISNUMBER(K55),'Sheet1-指标体系'!$G$5,0)+IF(ISNUMBER(L55),'Sheet1-指标体系'!$G$6,0)+IF(ISNUMBER(Q55),'Sheet1-指标体系'!$G$7*'Sheet1-指标体系'!$J$8,0)+IF(ISNUMBER(R55),'Sheet1-指标体系'!$G$7*'Sheet1-指标体系'!$J$9,0)+IF(ISNUMBER(W55),'Sheet1-指标体系'!$G$8*'Sheet1-指标体系'!$J$8,0)+IF(ISNUMBER(X55),'Sheet1-指标体系'!$G$8*'Sheet1-指标体系'!$J$9,0)+IF(ISNUMBER(AC55),'Sheet1-指标体系'!$G$9,0)+IF(ISNUMBER(AG55),'Sheet1-指标体系'!$G$10*'Sheet1-指标体系'!$J$8,0)+IF(ISNUMBER(AH55),'Sheet1-指标体系'!$G$10*'Sheet1-指标体系'!$J$9,0)+IF(ISNUMBER(AK55),'Sheet1-指标体系'!$G$11,0))</x:f>
        <x:v>0.88</x:v>
      </x:c>
      <x:c r="AR55" s="52" t="n">
        <x:f>IF(AQ55=0,"",IF(ISNUMBER(I55),I55*'Sheet1-指标体系'!$G$4,0)+IF(ISNUMBER(K55),K55*'Sheet1-指标体系'!$G$5,0)+IF(ISNUMBER(L55),L55*'Sheet1-指标体系'!$G$6,0)+IF(ISNUMBER(Q55),Q55*'Sheet1-指标体系'!$G$7*'Sheet1-指标体系'!$J$8,0)+IF(ISNUMBER(R55),R55*'Sheet1-指标体系'!$G$7*'Sheet1-指标体系'!$J$9,0)+IF(ISNUMBER(W55),W55*'Sheet1-指标体系'!$G$8*'Sheet1-指标体系'!$J$8,0)+IF(ISNUMBER(X55),X55*'Sheet1-指标体系'!$G$8*'Sheet1-指标体系'!$J$9,0)+IF(ISNUMBER(AC55),AC55*'Sheet1-指标体系'!$G$9,0)+IF(ISNUMBER(AG55),AG55*'Sheet1-指标体系'!$G$10*'Sheet1-指标体系'!$J$8,0)+IF(ISNUMBER(AH55),AH55*'Sheet1-指标体系'!$G$10*'Sheet1-指标体系'!$J$9,0)+IF(ISNUMBER(AK55),AK55*'Sheet1-指标体系'!$G$11,0))</x:f>
        <x:v>74.69074</x:v>
      </x:c>
      <x:c r="AS55" s="52" t="n">
        <x:f>IF(AQ55=0,"",ROUND(AR55/AQ55,2))</x:f>
        <x:v>84.88</x:v>
      </x:c>
      <x:c r="AT55" s="49" t="n">
        <x:f>IF(OR(G55&lt;&gt;"入池",NOT(ISNUMBER(AS55))),"",COUNTIFS($G$17:$G$99,"入池",$AS$17:$AS$99,"&gt;"&amp;AS55)+COUNTIFS($G$17:$G$99,"入池",$AS$17:$AS$99,AS55,$AQ$17:$AQ$99,"&gt;"&amp;AQ55)+COUNTIFS($G$17:G55,"入池",$AS$17:AS55,AS55,$AQ$17:AQ55,AQ55))</x:f>
        <x:v>16</x:v>
      </x:c>
      <x:c r="AU55" s="53" t="str">
        <x:f>IF(NOT(ISNUMBER(I55)),"管理人规模；","")&amp;IF(NOT(ISNUMBER(K55)),"产品规模标识；","")&amp;IF(NOT(ISNUMBER(M55)),"近一年收益；","")&amp;IF(NOT(ISNUMBER(T55)),"近一年胜率；","")&amp;IF(NOT(ISNUMBER(N55)),"近三年收益；","")&amp;IF(NOT(ISNUMBER(U55)),"近三年胜率；","")&amp;IF(NOT(ISNUMBER(AA55)),"近三年回撤；","")&amp;IF(NOT(ISNUMBER(AD55)),"近一年卡玛；","")&amp;IF(ISNUMBER(F55),IF(AND(F55&lt;'Sheet1-指标体系'!$J$16,NOT(ISNUMBER(O55))),"成立以来年化；",""),"成立日期；")&amp;IF(ISNUMBER(V55),IF(OR(V55&lt;0,V55&gt;1),"胜率窗口口径不一致；",""),"")&amp;IF(ISNUMBER(P55),IF(NOT(ISNUMBER(AE55)),"DD_long不可识别；",""),"")</x:f>
        <x:v>DD_long不可识别；</x:v>
      </x:c>
      <x:c r="AV55" s="52" t="str">
        <x:f>IF(ROUND(AQ55,10)=ROUND('Sheet1-指标体系'!$J$25,10),AR55,"")</x:f>
      </x:c>
      <x:c r="AW55" s="14" t="str">
        <x:f>IF(G55&lt;&gt;"入池",G55,IF(AQ55=0,"无有效评分数据",IF(ROUND(AQ55,10)=ROUND('Sheet1-指标体系'!$J$25,10),"完整赋分", "暂定分／数据不完整")))</x:f>
        <x:v>暂定分／数据不完整</x:v>
      </x:c>
      <x:c r="AX55" s="45" t="str">
        <x:f>IF('Sheet4-原始数据'!C40="","",'Sheet4-原始数据'!C40)</x:f>
        <x:v>套利策略</x:v>
      </x:c>
      <x:c r="AY55" s="45" t="str">
        <x:f>IF('Sheet4-原始数据'!D40="","",'Sheet4-原始数据'!D40)</x:f>
        <x:v>基金套利</x:v>
      </x:c>
      <x:c r="AZ55" s="45" t="str">
        <x:f>IF('Sheet5-查询核对'!S40="","",'Sheet5-查询核对'!S40)</x:f>
        <x:v>套利策略—基金套利</x:v>
      </x:c>
      <x:c r="BA55" s="51" t="n">
        <x:f>IF('Sheet5-查询核对'!A40="","",'Sheet5-查询核对'!A40)</x:f>
        <x:v>40</x:v>
      </x:c>
      <x:c r="BB55" s="45" t="str">
        <x:f>IF('Sheet5-查询核对'!F40="","",'Sheet5-查询核对'!F40)</x:f>
        <x:v>备案号匹配</x:v>
      </x:c>
      <x:c r="BC55" s="50" t="str">
        <x:f>IF('Sheet5-查询核对'!I40="","",'Sheet5-查询核对'!I40)</x:f>
        <x:v>https://mp.fof99.com/fund/view/f263e8836aad5b82</x:v>
      </x:c>
      <x:c r="BD55" s="46" t="n">
        <x:f>IF('Sheet5-查询核对'!H40="","",'Sheet5-查询核对'!H40)</x:f>
        <x:v>46269</x:v>
      </x:c>
      <x:c r="BE55" s="50" t="str">
        <x:f>IF('Sheet5-查询核对'!L40="","",'Sheet5-查询核对'!L40)</x:f>
        <x:v>https://mp.fof99.com/fund/view/f263e8836aad5b82</x:v>
      </x:c>
      <x:c r="BF55" s="46" t="n">
        <x:f>IF('Sheet5-查询核对'!M40="","",'Sheet5-查询核对'!M40)</x:f>
        <x:v>46275</x:v>
      </x:c>
      <x:c r="BG55" s="50" t="str">
        <x:f>IF('Sheet5-查询核对'!O40="","",'Sheet5-查询核对'!O40)</x:f>
        <x:v>https://gs.amac.org.cn/amac-infodisc/res/pof/fund/2201111049116796.html</x:v>
      </x:c>
      <x:c r="BH55" s="46" t="n">
        <x:f>IF('Sheet5-查询核对'!P40="","",'Sheet5-查询核对'!P40)</x:f>
        <x:v>46275</x:v>
      </x:c>
      <x:c r="BI55" s="45" t="str">
        <x:f>IF('Sheet5-查询核对'!D40="","",'Sheet5-查询核对'!D40)</x:f>
        <x:v>STR466</x:v>
      </x:c>
      <x:c r="BJ55" t="n">
        <x:f>IF(ISNUMBER(AT55),AT55,COUNT($AT$17:$AT$99)+ROWS($AT$17:AT55)-COUNT($AT$17:AT55))</x:f>
        <x:v>16</x:v>
      </x:c>
    </x:row>
    <x:row r="56" ht="44" customHeight="1">
      <x:c r="A56" s="49" t="n">
        <x:f>'Sheet5-查询核对'!A41-1</x:f>
        <x:v>40</x:v>
      </x:c>
      <x:c r="B56" s="50" t="str">
        <x:f>IF('Sheet4-原始数据'!A41="",'Sheet5-查询核对'!B41,'Sheet4-原始数据'!A41)</x:f>
        <x:v>慕途基本面量化1号</x:v>
      </x:c>
      <x:c r="C56" s="45" t="str">
        <x:f>IF('Sheet4-原始数据'!B41="","",'Sheet4-原始数据'!B41)</x:f>
        <x:v>SVW787</x:v>
      </x:c>
      <x:c r="D56" s="45" t="str">
        <x:f>IF('Sheet4-原始数据'!E41="","",'Sheet4-原始数据'!E41)</x:f>
        <x:v>慕途基金</x:v>
      </x:c>
      <x:c r="E56" s="46" t="n">
        <x:f>IF('Sheet4-原始数据'!F41="","",'Sheet4-原始数据'!F41)</x:f>
        <x:v>44750</x:v>
      </x:c>
      <x:c r="F56" s="52" t="n">
        <x:f>IF(ISNUMBER(E56),ROUND(('Sheet1-指标体系'!$J$12-E56)/'Sheet1-指标体系'!$J$14,4),"")</x:f>
        <x:v>4.1752</x:v>
      </x:c>
      <x:c r="G56" s="14" t="str">
        <x:f>IF(C56="","未匹配",IF(NOT(ISNUMBER(F56)),"缺成立日期",IF(F56&lt;'Sheet1-指标体系'!$J$15,"不入池","入池")))</x:f>
        <x:v>入池</x:v>
      </x:c>
      <x:c r="H56" s="45" t="str">
        <x:f>IF('Sheet5-查询核对'!K41="","",'Sheet5-查询核对'!K41)</x:f>
        <x:v>10-20亿元</x:v>
      </x:c>
      <x:c r="I56" s="52" t="n">
        <x:f>IF(H56="","",IF(COUNTIF('Sheet1-指标体系'!$P$4:$P$10,H56)=0,"",INDEX('Sheet1-指标体系'!$Q$4:$Q$10,MATCH(H56,'Sheet1-指标体系'!$P$4:$P$10,0))))</x:f>
        <x:v>80</x:v>
      </x:c>
      <x:c r="J56" s="54" t="str">
        <x:f>IF(NOT(ISNUMBER('Sheet5-查询核对'!N41)),"",IF('Sheet5-查询核对'!N41=1,"低于"&amp;'Sheet1-指标体系'!$J$4&amp;"万元",IF('Sheet5-查询核对'!N41=0,"无低于"&amp;'Sheet1-指标体系'!$J$4&amp;"万元标识","")))</x:f>
        <x:v>无低于1000万元标识</x:v>
      </x:c>
      <x:c r="K56" s="52" t="n">
        <x:f>IF(NOT(ISNUMBER('Sheet5-查询核对'!N41)),"",IF('Sheet5-查询核对'!N41=1,'Sheet1-指标体系'!$J$21,IF('Sheet5-查询核对'!N41=0,'Sheet1-指标体系'!$J$18,"")))</x:f>
        <x:v>100</x:v>
      </x:c>
      <x:c r="L56" s="52" t="n">
        <x:f>IF(NOT(ISNUMBER(F56)),"",IF(F56&lt;'Sheet1-指标体系'!$J$15,"",IF(F56&lt;'Sheet1-指标体系'!$J$16,'Sheet1-指标体系'!$J$17,'Sheet1-指标体系'!$J$18)))</x:f>
        <x:v>100</x:v>
      </x:c>
      <x:c r="M56" s="47" t="n">
        <x:f>IF(ISNUMBER('Sheet4-原始数据'!G41),'Sheet4-原始数据'!G41,"")</x:f>
        <x:v>0.10310000000000001</x:v>
      </x:c>
      <x:c r="N56" s="47" t="n">
        <x:f>IF(ISNUMBER('Sheet4-原始数据'!H41),'Sheet4-原始数据'!H41,"")</x:f>
        <x:v>0.0898</x:v>
      </x:c>
      <x:c r="O56" s="47" t="n">
        <x:f>IF(ISNUMBER('Sheet5-查询核对'!Q41),'Sheet5-查询核对'!Q41,"")</x:f>
        <x:v>0.1139</x:v>
      </x:c>
      <x:c r="P56" s="44" t="n">
        <x:f>IF($G56&lt;&gt;"入池","",IF($F56&gt;='Sheet1-指标体系'!$J$16,IF(COUNT(M56,N56)&lt;&gt;2,"",IF(OR(1+M56&lt;=0,1+N56&lt;0),"",((1+N56)^'Sheet1-指标体系'!$J$16/(1+M56))^(1/('Sheet1-指标体系'!$J$16-'Sheet1-指标体系'!$J$15))-1)),IF(COUNT(M56,O56)&lt;&gt;2,"",IF(OR(F56&lt;='Sheet1-指标体系'!$J$15,1+M56&lt;=0,1+O56&lt;0),"",((1+O56)^F56/(1+M56))^(1/(F56-'Sheet1-指标体系'!$J$15))-1))))</x:f>
        <x:v>0.08321025532883941</x:v>
      </x:c>
      <x:c r="Q56" s="52" t="n">
        <x:f>IF(OR($G56&lt;&gt;"入池",NOT(ISNUMBER(M56))),"",IF(COUNTIFS($G$17:$G$99,"入池",$M$17:$M$99,"&gt;=-1E+307",$M$17:$M$99,"&lt;=1E+307")&lt;=1,'Sheet1-指标体系'!$J$18,ROUND('Sheet1-指标体系'!$J$18*(COUNTIFS($G$17:$G$99,"入池",$M$17:$M$99,"&gt;=-1E+307",$M$17:$M$99,"&lt;"&amp;M56)+COUNTIFS($G$17:$G$99,"入池",$M$17:$M$99,"&gt;=-1E+307",$M$17:$M$99,"&lt;=1E+307",$M$17:$M$99,M56)/2-0.5)/(COUNTIFS($G$17:$G$99,"入池",$M$17:$M$99,"&gt;=-1E+307",$M$17:$M$99,"&lt;=1E+307")-1),2)))</x:f>
        <x:v>66.07</x:v>
      </x:c>
      <x:c r="R56" s="52" t="n">
        <x:f>IF(OR($G56&lt;&gt;"入池",NOT(ISNUMBER(P56))),"",IF(COUNTIFS($G$17:$G$99,"入池",$P$17:$P$99,"&gt;=-1E+307",$P$17:$P$99,"&lt;=1E+307")&lt;=1,'Sheet1-指标体系'!$J$18,ROUND('Sheet1-指标体系'!$J$18*(COUNTIFS($G$17:$G$99,"入池",$P$17:$P$99,"&gt;=-1E+307",$P$17:$P$99,"&lt;"&amp;P56)+COUNTIFS($G$17:$G$99,"入池",$P$17:$P$99,"&gt;=-1E+307",$P$17:$P$99,"&lt;=1E+307",$P$17:$P$99,P56)/2-0.5)/(COUNTIFS($G$17:$G$99,"入池",$P$17:$P$99,"&gt;=-1E+307",$P$17:$P$99,"&lt;=1E+307")-1),2)))</x:f>
        <x:v>62.96</x:v>
      </x:c>
      <x:c r="S56" s="52" t="n">
        <x:f>IF(COUNT(Q56,R56)=0,"",ROUND((IF(ISNUMBER(Q56),Q56*'Sheet1-指标体系'!$G$7*'Sheet1-指标体系'!$J$8,0)+IF(ISNUMBER(R56),R56*'Sheet1-指标体系'!$G$7*'Sheet1-指标体系'!$J$9,0))/(IF(ISNUMBER(Q56),'Sheet1-指标体系'!$G$7*'Sheet1-指标体系'!$J$8,0)+IF(ISNUMBER(R56),'Sheet1-指标体系'!$G$7*'Sheet1-指标体系'!$J$9,0)),2))</x:f>
        <x:v>64.83</x:v>
      </x:c>
      <x:c r="T56" s="47" t="n">
        <x:f>IF(ISNUMBER('Sheet4-原始数据'!J41),'Sheet4-原始数据'!J41,"")</x:f>
        <x:v>0.6923</x:v>
      </x:c>
      <x:c r="U56" s="47" t="n">
        <x:f>IF(ISNUMBER('Sheet4-原始数据'!I41),'Sheet4-原始数据'!I41,"")</x:f>
        <x:v>0.7027</x:v>
      </x:c>
      <x:c r="V56" s="44" t="n">
        <x:f>IF(COUNT(T56:U56)&lt;&gt;2,"",(U56*'Sheet1-指标体系'!$J$6-T56*'Sheet1-指标体系'!$J$5)/'Sheet1-指标体系'!$J$7)</x:f>
        <x:v>0.7083333333333334</x:v>
      </x:c>
      <x:c r="W56" s="52" t="n">
        <x:f>IF(NOT(ISNUMBER(T56)),"",T56*'Sheet1-指标体系'!$J$18)</x:f>
        <x:v>69.23</x:v>
      </x:c>
      <x:c r="X56" s="52" t="n">
        <x:f>IF(G56&lt;&gt;"入池","",IF(ISNUMBER(V56),IF(AND(V56&gt;=0,V56&lt;=1),V56*'Sheet1-指标体系'!$J$18,IF(MAX(0,(F56-'Sheet1-指标体系'!$J$15)*'Sheet1-指标体系'!$J$20)&lt;'Sheet1-指标体系'!$J$19,'Sheet1-指标体系'!$J$18,"")),IF(MAX(0,(F56-'Sheet1-指标体系'!$J$15)*'Sheet1-指标体系'!$J$20)&lt;'Sheet1-指标体系'!$J$19,'Sheet1-指标体系'!$J$18,"")))</x:f>
        <x:v>70.83333333333334</x:v>
      </x:c>
      <x:c r="Y56" s="52" t="n">
        <x:f>IF(NOT(ISNUMBER(W56)),"",IF(COUNT(W56,X56)=0,"",ROUND((IF(ISNUMBER(W56),W56*'Sheet1-指标体系'!$G$8*'Sheet1-指标体系'!$J$8,0)+IF(ISNUMBER(X56),X56*'Sheet1-指标体系'!$G$8*'Sheet1-指标体系'!$J$9,0))/(IF(ISNUMBER(W56),'Sheet1-指标体系'!$G$8*'Sheet1-指标体系'!$J$8,0)+IF(ISNUMBER(X56),'Sheet1-指标体系'!$G$8*'Sheet1-指标体系'!$J$9,0)),2)))</x:f>
        <x:v>69.87</x:v>
      </x:c>
      <x:c r="Z56" s="44" t="n">
        <x:f>IF(COUNT(M56,AD56)&lt;&gt;2,"",IF(AD56=0,"",ABS(M56/AD56)))</x:f>
        <x:v>0.04021688250897176</x:v>
      </x:c>
      <x:c r="AA56" s="47" t="n">
        <x:f>IF(ISNUMBER('Sheet4-原始数据'!K41),'Sheet4-原始数据'!K41,"")</x:f>
        <x:v>0.04019999999999999</x:v>
      </x:c>
      <x:c r="AB56" s="44" t="n">
        <x:f>IF(COUNT(Z56:AA56)=0,"",MAX(Z56:AA56))</x:f>
        <x:v>0.04021688250897176</x:v>
      </x:c>
      <x:c r="AC56" s="52" t="n">
        <x:f>IF(OR($G56&lt;&gt;"入池",NOT(ISNUMBER(AB56))),"",IF(COUNTIFS($G$17:$G$99,"入池",$AB$17:$AB$99,"&gt;=-1E+307",$AB$17:$AB$99,"&lt;=1E+307")&lt;=1,'Sheet1-指标体系'!$J$18,ROUND('Sheet1-指标体系'!$J$18*(COUNTIFS($G$17:$G$99,"入池",$AB$17:$AB$99,"&lt;=1E+307",$AB$17:$AB$99,"&gt;"&amp;AB56)+COUNTIFS($G$17:$G$99,"入池",$AB$17:$AB$99,"&gt;=-1E+307",$AB$17:$AB$99,"&lt;=1E+307",$AB$17:$AB$99,AB56)/2-0.5)/(COUNTIFS($G$17:$G$99,"入池",$AB$17:$AB$99,"&gt;=-1E+307",$AB$17:$AB$99,"&lt;=1E+307")-1),2)))</x:f>
        <x:v>25.86</x:v>
      </x:c>
      <x:c r="AD56" s="48" t="n">
        <x:f>IF(ISNUMBER('Sheet4-原始数据'!M41),'Sheet4-原始数据'!M41,"")</x:f>
        <x:v>2.5636</x:v>
      </x:c>
      <x:c r="AE56" s="44" t="str">
        <x:f>IF(COUNT(P56,AA56,Z56)&lt;&gt;3,"",IF(AA56&gt;Z56+'Sheet1-指标体系'!$J$11,AA56,""))</x:f>
      </x:c>
      <x:c r="AF56" s="52" t="str">
        <x:f>IF(COUNT(P56,AE56)&lt;&gt;2,"",IF(AE56=0,"",P56/AE56))</x:f>
      </x:c>
      <x:c r="AG56" s="52" t="n">
        <x:f>IF(OR($G56&lt;&gt;"入池",NOT(ISNUMBER(AD56))),"",IF(COUNTIFS($G$17:$G$99,"入池",$AD$17:$AD$99,"&gt;=-1E+307",$AD$17:$AD$99,"&lt;=1E+307")&lt;=1,'Sheet1-指标体系'!$J$18,ROUND('Sheet1-指标体系'!$J$18*(COUNTIFS($G$17:$G$99,"入池",$AD$17:$AD$99,"&gt;=-1E+307",$AD$17:$AD$99,"&lt;"&amp;AD56)+COUNTIFS($G$17:$G$99,"入池",$AD$17:$AD$99,"&gt;=-1E+307",$AD$17:$AD$99,"&lt;=1E+307",$AD$17:$AD$99,AD56)/2-0.5)/(COUNTIFS($G$17:$G$99,"入池",$AD$17:$AD$99,"&gt;=-1E+307",$AD$17:$AD$99,"&lt;=1E+307")-1),2)))</x:f>
        <x:v>23.64</x:v>
      </x:c>
      <x:c r="AH56" s="52" t="str">
        <x:f>IF(OR($G56&lt;&gt;"入池",NOT(ISNUMBER(AF56))),"",IF(COUNTIFS($G$17:$G$99,"入池",$AF$17:$AF$99,"&gt;=-1E+307",$AF$17:$AF$99,"&lt;=1E+307")&lt;=1,'Sheet1-指标体系'!$J$18,ROUND('Sheet1-指标体系'!$J$18*(COUNTIFS($G$17:$G$99,"入池",$AF$17:$AF$99,"&gt;=-1E+307",$AF$17:$AF$99,"&lt;"&amp;AF56)+COUNTIFS($G$17:$G$99,"入池",$AF$17:$AF$99,"&gt;=-1E+307",$AF$17:$AF$99,"&lt;=1E+307",$AF$17:$AF$99,AF56)/2-0.5)/(COUNTIFS($G$17:$G$99,"入池",$AF$17:$AF$99,"&gt;=-1E+307",$AF$17:$AF$99,"&lt;=1E+307")-1),2)))</x:f>
      </x:c>
      <x:c r="AI56" s="52" t="n">
        <x:f>IF(COUNT(AG56,AH56)=0,"",ROUND((IF(ISNUMBER(AG56),AG56*'Sheet1-指标体系'!$G$10*'Sheet1-指标体系'!$J$8,0)+IF(ISNUMBER(AH56),AH56*'Sheet1-指标体系'!$G$10*'Sheet1-指标体系'!$J$9,0))/(IF(ISNUMBER(AG56),'Sheet1-指标体系'!$G$10*'Sheet1-指标体系'!$J$8,0)+IF(ISNUMBER(AH56),'Sheet1-指标体系'!$G$10*'Sheet1-指标体系'!$J$9,0)),2))</x:f>
        <x:v>23.64</x:v>
      </x:c>
      <x:c r="AJ56" s="44" t="n">
        <x:f>IF(NOT(ISNUMBER(F56)),"",IF(F56&gt;='Sheet1-指标体系'!$J$16,IF(ISNUMBER(N56),N56,""),IF(ISNUMBER(O56),O56,"")))</x:f>
        <x:v>0.0898</x:v>
      </x:c>
      <x:c r="AK56" s="52" t="n">
        <x:f>IF(OR(G56&lt;&gt;"入池",COUNT(M56,AJ56)&lt;&gt;2),"",IF(M56&gt;=AJ56,'Sheet1-指标体系'!$J$18,IF(AJ56-M56&lt;'Sheet1-指标体系'!$J$10,'Sheet1-指标体系'!$J$22,'Sheet1-指标体系'!$J$23)))</x:f>
        <x:v>100</x:v>
      </x:c>
      <x:c r="AL56" s="52" t="n">
        <x:f>IF(COUNT(I56,K56,L56)=0,"",ROUND((IF(ISNUMBER(I56),I56*'Sheet1-指标体系'!$G$4,0)+IF(ISNUMBER(K56),K56*'Sheet1-指标体系'!$G$5,0)+IF(ISNUMBER(L56),L56*'Sheet1-指标体系'!$G$6,0))/(IF(ISNUMBER(I56),'Sheet1-指标体系'!$G$4,0)+IF(ISNUMBER(K56),'Sheet1-指标体系'!$G$5,0)+IF(ISNUMBER(L56),'Sheet1-指标体系'!$G$6,0)),2))</x:f>
        <x:v>92</x:v>
      </x:c>
      <x:c r="AM56" s="52" t="n">
        <x:f>IF(COUNT(Q56,R56,W56,X56)=0,"",ROUND((IF(ISNUMBER(Q56),Q56*'Sheet1-指标体系'!$G$7*'Sheet1-指标体系'!$J$8,0)+IF(ISNUMBER(R56),R56*'Sheet1-指标体系'!$G$7*'Sheet1-指标体系'!$J$9,0)+IF(ISNUMBER(W56),W56*'Sheet1-指标体系'!$G$8*'Sheet1-指标体系'!$J$8,0)+IF(ISNUMBER(X56),X56*'Sheet1-指标体系'!$G$8*'Sheet1-指标体系'!$J$9,0))/(IF(ISNUMBER(Q56),'Sheet1-指标体系'!$G$7*'Sheet1-指标体系'!$J$8,0)+IF(ISNUMBER(R56),'Sheet1-指标体系'!$G$7*'Sheet1-指标体系'!$J$9,0)+IF(ISNUMBER(W56),'Sheet1-指标体系'!$G$8*'Sheet1-指标体系'!$J$8,0)+IF(ISNUMBER(X56),'Sheet1-指标体系'!$G$8*'Sheet1-指标体系'!$J$9,0)),2))</x:f>
        <x:v>66.34</x:v>
      </x:c>
      <x:c r="AN56" s="52" t="n">
        <x:f>IF(ISNUMBER(AC56),AC56,"")</x:f>
        <x:v>25.86</x:v>
      </x:c>
      <x:c r="AO56" s="52" t="n">
        <x:f>IF(COUNT(AG56,AH56)=0,"",ROUND((IF(ISNUMBER(AG56),AG56*'Sheet1-指标体系'!$G$10*'Sheet1-指标体系'!$J$8,0)+IF(ISNUMBER(AH56),AH56*'Sheet1-指标体系'!$G$10*'Sheet1-指标体系'!$J$9,0))/(IF(ISNUMBER(AG56),'Sheet1-指标体系'!$G$10*'Sheet1-指标体系'!$J$8,0)+IF(ISNUMBER(AH56),'Sheet1-指标体系'!$G$10*'Sheet1-指标体系'!$J$9,0)),2))</x:f>
        <x:v>23.64</x:v>
      </x:c>
      <x:c r="AP56" s="52" t="n">
        <x:f>IF(ISNUMBER(AK56),AK56,"")</x:f>
        <x:v>100</x:v>
      </x:c>
      <x:c r="AQ56" s="27" t="n">
        <x:f>IF(G56&lt;&gt;"入池",0,IF(ISNUMBER(I56),'Sheet1-指标体系'!$G$4,0)+IF(ISNUMBER(K56),'Sheet1-指标体系'!$G$5,0)+IF(ISNUMBER(L56),'Sheet1-指标体系'!$G$6,0)+IF(ISNUMBER(Q56),'Sheet1-指标体系'!$G$7*'Sheet1-指标体系'!$J$8,0)+IF(ISNUMBER(R56),'Sheet1-指标体系'!$G$7*'Sheet1-指标体系'!$J$9,0)+IF(ISNUMBER(W56),'Sheet1-指标体系'!$G$8*'Sheet1-指标体系'!$J$8,0)+IF(ISNUMBER(X56),'Sheet1-指标体系'!$G$8*'Sheet1-指标体系'!$J$9,0)+IF(ISNUMBER(AC56),'Sheet1-指标体系'!$G$9,0)+IF(ISNUMBER(AG56),'Sheet1-指标体系'!$G$10*'Sheet1-指标体系'!$J$8,0)+IF(ISNUMBER(AH56),'Sheet1-指标体系'!$G$10*'Sheet1-指标体系'!$J$9,0)+IF(ISNUMBER(AK56),'Sheet1-指标体系'!$G$11,0))</x:f>
        <x:v>0.88</x:v>
      </x:c>
      <x:c r="AR56" s="52" t="n">
        <x:f>IF(AQ56=0,"",IF(ISNUMBER(I56),I56*'Sheet1-指标体系'!$G$4,0)+IF(ISNUMBER(K56),K56*'Sheet1-指标体系'!$G$5,0)+IF(ISNUMBER(L56),L56*'Sheet1-指标体系'!$G$6,0)+IF(ISNUMBER(Q56),Q56*'Sheet1-指标体系'!$G$7*'Sheet1-指标体系'!$J$8,0)+IF(ISNUMBER(R56),R56*'Sheet1-指标体系'!$G$7*'Sheet1-指标体系'!$J$9,0)+IF(ISNUMBER(W56),W56*'Sheet1-指标体系'!$G$8*'Sheet1-指标体系'!$J$8,0)+IF(ISNUMBER(X56),X56*'Sheet1-指标体系'!$G$8*'Sheet1-指标体系'!$J$9,0)+IF(ISNUMBER(AC56),AC56*'Sheet1-指标体系'!$G$9,0)+IF(ISNUMBER(AG56),AG56*'Sheet1-指标体系'!$G$10*'Sheet1-指标体系'!$J$8,0)+IF(ISNUMBER(AH56),AH56*'Sheet1-指标体系'!$G$10*'Sheet1-指标体系'!$J$9,0)+IF(ISNUMBER(AK56),AK56*'Sheet1-指标体系'!$G$11,0))</x:f>
        <x:v>47.78812</x:v>
      </x:c>
      <x:c r="AS56" s="52" t="n">
        <x:f>IF(AQ56=0,"",ROUND(AR56/AQ56,2))</x:f>
        <x:v>54.3</x:v>
      </x:c>
      <x:c r="AT56" s="49" t="n">
        <x:f>IF(OR(G56&lt;&gt;"入池",NOT(ISNUMBER(AS56))),"",COUNTIFS($G$17:$G$99,"入池",$AS$17:$AS$99,"&gt;"&amp;AS56)+COUNTIFS($G$17:$G$99,"入池",$AS$17:$AS$99,AS56,$AQ$17:$AQ$99,"&gt;"&amp;AQ56)+COUNTIFS($G$17:G56,"入池",$AS$17:AS56,AS56,$AQ$17:AQ56,AQ56))</x:f>
        <x:v>58</x:v>
      </x:c>
      <x:c r="AU56" s="53" t="str">
        <x:f>IF(NOT(ISNUMBER(I56)),"管理人规模；","")&amp;IF(NOT(ISNUMBER(K56)),"产品规模标识；","")&amp;IF(NOT(ISNUMBER(M56)),"近一年收益；","")&amp;IF(NOT(ISNUMBER(T56)),"近一年胜率；","")&amp;IF(NOT(ISNUMBER(N56)),"近三年收益；","")&amp;IF(NOT(ISNUMBER(U56)),"近三年胜率；","")&amp;IF(NOT(ISNUMBER(AA56)),"近三年回撤；","")&amp;IF(NOT(ISNUMBER(AD56)),"近一年卡玛；","")&amp;IF(ISNUMBER(F56),IF(AND(F56&lt;'Sheet1-指标体系'!$J$16,NOT(ISNUMBER(O56))),"成立以来年化；",""),"成立日期；")&amp;IF(ISNUMBER(V56),IF(OR(V56&lt;0,V56&gt;1),"胜率窗口口径不一致；",""),"")&amp;IF(ISNUMBER(P56),IF(NOT(ISNUMBER(AE56)),"DD_long不可识别；",""),"")</x:f>
        <x:v>DD_long不可识别；</x:v>
      </x:c>
      <x:c r="AV56" s="52" t="str">
        <x:f>IF(ROUND(AQ56,10)=ROUND('Sheet1-指标体系'!$J$25,10),AR56,"")</x:f>
      </x:c>
      <x:c r="AW56" s="14" t="str">
        <x:f>IF(G56&lt;&gt;"入池",G56,IF(AQ56=0,"无有效评分数据",IF(ROUND(AQ56,10)=ROUND('Sheet1-指标体系'!$J$25,10),"完整赋分", "暂定分／数据不完整")))</x:f>
        <x:v>暂定分／数据不完整</x:v>
      </x:c>
      <x:c r="AX56" s="45" t="str">
        <x:f>IF('Sheet4-原始数据'!C41="","",'Sheet4-原始数据'!C41)</x:f>
        <x:v>套利策略</x:v>
      </x:c>
      <x:c r="AY56" s="45" t="str">
        <x:f>IF('Sheet4-原始数据'!D41="","",'Sheet4-原始数据'!D41)</x:f>
        <x:v>期货套利</x:v>
      </x:c>
      <x:c r="AZ56" s="45" t="str">
        <x:f>IF('Sheet5-查询核对'!S41="","",'Sheet5-查询核对'!S41)</x:f>
        <x:v>套利策略—期货套利</x:v>
      </x:c>
      <x:c r="BA56" s="51" t="n">
        <x:f>IF('Sheet5-查询核对'!A41="","",'Sheet5-查询核对'!A41)</x:f>
        <x:v>41</x:v>
      </x:c>
      <x:c r="BB56" s="45" t="str">
        <x:f>IF('Sheet5-查询核对'!F41="","",'Sheet5-查询核对'!F41)</x:f>
        <x:v>备案号匹配</x:v>
      </x:c>
      <x:c r="BC56" s="50" t="str">
        <x:f>IF('Sheet5-查询核对'!I41="","",'Sheet5-查询核对'!I41)</x:f>
        <x:v>https://mp.fof99.com/fund/view/437e3feded28d12d</x:v>
      </x:c>
      <x:c r="BD56" s="46" t="n">
        <x:f>IF('Sheet5-查询核对'!H41="","",'Sheet5-查询核对'!H41)</x:f>
        <x:v>46269</x:v>
      </x:c>
      <x:c r="BE56" s="50" t="str">
        <x:f>IF('Sheet5-查询核对'!L41="","",'Sheet5-查询核对'!L41)</x:f>
        <x:v>https://mp.fof99.com/fund/view/437e3feded28d12d</x:v>
      </x:c>
      <x:c r="BF56" s="46" t="n">
        <x:f>IF('Sheet5-查询核对'!M41="","",'Sheet5-查询核对'!M41)</x:f>
        <x:v>46275</x:v>
      </x:c>
      <x:c r="BG56" s="50" t="str">
        <x:f>IF('Sheet5-查询核对'!O41="","",'Sheet5-查询核对'!O41)</x:f>
        <x:v>https://gs.amac.org.cn/amac-infodisc/res/pof/fund/2207141704102568.html</x:v>
      </x:c>
      <x:c r="BH56" s="46" t="n">
        <x:f>IF('Sheet5-查询核对'!P41="","",'Sheet5-查询核对'!P41)</x:f>
        <x:v>46275</x:v>
      </x:c>
      <x:c r="BI56" s="45" t="str">
        <x:f>IF('Sheet5-查询核对'!D41="","",'Sheet5-查询核对'!D41)</x:f>
        <x:v>SVW787</x:v>
      </x:c>
      <x:c r="BJ56" t="n">
        <x:f>IF(ISNUMBER(AT56),AT56,COUNT($AT$17:$AT$99)+ROWS($AT$17:AT56)-COUNT($AT$17:AT56))</x:f>
        <x:v>58</x:v>
      </x:c>
    </x:row>
    <x:row r="57" ht="44" customHeight="1">
      <x:c r="A57" s="49" t="n">
        <x:f>'Sheet5-查询核对'!A42-1</x:f>
        <x:v>41</x:v>
      </x:c>
      <x:c r="B57" s="50" t="str">
        <x:f>IF('Sheet4-原始数据'!A42="",'Sheet5-查询核对'!B42,'Sheet4-原始数据'!A42)</x:f>
        <x:v>慕途基本面量化2号</x:v>
      </x:c>
      <x:c r="C57" s="45" t="str">
        <x:f>IF('Sheet4-原始数据'!B42="","",'Sheet4-原始数据'!B42)</x:f>
        <x:v>SB9576</x:v>
      </x:c>
      <x:c r="D57" s="45" t="str">
        <x:f>IF('Sheet4-原始数据'!E42="","",'Sheet4-原始数据'!E42)</x:f>
        <x:v>慕途基金</x:v>
      </x:c>
      <x:c r="E57" s="46" t="n">
        <x:f>IF('Sheet4-原始数据'!F42="","",'Sheet4-原始数据'!F42)</x:f>
        <x:v>45166</x:v>
      </x:c>
      <x:c r="F57" s="52" t="n">
        <x:f>IF(ISNUMBER(E57),ROUND(('Sheet1-指标体系'!$J$12-E57)/'Sheet1-指标体系'!$J$14,4),"")</x:f>
        <x:v>3.0363</x:v>
      </x:c>
      <x:c r="G57" s="14" t="str">
        <x:f>IF(C57="","未匹配",IF(NOT(ISNUMBER(F57)),"缺成立日期",IF(F57&lt;'Sheet1-指标体系'!$J$15,"不入池","入池")))</x:f>
        <x:v>入池</x:v>
      </x:c>
      <x:c r="H57" s="45" t="str">
        <x:f>IF('Sheet5-查询核对'!K42="","",'Sheet5-查询核对'!K42)</x:f>
        <x:v>10-20亿元</x:v>
      </x:c>
      <x:c r="I57" s="52" t="n">
        <x:f>IF(H57="","",IF(COUNTIF('Sheet1-指标体系'!$P$4:$P$10,H57)=0,"",INDEX('Sheet1-指标体系'!$Q$4:$Q$10,MATCH(H57,'Sheet1-指标体系'!$P$4:$P$10,0))))</x:f>
        <x:v>80</x:v>
      </x:c>
      <x:c r="J57" s="54" t="str">
        <x:f>IF(NOT(ISNUMBER('Sheet5-查询核对'!N42)),"",IF('Sheet5-查询核对'!N42=1,"低于"&amp;'Sheet1-指标体系'!$J$4&amp;"万元",IF('Sheet5-查询核对'!N42=0,"无低于"&amp;'Sheet1-指标体系'!$J$4&amp;"万元标识","")))</x:f>
        <x:v>无低于1000万元标识</x:v>
      </x:c>
      <x:c r="K57" s="52" t="n">
        <x:f>IF(NOT(ISNUMBER('Sheet5-查询核对'!N42)),"",IF('Sheet5-查询核对'!N42=1,'Sheet1-指标体系'!$J$21,IF('Sheet5-查询核对'!N42=0,'Sheet1-指标体系'!$J$18,"")))</x:f>
        <x:v>100</x:v>
      </x:c>
      <x:c r="L57" s="52" t="n">
        <x:f>IF(NOT(ISNUMBER(F57)),"",IF(F57&lt;'Sheet1-指标体系'!$J$15,"",IF(F57&lt;'Sheet1-指标体系'!$J$16,'Sheet1-指标体系'!$J$17,'Sheet1-指标体系'!$J$18)))</x:f>
        <x:v>100</x:v>
      </x:c>
      <x:c r="M57" s="47" t="n">
        <x:f>IF(ISNUMBER('Sheet4-原始数据'!G42),'Sheet4-原始数据'!G42,"")</x:f>
        <x:v>0.11019999999999999</x:v>
      </x:c>
      <x:c r="N57" s="47" t="n">
        <x:f>IF(ISNUMBER('Sheet4-原始数据'!H42),'Sheet4-原始数据'!H42,"")</x:f>
        <x:v>0.0942</x:v>
      </x:c>
      <x:c r="O57" s="47" t="n">
        <x:f>IF(ISNUMBER('Sheet5-查询核对'!Q42),'Sheet5-查询核对'!Q42,"")</x:f>
        <x:v>0.09390000000000001</x:v>
      </x:c>
      <x:c r="P57" s="44" t="n">
        <x:f>IF($G57&lt;&gt;"入池","",IF($F57&gt;='Sheet1-指标体系'!$J$16,IF(COUNT(M57,N57)&lt;&gt;2,"",IF(OR(1+M57&lt;=0,1+N57&lt;0),"",((1+N57)^'Sheet1-指标体系'!$J$16/(1+M57))^(1/('Sheet1-指标体系'!$J$16-'Sheet1-指标体系'!$J$15))-1)),IF(COUNT(M57,O57)&lt;&gt;2,"",IF(OR(F57&lt;='Sheet1-指标体系'!$J$15,1+M57&lt;=0,1+O57&lt;0),"",((1+O57)^F57/(1+M57))^(1/(F57-'Sheet1-指标体系'!$J$15))-1))))</x:f>
        <x:v>0.08628667973729254</x:v>
      </x:c>
      <x:c r="Q57" s="52" t="n">
        <x:f>IF(OR($G57&lt;&gt;"入池",NOT(ISNUMBER(M57))),"",IF(COUNTIFS($G$17:$G$99,"入池",$M$17:$M$99,"&gt;=-1E+307",$M$17:$M$99,"&lt;=1E+307")&lt;=1,'Sheet1-指标体系'!$J$18,ROUND('Sheet1-指标体系'!$J$18*(COUNTIFS($G$17:$G$99,"入池",$M$17:$M$99,"&gt;=-1E+307",$M$17:$M$99,"&lt;"&amp;M57)+COUNTIFS($G$17:$G$99,"入池",$M$17:$M$99,"&gt;=-1E+307",$M$17:$M$99,"&lt;=1E+307",$M$17:$M$99,M57)/2-0.5)/(COUNTIFS($G$17:$G$99,"入池",$M$17:$M$99,"&gt;=-1E+307",$M$17:$M$99,"&lt;=1E+307")-1),2)))</x:f>
        <x:v>69.64</x:v>
      </x:c>
      <x:c r="R57" s="52" t="n">
        <x:f>IF(OR($G57&lt;&gt;"入池",NOT(ISNUMBER(P57))),"",IF(COUNTIFS($G$17:$G$99,"入池",$P$17:$P$99,"&gt;=-1E+307",$P$17:$P$99,"&lt;=1E+307")&lt;=1,'Sheet1-指标体系'!$J$18,ROUND('Sheet1-指标体系'!$J$18*(COUNTIFS($G$17:$G$99,"入池",$P$17:$P$99,"&gt;=-1E+307",$P$17:$P$99,"&lt;"&amp;P57)+COUNTIFS($G$17:$G$99,"入池",$P$17:$P$99,"&gt;=-1E+307",$P$17:$P$99,"&lt;=1E+307",$P$17:$P$99,P57)/2-0.5)/(COUNTIFS($G$17:$G$99,"入池",$P$17:$P$99,"&gt;=-1E+307",$P$17:$P$99,"&lt;=1E+307")-1),2)))</x:f>
        <x:v>64.81</x:v>
      </x:c>
      <x:c r="S57" s="52" t="n">
        <x:f>IF(COUNT(Q57,R57)=0,"",ROUND((IF(ISNUMBER(Q57),Q57*'Sheet1-指标体系'!$G$7*'Sheet1-指标体系'!$J$8,0)+IF(ISNUMBER(R57),R57*'Sheet1-指标体系'!$G$7*'Sheet1-指标体系'!$J$9,0))/(IF(ISNUMBER(Q57),'Sheet1-指标体系'!$G$7*'Sheet1-指标体系'!$J$8,0)+IF(ISNUMBER(R57),'Sheet1-指标体系'!$G$7*'Sheet1-指标体系'!$J$9,0)),2))</x:f>
        <x:v>67.71</x:v>
      </x:c>
      <x:c r="T57" s="47" t="n">
        <x:f>IF(ISNUMBER('Sheet4-原始数据'!J42),'Sheet4-原始数据'!J42,"")</x:f>
        <x:v>0.6923</x:v>
      </x:c>
      <x:c r="U57" s="47" t="n">
        <x:f>IF(ISNUMBER('Sheet4-原始数据'!I42),'Sheet4-原始数据'!I42,"")</x:f>
        <x:v>0.7837999999999999</x:v>
      </x:c>
      <x:c r="V57" s="44" t="n">
        <x:f>IF(COUNT(T57:U57)&lt;&gt;2,"",(U57*'Sheet1-指标体系'!$J$6-T57*'Sheet1-指标体系'!$J$5)/'Sheet1-指标体系'!$J$7)</x:f>
        <x:v>0.8333624999999999</x:v>
      </x:c>
      <x:c r="W57" s="52" t="n">
        <x:f>IF(NOT(ISNUMBER(T57)),"",T57*'Sheet1-指标体系'!$J$18)</x:f>
        <x:v>69.23</x:v>
      </x:c>
      <x:c r="X57" s="52" t="n">
        <x:f>IF(G57&lt;&gt;"入池","",IF(ISNUMBER(V57),IF(AND(V57&gt;=0,V57&lt;=1),V57*'Sheet1-指标体系'!$J$18,IF(MAX(0,(F57-'Sheet1-指标体系'!$J$15)*'Sheet1-指标体系'!$J$20)&lt;'Sheet1-指标体系'!$J$19,'Sheet1-指标体系'!$J$18,"")),IF(MAX(0,(F57-'Sheet1-指标体系'!$J$15)*'Sheet1-指标体系'!$J$20)&lt;'Sheet1-指标体系'!$J$19,'Sheet1-指标体系'!$J$18,"")))</x:f>
        <x:v>83.33624999999999</x:v>
      </x:c>
      <x:c r="Y57" s="52" t="n">
        <x:f>IF(NOT(ISNUMBER(W57)),"",IF(COUNT(W57,X57)=0,"",ROUND((IF(ISNUMBER(W57),W57*'Sheet1-指标体系'!$G$8*'Sheet1-指标体系'!$J$8,0)+IF(ISNUMBER(X57),X57*'Sheet1-指标体系'!$G$8*'Sheet1-指标体系'!$J$9,0))/(IF(ISNUMBER(W57),'Sheet1-指标体系'!$G$8*'Sheet1-指标体系'!$J$8,0)+IF(ISNUMBER(X57),'Sheet1-指标体系'!$G$8*'Sheet1-指标体系'!$J$9,0)),2)))</x:f>
        <x:v>74.87</x:v>
      </x:c>
      <x:c r="Z57" s="44" t="n">
        <x:f>IF(COUNT(M57,AD57)&lt;&gt;2,"",IF(AD57=0,"",ABS(M57/AD57)))</x:f>
        <x:v>0.03748299319727891</x:v>
      </x:c>
      <x:c r="AA57" s="47" t="n">
        <x:f>IF(ISNUMBER('Sheet4-原始数据'!K42),'Sheet4-原始数据'!K42,"")</x:f>
        <x:v>0.0375</x:v>
      </x:c>
      <x:c r="AB57" s="44" t="n">
        <x:f>IF(COUNT(Z57:AA57)=0,"",MAX(Z57:AA57))</x:f>
        <x:v>0.0375</x:v>
      </x:c>
      <x:c r="AC57" s="52" t="n">
        <x:f>IF(OR($G57&lt;&gt;"入池",NOT(ISNUMBER(AB57))),"",IF(COUNTIFS($G$17:$G$99,"入池",$AB$17:$AB$99,"&gt;=-1E+307",$AB$17:$AB$99,"&lt;=1E+307")&lt;=1,'Sheet1-指标体系'!$J$18,ROUND('Sheet1-指标体系'!$J$18*(COUNTIFS($G$17:$G$99,"入池",$AB$17:$AB$99,"&lt;=1E+307",$AB$17:$AB$99,"&gt;"&amp;AB57)+COUNTIFS($G$17:$G$99,"入池",$AB$17:$AB$99,"&gt;=-1E+307",$AB$17:$AB$99,"&lt;=1E+307",$AB$17:$AB$99,AB57)/2-0.5)/(COUNTIFS($G$17:$G$99,"入池",$AB$17:$AB$99,"&gt;=-1E+307",$AB$17:$AB$99,"&lt;=1E+307")-1),2)))</x:f>
        <x:v>29.31</x:v>
      </x:c>
      <x:c r="AD57" s="48" t="n">
        <x:f>IF(ISNUMBER('Sheet4-原始数据'!M42),'Sheet4-原始数据'!M42,"")</x:f>
        <x:v>2.94</x:v>
      </x:c>
      <x:c r="AE57" s="44" t="str">
        <x:f>IF(COUNT(P57,AA57,Z57)&lt;&gt;3,"",IF(AA57&gt;Z57+'Sheet1-指标体系'!$J$11,AA57,""))</x:f>
      </x:c>
      <x:c r="AF57" s="52" t="str">
        <x:f>IF(COUNT(P57,AE57)&lt;&gt;2,"",IF(AE57=0,"",P57/AE57))</x:f>
      </x:c>
      <x:c r="AG57" s="52" t="n">
        <x:f>IF(OR($G57&lt;&gt;"入池",NOT(ISNUMBER(AD57))),"",IF(COUNTIFS($G$17:$G$99,"入池",$AD$17:$AD$99,"&gt;=-1E+307",$AD$17:$AD$99,"&lt;=1E+307")&lt;=1,'Sheet1-指标体系'!$J$18,ROUND('Sheet1-指标体系'!$J$18*(COUNTIFS($G$17:$G$99,"入池",$AD$17:$AD$99,"&gt;=-1E+307",$AD$17:$AD$99,"&lt;"&amp;AD57)+COUNTIFS($G$17:$G$99,"入池",$AD$17:$AD$99,"&gt;=-1E+307",$AD$17:$AD$99,"&lt;=1E+307",$AD$17:$AD$99,AD57)/2-0.5)/(COUNTIFS($G$17:$G$99,"入池",$AD$17:$AD$99,"&gt;=-1E+307",$AD$17:$AD$99,"&lt;=1E+307")-1),2)))</x:f>
        <x:v>27.27</x:v>
      </x:c>
      <x:c r="AH57" s="52" t="str">
        <x:f>IF(OR($G57&lt;&gt;"入池",NOT(ISNUMBER(AF57))),"",IF(COUNTIFS($G$17:$G$99,"入池",$AF$17:$AF$99,"&gt;=-1E+307",$AF$17:$AF$99,"&lt;=1E+307")&lt;=1,'Sheet1-指标体系'!$J$18,ROUND('Sheet1-指标体系'!$J$18*(COUNTIFS($G$17:$G$99,"入池",$AF$17:$AF$99,"&gt;=-1E+307",$AF$17:$AF$99,"&lt;"&amp;AF57)+COUNTIFS($G$17:$G$99,"入池",$AF$17:$AF$99,"&gt;=-1E+307",$AF$17:$AF$99,"&lt;=1E+307",$AF$17:$AF$99,AF57)/2-0.5)/(COUNTIFS($G$17:$G$99,"入池",$AF$17:$AF$99,"&gt;=-1E+307",$AF$17:$AF$99,"&lt;=1E+307")-1),2)))</x:f>
      </x:c>
      <x:c r="AI57" s="52" t="n">
        <x:f>IF(COUNT(AG57,AH57)=0,"",ROUND((IF(ISNUMBER(AG57),AG57*'Sheet1-指标体系'!$G$10*'Sheet1-指标体系'!$J$8,0)+IF(ISNUMBER(AH57),AH57*'Sheet1-指标体系'!$G$10*'Sheet1-指标体系'!$J$9,0))/(IF(ISNUMBER(AG57),'Sheet1-指标体系'!$G$10*'Sheet1-指标体系'!$J$8,0)+IF(ISNUMBER(AH57),'Sheet1-指标体系'!$G$10*'Sheet1-指标体系'!$J$9,0)),2))</x:f>
        <x:v>27.27</x:v>
      </x:c>
      <x:c r="AJ57" s="44" t="n">
        <x:f>IF(NOT(ISNUMBER(F57)),"",IF(F57&gt;='Sheet1-指标体系'!$J$16,IF(ISNUMBER(N57),N57,""),IF(ISNUMBER(O57),O57,"")))</x:f>
        <x:v>0.0942</x:v>
      </x:c>
      <x:c r="AK57" s="52" t="n">
        <x:f>IF(OR(G57&lt;&gt;"入池",COUNT(M57,AJ57)&lt;&gt;2),"",IF(M57&gt;=AJ57,'Sheet1-指标体系'!$J$18,IF(AJ57-M57&lt;'Sheet1-指标体系'!$J$10,'Sheet1-指标体系'!$J$22,'Sheet1-指标体系'!$J$23)))</x:f>
        <x:v>100</x:v>
      </x:c>
      <x:c r="AL57" s="52" t="n">
        <x:f>IF(COUNT(I57,K57,L57)=0,"",ROUND((IF(ISNUMBER(I57),I57*'Sheet1-指标体系'!$G$4,0)+IF(ISNUMBER(K57),K57*'Sheet1-指标体系'!$G$5,0)+IF(ISNUMBER(L57),L57*'Sheet1-指标体系'!$G$6,0))/(IF(ISNUMBER(I57),'Sheet1-指标体系'!$G$4,0)+IF(ISNUMBER(K57),'Sheet1-指标体系'!$G$5,0)+IF(ISNUMBER(L57),'Sheet1-指标体系'!$G$6,0)),2))</x:f>
        <x:v>92</x:v>
      </x:c>
      <x:c r="AM57" s="52" t="n">
        <x:f>IF(COUNT(Q57,R57,W57,X57)=0,"",ROUND((IF(ISNUMBER(Q57),Q57*'Sheet1-指标体系'!$G$7*'Sheet1-指标体系'!$J$8,0)+IF(ISNUMBER(R57),R57*'Sheet1-指标体系'!$G$7*'Sheet1-指标体系'!$J$9,0)+IF(ISNUMBER(W57),W57*'Sheet1-指标体系'!$G$8*'Sheet1-指标体系'!$J$8,0)+IF(ISNUMBER(X57),X57*'Sheet1-指标体系'!$G$8*'Sheet1-指标体系'!$J$9,0))/(IF(ISNUMBER(Q57),'Sheet1-指标体系'!$G$7*'Sheet1-指标体系'!$J$8,0)+IF(ISNUMBER(R57),'Sheet1-指标体系'!$G$7*'Sheet1-指标体系'!$J$9,0)+IF(ISNUMBER(W57),'Sheet1-指标体系'!$G$8*'Sheet1-指标体系'!$J$8,0)+IF(ISNUMBER(X57),'Sheet1-指标体系'!$G$8*'Sheet1-指标体系'!$J$9,0)),2))</x:f>
        <x:v>69.86</x:v>
      </x:c>
      <x:c r="AN57" s="52" t="n">
        <x:f>IF(ISNUMBER(AC57),AC57,"")</x:f>
        <x:v>29.31</x:v>
      </x:c>
      <x:c r="AO57" s="52" t="n">
        <x:f>IF(COUNT(AG57,AH57)=0,"",ROUND((IF(ISNUMBER(AG57),AG57*'Sheet1-指标体系'!$G$10*'Sheet1-指标体系'!$J$8,0)+IF(ISNUMBER(AH57),AH57*'Sheet1-指标体系'!$G$10*'Sheet1-指标体系'!$J$9,0))/(IF(ISNUMBER(AG57),'Sheet1-指标体系'!$G$10*'Sheet1-指标体系'!$J$8,0)+IF(ISNUMBER(AH57),'Sheet1-指标体系'!$G$10*'Sheet1-指标体系'!$J$9,0)),2))</x:f>
        <x:v>27.27</x:v>
      </x:c>
      <x:c r="AP57" s="52" t="n">
        <x:f>IF(ISNUMBER(AK57),AK57,"")</x:f>
        <x:v>100</x:v>
      </x:c>
      <x:c r="AQ57" s="27" t="n">
        <x:f>IF(G57&lt;&gt;"入池",0,IF(ISNUMBER(I57),'Sheet1-指标体系'!$G$4,0)+IF(ISNUMBER(K57),'Sheet1-指标体系'!$G$5,0)+IF(ISNUMBER(L57),'Sheet1-指标体系'!$G$6,0)+IF(ISNUMBER(Q57),'Sheet1-指标体系'!$G$7*'Sheet1-指标体系'!$J$8,0)+IF(ISNUMBER(R57),'Sheet1-指标体系'!$G$7*'Sheet1-指标体系'!$J$9,0)+IF(ISNUMBER(W57),'Sheet1-指标体系'!$G$8*'Sheet1-指标体系'!$J$8,0)+IF(ISNUMBER(X57),'Sheet1-指标体系'!$G$8*'Sheet1-指标体系'!$J$9,0)+IF(ISNUMBER(AC57),'Sheet1-指标体系'!$G$9,0)+IF(ISNUMBER(AG57),'Sheet1-指标体系'!$G$10*'Sheet1-指标体系'!$J$8,0)+IF(ISNUMBER(AH57),'Sheet1-指标体系'!$G$10*'Sheet1-指标体系'!$J$9,0)+IF(ISNUMBER(AK57),'Sheet1-指标体系'!$G$11,0))</x:f>
        <x:v>0.88</x:v>
      </x:c>
      <x:c r="AR57" s="52" t="n">
        <x:f>IF(AQ57=0,"",IF(ISNUMBER(I57),I57*'Sheet1-指标体系'!$G$4,0)+IF(ISNUMBER(K57),K57*'Sheet1-指标体系'!$G$5,0)+IF(ISNUMBER(L57),L57*'Sheet1-指标体系'!$G$6,0)+IF(ISNUMBER(Q57),Q57*'Sheet1-指标体系'!$G$7*'Sheet1-指标体系'!$J$8,0)+IF(ISNUMBER(R57),R57*'Sheet1-指标体系'!$G$7*'Sheet1-指标体系'!$J$9,0)+IF(ISNUMBER(W57),W57*'Sheet1-指标体系'!$G$8*'Sheet1-指标体系'!$J$8,0)+IF(ISNUMBER(X57),X57*'Sheet1-指标体系'!$G$8*'Sheet1-指标体系'!$J$9,0)+IF(ISNUMBER(AC57),AC57*'Sheet1-指标体系'!$G$9,0)+IF(ISNUMBER(AG57),AG57*'Sheet1-指标体系'!$G$10*'Sheet1-指标体系'!$J$8,0)+IF(ISNUMBER(AH57),AH57*'Sheet1-指标体系'!$G$10*'Sheet1-指标体系'!$J$9,0)+IF(ISNUMBER(AK57),AK57*'Sheet1-指标体系'!$G$11,0))</x:f>
        <x:v>50.00757</x:v>
      </x:c>
      <x:c r="AS57" s="52" t="n">
        <x:f>IF(AQ57=0,"",ROUND(AR57/AQ57,2))</x:f>
        <x:v>56.83</x:v>
      </x:c>
      <x:c r="AT57" s="49" t="n">
        <x:f>IF(OR(G57&lt;&gt;"入池",NOT(ISNUMBER(AS57))),"",COUNTIFS($G$17:$G$99,"入池",$AS$17:$AS$99,"&gt;"&amp;AS57)+COUNTIFS($G$17:$G$99,"入池",$AS$17:$AS$99,AS57,$AQ$17:$AQ$99,"&gt;"&amp;AQ57)+COUNTIFS($G$17:G57,"入池",$AS$17:AS57,AS57,$AQ$17:AQ57,AQ57))</x:f>
        <x:v>54</x:v>
      </x:c>
      <x:c r="AU57" s="53" t="str">
        <x:f>IF(NOT(ISNUMBER(I57)),"管理人规模；","")&amp;IF(NOT(ISNUMBER(K57)),"产品规模标识；","")&amp;IF(NOT(ISNUMBER(M57)),"近一年收益；","")&amp;IF(NOT(ISNUMBER(T57)),"近一年胜率；","")&amp;IF(NOT(ISNUMBER(N57)),"近三年收益；","")&amp;IF(NOT(ISNUMBER(U57)),"近三年胜率；","")&amp;IF(NOT(ISNUMBER(AA57)),"近三年回撤；","")&amp;IF(NOT(ISNUMBER(AD57)),"近一年卡玛；","")&amp;IF(ISNUMBER(F57),IF(AND(F57&lt;'Sheet1-指标体系'!$J$16,NOT(ISNUMBER(O57))),"成立以来年化；",""),"成立日期；")&amp;IF(ISNUMBER(V57),IF(OR(V57&lt;0,V57&gt;1),"胜率窗口口径不一致；",""),"")&amp;IF(ISNUMBER(P57),IF(NOT(ISNUMBER(AE57)),"DD_long不可识别；",""),"")</x:f>
        <x:v>DD_long不可识别；</x:v>
      </x:c>
      <x:c r="AV57" s="52" t="str">
        <x:f>IF(ROUND(AQ57,10)=ROUND('Sheet1-指标体系'!$J$25,10),AR57,"")</x:f>
      </x:c>
      <x:c r="AW57" s="14" t="str">
        <x:f>IF(G57&lt;&gt;"入池",G57,IF(AQ57=0,"无有效评分数据",IF(ROUND(AQ57,10)=ROUND('Sheet1-指标体系'!$J$25,10),"完整赋分", "暂定分／数据不完整")))</x:f>
        <x:v>暂定分／数据不完整</x:v>
      </x:c>
      <x:c r="AX57" s="45" t="str">
        <x:f>IF('Sheet4-原始数据'!C42="","",'Sheet4-原始数据'!C42)</x:f>
        <x:v>套利策略</x:v>
      </x:c>
      <x:c r="AY57" s="45" t="str">
        <x:f>IF('Sheet4-原始数据'!D42="","",'Sheet4-原始数据'!D42)</x:f>
        <x:v>期货套利</x:v>
      </x:c>
      <x:c r="AZ57" s="45" t="str">
        <x:f>IF('Sheet5-查询核对'!S42="","",'Sheet5-查询核对'!S42)</x:f>
        <x:v>套利策略—期货套利</x:v>
      </x:c>
      <x:c r="BA57" s="51" t="n">
        <x:f>IF('Sheet5-查询核对'!A42="","",'Sheet5-查询核对'!A42)</x:f>
        <x:v>42</x:v>
      </x:c>
      <x:c r="BB57" s="45" t="str">
        <x:f>IF('Sheet5-查询核对'!F42="","",'Sheet5-查询核对'!F42)</x:f>
        <x:v>备案号匹配</x:v>
      </x:c>
      <x:c r="BC57" s="50" t="str">
        <x:f>IF('Sheet5-查询核对'!I42="","",'Sheet5-查询核对'!I42)</x:f>
        <x:v>https://mp.fof99.com/fund/view/2b81990a6051e6e6</x:v>
      </x:c>
      <x:c r="BD57" s="46" t="n">
        <x:f>IF('Sheet5-查询核对'!H42="","",'Sheet5-查询核对'!H42)</x:f>
        <x:v>46269</x:v>
      </x:c>
      <x:c r="BE57" s="50" t="str">
        <x:f>IF('Sheet5-查询核对'!L42="","",'Sheet5-查询核对'!L42)</x:f>
        <x:v>https://mp.fof99.com/fund/view/2b81990a6051e6e6</x:v>
      </x:c>
      <x:c r="BF57" s="46" t="n">
        <x:f>IF('Sheet5-查询核对'!M42="","",'Sheet5-查询核对'!M42)</x:f>
        <x:v>46275</x:v>
      </x:c>
      <x:c r="BG57" s="50" t="str">
        <x:f>IF('Sheet5-查询核对'!O42="","",'Sheet5-查询核对'!O42)</x:f>
        <x:v>https://gs.amac.org.cn/amac-infodisc/res/pof/fund/2309061045105511.html</x:v>
      </x:c>
      <x:c r="BH57" s="46" t="n">
        <x:f>IF('Sheet5-查询核对'!P42="","",'Sheet5-查询核对'!P42)</x:f>
        <x:v>46275</x:v>
      </x:c>
      <x:c r="BI57" s="45" t="str">
        <x:f>IF('Sheet5-查询核对'!D42="","",'Sheet5-查询核对'!D42)</x:f>
        <x:v>SB9576</x:v>
      </x:c>
      <x:c r="BJ57" t="n">
        <x:f>IF(ISNUMBER(AT57),AT57,COUNT($AT$17:$AT$99)+ROWS($AT$17:AT57)-COUNT($AT$17:AT57))</x:f>
        <x:v>54</x:v>
      </x:c>
    </x:row>
    <x:row r="58" ht="44" customHeight="1">
      <x:c r="A58" s="49" t="n">
        <x:f>'Sheet5-查询核对'!A43-1</x:f>
        <x:v>42</x:v>
      </x:c>
      <x:c r="B58" s="50" t="str">
        <x:f>IF('Sheet4-原始数据'!A43="",'Sheet5-查询核对'!B43,'Sheet4-原始数据'!A43)</x:f>
        <x:v>慕途商品套利1号</x:v>
      </x:c>
      <x:c r="C58" s="45" t="str">
        <x:f>IF('Sheet4-原始数据'!B43="","",'Sheet4-原始数据'!B43)</x:f>
        <x:v>SAHX36</x:v>
      </x:c>
      <x:c r="D58" s="45" t="str">
        <x:f>IF('Sheet4-原始数据'!E43="","",'Sheet4-原始数据'!E43)</x:f>
        <x:v>慕途基金</x:v>
      </x:c>
      <x:c r="E58" s="46" t="n">
        <x:f>IF('Sheet4-原始数据'!F43="","",'Sheet4-原始数据'!F43)</x:f>
        <x:v>45376</x:v>
      </x:c>
      <x:c r="F58" s="52" t="n">
        <x:f>IF(ISNUMBER(E58),ROUND(('Sheet1-指标体系'!$J$12-E58)/'Sheet1-指标体系'!$J$14,4),"")</x:f>
        <x:v>2.4613</x:v>
      </x:c>
      <x:c r="G58" s="14" t="str">
        <x:f>IF(C58="","未匹配",IF(NOT(ISNUMBER(F58)),"缺成立日期",IF(F58&lt;'Sheet1-指标体系'!$J$15,"不入池","入池")))</x:f>
        <x:v>入池</x:v>
      </x:c>
      <x:c r="H58" s="45" t="str">
        <x:f>IF('Sheet5-查询核对'!K43="","",'Sheet5-查询核对'!K43)</x:f>
        <x:v>10-20亿元</x:v>
      </x:c>
      <x:c r="I58" s="52" t="n">
        <x:f>IF(H58="","",IF(COUNTIF('Sheet1-指标体系'!$P$4:$P$10,H58)=0,"",INDEX('Sheet1-指标体系'!$Q$4:$Q$10,MATCH(H58,'Sheet1-指标体系'!$P$4:$P$10,0))))</x:f>
        <x:v>80</x:v>
      </x:c>
      <x:c r="J58" s="54" t="str">
        <x:f>IF(NOT(ISNUMBER('Sheet5-查询核对'!N43)),"",IF('Sheet5-查询核对'!N43=1,"低于"&amp;'Sheet1-指标体系'!$J$4&amp;"万元",IF('Sheet5-查询核对'!N43=0,"无低于"&amp;'Sheet1-指标体系'!$J$4&amp;"万元标识","")))</x:f>
        <x:v>无低于1000万元标识</x:v>
      </x:c>
      <x:c r="K58" s="52" t="n">
        <x:f>IF(NOT(ISNUMBER('Sheet5-查询核对'!N43)),"",IF('Sheet5-查询核对'!N43=1,'Sheet1-指标体系'!$J$21,IF('Sheet5-查询核对'!N43=0,'Sheet1-指标体系'!$J$18,"")))</x:f>
        <x:v>100</x:v>
      </x:c>
      <x:c r="L58" s="52" t="n">
        <x:f>IF(NOT(ISNUMBER(F58)),"",IF(F58&lt;'Sheet1-指标体系'!$J$15,"",IF(F58&lt;'Sheet1-指标体系'!$J$16,'Sheet1-指标体系'!$J$17,'Sheet1-指标体系'!$J$18)))</x:f>
        <x:v>70</x:v>
      </x:c>
      <x:c r="M58" s="47" t="n">
        <x:f>IF(ISNUMBER('Sheet4-原始数据'!G43),'Sheet4-原始数据'!G43,"")</x:f>
        <x:v>0.1317</x:v>
      </x:c>
      <x:c r="N58" s="47" t="str">
        <x:f>IF(ISNUMBER('Sheet4-原始数据'!H43),'Sheet4-原始数据'!H43,"")</x:f>
      </x:c>
      <x:c r="O58" s="47" t="n">
        <x:f>IF(ISNUMBER('Sheet5-查询核对'!Q43),'Sheet5-查询核对'!Q43,"")</x:f>
        <x:v>0.0882</x:v>
      </x:c>
      <x:c r="P58" s="44" t="n">
        <x:f>IF($G58&lt;&gt;"入池","",IF($F58&gt;='Sheet1-指标体系'!$J$16,IF(COUNT(M58,N58)&lt;&gt;2,"",IF(OR(1+M58&lt;=0,1+N58&lt;0),"",((1+N58)^'Sheet1-指标体系'!$J$16/(1+M58))^(1/('Sheet1-指标体系'!$J$16-'Sheet1-指标体系'!$J$15))-1)),IF(COUNT(M58,O58)&lt;&gt;2,"",IF(OR(F58&lt;='Sheet1-指标体系'!$J$15,1+M58&lt;=0,1+O58&lt;0),"",((1+O58)^F58/(1+M58))^(1/(F58-'Sheet1-指标体系'!$J$15))-1))))</x:f>
        <x:v>0.05939954661256208</x:v>
      </x:c>
      <x:c r="Q58" s="52" t="n">
        <x:f>IF(OR($G58&lt;&gt;"入池",NOT(ISNUMBER(M58))),"",IF(COUNTIFS($G$17:$G$99,"入池",$M$17:$M$99,"&gt;=-1E+307",$M$17:$M$99,"&lt;=1E+307")&lt;=1,'Sheet1-指标体系'!$J$18,ROUND('Sheet1-指标体系'!$J$18*(COUNTIFS($G$17:$G$99,"入池",$M$17:$M$99,"&gt;=-1E+307",$M$17:$M$99,"&lt;"&amp;M58)+COUNTIFS($G$17:$G$99,"入池",$M$17:$M$99,"&gt;=-1E+307",$M$17:$M$99,"&lt;=1E+307",$M$17:$M$99,M58)/2-0.5)/(COUNTIFS($G$17:$G$99,"入池",$M$17:$M$99,"&gt;=-1E+307",$M$17:$M$99,"&lt;=1E+307")-1),2)))</x:f>
        <x:v>75</x:v>
      </x:c>
      <x:c r="R58" s="52" t="n">
        <x:f>IF(OR($G58&lt;&gt;"入池",NOT(ISNUMBER(P58))),"",IF(COUNTIFS($G$17:$G$99,"入池",$P$17:$P$99,"&gt;=-1E+307",$P$17:$P$99,"&lt;=1E+307")&lt;=1,'Sheet1-指标体系'!$J$18,ROUND('Sheet1-指标体系'!$J$18*(COUNTIFS($G$17:$G$99,"入池",$P$17:$P$99,"&gt;=-1E+307",$P$17:$P$99,"&lt;"&amp;P58)+COUNTIFS($G$17:$G$99,"入池",$P$17:$P$99,"&gt;=-1E+307",$P$17:$P$99,"&lt;=1E+307",$P$17:$P$99,P58)/2-0.5)/(COUNTIFS($G$17:$G$99,"入池",$P$17:$P$99,"&gt;=-1E+307",$P$17:$P$99,"&lt;=1E+307")-1),2)))</x:f>
        <x:v>33.33</x:v>
      </x:c>
      <x:c r="S58" s="52" t="n">
        <x:f>IF(COUNT(Q58,R58)=0,"",ROUND((IF(ISNUMBER(Q58),Q58*'Sheet1-指标体系'!$G$7*'Sheet1-指标体系'!$J$8,0)+IF(ISNUMBER(R58),R58*'Sheet1-指标体系'!$G$7*'Sheet1-指标体系'!$J$9,0))/(IF(ISNUMBER(Q58),'Sheet1-指标体系'!$G$7*'Sheet1-指标体系'!$J$8,0)+IF(ISNUMBER(R58),'Sheet1-指标体系'!$G$7*'Sheet1-指标体系'!$J$9,0)),2))</x:f>
        <x:v>58.33</x:v>
      </x:c>
      <x:c r="T58" s="47" t="n">
        <x:f>IF(ISNUMBER('Sheet4-原始数据'!J43),'Sheet4-原始数据'!J43,"")</x:f>
        <x:v>0.8462000000000001</x:v>
      </x:c>
      <x:c r="U58" s="47" t="str">
        <x:f>IF(ISNUMBER('Sheet4-原始数据'!I43),'Sheet4-原始数据'!I43,"")</x:f>
      </x:c>
      <x:c r="V58" s="44" t="str">
        <x:f>IF(COUNT(T58:U58)&lt;&gt;2,"",(U58*'Sheet1-指标体系'!$J$6-T58*'Sheet1-指标体系'!$J$5)/'Sheet1-指标体系'!$J$7)</x:f>
      </x:c>
      <x:c r="W58" s="52" t="n">
        <x:f>IF(NOT(ISNUMBER(T58)),"",T58*'Sheet1-指标体系'!$J$18)</x:f>
        <x:v>84.62</x:v>
      </x:c>
      <x:c r="X58" s="52" t="str">
        <x:f>IF(G58&lt;&gt;"入池","",IF(ISNUMBER(V58),IF(AND(V58&gt;=0,V58&lt;=1),V58*'Sheet1-指标体系'!$J$18,IF(MAX(0,(F58-'Sheet1-指标体系'!$J$15)*'Sheet1-指标体系'!$J$20)&lt;'Sheet1-指标体系'!$J$19,'Sheet1-指标体系'!$J$18,"")),IF(MAX(0,(F58-'Sheet1-指标体系'!$J$15)*'Sheet1-指标体系'!$J$20)&lt;'Sheet1-指标体系'!$J$19,'Sheet1-指标体系'!$J$18,"")))</x:f>
      </x:c>
      <x:c r="Y58" s="52" t="n">
        <x:f>IF(NOT(ISNUMBER(W58)),"",IF(COUNT(W58,X58)=0,"",ROUND((IF(ISNUMBER(W58),W58*'Sheet1-指标体系'!$G$8*'Sheet1-指标体系'!$J$8,0)+IF(ISNUMBER(X58),X58*'Sheet1-指标体系'!$G$8*'Sheet1-指标体系'!$J$9,0))/(IF(ISNUMBER(W58),'Sheet1-指标体系'!$G$8*'Sheet1-指标体系'!$J$8,0)+IF(ISNUMBER(X58),'Sheet1-指标体系'!$G$8*'Sheet1-指标体系'!$J$9,0)),2)))</x:f>
        <x:v>84.62</x:v>
      </x:c>
      <x:c r="Z58" s="44" t="n">
        <x:f>IF(COUNT(M58,AD58)&lt;&gt;2,"",IF(AD58=0,"",ABS(M58/AD58)))</x:f>
        <x:v>0.012590220352755605</x:v>
      </x:c>
      <x:c r="AA58" s="47" t="str">
        <x:f>IF(ISNUMBER('Sheet4-原始数据'!K43),'Sheet4-原始数据'!K43,"")</x:f>
      </x:c>
      <x:c r="AB58" s="44" t="n">
        <x:f>IF(COUNT(Z58:AA58)=0,"",MAX(Z58:AA58))</x:f>
        <x:v>0.012590220352755605</x:v>
      </x:c>
      <x:c r="AC58" s="52" t="n">
        <x:f>IF(OR($G58&lt;&gt;"入池",NOT(ISNUMBER(AB58))),"",IF(COUNTIFS($G$17:$G$99,"入池",$AB$17:$AB$99,"&gt;=-1E+307",$AB$17:$AB$99,"&lt;=1E+307")&lt;=1,'Sheet1-指标体系'!$J$18,ROUND('Sheet1-指标体系'!$J$18*(COUNTIFS($G$17:$G$99,"入池",$AB$17:$AB$99,"&lt;=1E+307",$AB$17:$AB$99,"&gt;"&amp;AB58)+COUNTIFS($G$17:$G$99,"入池",$AB$17:$AB$99,"&gt;=-1E+307",$AB$17:$AB$99,"&lt;=1E+307",$AB$17:$AB$99,AB58)/2-0.5)/(COUNTIFS($G$17:$G$99,"入池",$AB$17:$AB$99,"&gt;=-1E+307",$AB$17:$AB$99,"&lt;=1E+307")-1),2)))</x:f>
        <x:v>72.41</x:v>
      </x:c>
      <x:c r="AD58" s="48" t="n">
        <x:f>IF(ISNUMBER('Sheet4-原始数据'!M43),'Sheet4-原始数据'!M43,"")</x:f>
        <x:v>10.4605</x:v>
      </x:c>
      <x:c r="AE58" s="44" t="str">
        <x:f>IF(COUNT(P58,AA58,Z58)&lt;&gt;3,"",IF(AA58&gt;Z58+'Sheet1-指标体系'!$J$11,AA58,""))</x:f>
      </x:c>
      <x:c r="AF58" s="52" t="str">
        <x:f>IF(COUNT(P58,AE58)&lt;&gt;2,"",IF(AE58=0,"",P58/AE58))</x:f>
      </x:c>
      <x:c r="AG58" s="52" t="n">
        <x:f>IF(OR($G58&lt;&gt;"入池",NOT(ISNUMBER(AD58))),"",IF(COUNTIFS($G$17:$G$99,"入池",$AD$17:$AD$99,"&gt;=-1E+307",$AD$17:$AD$99,"&lt;=1E+307")&lt;=1,'Sheet1-指标体系'!$J$18,ROUND('Sheet1-指标体系'!$J$18*(COUNTIFS($G$17:$G$99,"入池",$AD$17:$AD$99,"&gt;=-1E+307",$AD$17:$AD$99,"&lt;"&amp;AD58)+COUNTIFS($G$17:$G$99,"入池",$AD$17:$AD$99,"&gt;=-1E+307",$AD$17:$AD$99,"&lt;=1E+307",$AD$17:$AD$99,AD58)/2-0.5)/(COUNTIFS($G$17:$G$99,"入池",$AD$17:$AD$99,"&gt;=-1E+307",$AD$17:$AD$99,"&lt;=1E+307")-1),2)))</x:f>
        <x:v>61.82</x:v>
      </x:c>
      <x:c r="AH58" s="52" t="str">
        <x:f>IF(OR($G58&lt;&gt;"入池",NOT(ISNUMBER(AF58))),"",IF(COUNTIFS($G$17:$G$99,"入池",$AF$17:$AF$99,"&gt;=-1E+307",$AF$17:$AF$99,"&lt;=1E+307")&lt;=1,'Sheet1-指标体系'!$J$18,ROUND('Sheet1-指标体系'!$J$18*(COUNTIFS($G$17:$G$99,"入池",$AF$17:$AF$99,"&gt;=-1E+307",$AF$17:$AF$99,"&lt;"&amp;AF58)+COUNTIFS($G$17:$G$99,"入池",$AF$17:$AF$99,"&gt;=-1E+307",$AF$17:$AF$99,"&lt;=1E+307",$AF$17:$AF$99,AF58)/2-0.5)/(COUNTIFS($G$17:$G$99,"入池",$AF$17:$AF$99,"&gt;=-1E+307",$AF$17:$AF$99,"&lt;=1E+307")-1),2)))</x:f>
      </x:c>
      <x:c r="AI58" s="52" t="n">
        <x:f>IF(COUNT(AG58,AH58)=0,"",ROUND((IF(ISNUMBER(AG58),AG58*'Sheet1-指标体系'!$G$10*'Sheet1-指标体系'!$J$8,0)+IF(ISNUMBER(AH58),AH58*'Sheet1-指标体系'!$G$10*'Sheet1-指标体系'!$J$9,0))/(IF(ISNUMBER(AG58),'Sheet1-指标体系'!$G$10*'Sheet1-指标体系'!$J$8,0)+IF(ISNUMBER(AH58),'Sheet1-指标体系'!$G$10*'Sheet1-指标体系'!$J$9,0)),2))</x:f>
        <x:v>61.82</x:v>
      </x:c>
      <x:c r="AJ58" s="44" t="n">
        <x:f>IF(NOT(ISNUMBER(F58)),"",IF(F58&gt;='Sheet1-指标体系'!$J$16,IF(ISNUMBER(N58),N58,""),IF(ISNUMBER(O58),O58,"")))</x:f>
        <x:v>0.0882</x:v>
      </x:c>
      <x:c r="AK58" s="52" t="n">
        <x:f>IF(OR(G58&lt;&gt;"入池",COUNT(M58,AJ58)&lt;&gt;2),"",IF(M58&gt;=AJ58,'Sheet1-指标体系'!$J$18,IF(AJ58-M58&lt;'Sheet1-指标体系'!$J$10,'Sheet1-指标体系'!$J$22,'Sheet1-指标体系'!$J$23)))</x:f>
        <x:v>100</x:v>
      </x:c>
      <x:c r="AL58" s="52" t="n">
        <x:f>IF(COUNT(I58,K58,L58)=0,"",ROUND((IF(ISNUMBER(I58),I58*'Sheet1-指标体系'!$G$4,0)+IF(ISNUMBER(K58),K58*'Sheet1-指标体系'!$G$5,0)+IF(ISNUMBER(L58),L58*'Sheet1-指标体系'!$G$6,0))/(IF(ISNUMBER(I58),'Sheet1-指标体系'!$G$4,0)+IF(ISNUMBER(K58),'Sheet1-指标体系'!$G$5,0)+IF(ISNUMBER(L58),'Sheet1-指标体系'!$G$6,0)),2))</x:f>
        <x:v>83</x:v>
      </x:c>
      <x:c r="AM58" s="52" t="n">
        <x:f>IF(COUNT(Q58,R58,W58,X58)=0,"",ROUND((IF(ISNUMBER(Q58),Q58*'Sheet1-指标体系'!$G$7*'Sheet1-指标体系'!$J$8,0)+IF(ISNUMBER(R58),R58*'Sheet1-指标体系'!$G$7*'Sheet1-指标体系'!$J$9,0)+IF(ISNUMBER(W58),W58*'Sheet1-指标体系'!$G$8*'Sheet1-指标体系'!$J$8,0)+IF(ISNUMBER(X58),X58*'Sheet1-指标体系'!$G$8*'Sheet1-指标体系'!$J$9,0))/(IF(ISNUMBER(Q58),'Sheet1-指标体系'!$G$7*'Sheet1-指标体系'!$J$8,0)+IF(ISNUMBER(R58),'Sheet1-指标体系'!$G$7*'Sheet1-指标体系'!$J$9,0)+IF(ISNUMBER(W58),'Sheet1-指标体系'!$G$8*'Sheet1-指标体系'!$J$8,0)+IF(ISNUMBER(X58),'Sheet1-指标体系'!$G$8*'Sheet1-指标体系'!$J$9,0)),2))</x:f>
        <x:v>63.71</x:v>
      </x:c>
      <x:c r="AN58" s="52" t="n">
        <x:f>IF(ISNUMBER(AC58),AC58,"")</x:f>
        <x:v>72.41</x:v>
      </x:c>
      <x:c r="AO58" s="52" t="n">
        <x:f>IF(COUNT(AG58,AH58)=0,"",ROUND((IF(ISNUMBER(AG58),AG58*'Sheet1-指标体系'!$G$10*'Sheet1-指标体系'!$J$8,0)+IF(ISNUMBER(AH58),AH58*'Sheet1-指标体系'!$G$10*'Sheet1-指标体系'!$J$9,0))/(IF(ISNUMBER(AG58),'Sheet1-指标体系'!$G$10*'Sheet1-指标体系'!$J$8,0)+IF(ISNUMBER(AH58),'Sheet1-指标体系'!$G$10*'Sheet1-指标体系'!$J$9,0)),2))</x:f>
        <x:v>61.82</x:v>
      </x:c>
      <x:c r="AP58" s="52" t="n">
        <x:f>IF(ISNUMBER(AK58),AK58,"")</x:f>
        <x:v>100</x:v>
      </x:c>
      <x:c r="AQ58" s="27" t="n">
        <x:f>IF(G58&lt;&gt;"入池",0,IF(ISNUMBER(I58),'Sheet1-指标体系'!$G$4,0)+IF(ISNUMBER(K58),'Sheet1-指标体系'!$G$5,0)+IF(ISNUMBER(L58),'Sheet1-指标体系'!$G$6,0)+IF(ISNUMBER(Q58),'Sheet1-指标体系'!$G$7*'Sheet1-指标体系'!$J$8,0)+IF(ISNUMBER(R58),'Sheet1-指标体系'!$G$7*'Sheet1-指标体系'!$J$9,0)+IF(ISNUMBER(W58),'Sheet1-指标体系'!$G$8*'Sheet1-指标体系'!$J$8,0)+IF(ISNUMBER(X58),'Sheet1-指标体系'!$G$8*'Sheet1-指标体系'!$J$9,0)+IF(ISNUMBER(AC58),'Sheet1-指标体系'!$G$9,0)+IF(ISNUMBER(AG58),'Sheet1-指标体系'!$G$10*'Sheet1-指标体系'!$J$8,0)+IF(ISNUMBER(AH58),'Sheet1-指标体系'!$G$10*'Sheet1-指标体系'!$J$9,0)+IF(ISNUMBER(AK58),'Sheet1-指标体系'!$G$11,0))</x:f>
        <x:v>0.856</x:v>
      </x:c>
      <x:c r="AR58" s="52" t="n">
        <x:f>IF(AQ58=0,"",IF(ISNUMBER(I58),I58*'Sheet1-指标体系'!$G$4,0)+IF(ISNUMBER(K58),K58*'Sheet1-指标体系'!$G$5,0)+IF(ISNUMBER(L58),L58*'Sheet1-指标体系'!$G$6,0)+IF(ISNUMBER(Q58),Q58*'Sheet1-指标体系'!$G$7*'Sheet1-指标体系'!$J$8,0)+IF(ISNUMBER(R58),R58*'Sheet1-指标体系'!$G$7*'Sheet1-指标体系'!$J$9,0)+IF(ISNUMBER(W58),W58*'Sheet1-指标体系'!$G$8*'Sheet1-指标体系'!$J$8,0)+IF(ISNUMBER(X58),X58*'Sheet1-指标体系'!$G$8*'Sheet1-指标体系'!$J$9,0)+IF(ISNUMBER(AC58),AC58*'Sheet1-指标体系'!$G$9,0)+IF(ISNUMBER(AG58),AG58*'Sheet1-指标体系'!$G$10*'Sheet1-指标体系'!$J$8,0)+IF(ISNUMBER(AH58),AH58*'Sheet1-指标体系'!$G$10*'Sheet1-指标体系'!$J$9,0)+IF(ISNUMBER(AK58),AK58*'Sheet1-指标体系'!$G$11,0))</x:f>
        <x:v>62.8929</x:v>
      </x:c>
      <x:c r="AS58" s="52" t="n">
        <x:f>IF(AQ58=0,"",ROUND(AR58/AQ58,2))</x:f>
        <x:v>73.47</x:v>
      </x:c>
      <x:c r="AT58" s="49" t="n">
        <x:f>IF(OR(G58&lt;&gt;"入池",NOT(ISNUMBER(AS58))),"",COUNTIFS($G$17:$G$99,"入池",$AS$17:$AS$99,"&gt;"&amp;AS58)+COUNTIFS($G$17:$G$99,"入池",$AS$17:$AS$99,AS58,$AQ$17:$AQ$99,"&gt;"&amp;AQ58)+COUNTIFS($G$17:G58,"入池",$AS$17:AS58,AS58,$AQ$17:AQ58,AQ58))</x:f>
        <x:v>36</x:v>
      </x:c>
      <x:c r="AU58" s="53" t="str">
        <x:f>IF(NOT(ISNUMBER(I58)),"管理人规模；","")&amp;IF(NOT(ISNUMBER(K58)),"产品规模标识；","")&amp;IF(NOT(ISNUMBER(M58)),"近一年收益；","")&amp;IF(NOT(ISNUMBER(T58)),"近一年胜率；","")&amp;IF(NOT(ISNUMBER(N58)),"近三年收益；","")&amp;IF(NOT(ISNUMBER(U58)),"近三年胜率；","")&amp;IF(NOT(ISNUMBER(AA58)),"近三年回撤；","")&amp;IF(NOT(ISNUMBER(AD58)),"近一年卡玛；","")&amp;IF(ISNUMBER(F58),IF(AND(F58&lt;'Sheet1-指标体系'!$J$16,NOT(ISNUMBER(O58))),"成立以来年化；",""),"成立日期；")&amp;IF(ISNUMBER(V58),IF(OR(V58&lt;0,V58&gt;1),"胜率窗口口径不一致；",""),"")&amp;IF(ISNUMBER(P58),IF(NOT(ISNUMBER(AE58)),"DD_long不可识别；",""),"")</x:f>
        <x:v>近三年收益；近三年胜率；近三年回撤；DD_long不可识别；</x:v>
      </x:c>
      <x:c r="AV58" s="52" t="str">
        <x:f>IF(ROUND(AQ58,10)=ROUND('Sheet1-指标体系'!$J$25,10),AR58,"")</x:f>
      </x:c>
      <x:c r="AW58" s="14" t="str">
        <x:f>IF(G58&lt;&gt;"入池",G58,IF(AQ58=0,"无有效评分数据",IF(ROUND(AQ58,10)=ROUND('Sheet1-指标体系'!$J$25,10),"完整赋分", "暂定分／数据不完整")))</x:f>
        <x:v>暂定分／数据不完整</x:v>
      </x:c>
      <x:c r="AX58" s="45" t="str">
        <x:f>IF('Sheet4-原始数据'!C43="","",'Sheet4-原始数据'!C43)</x:f>
        <x:v>套利策略</x:v>
      </x:c>
      <x:c r="AY58" s="45" t="str">
        <x:f>IF('Sheet4-原始数据'!D43="","",'Sheet4-原始数据'!D43)</x:f>
        <x:v>期货套利</x:v>
      </x:c>
      <x:c r="AZ58" s="45" t="str">
        <x:f>IF('Sheet5-查询核对'!S43="","",'Sheet5-查询核对'!S43)</x:f>
        <x:v>套利策略—期货套利</x:v>
      </x:c>
      <x:c r="BA58" s="51" t="n">
        <x:f>IF('Sheet5-查询核对'!A43="","",'Sheet5-查询核对'!A43)</x:f>
        <x:v>43</x:v>
      </x:c>
      <x:c r="BB58" s="45" t="str">
        <x:f>IF('Sheet5-查询核对'!F43="","",'Sheet5-查询核对'!F43)</x:f>
        <x:v>备案号匹配</x:v>
      </x:c>
      <x:c r="BC58" s="50" t="str">
        <x:f>IF('Sheet5-查询核对'!I43="","",'Sheet5-查询核对'!I43)</x:f>
        <x:v>https://mp.fof99.com/fund/view/6170fbc34ea41205</x:v>
      </x:c>
      <x:c r="BD58" s="46" t="n">
        <x:f>IF('Sheet5-查询核对'!H43="","",'Sheet5-查询核对'!H43)</x:f>
        <x:v>46269</x:v>
      </x:c>
      <x:c r="BE58" s="50" t="str">
        <x:f>IF('Sheet5-查询核对'!L43="","",'Sheet5-查询核对'!L43)</x:f>
        <x:v>https://mp.fof99.com/fund/view/6170fbc34ea41205</x:v>
      </x:c>
      <x:c r="BF58" s="46" t="n">
        <x:f>IF('Sheet5-查询核对'!M43="","",'Sheet5-查询核对'!M43)</x:f>
        <x:v>46275</x:v>
      </x:c>
      <x:c r="BG58" s="50" t="str">
        <x:f>IF('Sheet5-查询核对'!O43="","",'Sheet5-查询核对'!O43)</x:f>
        <x:v>https://gs.amac.org.cn/amac-infodisc/res/pof/fund/2404081616103724.html</x:v>
      </x:c>
      <x:c r="BH58" s="46" t="n">
        <x:f>IF('Sheet5-查询核对'!P43="","",'Sheet5-查询核对'!P43)</x:f>
        <x:v>46275</x:v>
      </x:c>
      <x:c r="BI58" s="45" t="str">
        <x:f>IF('Sheet5-查询核对'!D43="","",'Sheet5-查询核对'!D43)</x:f>
        <x:v>SAHX36</x:v>
      </x:c>
      <x:c r="BJ58" t="n">
        <x:f>IF(ISNUMBER(AT58),AT58,COUNT($AT$17:$AT$99)+ROWS($AT$17:AT58)-COUNT($AT$17:AT58))</x:f>
        <x:v>36</x:v>
      </x:c>
    </x:row>
    <x:row r="59" ht="44" customHeight="1">
      <x:c r="A59" s="49" t="n">
        <x:f>'Sheet5-查询核对'!A44-1</x:f>
        <x:v>43</x:v>
      </x:c>
      <x:c r="B59" s="50" t="str">
        <x:f>IF('Sheet4-原始数据'!A44="",'Sheet5-查询核对'!B44,'Sheet4-原始数据'!A44)</x:f>
        <x:v>慕途稳健1号</x:v>
      </x:c>
      <x:c r="C59" s="45" t="str">
        <x:f>IF('Sheet4-原始数据'!B44="","",'Sheet4-原始数据'!B44)</x:f>
        <x:v>SVM029</x:v>
      </x:c>
      <x:c r="D59" s="45" t="str">
        <x:f>IF('Sheet4-原始数据'!E44="","",'Sheet4-原始数据'!E44)</x:f>
        <x:v>慕途基金</x:v>
      </x:c>
      <x:c r="E59" s="46" t="n">
        <x:f>IF('Sheet4-原始数据'!F44="","",'Sheet4-原始数据'!F44)</x:f>
        <x:v>44691</x:v>
      </x:c>
      <x:c r="F59" s="52" t="n">
        <x:f>IF(ISNUMBER(E59),ROUND(('Sheet1-指标体系'!$J$12-E59)/'Sheet1-指标体系'!$J$14,4),"")</x:f>
        <x:v>4.3368</x:v>
      </x:c>
      <x:c r="G59" s="14" t="str">
        <x:f>IF(C59="","未匹配",IF(NOT(ISNUMBER(F59)),"缺成立日期",IF(F59&lt;'Sheet1-指标体系'!$J$15,"不入池","入池")))</x:f>
        <x:v>入池</x:v>
      </x:c>
      <x:c r="H59" s="45" t="str">
        <x:f>IF('Sheet5-查询核对'!K44="","",'Sheet5-查询核对'!K44)</x:f>
        <x:v>10-20亿元</x:v>
      </x:c>
      <x:c r="I59" s="52" t="n">
        <x:f>IF(H59="","",IF(COUNTIF('Sheet1-指标体系'!$P$4:$P$10,H59)=0,"",INDEX('Sheet1-指标体系'!$Q$4:$Q$10,MATCH(H59,'Sheet1-指标体系'!$P$4:$P$10,0))))</x:f>
        <x:v>80</x:v>
      </x:c>
      <x:c r="J59" s="54" t="str">
        <x:f>IF(NOT(ISNUMBER('Sheet5-查询核对'!N44)),"",IF('Sheet5-查询核对'!N44=1,"低于"&amp;'Sheet1-指标体系'!$J$4&amp;"万元",IF('Sheet5-查询核对'!N44=0,"无低于"&amp;'Sheet1-指标体系'!$J$4&amp;"万元标识","")))</x:f>
        <x:v>无低于1000万元标识</x:v>
      </x:c>
      <x:c r="K59" s="52" t="n">
        <x:f>IF(NOT(ISNUMBER('Sheet5-查询核对'!N44)),"",IF('Sheet5-查询核对'!N44=1,'Sheet1-指标体系'!$J$21,IF('Sheet5-查询核对'!N44=0,'Sheet1-指标体系'!$J$18,"")))</x:f>
        <x:v>100</x:v>
      </x:c>
      <x:c r="L59" s="52" t="n">
        <x:f>IF(NOT(ISNUMBER(F59)),"",IF(F59&lt;'Sheet1-指标体系'!$J$15,"",IF(F59&lt;'Sheet1-指标体系'!$J$16,'Sheet1-指标体系'!$J$17,'Sheet1-指标体系'!$J$18)))</x:f>
        <x:v>100</x:v>
      </x:c>
      <x:c r="M59" s="47" t="n">
        <x:f>IF(ISNUMBER('Sheet4-原始数据'!G44),'Sheet4-原始数据'!G44,"")</x:f>
        <x:v>0.08039999999999999</x:v>
      </x:c>
      <x:c r="N59" s="47" t="n">
        <x:f>IF(ISNUMBER('Sheet4-原始数据'!H44),'Sheet4-原始数据'!H44,"")</x:f>
        <x:v>0.079</x:v>
      </x:c>
      <x:c r="O59" s="47" t="n">
        <x:f>IF(ISNUMBER('Sheet5-查询核对'!Q44),'Sheet5-查询核对'!Q44,"")</x:f>
        <x:v>0.0767</x:v>
      </x:c>
      <x:c r="P59" s="44" t="n">
        <x:f>IF($G59&lt;&gt;"入池","",IF($F59&gt;='Sheet1-指标体系'!$J$16,IF(COUNT(M59,N59)&lt;&gt;2,"",IF(OR(1+M59&lt;=0,1+N59&lt;0),"",((1+N59)^'Sheet1-指标体系'!$J$16/(1+M59))^(1/('Sheet1-指标体系'!$J$16-'Sheet1-指标体系'!$J$15))-1)),IF(COUNT(M59,O59)&lt;&gt;2,"",IF(OR(F59&lt;='Sheet1-指标体系'!$J$15,1+M59&lt;=0,1+O59&lt;0),"",((1+O59)^F59/(1+M59))^(1/(F59-'Sheet1-指标体系'!$J$15))-1))))</x:f>
        <x:v>0.07830068045058747</x:v>
      </x:c>
      <x:c r="Q59" s="52" t="n">
        <x:f>IF(OR($G59&lt;&gt;"入池",NOT(ISNUMBER(M59))),"",IF(COUNTIFS($G$17:$G$99,"入池",$M$17:$M$99,"&gt;=-1E+307",$M$17:$M$99,"&lt;=1E+307")&lt;=1,'Sheet1-指标体系'!$J$18,ROUND('Sheet1-指标体系'!$J$18*(COUNTIFS($G$17:$G$99,"入池",$M$17:$M$99,"&gt;=-1E+307",$M$17:$M$99,"&lt;"&amp;M59)+COUNTIFS($G$17:$G$99,"入池",$M$17:$M$99,"&gt;=-1E+307",$M$17:$M$99,"&lt;=1E+307",$M$17:$M$99,M59)/2-0.5)/(COUNTIFS($G$17:$G$99,"入池",$M$17:$M$99,"&gt;=-1E+307",$M$17:$M$99,"&lt;=1E+307")-1),2)))</x:f>
        <x:v>42.86</x:v>
      </x:c>
      <x:c r="R59" s="52" t="n">
        <x:f>IF(OR($G59&lt;&gt;"入池",NOT(ISNUMBER(P59))),"",IF(COUNTIFS($G$17:$G$99,"入池",$P$17:$P$99,"&gt;=-1E+307",$P$17:$P$99,"&lt;=1E+307")&lt;=1,'Sheet1-指标体系'!$J$18,ROUND('Sheet1-指标体系'!$J$18*(COUNTIFS($G$17:$G$99,"入池",$P$17:$P$99,"&gt;=-1E+307",$P$17:$P$99,"&lt;"&amp;P59)+COUNTIFS($G$17:$G$99,"入池",$P$17:$P$99,"&gt;=-1E+307",$P$17:$P$99,"&lt;=1E+307",$P$17:$P$99,P59)/2-0.5)/(COUNTIFS($G$17:$G$99,"入池",$P$17:$P$99,"&gt;=-1E+307",$P$17:$P$99,"&lt;=1E+307")-1),2)))</x:f>
        <x:v>53.7</x:v>
      </x:c>
      <x:c r="S59" s="52" t="n">
        <x:f>IF(COUNT(Q59,R59)=0,"",ROUND((IF(ISNUMBER(Q59),Q59*'Sheet1-指标体系'!$G$7*'Sheet1-指标体系'!$J$8,0)+IF(ISNUMBER(R59),R59*'Sheet1-指标体系'!$G$7*'Sheet1-指标体系'!$J$9,0))/(IF(ISNUMBER(Q59),'Sheet1-指标体系'!$G$7*'Sheet1-指标体系'!$J$8,0)+IF(ISNUMBER(R59),'Sheet1-指标体系'!$G$7*'Sheet1-指标体系'!$J$9,0)),2))</x:f>
        <x:v>47.2</x:v>
      </x:c>
      <x:c r="T59" s="47" t="n">
        <x:f>IF(ISNUMBER('Sheet4-原始数据'!J44),'Sheet4-原始数据'!J44,"")</x:f>
        <x:v>1</x:v>
      </x:c>
      <x:c r="U59" s="47" t="n">
        <x:f>IF(ISNUMBER('Sheet4-原始数据'!I44),'Sheet4-原始数据'!I44,"")</x:f>
        <x:v>1</x:v>
      </x:c>
      <x:c r="V59" s="44" t="n">
        <x:f>IF(COUNT(T59:U59)&lt;&gt;2,"",(U59*'Sheet1-指标体系'!$J$6-T59*'Sheet1-指标体系'!$J$5)/'Sheet1-指标体系'!$J$7)</x:f>
        <x:v>1</x:v>
      </x:c>
      <x:c r="W59" s="52" t="n">
        <x:f>IF(NOT(ISNUMBER(T59)),"",T59*'Sheet1-指标体系'!$J$18)</x:f>
        <x:v>100</x:v>
      </x:c>
      <x:c r="X59" s="52" t="n">
        <x:f>IF(G59&lt;&gt;"入池","",IF(ISNUMBER(V59),IF(AND(V59&gt;=0,V59&lt;=1),V59*'Sheet1-指标体系'!$J$18,IF(MAX(0,(F59-'Sheet1-指标体系'!$J$15)*'Sheet1-指标体系'!$J$20)&lt;'Sheet1-指标体系'!$J$19,'Sheet1-指标体系'!$J$18,"")),IF(MAX(0,(F59-'Sheet1-指标体系'!$J$15)*'Sheet1-指标体系'!$J$20)&lt;'Sheet1-指标体系'!$J$19,'Sheet1-指标体系'!$J$18,"")))</x:f>
        <x:v>100</x:v>
      </x:c>
      <x:c r="Y59" s="52" t="n">
        <x:f>IF(NOT(ISNUMBER(W59)),"",IF(COUNT(W59,X59)=0,"",ROUND((IF(ISNUMBER(W59),W59*'Sheet1-指标体系'!$G$8*'Sheet1-指标体系'!$J$8,0)+IF(ISNUMBER(X59),X59*'Sheet1-指标体系'!$G$8*'Sheet1-指标体系'!$J$9,0))/(IF(ISNUMBER(W59),'Sheet1-指标体系'!$G$8*'Sheet1-指标体系'!$J$8,0)+IF(ISNUMBER(X59),'Sheet1-指标体系'!$G$8*'Sheet1-指标体系'!$J$9,0)),2)))</x:f>
        <x:v>100</x:v>
      </x:c>
      <x:c r="Z59" s="44" t="n">
        <x:f>IF(COUNT(M59,AD59)&lt;&gt;2,"",IF(AD59=0,"",ABS(M59/AD59)))</x:f>
        <x:v>0.0034478322398044507</x:v>
      </x:c>
      <x:c r="AA59" s="47" t="n">
        <x:f>IF(ISNUMBER('Sheet4-原始数据'!K44),'Sheet4-原始数据'!K44,"")</x:f>
        <x:v>0.0084</x:v>
      </x:c>
      <x:c r="AB59" s="44" t="n">
        <x:f>IF(COUNT(Z59:AA59)=0,"",MAX(Z59:AA59))</x:f>
        <x:v>0.0084</x:v>
      </x:c>
      <x:c r="AC59" s="52" t="n">
        <x:f>IF(OR($G59&lt;&gt;"入池",NOT(ISNUMBER(AB59))),"",IF(COUNTIFS($G$17:$G$99,"入池",$AB$17:$AB$99,"&gt;=-1E+307",$AB$17:$AB$99,"&lt;=1E+307")&lt;=1,'Sheet1-指标体系'!$J$18,ROUND('Sheet1-指标体系'!$J$18*(COUNTIFS($G$17:$G$99,"入池",$AB$17:$AB$99,"&lt;=1E+307",$AB$17:$AB$99,"&gt;"&amp;AB59)+COUNTIFS($G$17:$G$99,"入池",$AB$17:$AB$99,"&gt;=-1E+307",$AB$17:$AB$99,"&lt;=1E+307",$AB$17:$AB$99,AB59)/2-0.5)/(COUNTIFS($G$17:$G$99,"入池",$AB$17:$AB$99,"&gt;=-1E+307",$AB$17:$AB$99,"&lt;=1E+307")-1),2)))</x:f>
        <x:v>81.03</x:v>
      </x:c>
      <x:c r="AD59" s="48" t="n">
        <x:f>IF(ISNUMBER('Sheet4-原始数据'!M44),'Sheet4-原始数据'!M44,"")</x:f>
        <x:v>23.319</x:v>
      </x:c>
      <x:c r="AE59" s="44" t="n">
        <x:f>IF(COUNT(P59,AA59,Z59)&lt;&gt;3,"",IF(AA59&gt;Z59+'Sheet1-指标体系'!$J$11,AA59,""))</x:f>
        <x:v>0.0084</x:v>
      </x:c>
      <x:c r="AF59" s="52" t="n">
        <x:f>IF(COUNT(P59,AE59)&lt;&gt;2,"",IF(AE59=0,"",P59/AE59))</x:f>
        <x:v>9.32150957745089</x:v>
      </x:c>
      <x:c r="AG59" s="52" t="n">
        <x:f>IF(OR($G59&lt;&gt;"入池",NOT(ISNUMBER(AD59))),"",IF(COUNTIFS($G$17:$G$99,"入池",$AD$17:$AD$99,"&gt;=-1E+307",$AD$17:$AD$99,"&lt;=1E+307")&lt;=1,'Sheet1-指标体系'!$J$18,ROUND('Sheet1-指标体系'!$J$18*(COUNTIFS($G$17:$G$99,"入池",$AD$17:$AD$99,"&gt;=-1E+307",$AD$17:$AD$99,"&lt;"&amp;AD59)+COUNTIFS($G$17:$G$99,"入池",$AD$17:$AD$99,"&gt;=-1E+307",$AD$17:$AD$99,"&lt;=1E+307",$AD$17:$AD$99,AD59)/2-0.5)/(COUNTIFS($G$17:$G$99,"入池",$AD$17:$AD$99,"&gt;=-1E+307",$AD$17:$AD$99,"&lt;=1E+307")-1),2)))</x:f>
        <x:v>85.45</x:v>
      </x:c>
      <x:c r="AH59" s="52" t="n">
        <x:f>IF(OR($G59&lt;&gt;"入池",NOT(ISNUMBER(AF59))),"",IF(COUNTIFS($G$17:$G$99,"入池",$AF$17:$AF$99,"&gt;=-1E+307",$AF$17:$AF$99,"&lt;=1E+307")&lt;=1,'Sheet1-指标体系'!$J$18,ROUND('Sheet1-指标体系'!$J$18*(COUNTIFS($G$17:$G$99,"入池",$AF$17:$AF$99,"&gt;=-1E+307",$AF$17:$AF$99,"&lt;"&amp;AF59)+COUNTIFS($G$17:$G$99,"入池",$AF$17:$AF$99,"&gt;=-1E+307",$AF$17:$AF$99,"&lt;=1E+307",$AF$17:$AF$99,AF59)/2-0.5)/(COUNTIFS($G$17:$G$99,"入池",$AF$17:$AF$99,"&gt;=-1E+307",$AF$17:$AF$99,"&lt;=1E+307")-1),2)))</x:f>
        <x:v>85.71</x:v>
      </x:c>
      <x:c r="AI59" s="52" t="n">
        <x:f>IF(COUNT(AG59,AH59)=0,"",ROUND((IF(ISNUMBER(AG59),AG59*'Sheet1-指标体系'!$G$10*'Sheet1-指标体系'!$J$8,0)+IF(ISNUMBER(AH59),AH59*'Sheet1-指标体系'!$G$10*'Sheet1-指标体系'!$J$9,0))/(IF(ISNUMBER(AG59),'Sheet1-指标体系'!$G$10*'Sheet1-指标体系'!$J$8,0)+IF(ISNUMBER(AH59),'Sheet1-指标体系'!$G$10*'Sheet1-指标体系'!$J$9,0)),2))</x:f>
        <x:v>85.55</x:v>
      </x:c>
      <x:c r="AJ59" s="44" t="n">
        <x:f>IF(NOT(ISNUMBER(F59)),"",IF(F59&gt;='Sheet1-指标体系'!$J$16,IF(ISNUMBER(N59),N59,""),IF(ISNUMBER(O59),O59,"")))</x:f>
        <x:v>0.079</x:v>
      </x:c>
      <x:c r="AK59" s="52" t="n">
        <x:f>IF(OR(G59&lt;&gt;"入池",COUNT(M59,AJ59)&lt;&gt;2),"",IF(M59&gt;=AJ59,'Sheet1-指标体系'!$J$18,IF(AJ59-M59&lt;'Sheet1-指标体系'!$J$10,'Sheet1-指标体系'!$J$22,'Sheet1-指标体系'!$J$23)))</x:f>
        <x:v>100</x:v>
      </x:c>
      <x:c r="AL59" s="52" t="n">
        <x:f>IF(COUNT(I59,K59,L59)=0,"",ROUND((IF(ISNUMBER(I59),I59*'Sheet1-指标体系'!$G$4,0)+IF(ISNUMBER(K59),K59*'Sheet1-指标体系'!$G$5,0)+IF(ISNUMBER(L59),L59*'Sheet1-指标体系'!$G$6,0))/(IF(ISNUMBER(I59),'Sheet1-指标体系'!$G$4,0)+IF(ISNUMBER(K59),'Sheet1-指标体系'!$G$5,0)+IF(ISNUMBER(L59),'Sheet1-指标体系'!$G$6,0)),2))</x:f>
        <x:v>92</x:v>
      </x:c>
      <x:c r="AM59" s="52" t="n">
        <x:f>IF(COUNT(Q59,R59,W59,X59)=0,"",ROUND((IF(ISNUMBER(Q59),Q59*'Sheet1-指标体系'!$G$7*'Sheet1-指标体系'!$J$8,0)+IF(ISNUMBER(R59),R59*'Sheet1-指标体系'!$G$7*'Sheet1-指标体系'!$J$9,0)+IF(ISNUMBER(W59),W59*'Sheet1-指标体系'!$G$8*'Sheet1-指标体系'!$J$8,0)+IF(ISNUMBER(X59),X59*'Sheet1-指标体系'!$G$8*'Sheet1-指标体系'!$J$9,0))/(IF(ISNUMBER(Q59),'Sheet1-指标体系'!$G$7*'Sheet1-指标体系'!$J$8,0)+IF(ISNUMBER(R59),'Sheet1-指标体系'!$G$7*'Sheet1-指标体系'!$J$9,0)+IF(ISNUMBER(W59),'Sheet1-指标体系'!$G$8*'Sheet1-指标体系'!$J$8,0)+IF(ISNUMBER(X59),'Sheet1-指标体系'!$G$8*'Sheet1-指标体系'!$J$9,0)),2))</x:f>
        <x:v>63.04</x:v>
      </x:c>
      <x:c r="AN59" s="52" t="n">
        <x:f>IF(ISNUMBER(AC59),AC59,"")</x:f>
        <x:v>81.03</x:v>
      </x:c>
      <x:c r="AO59" s="52" t="n">
        <x:f>IF(COUNT(AG59,AH59)=0,"",ROUND((IF(ISNUMBER(AG59),AG59*'Sheet1-指标体系'!$G$10*'Sheet1-指标体系'!$J$8,0)+IF(ISNUMBER(AH59),AH59*'Sheet1-指标体系'!$G$10*'Sheet1-指标体系'!$J$9,0))/(IF(ISNUMBER(AG59),'Sheet1-指标体系'!$G$10*'Sheet1-指标体系'!$J$8,0)+IF(ISNUMBER(AH59),'Sheet1-指标体系'!$G$10*'Sheet1-指标体系'!$J$9,0)),2))</x:f>
        <x:v>85.55</x:v>
      </x:c>
      <x:c r="AP59" s="52" t="n">
        <x:f>IF(ISNUMBER(AK59),AK59,"")</x:f>
        <x:v>100</x:v>
      </x:c>
      <x:c r="AQ59" s="27" t="n">
        <x:f>IF(G59&lt;&gt;"入池",0,IF(ISNUMBER(I59),'Sheet1-指标体系'!$G$4,0)+IF(ISNUMBER(K59),'Sheet1-指标体系'!$G$5,0)+IF(ISNUMBER(L59),'Sheet1-指标体系'!$G$6,0)+IF(ISNUMBER(Q59),'Sheet1-指标体系'!$G$7*'Sheet1-指标体系'!$J$8,0)+IF(ISNUMBER(R59),'Sheet1-指标体系'!$G$7*'Sheet1-指标体系'!$J$9,0)+IF(ISNUMBER(W59),'Sheet1-指标体系'!$G$8*'Sheet1-指标体系'!$J$8,0)+IF(ISNUMBER(X59),'Sheet1-指标体系'!$G$8*'Sheet1-指标体系'!$J$9,0)+IF(ISNUMBER(AC59),'Sheet1-指标体系'!$G$9,0)+IF(ISNUMBER(AG59),'Sheet1-指标体系'!$G$10*'Sheet1-指标体系'!$J$8,0)+IF(ISNUMBER(AH59),'Sheet1-指标体系'!$G$10*'Sheet1-指标体系'!$J$9,0)+IF(ISNUMBER(AK59),'Sheet1-指标体系'!$G$11,0))</x:f>
        <x:v>1</x:v>
      </x:c>
      <x:c r="AR59" s="52" t="n">
        <x:f>IF(AQ59=0,"",IF(ISNUMBER(I59),I59*'Sheet1-指标体系'!$G$4,0)+IF(ISNUMBER(K59),K59*'Sheet1-指标体系'!$G$5,0)+IF(ISNUMBER(L59),L59*'Sheet1-指标体系'!$G$6,0)+IF(ISNUMBER(Q59),Q59*'Sheet1-指标体系'!$G$7*'Sheet1-指标体系'!$J$8,0)+IF(ISNUMBER(R59),R59*'Sheet1-指标体系'!$G$7*'Sheet1-指标体系'!$J$9,0)+IF(ISNUMBER(W59),W59*'Sheet1-指标体系'!$G$8*'Sheet1-指标体系'!$J$8,0)+IF(ISNUMBER(X59),X59*'Sheet1-指标体系'!$G$8*'Sheet1-指标体系'!$J$9,0)+IF(ISNUMBER(AC59),AC59*'Sheet1-指标体系'!$G$9,0)+IF(ISNUMBER(AG59),AG59*'Sheet1-指标体系'!$G$10*'Sheet1-指标体系'!$J$8,0)+IF(ISNUMBER(AH59),AH59*'Sheet1-指标体系'!$G$10*'Sheet1-指标体系'!$J$9,0)+IF(ISNUMBER(AK59),AK59*'Sheet1-指标体系'!$G$11,0))</x:f>
        <x:v>82.33114</x:v>
      </x:c>
      <x:c r="AS59" s="52" t="n">
        <x:f>IF(AQ59=0,"",ROUND(AR59/AQ59,2))</x:f>
        <x:v>82.33</x:v>
      </x:c>
      <x:c r="AT59" s="49" t="n">
        <x:f>IF(OR(G59&lt;&gt;"入池",NOT(ISNUMBER(AS59))),"",COUNTIFS($G$17:$G$99,"入池",$AS$17:$AS$99,"&gt;"&amp;AS59)+COUNTIFS($G$17:$G$99,"入池",$AS$17:$AS$99,AS59,$AQ$17:$AQ$99,"&gt;"&amp;AQ59)+COUNTIFS($G$17:G59,"入池",$AS$17:AS59,AS59,$AQ$17:AQ59,AQ59))</x:f>
        <x:v>23</x:v>
      </x:c>
      <x:c r="AU59" s="53" t="str">
        <x:f>IF(NOT(ISNUMBER(I59)),"管理人规模；","")&amp;IF(NOT(ISNUMBER(K59)),"产品规模标识；","")&amp;IF(NOT(ISNUMBER(M59)),"近一年收益；","")&amp;IF(NOT(ISNUMBER(T59)),"近一年胜率；","")&amp;IF(NOT(ISNUMBER(N59)),"近三年收益；","")&amp;IF(NOT(ISNUMBER(U59)),"近三年胜率；","")&amp;IF(NOT(ISNUMBER(AA59)),"近三年回撤；","")&amp;IF(NOT(ISNUMBER(AD59)),"近一年卡玛；","")&amp;IF(ISNUMBER(F59),IF(AND(F59&lt;'Sheet1-指标体系'!$J$16,NOT(ISNUMBER(O59))),"成立以来年化；",""),"成立日期；")&amp;IF(ISNUMBER(V59),IF(OR(V59&lt;0,V59&gt;1),"胜率窗口口径不一致；",""),"")&amp;IF(ISNUMBER(P59),IF(NOT(ISNUMBER(AE59)),"DD_long不可识别；",""),"")</x:f>
      </x:c>
      <x:c r="AV59" s="52" t="n">
        <x:f>IF(ROUND(AQ59,10)=ROUND('Sheet1-指标体系'!$J$25,10),AR59,"")</x:f>
        <x:v>82.33114</x:v>
      </x:c>
      <x:c r="AW59" s="14" t="str">
        <x:f>IF(G59&lt;&gt;"入池",G59,IF(AQ59=0,"无有效评分数据",IF(ROUND(AQ59,10)=ROUND('Sheet1-指标体系'!$J$25,10),"完整赋分", "暂定分／数据不完整")))</x:f>
        <x:v>完整赋分</x:v>
      </x:c>
      <x:c r="AX59" s="45" t="str">
        <x:f>IF('Sheet4-原始数据'!C44="","",'Sheet4-原始数据'!C44)</x:f>
        <x:v>期权策略</x:v>
      </x:c>
      <x:c r="AY59" s="45" t="str">
        <x:f>IF('Sheet4-原始数据'!D44="","",'Sheet4-原始数据'!D44)</x:f>
        <x:v>场内期权</x:v>
      </x:c>
      <x:c r="AZ59" s="45" t="str">
        <x:f>IF('Sheet5-查询核对'!S44="","",'Sheet5-查询核对'!S44)</x:f>
        <x:v>期权策略</x:v>
      </x:c>
      <x:c r="BA59" s="51" t="n">
        <x:f>IF('Sheet5-查询核对'!A44="","",'Sheet5-查询核对'!A44)</x:f>
        <x:v>44</x:v>
      </x:c>
      <x:c r="BB59" s="45" t="str">
        <x:f>IF('Sheet5-查询核对'!F44="","",'Sheet5-查询核对'!F44)</x:f>
        <x:v>备案号匹配</x:v>
      </x:c>
      <x:c r="BC59" s="50" t="str">
        <x:f>IF('Sheet5-查询核对'!I44="","",'Sheet5-查询核对'!I44)</x:f>
        <x:v>https://mp.fof99.com/fund/view/1a1f9e733b6e6ee0</x:v>
      </x:c>
      <x:c r="BD59" s="46" t="n">
        <x:f>IF('Sheet5-查询核对'!H44="","",'Sheet5-查询核对'!H44)</x:f>
        <x:v>46269</x:v>
      </x:c>
      <x:c r="BE59" s="50" t="str">
        <x:f>IF('Sheet5-查询核对'!L44="","",'Sheet5-查询核对'!L44)</x:f>
        <x:v>https://mp.fof99.com/fund/view/1a1f9e733b6e6ee0</x:v>
      </x:c>
      <x:c r="BF59" s="46" t="n">
        <x:f>IF('Sheet5-查询核对'!M44="","",'Sheet5-查询核对'!M44)</x:f>
        <x:v>46275</x:v>
      </x:c>
      <x:c r="BG59" s="50" t="str">
        <x:f>IF('Sheet5-查询核对'!O44="","",'Sheet5-查询核对'!O44)</x:f>
        <x:v>https://gs.amac.org.cn/amac-infodisc/res/pof/fund/2205181829119258.html</x:v>
      </x:c>
      <x:c r="BH59" s="46" t="n">
        <x:f>IF('Sheet5-查询核对'!P44="","",'Sheet5-查询核对'!P44)</x:f>
        <x:v>46275</x:v>
      </x:c>
      <x:c r="BI59" s="45" t="str">
        <x:f>IF('Sheet5-查询核对'!D44="","",'Sheet5-查询核对'!D44)</x:f>
        <x:v>SVM029</x:v>
      </x:c>
      <x:c r="BJ59" t="n">
        <x:f>IF(ISNUMBER(AT59),AT59,COUNT($AT$17:$AT$99)+ROWS($AT$17:AT59)-COUNT($AT$17:AT59))</x:f>
        <x:v>23</x:v>
      </x:c>
    </x:row>
    <x:row r="60" ht="44" customHeight="1">
      <x:c r="A60" s="49" t="n">
        <x:f>'Sheet5-查询核对'!A45-1</x:f>
        <x:v>44</x:v>
      </x:c>
      <x:c r="B60" s="50" t="str">
        <x:f>IF('Sheet4-原始数据'!A45="",'Sheet5-查询核对'!B45,'Sheet4-原始数据'!A45)</x:f>
        <x:v>慕途盈川1号</x:v>
      </x:c>
      <x:c r="C60" s="45" t="str">
        <x:f>IF('Sheet4-原始数据'!B45="","",'Sheet4-原始数据'!B45)</x:f>
        <x:v>SAQQ67</x:v>
      </x:c>
      <x:c r="D60" s="45" t="str">
        <x:f>IF('Sheet4-原始数据'!E45="","",'Sheet4-原始数据'!E45)</x:f>
        <x:v>慕途基金</x:v>
      </x:c>
      <x:c r="E60" s="46" t="n">
        <x:f>IF('Sheet4-原始数据'!F45="","",'Sheet4-原始数据'!F45)</x:f>
        <x:v>45621</x:v>
      </x:c>
      <x:c r="F60" s="52" t="n">
        <x:f>IF(ISNUMBER(E60),ROUND(('Sheet1-指标体系'!$J$12-E60)/'Sheet1-指标体系'!$J$14,4),"")</x:f>
        <x:v>1.7906</x:v>
      </x:c>
      <x:c r="G60" s="14" t="str">
        <x:f>IF(C60="","未匹配",IF(NOT(ISNUMBER(F60)),"缺成立日期",IF(F60&lt;'Sheet1-指标体系'!$J$15,"不入池","入池")))</x:f>
        <x:v>入池</x:v>
      </x:c>
      <x:c r="H60" s="45" t="str">
        <x:f>IF('Sheet5-查询核对'!K45="","",'Sheet5-查询核对'!K45)</x:f>
        <x:v>10-20亿元</x:v>
      </x:c>
      <x:c r="I60" s="52" t="n">
        <x:f>IF(H60="","",IF(COUNTIF('Sheet1-指标体系'!$P$4:$P$10,H60)=0,"",INDEX('Sheet1-指标体系'!$Q$4:$Q$10,MATCH(H60,'Sheet1-指标体系'!$P$4:$P$10,0))))</x:f>
        <x:v>80</x:v>
      </x:c>
      <x:c r="J60" s="54" t="str">
        <x:f>IF(NOT(ISNUMBER('Sheet5-查询核对'!N45)),"",IF('Sheet5-查询核对'!N45=1,"低于"&amp;'Sheet1-指标体系'!$J$4&amp;"万元",IF('Sheet5-查询核对'!N45=0,"无低于"&amp;'Sheet1-指标体系'!$J$4&amp;"万元标识","")))</x:f>
        <x:v>无低于1000万元标识</x:v>
      </x:c>
      <x:c r="K60" s="52" t="n">
        <x:f>IF(NOT(ISNUMBER('Sheet5-查询核对'!N45)),"",IF('Sheet5-查询核对'!N45=1,'Sheet1-指标体系'!$J$21,IF('Sheet5-查询核对'!N45=0,'Sheet1-指标体系'!$J$18,"")))</x:f>
        <x:v>100</x:v>
      </x:c>
      <x:c r="L60" s="52" t="n">
        <x:f>IF(NOT(ISNUMBER(F60)),"",IF(F60&lt;'Sheet1-指标体系'!$J$15,"",IF(F60&lt;'Sheet1-指标体系'!$J$16,'Sheet1-指标体系'!$J$17,'Sheet1-指标体系'!$J$18)))</x:f>
        <x:v>70</x:v>
      </x:c>
      <x:c r="M60" s="47" t="n">
        <x:f>IF(ISNUMBER('Sheet4-原始数据'!G45),'Sheet4-原始数据'!G45,"")</x:f>
        <x:v>0.1359</x:v>
      </x:c>
      <x:c r="N60" s="47" t="str">
        <x:f>IF(ISNUMBER('Sheet4-原始数据'!H45),'Sheet4-原始数据'!H45,"")</x:f>
      </x:c>
      <x:c r="O60" s="47" t="n">
        <x:f>IF(ISNUMBER('Sheet5-查询核对'!Q45),'Sheet5-查询核对'!Q45,"")</x:f>
        <x:v>0.1099</x:v>
      </x:c>
      <x:c r="P60" s="44" t="n">
        <x:f>IF($G60&lt;&gt;"入池","",IF($F60&gt;='Sheet1-指标体系'!$J$16,IF(COUNT(M60,N60)&lt;&gt;2,"",IF(OR(1+M60&lt;=0,1+N60&lt;0),"",((1+N60)^'Sheet1-指标体系'!$J$16/(1+M60))^(1/('Sheet1-指标体系'!$J$16-'Sheet1-指标体系'!$J$15))-1)),IF(COUNT(M60,O60)&lt;&gt;2,"",IF(OR(F60&lt;='Sheet1-指标体系'!$J$15,1+M60&lt;=0,1+O60&lt;0),"",((1+O60)^F60/(1+M60))^(1/(F60-'Sheet1-指标体系'!$J$15))-1))))</x:f>
        <x:v>0.07786429024383934</x:v>
      </x:c>
      <x:c r="Q60" s="52" t="n">
        <x:f>IF(OR($G60&lt;&gt;"入池",NOT(ISNUMBER(M60))),"",IF(COUNTIFS($G$17:$G$99,"入池",$M$17:$M$99,"&gt;=-1E+307",$M$17:$M$99,"&lt;=1E+307")&lt;=1,'Sheet1-指标体系'!$J$18,ROUND('Sheet1-指标体系'!$J$18*(COUNTIFS($G$17:$G$99,"入池",$M$17:$M$99,"&gt;=-1E+307",$M$17:$M$99,"&lt;"&amp;M60)+COUNTIFS($G$17:$G$99,"入池",$M$17:$M$99,"&gt;=-1E+307",$M$17:$M$99,"&lt;=1E+307",$M$17:$M$99,M60)/2-0.5)/(COUNTIFS($G$17:$G$99,"入池",$M$17:$M$99,"&gt;=-1E+307",$M$17:$M$99,"&lt;=1E+307")-1),2)))</x:f>
        <x:v>77.68</x:v>
      </x:c>
      <x:c r="R60" s="52" t="n">
        <x:f>IF(OR($G60&lt;&gt;"入池",NOT(ISNUMBER(P60))),"",IF(COUNTIFS($G$17:$G$99,"入池",$P$17:$P$99,"&gt;=-1E+307",$P$17:$P$99,"&lt;=1E+307")&lt;=1,'Sheet1-指标体系'!$J$18,ROUND('Sheet1-指标体系'!$J$18*(COUNTIFS($G$17:$G$99,"入池",$P$17:$P$99,"&gt;=-1E+307",$P$17:$P$99,"&lt;"&amp;P60)+COUNTIFS($G$17:$G$99,"入池",$P$17:$P$99,"&gt;=-1E+307",$P$17:$P$99,"&lt;=1E+307",$P$17:$P$99,P60)/2-0.5)/(COUNTIFS($G$17:$G$99,"入池",$P$17:$P$99,"&gt;=-1E+307",$P$17:$P$99,"&lt;=1E+307")-1),2)))</x:f>
        <x:v>51.85</x:v>
      </x:c>
      <x:c r="S60" s="52" t="n">
        <x:f>IF(COUNT(Q60,R60)=0,"",ROUND((IF(ISNUMBER(Q60),Q60*'Sheet1-指标体系'!$G$7*'Sheet1-指标体系'!$J$8,0)+IF(ISNUMBER(R60),R60*'Sheet1-指标体系'!$G$7*'Sheet1-指标体系'!$J$9,0))/(IF(ISNUMBER(Q60),'Sheet1-指标体系'!$G$7*'Sheet1-指标体系'!$J$8,0)+IF(ISNUMBER(R60),'Sheet1-指标体系'!$G$7*'Sheet1-指标体系'!$J$9,0)),2))</x:f>
        <x:v>67.35</x:v>
      </x:c>
      <x:c r="T60" s="47" t="n">
        <x:f>IF(ISNUMBER('Sheet4-原始数据'!J45),'Sheet4-原始数据'!J45,"")</x:f>
        <x:v>0.7692</x:v>
      </x:c>
      <x:c r="U60" s="47" t="str">
        <x:f>IF(ISNUMBER('Sheet4-原始数据'!I45),'Sheet4-原始数据'!I45,"")</x:f>
      </x:c>
      <x:c r="V60" s="44" t="str">
        <x:f>IF(COUNT(T60:U60)&lt;&gt;2,"",(U60*'Sheet1-指标体系'!$J$6-T60*'Sheet1-指标体系'!$J$5)/'Sheet1-指标体系'!$J$7)</x:f>
      </x:c>
      <x:c r="W60" s="52" t="n">
        <x:f>IF(NOT(ISNUMBER(T60)),"",T60*'Sheet1-指标体系'!$J$18)</x:f>
        <x:v>76.92</x:v>
      </x:c>
      <x:c r="X60" s="52" t="str">
        <x:f>IF(G60&lt;&gt;"入池","",IF(ISNUMBER(V60),IF(AND(V60&gt;=0,V60&lt;=1),V60*'Sheet1-指标体系'!$J$18,IF(MAX(0,(F60-'Sheet1-指标体系'!$J$15)*'Sheet1-指标体系'!$J$20)&lt;'Sheet1-指标体系'!$J$19,'Sheet1-指标体系'!$J$18,"")),IF(MAX(0,(F60-'Sheet1-指标体系'!$J$15)*'Sheet1-指标体系'!$J$20)&lt;'Sheet1-指标体系'!$J$19,'Sheet1-指标体系'!$J$18,"")))</x:f>
      </x:c>
      <x:c r="Y60" s="52" t="n">
        <x:f>IF(NOT(ISNUMBER(W60)),"",IF(COUNT(W60,X60)=0,"",ROUND((IF(ISNUMBER(W60),W60*'Sheet1-指标体系'!$G$8*'Sheet1-指标体系'!$J$8,0)+IF(ISNUMBER(X60),X60*'Sheet1-指标体系'!$G$8*'Sheet1-指标体系'!$J$9,0))/(IF(ISNUMBER(W60),'Sheet1-指标体系'!$G$8*'Sheet1-指标体系'!$J$8,0)+IF(ISNUMBER(X60),'Sheet1-指标体系'!$G$8*'Sheet1-指标体系'!$J$9,0)),2)))</x:f>
        <x:v>76.92</x:v>
      </x:c>
      <x:c r="Z60" s="44" t="n">
        <x:f>IF(COUNT(M60,AD60)&lt;&gt;2,"",IF(AD60=0,"",ABS(M60/AD60)))</x:f>
        <x:v>0.022568002922714138</x:v>
      </x:c>
      <x:c r="AA60" s="47" t="str">
        <x:f>IF(ISNUMBER('Sheet4-原始数据'!K45),'Sheet4-原始数据'!K45,"")</x:f>
      </x:c>
      <x:c r="AB60" s="44" t="n">
        <x:f>IF(COUNT(Z60:AA60)=0,"",MAX(Z60:AA60))</x:f>
        <x:v>0.022568002922714138</x:v>
      </x:c>
      <x:c r="AC60" s="52" t="n">
        <x:f>IF(OR($G60&lt;&gt;"入池",NOT(ISNUMBER(AB60))),"",IF(COUNTIFS($G$17:$G$99,"入池",$AB$17:$AB$99,"&gt;=-1E+307",$AB$17:$AB$99,"&lt;=1E+307")&lt;=1,'Sheet1-指标体系'!$J$18,ROUND('Sheet1-指标体系'!$J$18*(COUNTIFS($G$17:$G$99,"入池",$AB$17:$AB$99,"&lt;=1E+307",$AB$17:$AB$99,"&gt;"&amp;AB60)+COUNTIFS($G$17:$G$99,"入池",$AB$17:$AB$99,"&gt;=-1E+307",$AB$17:$AB$99,"&lt;=1E+307",$AB$17:$AB$99,AB60)/2-0.5)/(COUNTIFS($G$17:$G$99,"入池",$AB$17:$AB$99,"&gt;=-1E+307",$AB$17:$AB$99,"&lt;=1E+307")-1),2)))</x:f>
        <x:v>55.17</x:v>
      </x:c>
      <x:c r="AD60" s="48" t="n">
        <x:f>IF(ISNUMBER('Sheet4-原始数据'!M45),'Sheet4-原始数据'!M45,"")</x:f>
        <x:v>6.0218</x:v>
      </x:c>
      <x:c r="AE60" s="44" t="str">
        <x:f>IF(COUNT(P60,AA60,Z60)&lt;&gt;3,"",IF(AA60&gt;Z60+'Sheet1-指标体系'!$J$11,AA60,""))</x:f>
      </x:c>
      <x:c r="AF60" s="52" t="str">
        <x:f>IF(COUNT(P60,AE60)&lt;&gt;2,"",IF(AE60=0,"",P60/AE60))</x:f>
      </x:c>
      <x:c r="AG60" s="52" t="n">
        <x:f>IF(OR($G60&lt;&gt;"入池",NOT(ISNUMBER(AD60))),"",IF(COUNTIFS($G$17:$G$99,"入池",$AD$17:$AD$99,"&gt;=-1E+307",$AD$17:$AD$99,"&lt;=1E+307")&lt;=1,'Sheet1-指标体系'!$J$18,ROUND('Sheet1-指标体系'!$J$18*(COUNTIFS($G$17:$G$99,"入池",$AD$17:$AD$99,"&gt;=-1E+307",$AD$17:$AD$99,"&lt;"&amp;AD60)+COUNTIFS($G$17:$G$99,"入池",$AD$17:$AD$99,"&gt;=-1E+307",$AD$17:$AD$99,"&lt;=1E+307",$AD$17:$AD$99,AD60)/2-0.5)/(COUNTIFS($G$17:$G$99,"入池",$AD$17:$AD$99,"&gt;=-1E+307",$AD$17:$AD$99,"&lt;=1E+307")-1),2)))</x:f>
        <x:v>41.82</x:v>
      </x:c>
      <x:c r="AH60" s="52" t="str">
        <x:f>IF(OR($G60&lt;&gt;"入池",NOT(ISNUMBER(AF60))),"",IF(COUNTIFS($G$17:$G$99,"入池",$AF$17:$AF$99,"&gt;=-1E+307",$AF$17:$AF$99,"&lt;=1E+307")&lt;=1,'Sheet1-指标体系'!$J$18,ROUND('Sheet1-指标体系'!$J$18*(COUNTIFS($G$17:$G$99,"入池",$AF$17:$AF$99,"&gt;=-1E+307",$AF$17:$AF$99,"&lt;"&amp;AF60)+COUNTIFS($G$17:$G$99,"入池",$AF$17:$AF$99,"&gt;=-1E+307",$AF$17:$AF$99,"&lt;=1E+307",$AF$17:$AF$99,AF60)/2-0.5)/(COUNTIFS($G$17:$G$99,"入池",$AF$17:$AF$99,"&gt;=-1E+307",$AF$17:$AF$99,"&lt;=1E+307")-1),2)))</x:f>
      </x:c>
      <x:c r="AI60" s="52" t="n">
        <x:f>IF(COUNT(AG60,AH60)=0,"",ROUND((IF(ISNUMBER(AG60),AG60*'Sheet1-指标体系'!$G$10*'Sheet1-指标体系'!$J$8,0)+IF(ISNUMBER(AH60),AH60*'Sheet1-指标体系'!$G$10*'Sheet1-指标体系'!$J$9,0))/(IF(ISNUMBER(AG60),'Sheet1-指标体系'!$G$10*'Sheet1-指标体系'!$J$8,0)+IF(ISNUMBER(AH60),'Sheet1-指标体系'!$G$10*'Sheet1-指标体系'!$J$9,0)),2))</x:f>
        <x:v>41.82</x:v>
      </x:c>
      <x:c r="AJ60" s="44" t="n">
        <x:f>IF(NOT(ISNUMBER(F60)),"",IF(F60&gt;='Sheet1-指标体系'!$J$16,IF(ISNUMBER(N60),N60,""),IF(ISNUMBER(O60),O60,"")))</x:f>
        <x:v>0.1099</x:v>
      </x:c>
      <x:c r="AK60" s="52" t="n">
        <x:f>IF(OR(G60&lt;&gt;"入池",COUNT(M60,AJ60)&lt;&gt;2),"",IF(M60&gt;=AJ60,'Sheet1-指标体系'!$J$18,IF(AJ60-M60&lt;'Sheet1-指标体系'!$J$10,'Sheet1-指标体系'!$J$22,'Sheet1-指标体系'!$J$23)))</x:f>
        <x:v>100</x:v>
      </x:c>
      <x:c r="AL60" s="52" t="n">
        <x:f>IF(COUNT(I60,K60,L60)=0,"",ROUND((IF(ISNUMBER(I60),I60*'Sheet1-指标体系'!$G$4,0)+IF(ISNUMBER(K60),K60*'Sheet1-指标体系'!$G$5,0)+IF(ISNUMBER(L60),L60*'Sheet1-指标体系'!$G$6,0))/(IF(ISNUMBER(I60),'Sheet1-指标体系'!$G$4,0)+IF(ISNUMBER(K60),'Sheet1-指标体系'!$G$5,0)+IF(ISNUMBER(L60),'Sheet1-指标体系'!$G$6,0)),2))</x:f>
        <x:v>83</x:v>
      </x:c>
      <x:c r="AM60" s="52" t="n">
        <x:f>IF(COUNT(Q60,R60,W60,X60)=0,"",ROUND((IF(ISNUMBER(Q60),Q60*'Sheet1-指标体系'!$G$7*'Sheet1-指标体系'!$J$8,0)+IF(ISNUMBER(R60),R60*'Sheet1-指标体系'!$G$7*'Sheet1-指标体系'!$J$9,0)+IF(ISNUMBER(W60),W60*'Sheet1-指标体系'!$G$8*'Sheet1-指标体系'!$J$8,0)+IF(ISNUMBER(X60),X60*'Sheet1-指标体系'!$G$8*'Sheet1-指标体系'!$J$9,0))/(IF(ISNUMBER(Q60),'Sheet1-指标体系'!$G$7*'Sheet1-指标体系'!$J$8,0)+IF(ISNUMBER(R60),'Sheet1-指标体系'!$G$7*'Sheet1-指标体系'!$J$9,0)+IF(ISNUMBER(W60),'Sheet1-指标体系'!$G$8*'Sheet1-指标体系'!$J$8,0)+IF(ISNUMBER(X60),'Sheet1-指标体系'!$G$8*'Sheet1-指标体系'!$J$9,0)),2))</x:f>
        <x:v>69.31</x:v>
      </x:c>
      <x:c r="AN60" s="52" t="n">
        <x:f>IF(ISNUMBER(AC60),AC60,"")</x:f>
        <x:v>55.17</x:v>
      </x:c>
      <x:c r="AO60" s="52" t="n">
        <x:f>IF(COUNT(AG60,AH60)=0,"",ROUND((IF(ISNUMBER(AG60),AG60*'Sheet1-指标体系'!$G$10*'Sheet1-指标体系'!$J$8,0)+IF(ISNUMBER(AH60),AH60*'Sheet1-指标体系'!$G$10*'Sheet1-指标体系'!$J$9,0))/(IF(ISNUMBER(AG60),'Sheet1-指标体系'!$G$10*'Sheet1-指标体系'!$J$8,0)+IF(ISNUMBER(AH60),'Sheet1-指标体系'!$G$10*'Sheet1-指标体系'!$J$9,0)),2))</x:f>
        <x:v>41.82</x:v>
      </x:c>
      <x:c r="AP60" s="52" t="n">
        <x:f>IF(ISNUMBER(AK60),AK60,"")</x:f>
        <x:v>100</x:v>
      </x:c>
      <x:c r="AQ60" s="27" t="n">
        <x:f>IF(G60&lt;&gt;"入池",0,IF(ISNUMBER(I60),'Sheet1-指标体系'!$G$4,0)+IF(ISNUMBER(K60),'Sheet1-指标体系'!$G$5,0)+IF(ISNUMBER(L60),'Sheet1-指标体系'!$G$6,0)+IF(ISNUMBER(Q60),'Sheet1-指标体系'!$G$7*'Sheet1-指标体系'!$J$8,0)+IF(ISNUMBER(R60),'Sheet1-指标体系'!$G$7*'Sheet1-指标体系'!$J$9,0)+IF(ISNUMBER(W60),'Sheet1-指标体系'!$G$8*'Sheet1-指标体系'!$J$8,0)+IF(ISNUMBER(X60),'Sheet1-指标体系'!$G$8*'Sheet1-指标体系'!$J$9,0)+IF(ISNUMBER(AC60),'Sheet1-指标体系'!$G$9,0)+IF(ISNUMBER(AG60),'Sheet1-指标体系'!$G$10*'Sheet1-指标体系'!$J$8,0)+IF(ISNUMBER(AH60),'Sheet1-指标体系'!$G$10*'Sheet1-指标体系'!$J$9,0)+IF(ISNUMBER(AK60),'Sheet1-指标体系'!$G$11,0))</x:f>
        <x:v>0.856</x:v>
      </x:c>
      <x:c r="AR60" s="52" t="n">
        <x:f>IF(AQ60=0,"",IF(ISNUMBER(I60),I60*'Sheet1-指标体系'!$G$4,0)+IF(ISNUMBER(K60),K60*'Sheet1-指标体系'!$G$5,0)+IF(ISNUMBER(L60),L60*'Sheet1-指标体系'!$G$6,0)+IF(ISNUMBER(Q60),Q60*'Sheet1-指标体系'!$G$7*'Sheet1-指标体系'!$J$8,0)+IF(ISNUMBER(R60),R60*'Sheet1-指标体系'!$G$7*'Sheet1-指标体系'!$J$9,0)+IF(ISNUMBER(W60),W60*'Sheet1-指标体系'!$G$8*'Sheet1-指标体系'!$J$8,0)+IF(ISNUMBER(X60),X60*'Sheet1-指标体系'!$G$8*'Sheet1-指标体系'!$J$9,0)+IF(ISNUMBER(AC60),AC60*'Sheet1-指标体系'!$G$9,0)+IF(ISNUMBER(AG60),AG60*'Sheet1-指标体系'!$G$10*'Sheet1-指标体系'!$J$8,0)+IF(ISNUMBER(AH60),AH60*'Sheet1-指标体系'!$G$10*'Sheet1-指标体系'!$J$9,0)+IF(ISNUMBER(AK60),AK60*'Sheet1-指标体系'!$G$11,0))</x:f>
        <x:v>55.967940000000006</x:v>
      </x:c>
      <x:c r="AS60" s="52" t="n">
        <x:f>IF(AQ60=0,"",ROUND(AR60/AQ60,2))</x:f>
        <x:v>65.38</x:v>
      </x:c>
      <x:c r="AT60" s="49" t="n">
        <x:f>IF(OR(G60&lt;&gt;"入池",NOT(ISNUMBER(AS60))),"",COUNTIFS($G$17:$G$99,"入池",$AS$17:$AS$99,"&gt;"&amp;AS60)+COUNTIFS($G$17:$G$99,"入池",$AS$17:$AS$99,AS60,$AQ$17:$AQ$99,"&gt;"&amp;AQ60)+COUNTIFS($G$17:G60,"入池",$AS$17:AS60,AS60,$AQ$17:AQ60,AQ60))</x:f>
        <x:v>46</x:v>
      </x:c>
      <x:c r="AU60" s="53" t="str">
        <x:f>IF(NOT(ISNUMBER(I60)),"管理人规模；","")&amp;IF(NOT(ISNUMBER(K60)),"产品规模标识；","")&amp;IF(NOT(ISNUMBER(M60)),"近一年收益；","")&amp;IF(NOT(ISNUMBER(T60)),"近一年胜率；","")&amp;IF(NOT(ISNUMBER(N60)),"近三年收益；","")&amp;IF(NOT(ISNUMBER(U60)),"近三年胜率；","")&amp;IF(NOT(ISNUMBER(AA60)),"近三年回撤；","")&amp;IF(NOT(ISNUMBER(AD60)),"近一年卡玛；","")&amp;IF(ISNUMBER(F60),IF(AND(F60&lt;'Sheet1-指标体系'!$J$16,NOT(ISNUMBER(O60))),"成立以来年化；",""),"成立日期；")&amp;IF(ISNUMBER(V60),IF(OR(V60&lt;0,V60&gt;1),"胜率窗口口径不一致；",""),"")&amp;IF(ISNUMBER(P60),IF(NOT(ISNUMBER(AE60)),"DD_long不可识别；",""),"")</x:f>
        <x:v>近三年收益；近三年胜率；近三年回撤；DD_long不可识别；</x:v>
      </x:c>
      <x:c r="AV60" s="52" t="str">
        <x:f>IF(ROUND(AQ60,10)=ROUND('Sheet1-指标体系'!$J$25,10),AR60,"")</x:f>
      </x:c>
      <x:c r="AW60" s="14" t="str">
        <x:f>IF(G60&lt;&gt;"入池",G60,IF(AQ60=0,"无有效评分数据",IF(ROUND(AQ60,10)=ROUND('Sheet1-指标体系'!$J$25,10),"完整赋分", "暂定分／数据不完整")))</x:f>
        <x:v>暂定分／数据不完整</x:v>
      </x:c>
      <x:c r="AX60" s="45" t="str">
        <x:f>IF('Sheet4-原始数据'!C45="","",'Sheet4-原始数据'!C45)</x:f>
        <x:v>套利策略</x:v>
      </x:c>
      <x:c r="AY60" s="45" t="str">
        <x:f>IF('Sheet4-原始数据'!D45="","",'Sheet4-原始数据'!D45)</x:f>
        <x:v>期货套利</x:v>
      </x:c>
      <x:c r="AZ60" s="45" t="str">
        <x:f>IF('Sheet5-查询核对'!S45="","",'Sheet5-查询核对'!S45)</x:f>
        <x:v>套利策略—期货套利</x:v>
      </x:c>
      <x:c r="BA60" s="51" t="n">
        <x:f>IF('Sheet5-查询核对'!A45="","",'Sheet5-查询核对'!A45)</x:f>
        <x:v>45</x:v>
      </x:c>
      <x:c r="BB60" s="45" t="str">
        <x:f>IF('Sheet5-查询核对'!F45="","",'Sheet5-查询核对'!F45)</x:f>
        <x:v>备案号匹配</x:v>
      </x:c>
      <x:c r="BC60" s="50" t="str">
        <x:f>IF('Sheet5-查询核对'!I45="","",'Sheet5-查询核对'!I45)</x:f>
        <x:v>https://mp.fof99.com/fund/view/26b4ccb26333ca6a</x:v>
      </x:c>
      <x:c r="BD60" s="46" t="n">
        <x:f>IF('Sheet5-查询核对'!H45="","",'Sheet5-查询核对'!H45)</x:f>
        <x:v>46269</x:v>
      </x:c>
      <x:c r="BE60" s="50" t="str">
        <x:f>IF('Sheet5-查询核对'!L45="","",'Sheet5-查询核对'!L45)</x:f>
        <x:v>https://mp.fof99.com/fund/view/26b4ccb26333ca6a</x:v>
      </x:c>
      <x:c r="BF60" s="46" t="n">
        <x:f>IF('Sheet5-查询核对'!M45="","",'Sheet5-查询核对'!M45)</x:f>
        <x:v>46275</x:v>
      </x:c>
      <x:c r="BG60" s="50" t="str">
        <x:f>IF('Sheet5-查询核对'!O45="","",'Sheet5-查询核对'!O45)</x:f>
        <x:v>https://gs.amac.org.cn/amac-infodisc/res/pof/fund/2412092007109429.html</x:v>
      </x:c>
      <x:c r="BH60" s="46" t="n">
        <x:f>IF('Sheet5-查询核对'!P45="","",'Sheet5-查询核对'!P45)</x:f>
        <x:v>46275</x:v>
      </x:c>
      <x:c r="BI60" s="45" t="str">
        <x:f>IF('Sheet5-查询核对'!D45="","",'Sheet5-查询核对'!D45)</x:f>
        <x:v>SAQQ67</x:v>
      </x:c>
      <x:c r="BJ60" t="n">
        <x:f>IF(ISNUMBER(AT60),AT60,COUNT($AT$17:$AT$99)+ROWS($AT$17:AT60)-COUNT($AT$17:AT60))</x:f>
        <x:v>46</x:v>
      </x:c>
    </x:row>
    <x:row r="61" ht="44" customHeight="1">
      <x:c r="A61" s="49" t="n">
        <x:f>'Sheet5-查询核对'!A46-1</x:f>
        <x:v>45</x:v>
      </x:c>
      <x:c r="B61" s="50" t="str">
        <x:f>IF('Sheet4-原始数据'!A46="",'Sheet5-查询核对'!B46,'Sheet4-原始数据'!A46)</x:f>
        <x:v>奶酪鑫鑫宝二号</x:v>
      </x:c>
      <x:c r="C61" s="45" t="str">
        <x:f>IF('Sheet4-原始数据'!B46="","",'Sheet4-原始数据'!B46)</x:f>
        <x:v>SB2838</x:v>
      </x:c>
      <x:c r="D61" s="45" t="str">
        <x:f>IF('Sheet4-原始数据'!E46="","",'Sheet4-原始数据'!E46)</x:f>
        <x:v>广东奶酪</x:v>
      </x:c>
      <x:c r="E61" s="46" t="n">
        <x:f>IF('Sheet4-原始数据'!F46="","",'Sheet4-原始数据'!F46)</x:f>
        <x:v>45092</x:v>
      </x:c>
      <x:c r="F61" s="52" t="n">
        <x:f>IF(ISNUMBER(E61),ROUND(('Sheet1-指标体系'!$J$12-E61)/'Sheet1-指标体系'!$J$14,4),"")</x:f>
        <x:v>3.2389</x:v>
      </x:c>
      <x:c r="G61" s="14" t="str">
        <x:f>IF(C61="","未匹配",IF(NOT(ISNUMBER(F61)),"缺成立日期",IF(F61&lt;'Sheet1-指标体系'!$J$15,"不入池","入池")))</x:f>
        <x:v>入池</x:v>
      </x:c>
      <x:c r="H61" s="45" t="str">
        <x:f>IF('Sheet5-查询核对'!K46="","",'Sheet5-查询核对'!K46)</x:f>
        <x:v>10-20亿元</x:v>
      </x:c>
      <x:c r="I61" s="52" t="n">
        <x:f>IF(H61="","",IF(COUNTIF('Sheet1-指标体系'!$P$4:$P$10,H61)=0,"",INDEX('Sheet1-指标体系'!$Q$4:$Q$10,MATCH(H61,'Sheet1-指标体系'!$P$4:$P$10,0))))</x:f>
        <x:v>80</x:v>
      </x:c>
      <x:c r="J61" s="54" t="str">
        <x:f>IF(NOT(ISNUMBER('Sheet5-查询核对'!N46)),"",IF('Sheet5-查询核对'!N46=1,"低于"&amp;'Sheet1-指标体系'!$J$4&amp;"万元",IF('Sheet5-查询核对'!N46=0,"无低于"&amp;'Sheet1-指标体系'!$J$4&amp;"万元标识","")))</x:f>
        <x:v>无低于1000万元标识</x:v>
      </x:c>
      <x:c r="K61" s="52" t="n">
        <x:f>IF(NOT(ISNUMBER('Sheet5-查询核对'!N46)),"",IF('Sheet5-查询核对'!N46=1,'Sheet1-指标体系'!$J$21,IF('Sheet5-查询核对'!N46=0,'Sheet1-指标体系'!$J$18,"")))</x:f>
        <x:v>100</x:v>
      </x:c>
      <x:c r="L61" s="52" t="n">
        <x:f>IF(NOT(ISNUMBER(F61)),"",IF(F61&lt;'Sheet1-指标体系'!$J$15,"",IF(F61&lt;'Sheet1-指标体系'!$J$16,'Sheet1-指标体系'!$J$17,'Sheet1-指标体系'!$J$18)))</x:f>
        <x:v>100</x:v>
      </x:c>
      <x:c r="M61" s="47" t="n">
        <x:f>IF(ISNUMBER('Sheet4-原始数据'!G46),'Sheet4-原始数据'!G46,"")</x:f>
        <x:v>0.0667</x:v>
      </x:c>
      <x:c r="N61" s="47" t="n">
        <x:f>IF(ISNUMBER('Sheet4-原始数据'!H46),'Sheet4-原始数据'!H46,"")</x:f>
        <x:v>0.0475</x:v>
      </x:c>
      <x:c r="O61" s="47" t="n">
        <x:f>IF(ISNUMBER('Sheet5-查询核对'!Q46),'Sheet5-查询核对'!Q46,"")</x:f>
        <x:v>0.047</x:v>
      </x:c>
      <x:c r="P61" s="44" t="n">
        <x:f>IF($G61&lt;&gt;"入池","",IF($F61&gt;='Sheet1-指标体系'!$J$16,IF(COUNT(M61,N61)&lt;&gt;2,"",IF(OR(1+M61&lt;=0,1+N61&lt;0),"",((1+N61)^'Sheet1-指标体系'!$J$16/(1+M61))^(1/('Sheet1-指标体系'!$J$16-'Sheet1-指标体系'!$J$15))-1)),IF(COUNT(M61,O61)&lt;&gt;2,"",IF(OR(F61&lt;='Sheet1-指标体系'!$J$15,1+M61&lt;=0,1+O61&lt;0),"",((1+O61)^F61/(1+M61))^(1/(F61-'Sheet1-指标体系'!$J$15))-1))))</x:f>
        <x:v>0.03802998737384944</x:v>
      </x:c>
      <x:c r="Q61" s="52" t="n">
        <x:f>IF(OR($G61&lt;&gt;"入池",NOT(ISNUMBER(M61))),"",IF(COUNTIFS($G$17:$G$99,"入池",$M$17:$M$99,"&gt;=-1E+307",$M$17:$M$99,"&lt;=1E+307")&lt;=1,'Sheet1-指标体系'!$J$18,ROUND('Sheet1-指标体系'!$J$18*(COUNTIFS($G$17:$G$99,"入池",$M$17:$M$99,"&gt;=-1E+307",$M$17:$M$99,"&lt;"&amp;M61)+COUNTIFS($G$17:$G$99,"入池",$M$17:$M$99,"&gt;=-1E+307",$M$17:$M$99,"&lt;=1E+307",$M$17:$M$99,M61)/2-0.5)/(COUNTIFS($G$17:$G$99,"入池",$M$17:$M$99,"&gt;=-1E+307",$M$17:$M$99,"&lt;=1E+307")-1),2)))</x:f>
        <x:v>30.36</x:v>
      </x:c>
      <x:c r="R61" s="52" t="n">
        <x:f>IF(OR($G61&lt;&gt;"入池",NOT(ISNUMBER(P61))),"",IF(COUNTIFS($G$17:$G$99,"入池",$P$17:$P$99,"&gt;=-1E+307",$P$17:$P$99,"&lt;=1E+307")&lt;=1,'Sheet1-指标体系'!$J$18,ROUND('Sheet1-指标体系'!$J$18*(COUNTIFS($G$17:$G$99,"入池",$P$17:$P$99,"&gt;=-1E+307",$P$17:$P$99,"&lt;"&amp;P61)+COUNTIFS($G$17:$G$99,"入池",$P$17:$P$99,"&gt;=-1E+307",$P$17:$P$99,"&lt;=1E+307",$P$17:$P$99,P61)/2-0.5)/(COUNTIFS($G$17:$G$99,"入池",$P$17:$P$99,"&gt;=-1E+307",$P$17:$P$99,"&lt;=1E+307")-1),2)))</x:f>
        <x:v>11.11</x:v>
      </x:c>
      <x:c r="S61" s="52" t="n">
        <x:f>IF(COUNT(Q61,R61)=0,"",ROUND((IF(ISNUMBER(Q61),Q61*'Sheet1-指标体系'!$G$7*'Sheet1-指标体系'!$J$8,0)+IF(ISNUMBER(R61),R61*'Sheet1-指标体系'!$G$7*'Sheet1-指标体系'!$J$9,0))/(IF(ISNUMBER(Q61),'Sheet1-指标体系'!$G$7*'Sheet1-指标体系'!$J$8,0)+IF(ISNUMBER(R61),'Sheet1-指标体系'!$G$7*'Sheet1-指标体系'!$J$9,0)),2))</x:f>
        <x:v>22.66</x:v>
      </x:c>
      <x:c r="T61" s="47" t="n">
        <x:f>IF(ISNUMBER('Sheet4-原始数据'!J46),'Sheet4-原始数据'!J46,"")</x:f>
        <x:v>1</x:v>
      </x:c>
      <x:c r="U61" s="47" t="n">
        <x:f>IF(ISNUMBER('Sheet4-原始数据'!I46),'Sheet4-原始数据'!I46,"")</x:f>
        <x:v>1</x:v>
      </x:c>
      <x:c r="V61" s="44" t="n">
        <x:f>IF(COUNT(T61:U61)&lt;&gt;2,"",(U61*'Sheet1-指标体系'!$J$6-T61*'Sheet1-指标体系'!$J$5)/'Sheet1-指标体系'!$J$7)</x:f>
        <x:v>1</x:v>
      </x:c>
      <x:c r="W61" s="52" t="n">
        <x:f>IF(NOT(ISNUMBER(T61)),"",T61*'Sheet1-指标体系'!$J$18)</x:f>
        <x:v>100</x:v>
      </x:c>
      <x:c r="X61" s="52" t="n">
        <x:f>IF(G61&lt;&gt;"入池","",IF(ISNUMBER(V61),IF(AND(V61&gt;=0,V61&lt;=1),V61*'Sheet1-指标体系'!$J$18,IF(MAX(0,(F61-'Sheet1-指标体系'!$J$15)*'Sheet1-指标体系'!$J$20)&lt;'Sheet1-指标体系'!$J$19,'Sheet1-指标体系'!$J$18,"")),IF(MAX(0,(F61-'Sheet1-指标体系'!$J$15)*'Sheet1-指标体系'!$J$20)&lt;'Sheet1-指标体系'!$J$19,'Sheet1-指标体系'!$J$18,"")))</x:f>
        <x:v>100</x:v>
      </x:c>
      <x:c r="Y61" s="52" t="n">
        <x:f>IF(NOT(ISNUMBER(W61)),"",IF(COUNT(W61,X61)=0,"",ROUND((IF(ISNUMBER(W61),W61*'Sheet1-指标体系'!$G$8*'Sheet1-指标体系'!$J$8,0)+IF(ISNUMBER(X61),X61*'Sheet1-指标体系'!$G$8*'Sheet1-指标体系'!$J$9,0))/(IF(ISNUMBER(W61),'Sheet1-指标体系'!$G$8*'Sheet1-指标体系'!$J$8,0)+IF(ISNUMBER(X61),'Sheet1-指标体系'!$G$8*'Sheet1-指标体系'!$J$9,0)),2)))</x:f>
        <x:v>100</x:v>
      </x:c>
      <x:c r="Z61" s="44" t="str">
        <x:f>IF(COUNT(M61,AD61)&lt;&gt;2,"",IF(AD61=0,"",ABS(M61/AD61)))</x:f>
      </x:c>
      <x:c r="AA61" s="47" t="n">
        <x:f>IF(ISNUMBER('Sheet4-原始数据'!K46),'Sheet4-原始数据'!K46,"")</x:f>
        <x:v>0</x:v>
      </x:c>
      <x:c r="AB61" s="44" t="n">
        <x:f>IF(COUNT(Z61:AA61)=0,"",MAX(Z61:AA61))</x:f>
        <x:v>0</x:v>
      </x:c>
      <x:c r="AC61" s="52" t="n">
        <x:f>IF(OR($G61&lt;&gt;"入池",NOT(ISNUMBER(AB61))),"",IF(COUNTIFS($G$17:$G$99,"入池",$AB$17:$AB$99,"&gt;=-1E+307",$AB$17:$AB$99,"&lt;=1E+307")&lt;=1,'Sheet1-指标体系'!$J$18,ROUND('Sheet1-指标体系'!$J$18*(COUNTIFS($G$17:$G$99,"入池",$AB$17:$AB$99,"&lt;=1E+307",$AB$17:$AB$99,"&gt;"&amp;AB61)+COUNTIFS($G$17:$G$99,"入池",$AB$17:$AB$99,"&gt;=-1E+307",$AB$17:$AB$99,"&lt;=1E+307",$AB$17:$AB$99,AB61)/2-0.5)/(COUNTIFS($G$17:$G$99,"入池",$AB$17:$AB$99,"&gt;=-1E+307",$AB$17:$AB$99,"&lt;=1E+307")-1),2)))</x:f>
        <x:v>100</x:v>
      </x:c>
      <x:c r="AD61" s="48" t="str">
        <x:f>IF(ISNUMBER('Sheet4-原始数据'!M46),'Sheet4-原始数据'!M46,"")</x:f>
      </x:c>
      <x:c r="AE61" s="44" t="str">
        <x:f>IF(COUNT(P61,AA61,Z61)&lt;&gt;3,"",IF(AA61&gt;Z61+'Sheet1-指标体系'!$J$11,AA61,""))</x:f>
      </x:c>
      <x:c r="AF61" s="52" t="str">
        <x:f>IF(COUNT(P61,AE61)&lt;&gt;2,"",IF(AE61=0,"",P61/AE61))</x:f>
      </x:c>
      <x:c r="AG61" s="52" t="str">
        <x:f>IF(OR($G61&lt;&gt;"入池",NOT(ISNUMBER(AD61))),"",IF(COUNTIFS($G$17:$G$99,"入池",$AD$17:$AD$99,"&gt;=-1E+307",$AD$17:$AD$99,"&lt;=1E+307")&lt;=1,'Sheet1-指标体系'!$J$18,ROUND('Sheet1-指标体系'!$J$18*(COUNTIFS($G$17:$G$99,"入池",$AD$17:$AD$99,"&gt;=-1E+307",$AD$17:$AD$99,"&lt;"&amp;AD61)+COUNTIFS($G$17:$G$99,"入池",$AD$17:$AD$99,"&gt;=-1E+307",$AD$17:$AD$99,"&lt;=1E+307",$AD$17:$AD$99,AD61)/2-0.5)/(COUNTIFS($G$17:$G$99,"入池",$AD$17:$AD$99,"&gt;=-1E+307",$AD$17:$AD$99,"&lt;=1E+307")-1),2)))</x:f>
      </x:c>
      <x:c r="AH61" s="52" t="str">
        <x:f>IF(OR($G61&lt;&gt;"入池",NOT(ISNUMBER(AF61))),"",IF(COUNTIFS($G$17:$G$99,"入池",$AF$17:$AF$99,"&gt;=-1E+307",$AF$17:$AF$99,"&lt;=1E+307")&lt;=1,'Sheet1-指标体系'!$J$18,ROUND('Sheet1-指标体系'!$J$18*(COUNTIFS($G$17:$G$99,"入池",$AF$17:$AF$99,"&gt;=-1E+307",$AF$17:$AF$99,"&lt;"&amp;AF61)+COUNTIFS($G$17:$G$99,"入池",$AF$17:$AF$99,"&gt;=-1E+307",$AF$17:$AF$99,"&lt;=1E+307",$AF$17:$AF$99,AF61)/2-0.5)/(COUNTIFS($G$17:$G$99,"入池",$AF$17:$AF$99,"&gt;=-1E+307",$AF$17:$AF$99,"&lt;=1E+307")-1),2)))</x:f>
      </x:c>
      <x:c r="AI61" s="52" t="str">
        <x:f>IF(COUNT(AG61,AH61)=0,"",ROUND((IF(ISNUMBER(AG61),AG61*'Sheet1-指标体系'!$G$10*'Sheet1-指标体系'!$J$8,0)+IF(ISNUMBER(AH61),AH61*'Sheet1-指标体系'!$G$10*'Sheet1-指标体系'!$J$9,0))/(IF(ISNUMBER(AG61),'Sheet1-指标体系'!$G$10*'Sheet1-指标体系'!$J$8,0)+IF(ISNUMBER(AH61),'Sheet1-指标体系'!$G$10*'Sheet1-指标体系'!$J$9,0)),2))</x:f>
      </x:c>
      <x:c r="AJ61" s="44" t="n">
        <x:f>IF(NOT(ISNUMBER(F61)),"",IF(F61&gt;='Sheet1-指标体系'!$J$16,IF(ISNUMBER(N61),N61,""),IF(ISNUMBER(O61),O61,"")))</x:f>
        <x:v>0.0475</x:v>
      </x:c>
      <x:c r="AK61" s="52" t="n">
        <x:f>IF(OR(G61&lt;&gt;"入池",COUNT(M61,AJ61)&lt;&gt;2),"",IF(M61&gt;=AJ61,'Sheet1-指标体系'!$J$18,IF(AJ61-M61&lt;'Sheet1-指标体系'!$J$10,'Sheet1-指标体系'!$J$22,'Sheet1-指标体系'!$J$23)))</x:f>
        <x:v>100</x:v>
      </x:c>
      <x:c r="AL61" s="52" t="n">
        <x:f>IF(COUNT(I61,K61,L61)=0,"",ROUND((IF(ISNUMBER(I61),I61*'Sheet1-指标体系'!$G$4,0)+IF(ISNUMBER(K61),K61*'Sheet1-指标体系'!$G$5,0)+IF(ISNUMBER(L61),L61*'Sheet1-指标体系'!$G$6,0))/(IF(ISNUMBER(I61),'Sheet1-指标体系'!$G$4,0)+IF(ISNUMBER(K61),'Sheet1-指标体系'!$G$5,0)+IF(ISNUMBER(L61),'Sheet1-指标体系'!$G$6,0)),2))</x:f>
        <x:v>92</x:v>
      </x:c>
      <x:c r="AM61" s="52" t="n">
        <x:f>IF(COUNT(Q61,R61,W61,X61)=0,"",ROUND((IF(ISNUMBER(Q61),Q61*'Sheet1-指标体系'!$G$7*'Sheet1-指标体系'!$J$8,0)+IF(ISNUMBER(R61),R61*'Sheet1-指标体系'!$G$7*'Sheet1-指标体系'!$J$9,0)+IF(ISNUMBER(W61),W61*'Sheet1-指标体系'!$G$8*'Sheet1-指标体系'!$J$8,0)+IF(ISNUMBER(X61),X61*'Sheet1-指标体系'!$G$8*'Sheet1-指标体系'!$J$9,0))/(IF(ISNUMBER(Q61),'Sheet1-指标体系'!$G$7*'Sheet1-指标体系'!$J$8,0)+IF(ISNUMBER(R61),'Sheet1-指标体系'!$G$7*'Sheet1-指标体系'!$J$9,0)+IF(ISNUMBER(W61),'Sheet1-指标体系'!$G$8*'Sheet1-指标体系'!$J$8,0)+IF(ISNUMBER(X61),'Sheet1-指标体系'!$G$8*'Sheet1-指标体系'!$J$9,0)),2))</x:f>
        <x:v>45.86</x:v>
      </x:c>
      <x:c r="AN61" s="52" t="n">
        <x:f>IF(ISNUMBER(AC61),AC61,"")</x:f>
        <x:v>100</x:v>
      </x:c>
      <x:c r="AO61" s="52" t="str">
        <x:f>IF(COUNT(AG61,AH61)=0,"",ROUND((IF(ISNUMBER(AG61),AG61*'Sheet1-指标体系'!$G$10*'Sheet1-指标体系'!$J$8,0)+IF(ISNUMBER(AH61),AH61*'Sheet1-指标体系'!$G$10*'Sheet1-指标体系'!$J$9,0))/(IF(ISNUMBER(AG61),'Sheet1-指标体系'!$G$10*'Sheet1-指标体系'!$J$8,0)+IF(ISNUMBER(AH61),'Sheet1-指标体系'!$G$10*'Sheet1-指标体系'!$J$9,0)),2))</x:f>
      </x:c>
      <x:c r="AP61" s="52" t="n">
        <x:f>IF(ISNUMBER(AK61),AK61,"")</x:f>
        <x:v>100</x:v>
      </x:c>
      <x:c r="AQ61" s="27" t="n">
        <x:f>IF(G61&lt;&gt;"入池",0,IF(ISNUMBER(I61),'Sheet1-指标体系'!$G$4,0)+IF(ISNUMBER(K61),'Sheet1-指标体系'!$G$5,0)+IF(ISNUMBER(L61),'Sheet1-指标体系'!$G$6,0)+IF(ISNUMBER(Q61),'Sheet1-指标体系'!$G$7*'Sheet1-指标体系'!$J$8,0)+IF(ISNUMBER(R61),'Sheet1-指标体系'!$G$7*'Sheet1-指标体系'!$J$9,0)+IF(ISNUMBER(W61),'Sheet1-指标体系'!$G$8*'Sheet1-指标体系'!$J$8,0)+IF(ISNUMBER(X61),'Sheet1-指标体系'!$G$8*'Sheet1-指标体系'!$J$9,0)+IF(ISNUMBER(AC61),'Sheet1-指标体系'!$G$9,0)+IF(ISNUMBER(AG61),'Sheet1-指标体系'!$G$10*'Sheet1-指标体系'!$J$8,0)+IF(ISNUMBER(AH61),'Sheet1-指标体系'!$G$10*'Sheet1-指标体系'!$J$9,0)+IF(ISNUMBER(AK61),'Sheet1-指标体系'!$G$11,0))</x:f>
        <x:v>0.7</x:v>
      </x:c>
      <x:c r="AR61" s="52" t="n">
        <x:f>IF(AQ61=0,"",IF(ISNUMBER(I61),I61*'Sheet1-指标体系'!$G$4,0)+IF(ISNUMBER(K61),K61*'Sheet1-指标体系'!$G$5,0)+IF(ISNUMBER(L61),L61*'Sheet1-指标体系'!$G$6,0)+IF(ISNUMBER(Q61),Q61*'Sheet1-指标体系'!$G$7*'Sheet1-指标体系'!$J$8,0)+IF(ISNUMBER(R61),R61*'Sheet1-指标体系'!$G$7*'Sheet1-指标体系'!$J$9,0)+IF(ISNUMBER(W61),W61*'Sheet1-指标体系'!$G$8*'Sheet1-指标体系'!$J$8,0)+IF(ISNUMBER(X61),X61*'Sheet1-指标体系'!$G$8*'Sheet1-指标体系'!$J$9,0)+IF(ISNUMBER(AC61),AC61*'Sheet1-指标体系'!$G$9,0)+IF(ISNUMBER(AG61),AG61*'Sheet1-指标体系'!$G$10*'Sheet1-指标体系'!$J$8,0)+IF(ISNUMBER(AH61),AH61*'Sheet1-指标体系'!$G$10*'Sheet1-指标体系'!$J$9,0)+IF(ISNUMBER(AK61),AK61*'Sheet1-指标体系'!$G$11,0))</x:f>
        <x:v>57.9724</x:v>
      </x:c>
      <x:c r="AS61" s="52" t="n">
        <x:f>IF(AQ61=0,"",ROUND(AR61/AQ61,2))</x:f>
        <x:v>82.82</x:v>
      </x:c>
      <x:c r="AT61" s="49" t="n">
        <x:f>IF(OR(G61&lt;&gt;"入池",NOT(ISNUMBER(AS61))),"",COUNTIFS($G$17:$G$99,"入池",$AS$17:$AS$99,"&gt;"&amp;AS61)+COUNTIFS($G$17:$G$99,"入池",$AS$17:$AS$99,AS61,$AQ$17:$AQ$99,"&gt;"&amp;AQ61)+COUNTIFS($G$17:G61,"入池",$AS$17:AS61,AS61,$AQ$17:AQ61,AQ61))</x:f>
        <x:v>22</x:v>
      </x:c>
      <x:c r="AU61" s="53" t="str">
        <x:f>IF(NOT(ISNUMBER(I61)),"管理人规模；","")&amp;IF(NOT(ISNUMBER(K61)),"产品规模标识；","")&amp;IF(NOT(ISNUMBER(M61)),"近一年收益；","")&amp;IF(NOT(ISNUMBER(T61)),"近一年胜率；","")&amp;IF(NOT(ISNUMBER(N61)),"近三年收益；","")&amp;IF(NOT(ISNUMBER(U61)),"近三年胜率；","")&amp;IF(NOT(ISNUMBER(AA61)),"近三年回撤；","")&amp;IF(NOT(ISNUMBER(AD61)),"近一年卡玛；","")&amp;IF(ISNUMBER(F61),IF(AND(F61&lt;'Sheet1-指标体系'!$J$16,NOT(ISNUMBER(O61))),"成立以来年化；",""),"成立日期；")&amp;IF(ISNUMBER(V61),IF(OR(V61&lt;0,V61&gt;1),"胜率窗口口径不一致；",""),"")&amp;IF(ISNUMBER(P61),IF(NOT(ISNUMBER(AE61)),"DD_long不可识别；",""),"")</x:f>
        <x:v>近一年卡玛；DD_long不可识别；</x:v>
      </x:c>
      <x:c r="AV61" s="52" t="str">
        <x:f>IF(ROUND(AQ61,10)=ROUND('Sheet1-指标体系'!$J$25,10),AR61,"")</x:f>
      </x:c>
      <x:c r="AW61" s="14" t="str">
        <x:f>IF(G61&lt;&gt;"入池",G61,IF(AQ61=0,"无有效评分数据",IF(ROUND(AQ61,10)=ROUND('Sheet1-指标体系'!$J$25,10),"完整赋分", "暂定分／数据不完整")))</x:f>
        <x:v>暂定分／数据不完整</x:v>
      </x:c>
      <x:c r="AX61" s="45" t="str">
        <x:f>IF('Sheet4-原始数据'!C46="","",'Sheet4-原始数据'!C46)</x:f>
        <x:v>套利策略</x:v>
      </x:c>
      <x:c r="AY61" s="45" t="str">
        <x:f>IF('Sheet4-原始数据'!D46="","",'Sheet4-原始数据'!D46)</x:f>
        <x:v>期货套利</x:v>
      </x:c>
      <x:c r="AZ61" s="45" t="str">
        <x:f>IF('Sheet5-查询核对'!S46="","",'Sheet5-查询核对'!S46)</x:f>
        <x:v>套利策略—期货套利</x:v>
      </x:c>
      <x:c r="BA61" s="51" t="n">
        <x:f>IF('Sheet5-查询核对'!A46="","",'Sheet5-查询核对'!A46)</x:f>
        <x:v>46</x:v>
      </x:c>
      <x:c r="BB61" s="45" t="str">
        <x:f>IF('Sheet5-查询核对'!F46="","",'Sheet5-查询核对'!F46)</x:f>
        <x:v>备案号匹配</x:v>
      </x:c>
      <x:c r="BC61" s="50" t="str">
        <x:f>IF('Sheet5-查询核对'!I46="","",'Sheet5-查询核对'!I46)</x:f>
        <x:v>https://mp.fof99.com/fund/view/3a6601028e5010ab</x:v>
      </x:c>
      <x:c r="BD61" s="46" t="n">
        <x:f>IF('Sheet5-查询核对'!H46="","",'Sheet5-查询核对'!H46)</x:f>
        <x:v>46269</x:v>
      </x:c>
      <x:c r="BE61" s="50" t="str">
        <x:f>IF('Sheet5-查询核对'!L46="","",'Sheet5-查询核对'!L46)</x:f>
        <x:v>https://mp.fof99.com/fund/view/3a6601028e5010ab</x:v>
      </x:c>
      <x:c r="BF61" s="46" t="n">
        <x:f>IF('Sheet5-查询核对'!M46="","",'Sheet5-查询核对'!M46)</x:f>
        <x:v>46275</x:v>
      </x:c>
      <x:c r="BG61" s="50" t="str">
        <x:f>IF('Sheet5-查询核对'!O46="","",'Sheet5-查询核对'!O46)</x:f>
        <x:v>https://gs.amac.org.cn/amac-infodisc/res/pof/fund/2306141909104356.html</x:v>
      </x:c>
      <x:c r="BH61" s="46" t="n">
        <x:f>IF('Sheet5-查询核对'!P46="","",'Sheet5-查询核对'!P46)</x:f>
        <x:v>46275</x:v>
      </x:c>
      <x:c r="BI61" s="45" t="str">
        <x:f>IF('Sheet5-查询核对'!D46="","",'Sheet5-查询核对'!D46)</x:f>
        <x:v>SB2838</x:v>
      </x:c>
      <x:c r="BJ61" t="n">
        <x:f>IF(ISNUMBER(AT61),AT61,COUNT($AT$17:$AT$99)+ROWS($AT$17:AT61)-COUNT($AT$17:AT61))</x:f>
        <x:v>22</x:v>
      </x:c>
    </x:row>
    <x:row r="62" ht="44" customHeight="1">
      <x:c r="A62" s="49" t="n">
        <x:f>'Sheet5-查询核对'!A47-1</x:f>
        <x:v>46</x:v>
      </x:c>
      <x:c r="B62" s="50" t="str">
        <x:f>IF('Sheet4-原始数据'!A47="",'Sheet5-查询核对'!B47,'Sheet4-原始数据'!A47)</x:f>
        <x:v>平凡凡响二号</x:v>
      </x:c>
      <x:c r="C62" s="45" t="str">
        <x:f>IF('Sheet4-原始数据'!B47="","",'Sheet4-原始数据'!B47)</x:f>
        <x:v>SZU727</x:v>
      </x:c>
      <x:c r="D62" s="45" t="str">
        <x:f>IF('Sheet4-原始数据'!E47="","",'Sheet4-原始数据'!E47)</x:f>
        <x:v>北京平凡</x:v>
      </x:c>
      <x:c r="E62" s="46" t="n">
        <x:f>IF('Sheet4-原始数据'!F47="","",'Sheet4-原始数据'!F47)</x:f>
        <x:v>45023</x:v>
      </x:c>
      <x:c r="F62" s="52" t="n">
        <x:f>IF(ISNUMBER(E62),ROUND(('Sheet1-指标体系'!$J$12-E62)/'Sheet1-指标体系'!$J$14,4),"")</x:f>
        <x:v>3.4278</x:v>
      </x:c>
      <x:c r="G62" s="14" t="str">
        <x:f>IF(C62="","未匹配",IF(NOT(ISNUMBER(F62)),"缺成立日期",IF(F62&lt;'Sheet1-指标体系'!$J$15,"不入池","入池")))</x:f>
        <x:v>入池</x:v>
      </x:c>
      <x:c r="H62" s="45" t="str">
        <x:f>IF('Sheet5-查询核对'!K47="","",'Sheet5-查询核对'!K47)</x:f>
        <x:v>50-100亿元</x:v>
      </x:c>
      <x:c r="I62" s="52" t="n">
        <x:f>IF(H62="","",IF(COUNTIF('Sheet1-指标体系'!$P$4:$P$10,H62)=0,"",INDEX('Sheet1-指标体系'!$Q$4:$Q$10,MATCH(H62,'Sheet1-指标体系'!$P$4:$P$10,0))))</x:f>
        <x:v>90</x:v>
      </x:c>
      <x:c r="J62" s="54" t="str">
        <x:f>IF(NOT(ISNUMBER('Sheet5-查询核对'!N47)),"",IF('Sheet5-查询核对'!N47=1,"低于"&amp;'Sheet1-指标体系'!$J$4&amp;"万元",IF('Sheet5-查询核对'!N47=0,"无低于"&amp;'Sheet1-指标体系'!$J$4&amp;"万元标识","")))</x:f>
        <x:v>无低于1000万元标识</x:v>
      </x:c>
      <x:c r="K62" s="52" t="n">
        <x:f>IF(NOT(ISNUMBER('Sheet5-查询核对'!N47)),"",IF('Sheet5-查询核对'!N47=1,'Sheet1-指标体系'!$J$21,IF('Sheet5-查询核对'!N47=0,'Sheet1-指标体系'!$J$18,"")))</x:f>
        <x:v>100</x:v>
      </x:c>
      <x:c r="L62" s="52" t="n">
        <x:f>IF(NOT(ISNUMBER(F62)),"",IF(F62&lt;'Sheet1-指标体系'!$J$15,"",IF(F62&lt;'Sheet1-指标体系'!$J$16,'Sheet1-指标体系'!$J$17,'Sheet1-指标体系'!$J$18)))</x:f>
        <x:v>100</x:v>
      </x:c>
      <x:c r="M62" s="47" t="n">
        <x:f>IF(ISNUMBER('Sheet4-原始数据'!G47),'Sheet4-原始数据'!G47,"")</x:f>
        <x:v>0.0904</x:v>
      </x:c>
      <x:c r="N62" s="47" t="n">
        <x:f>IF(ISNUMBER('Sheet4-原始数据'!H47),'Sheet4-原始数据'!H47,"")</x:f>
        <x:v>0.0493</x:v>
      </x:c>
      <x:c r="O62" s="47" t="n">
        <x:f>IF(ISNUMBER('Sheet5-查询核对'!Q47),'Sheet5-查询核对'!Q47,"")</x:f>
        <x:v>0.044800000000000006</x:v>
      </x:c>
      <x:c r="P62" s="44" t="n">
        <x:f>IF($G62&lt;&gt;"入池","",IF($F62&gt;='Sheet1-指标体系'!$J$16,IF(COUNT(M62,N62)&lt;&gt;2,"",IF(OR(1+M62&lt;=0,1+N62&lt;0),"",((1+N62)^'Sheet1-指标体系'!$J$16/(1+M62))^(1/('Sheet1-指标体系'!$J$16-'Sheet1-指标体系'!$J$15))-1)),IF(COUNT(M62,O62)&lt;&gt;2,"",IF(OR(F62&lt;='Sheet1-指标体系'!$J$15,1+M62&lt;=0,1+O62&lt;0),"",((1+O62)^F62/(1+M62))^(1/(F62-'Sheet1-指标体系'!$J$15))-1))))</x:f>
        <x:v>0.029334639123864692</x:v>
      </x:c>
      <x:c r="Q62" s="52" t="n">
        <x:f>IF(OR($G62&lt;&gt;"入池",NOT(ISNUMBER(M62))),"",IF(COUNTIFS($G$17:$G$99,"入池",$M$17:$M$99,"&gt;=-1E+307",$M$17:$M$99,"&lt;=1E+307")&lt;=1,'Sheet1-指标体系'!$J$18,ROUND('Sheet1-指标体系'!$J$18*(COUNTIFS($G$17:$G$99,"入池",$M$17:$M$99,"&gt;=-1E+307",$M$17:$M$99,"&lt;"&amp;M62)+COUNTIFS($G$17:$G$99,"入池",$M$17:$M$99,"&gt;=-1E+307",$M$17:$M$99,"&lt;=1E+307",$M$17:$M$99,M62)/2-0.5)/(COUNTIFS($G$17:$G$99,"入池",$M$17:$M$99,"&gt;=-1E+307",$M$17:$M$99,"&lt;=1E+307")-1),2)))</x:f>
        <x:v>57.14</x:v>
      </x:c>
      <x:c r="R62" s="52" t="n">
        <x:f>IF(OR($G62&lt;&gt;"入池",NOT(ISNUMBER(P62))),"",IF(COUNTIFS($G$17:$G$99,"入池",$P$17:$P$99,"&gt;=-1E+307",$P$17:$P$99,"&lt;=1E+307")&lt;=1,'Sheet1-指标体系'!$J$18,ROUND('Sheet1-指标体系'!$J$18*(COUNTIFS($G$17:$G$99,"入池",$P$17:$P$99,"&gt;=-1E+307",$P$17:$P$99,"&lt;"&amp;P62)+COUNTIFS($G$17:$G$99,"入池",$P$17:$P$99,"&gt;=-1E+307",$P$17:$P$99,"&lt;=1E+307",$P$17:$P$99,P62)/2-0.5)/(COUNTIFS($G$17:$G$99,"入池",$P$17:$P$99,"&gt;=-1E+307",$P$17:$P$99,"&lt;=1E+307")-1),2)))</x:f>
        <x:v>5.56</x:v>
      </x:c>
      <x:c r="S62" s="52" t="n">
        <x:f>IF(COUNT(Q62,R62)=0,"",ROUND((IF(ISNUMBER(Q62),Q62*'Sheet1-指标体系'!$G$7*'Sheet1-指标体系'!$J$8,0)+IF(ISNUMBER(R62),R62*'Sheet1-指标体系'!$G$7*'Sheet1-指标体系'!$J$9,0))/(IF(ISNUMBER(Q62),'Sheet1-指标体系'!$G$7*'Sheet1-指标体系'!$J$8,0)+IF(ISNUMBER(R62),'Sheet1-指标体系'!$G$7*'Sheet1-指标体系'!$J$9,0)),2))</x:f>
        <x:v>36.51</x:v>
      </x:c>
      <x:c r="T62" s="47" t="n">
        <x:f>IF(ISNUMBER('Sheet4-原始数据'!J47),'Sheet4-原始数据'!J47,"")</x:f>
        <x:v>1</x:v>
      </x:c>
      <x:c r="U62" s="47" t="n">
        <x:f>IF(ISNUMBER('Sheet4-原始数据'!I47),'Sheet4-原始数据'!I47,"")</x:f>
        <x:v>0.8649</x:v>
      </x:c>
      <x:c r="V62" s="44" t="n">
        <x:f>IF(COUNT(T62:U62)&lt;&gt;2,"",(U62*'Sheet1-指标体系'!$J$6-T62*'Sheet1-指标体系'!$J$5)/'Sheet1-指标体系'!$J$7)</x:f>
        <x:v>0.7917208333333333</x:v>
      </x:c>
      <x:c r="W62" s="52" t="n">
        <x:f>IF(NOT(ISNUMBER(T62)),"",T62*'Sheet1-指标体系'!$J$18)</x:f>
        <x:v>100</x:v>
      </x:c>
      <x:c r="X62" s="52" t="n">
        <x:f>IF(G62&lt;&gt;"入池","",IF(ISNUMBER(V62),IF(AND(V62&gt;=0,V62&lt;=1),V62*'Sheet1-指标体系'!$J$18,IF(MAX(0,(F62-'Sheet1-指标体系'!$J$15)*'Sheet1-指标体系'!$J$20)&lt;'Sheet1-指标体系'!$J$19,'Sheet1-指标体系'!$J$18,"")),IF(MAX(0,(F62-'Sheet1-指标体系'!$J$15)*'Sheet1-指标体系'!$J$20)&lt;'Sheet1-指标体系'!$J$19,'Sheet1-指标体系'!$J$18,"")))</x:f>
        <x:v>79.17208333333333</x:v>
      </x:c>
      <x:c r="Y62" s="52" t="n">
        <x:f>IF(NOT(ISNUMBER(W62)),"",IF(COUNT(W62,X62)=0,"",ROUND((IF(ISNUMBER(W62),W62*'Sheet1-指标体系'!$G$8*'Sheet1-指标体系'!$J$8,0)+IF(ISNUMBER(X62),X62*'Sheet1-指标体系'!$G$8*'Sheet1-指标体系'!$J$9,0))/(IF(ISNUMBER(W62),'Sheet1-指标体系'!$G$8*'Sheet1-指标体系'!$J$8,0)+IF(ISNUMBER(X62),'Sheet1-指标体系'!$G$8*'Sheet1-指标体系'!$J$9,0)),2)))</x:f>
        <x:v>91.67</x:v>
      </x:c>
      <x:c r="Z62" s="44" t="n">
        <x:f>IF(COUNT(M62,AD62)&lt;&gt;2,"",IF(AD62=0,"",ABS(M62/AD62)))</x:f>
        <x:v>0.0013019689399754871</x:v>
      </x:c>
      <x:c r="AA62" s="47" t="n">
        <x:f>IF(ISNUMBER('Sheet4-原始数据'!K47),'Sheet4-原始数据'!K47,"")</x:f>
        <x:v>0.0068000000000000005</x:v>
      </x:c>
      <x:c r="AB62" s="44" t="n">
        <x:f>IF(COUNT(Z62:AA62)=0,"",MAX(Z62:AA62))</x:f>
        <x:v>0.0068000000000000005</x:v>
      </x:c>
      <x:c r="AC62" s="52" t="n">
        <x:f>IF(OR($G62&lt;&gt;"入池",NOT(ISNUMBER(AB62))),"",IF(COUNTIFS($G$17:$G$99,"入池",$AB$17:$AB$99,"&gt;=-1E+307",$AB$17:$AB$99,"&lt;=1E+307")&lt;=1,'Sheet1-指标体系'!$J$18,ROUND('Sheet1-指标体系'!$J$18*(COUNTIFS($G$17:$G$99,"入池",$AB$17:$AB$99,"&lt;=1E+307",$AB$17:$AB$99,"&gt;"&amp;AB62)+COUNTIFS($G$17:$G$99,"入池",$AB$17:$AB$99,"&gt;=-1E+307",$AB$17:$AB$99,"&lt;=1E+307",$AB$17:$AB$99,AB62)/2-0.5)/(COUNTIFS($G$17:$G$99,"入池",$AB$17:$AB$99,"&gt;=-1E+307",$AB$17:$AB$99,"&lt;=1E+307")-1),2)))</x:f>
        <x:v>84.48</x:v>
      </x:c>
      <x:c r="AD62" s="48" t="n">
        <x:f>IF(ISNUMBER('Sheet4-原始数据'!M47),'Sheet4-原始数据'!M47,"")</x:f>
        <x:v>69.4333</x:v>
      </x:c>
      <x:c r="AE62" s="44" t="n">
        <x:f>IF(COUNT(P62,AA62,Z62)&lt;&gt;3,"",IF(AA62&gt;Z62+'Sheet1-指标体系'!$J$11,AA62,""))</x:f>
        <x:v>0.0068000000000000005</x:v>
      </x:c>
      <x:c r="AF62" s="52" t="n">
        <x:f>IF(COUNT(P62,AE62)&lt;&gt;2,"",IF(AE62=0,"",P62/AE62))</x:f>
        <x:v>4.313917518215396</x:v>
      </x:c>
      <x:c r="AG62" s="52" t="n">
        <x:f>IF(OR($G62&lt;&gt;"入池",NOT(ISNUMBER(AD62))),"",IF(COUNTIFS($G$17:$G$99,"入池",$AD$17:$AD$99,"&gt;=-1E+307",$AD$17:$AD$99,"&lt;=1E+307")&lt;=1,'Sheet1-指标体系'!$J$18,ROUND('Sheet1-指标体系'!$J$18*(COUNTIFS($G$17:$G$99,"入池",$AD$17:$AD$99,"&gt;=-1E+307",$AD$17:$AD$99,"&lt;"&amp;AD62)+COUNTIFS($G$17:$G$99,"入池",$AD$17:$AD$99,"&gt;=-1E+307",$AD$17:$AD$99,"&lt;=1E+307",$AD$17:$AD$99,AD62)/2-0.5)/(COUNTIFS($G$17:$G$99,"入池",$AD$17:$AD$99,"&gt;=-1E+307",$AD$17:$AD$99,"&lt;=1E+307")-1),2)))</x:f>
        <x:v>98.18</x:v>
      </x:c>
      <x:c r="AH62" s="52" t="n">
        <x:f>IF(OR($G62&lt;&gt;"入池",NOT(ISNUMBER(AF62))),"",IF(COUNTIFS($G$17:$G$99,"入池",$AF$17:$AF$99,"&gt;=-1E+307",$AF$17:$AF$99,"&lt;=1E+307")&lt;=1,'Sheet1-指标体系'!$J$18,ROUND('Sheet1-指标体系'!$J$18*(COUNTIFS($G$17:$G$99,"入池",$AF$17:$AF$99,"&gt;=-1E+307",$AF$17:$AF$99,"&lt;"&amp;AF62)+COUNTIFS($G$17:$G$99,"入池",$AF$17:$AF$99,"&gt;=-1E+307",$AF$17:$AF$99,"&lt;=1E+307",$AF$17:$AF$99,AF62)/2-0.5)/(COUNTIFS($G$17:$G$99,"入池",$AF$17:$AF$99,"&gt;=-1E+307",$AF$17:$AF$99,"&lt;=1E+307")-1),2)))</x:f>
        <x:v>64.29</x:v>
      </x:c>
      <x:c r="AI62" s="52" t="n">
        <x:f>IF(COUNT(AG62,AH62)=0,"",ROUND((IF(ISNUMBER(AG62),AG62*'Sheet1-指标体系'!$G$10*'Sheet1-指标体系'!$J$8,0)+IF(ISNUMBER(AH62),AH62*'Sheet1-指标体系'!$G$10*'Sheet1-指标体系'!$J$9,0))/(IF(ISNUMBER(AG62),'Sheet1-指标体系'!$G$10*'Sheet1-指标体系'!$J$8,0)+IF(ISNUMBER(AH62),'Sheet1-指标体系'!$G$10*'Sheet1-指标体系'!$J$9,0)),2))</x:f>
        <x:v>84.62</x:v>
      </x:c>
      <x:c r="AJ62" s="44" t="n">
        <x:f>IF(NOT(ISNUMBER(F62)),"",IF(F62&gt;='Sheet1-指标体系'!$J$16,IF(ISNUMBER(N62),N62,""),IF(ISNUMBER(O62),O62,"")))</x:f>
        <x:v>0.0493</x:v>
      </x:c>
      <x:c r="AK62" s="52" t="n">
        <x:f>IF(OR(G62&lt;&gt;"入池",COUNT(M62,AJ62)&lt;&gt;2),"",IF(M62&gt;=AJ62,'Sheet1-指标体系'!$J$18,IF(AJ62-M62&lt;'Sheet1-指标体系'!$J$10,'Sheet1-指标体系'!$J$22,'Sheet1-指标体系'!$J$23)))</x:f>
        <x:v>100</x:v>
      </x:c>
      <x:c r="AL62" s="52" t="n">
        <x:f>IF(COUNT(I62,K62,L62)=0,"",ROUND((IF(ISNUMBER(I62),I62*'Sheet1-指标体系'!$G$4,0)+IF(ISNUMBER(K62),K62*'Sheet1-指标体系'!$G$5,0)+IF(ISNUMBER(L62),L62*'Sheet1-指标体系'!$G$6,0))/(IF(ISNUMBER(I62),'Sheet1-指标体系'!$G$4,0)+IF(ISNUMBER(K62),'Sheet1-指标体系'!$G$5,0)+IF(ISNUMBER(L62),'Sheet1-指标体系'!$G$6,0)),2))</x:f>
        <x:v>96</x:v>
      </x:c>
      <x:c r="AM62" s="52" t="n">
        <x:f>IF(COUNT(Q62,R62,W62,X62)=0,"",ROUND((IF(ISNUMBER(Q62),Q62*'Sheet1-指标体系'!$G$7*'Sheet1-指标体系'!$J$8,0)+IF(ISNUMBER(R62),R62*'Sheet1-指标体系'!$G$7*'Sheet1-指标体系'!$J$9,0)+IF(ISNUMBER(W62),W62*'Sheet1-指标体系'!$G$8*'Sheet1-指标体系'!$J$8,0)+IF(ISNUMBER(X62),X62*'Sheet1-指标体系'!$G$8*'Sheet1-指标体系'!$J$9,0))/(IF(ISNUMBER(Q62),'Sheet1-指标体系'!$G$7*'Sheet1-指标体系'!$J$8,0)+IF(ISNUMBER(R62),'Sheet1-指标体系'!$G$7*'Sheet1-指标体系'!$J$9,0)+IF(ISNUMBER(W62),'Sheet1-指标体系'!$G$8*'Sheet1-指标体系'!$J$8,0)+IF(ISNUMBER(X62),'Sheet1-指标体系'!$G$8*'Sheet1-指标体系'!$J$9,0)),2))</x:f>
        <x:v>53.06</x:v>
      </x:c>
      <x:c r="AN62" s="52" t="n">
        <x:f>IF(ISNUMBER(AC62),AC62,"")</x:f>
        <x:v>84.48</x:v>
      </x:c>
      <x:c r="AO62" s="52" t="n">
        <x:f>IF(COUNT(AG62,AH62)=0,"",ROUND((IF(ISNUMBER(AG62),AG62*'Sheet1-指标体系'!$G$10*'Sheet1-指标体系'!$J$8,0)+IF(ISNUMBER(AH62),AH62*'Sheet1-指标体系'!$G$10*'Sheet1-指标体系'!$J$9,0))/(IF(ISNUMBER(AG62),'Sheet1-指标体系'!$G$10*'Sheet1-指标体系'!$J$8,0)+IF(ISNUMBER(AH62),'Sheet1-指标体系'!$G$10*'Sheet1-指标体系'!$J$9,0)),2))</x:f>
        <x:v>84.62</x:v>
      </x:c>
      <x:c r="AP62" s="52" t="n">
        <x:f>IF(ISNUMBER(AK62),AK62,"")</x:f>
        <x:v>100</x:v>
      </x:c>
      <x:c r="AQ62" s="27" t="n">
        <x:f>IF(G62&lt;&gt;"入池",0,IF(ISNUMBER(I62),'Sheet1-指标体系'!$G$4,0)+IF(ISNUMBER(K62),'Sheet1-指标体系'!$G$5,0)+IF(ISNUMBER(L62),'Sheet1-指标体系'!$G$6,0)+IF(ISNUMBER(Q62),'Sheet1-指标体系'!$G$7*'Sheet1-指标体系'!$J$8,0)+IF(ISNUMBER(R62),'Sheet1-指标体系'!$G$7*'Sheet1-指标体系'!$J$9,0)+IF(ISNUMBER(W62),'Sheet1-指标体系'!$G$8*'Sheet1-指标体系'!$J$8,0)+IF(ISNUMBER(X62),'Sheet1-指标体系'!$G$8*'Sheet1-指标体系'!$J$9,0)+IF(ISNUMBER(AC62),'Sheet1-指标体系'!$G$9,0)+IF(ISNUMBER(AG62),'Sheet1-指标体系'!$G$10*'Sheet1-指标体系'!$J$8,0)+IF(ISNUMBER(AH62),'Sheet1-指标体系'!$G$10*'Sheet1-指标体系'!$J$9,0)+IF(ISNUMBER(AK62),'Sheet1-指标体系'!$G$11,0))</x:f>
        <x:v>1</x:v>
      </x:c>
      <x:c r="AR62" s="52" t="n">
        <x:f>IF(AQ62=0,"",IF(ISNUMBER(I62),I62*'Sheet1-指标体系'!$G$4,0)+IF(ISNUMBER(K62),K62*'Sheet1-指标体系'!$G$5,0)+IF(ISNUMBER(L62),L62*'Sheet1-指标体系'!$G$6,0)+IF(ISNUMBER(Q62),Q62*'Sheet1-指标体系'!$G$7*'Sheet1-指标体系'!$J$8,0)+IF(ISNUMBER(R62),R62*'Sheet1-指标体系'!$G$7*'Sheet1-指标体系'!$J$9,0)+IF(ISNUMBER(W62),W62*'Sheet1-指标体系'!$G$8*'Sheet1-指标体系'!$J$8,0)+IF(ISNUMBER(X62),X62*'Sheet1-指标体系'!$G$8*'Sheet1-指标体系'!$J$9,0)+IF(ISNUMBER(AC62),AC62*'Sheet1-指标体系'!$G$9,0)+IF(ISNUMBER(AG62),AG62*'Sheet1-指标体系'!$G$10*'Sheet1-指标体系'!$J$8,0)+IF(ISNUMBER(AH62),AH62*'Sheet1-指标体系'!$G$10*'Sheet1-指标体系'!$J$9,0)+IF(ISNUMBER(AK62),AK62*'Sheet1-指标体系'!$G$11,0))</x:f>
        <x:v>81.51845</x:v>
      </x:c>
      <x:c r="AS62" s="52" t="n">
        <x:f>IF(AQ62=0,"",ROUND(AR62/AQ62,2))</x:f>
        <x:v>81.52</x:v>
      </x:c>
      <x:c r="AT62" s="49" t="n">
        <x:f>IF(OR(G62&lt;&gt;"入池",NOT(ISNUMBER(AS62))),"",COUNTIFS($G$17:$G$99,"入池",$AS$17:$AS$99,"&gt;"&amp;AS62)+COUNTIFS($G$17:$G$99,"入池",$AS$17:$AS$99,AS62,$AQ$17:$AQ$99,"&gt;"&amp;AQ62)+COUNTIFS($G$17:G62,"入池",$AS$17:AS62,AS62,$AQ$17:AQ62,AQ62))</x:f>
        <x:v>26</x:v>
      </x:c>
      <x:c r="AU62" s="53" t="str">
        <x:f>IF(NOT(ISNUMBER(I62)),"管理人规模；","")&amp;IF(NOT(ISNUMBER(K62)),"产品规模标识；","")&amp;IF(NOT(ISNUMBER(M62)),"近一年收益；","")&amp;IF(NOT(ISNUMBER(T62)),"近一年胜率；","")&amp;IF(NOT(ISNUMBER(N62)),"近三年收益；","")&amp;IF(NOT(ISNUMBER(U62)),"近三年胜率；","")&amp;IF(NOT(ISNUMBER(AA62)),"近三年回撤；","")&amp;IF(NOT(ISNUMBER(AD62)),"近一年卡玛；","")&amp;IF(ISNUMBER(F62),IF(AND(F62&lt;'Sheet1-指标体系'!$J$16,NOT(ISNUMBER(O62))),"成立以来年化；",""),"成立日期；")&amp;IF(ISNUMBER(V62),IF(OR(V62&lt;0,V62&gt;1),"胜率窗口口径不一致；",""),"")&amp;IF(ISNUMBER(P62),IF(NOT(ISNUMBER(AE62)),"DD_long不可识别；",""),"")</x:f>
      </x:c>
      <x:c r="AV62" s="52" t="n">
        <x:f>IF(ROUND(AQ62,10)=ROUND('Sheet1-指标体系'!$J$25,10),AR62,"")</x:f>
        <x:v>81.51845</x:v>
      </x:c>
      <x:c r="AW62" s="14" t="str">
        <x:f>IF(G62&lt;&gt;"入池",G62,IF(AQ62=0,"无有效评分数据",IF(ROUND(AQ62,10)=ROUND('Sheet1-指标体系'!$J$25,10),"完整赋分", "暂定分／数据不完整")))</x:f>
        <x:v>完整赋分</x:v>
      </x:c>
      <x:c r="AX62" s="45" t="str">
        <x:f>IF('Sheet4-原始数据'!C47="","",'Sheet4-原始数据'!C47)</x:f>
        <x:v>套利策略</x:v>
      </x:c>
      <x:c r="AY62" s="45" t="str">
        <x:f>IF('Sheet4-原始数据'!D47="","",'Sheet4-原始数据'!D47)</x:f>
        <x:v>基金套利</x:v>
      </x:c>
      <x:c r="AZ62" s="45" t="str">
        <x:f>IF('Sheet5-查询核对'!S47="","",'Sheet5-查询核对'!S47)</x:f>
        <x:v>套利策略—基金套利</x:v>
      </x:c>
      <x:c r="BA62" s="51" t="n">
        <x:f>IF('Sheet5-查询核对'!A47="","",'Sheet5-查询核对'!A47)</x:f>
        <x:v>47</x:v>
      </x:c>
      <x:c r="BB62" s="45" t="str">
        <x:f>IF('Sheet5-查询核对'!F47="","",'Sheet5-查询核对'!F47)</x:f>
        <x:v>备案号匹配</x:v>
      </x:c>
      <x:c r="BC62" s="50" t="str">
        <x:f>IF('Sheet5-查询核对'!I47="","",'Sheet5-查询核对'!I47)</x:f>
        <x:v>https://mp.fof99.com/fund/view/1cfd48f3c3164c34</x:v>
      </x:c>
      <x:c r="BD62" s="46" t="n">
        <x:f>IF('Sheet5-查询核对'!H47="","",'Sheet5-查询核对'!H47)</x:f>
        <x:v>46269</x:v>
      </x:c>
      <x:c r="BE62" s="50" t="str">
        <x:f>IF('Sheet5-查询核对'!L47="","",'Sheet5-查询核对'!L47)</x:f>
        <x:v>https://mp.fof99.com/fund/view/1cfd48f3c3164c34</x:v>
      </x:c>
      <x:c r="BF62" s="46" t="n">
        <x:f>IF('Sheet5-查询核对'!M47="","",'Sheet5-查询核对'!M47)</x:f>
        <x:v>46275</x:v>
      </x:c>
      <x:c r="BG62" s="50" t="str">
        <x:f>IF('Sheet5-查询核对'!O47="","",'Sheet5-查询核对'!O47)</x:f>
        <x:v>https://gs.amac.org.cn/amac-infodisc/res/pof/fund/2304121918100513.html</x:v>
      </x:c>
      <x:c r="BH62" s="46" t="n">
        <x:f>IF('Sheet5-查询核对'!P47="","",'Sheet5-查询核对'!P47)</x:f>
        <x:v>46275</x:v>
      </x:c>
      <x:c r="BI62" s="45" t="str">
        <x:f>IF('Sheet5-查询核对'!D47="","",'Sheet5-查询核对'!D47)</x:f>
        <x:v>SZU727</x:v>
      </x:c>
      <x:c r="BJ62" t="n">
        <x:f>IF(ISNUMBER(AT62),AT62,COUNT($AT$17:$AT$99)+ROWS($AT$17:AT62)-COUNT($AT$17:AT62))</x:f>
        <x:v>26</x:v>
      </x:c>
    </x:row>
    <x:row r="63" ht="44" customHeight="1">
      <x:c r="A63" s="49" t="n">
        <x:f>'Sheet5-查询核对'!A48-1</x:f>
        <x:v>47</x:v>
      </x:c>
      <x:c r="B63" s="50" t="str">
        <x:f>IF('Sheet4-原始数据'!A48="",'Sheet5-查询核对'!B48,'Sheet4-原始数据'!A48)</x:f>
        <x:v>平凡浩睿</x:v>
      </x:c>
      <x:c r="C63" s="45" t="str">
        <x:f>IF('Sheet4-原始数据'!B48="","",'Sheet4-原始数据'!B48)</x:f>
        <x:v>SJS890</x:v>
      </x:c>
      <x:c r="D63" s="45" t="str">
        <x:f>IF('Sheet4-原始数据'!E48="","",'Sheet4-原始数据'!E48)</x:f>
        <x:v>北京平凡</x:v>
      </x:c>
      <x:c r="E63" s="46" t="n">
        <x:f>IF('Sheet4-原始数据'!F48="","",'Sheet4-原始数据'!F48)</x:f>
        <x:v>43894</x:v>
      </x:c>
      <x:c r="F63" s="52" t="n">
        <x:f>IF(ISNUMBER(E63),ROUND(('Sheet1-指标体系'!$J$12-E63)/'Sheet1-指标体系'!$J$14,4),"")</x:f>
        <x:v>6.5188</x:v>
      </x:c>
      <x:c r="G63" s="14" t="str">
        <x:f>IF(C63="","未匹配",IF(NOT(ISNUMBER(F63)),"缺成立日期",IF(F63&lt;'Sheet1-指标体系'!$J$15,"不入池","入池")))</x:f>
        <x:v>入池</x:v>
      </x:c>
      <x:c r="H63" s="45" t="str">
        <x:f>IF('Sheet5-查询核对'!K48="","",'Sheet5-查询核对'!K48)</x:f>
        <x:v>50-100亿元</x:v>
      </x:c>
      <x:c r="I63" s="52" t="n">
        <x:f>IF(H63="","",IF(COUNTIF('Sheet1-指标体系'!$P$4:$P$10,H63)=0,"",INDEX('Sheet1-指标体系'!$Q$4:$Q$10,MATCH(H63,'Sheet1-指标体系'!$P$4:$P$10,0))))</x:f>
        <x:v>90</x:v>
      </x:c>
      <x:c r="J63" s="54" t="str">
        <x:f>IF(NOT(ISNUMBER('Sheet5-查询核对'!N48)),"",IF('Sheet5-查询核对'!N48=1,"低于"&amp;'Sheet1-指标体系'!$J$4&amp;"万元",IF('Sheet5-查询核对'!N48=0,"无低于"&amp;'Sheet1-指标体系'!$J$4&amp;"万元标识","")))</x:f>
        <x:v>无低于1000万元标识</x:v>
      </x:c>
      <x:c r="K63" s="52" t="n">
        <x:f>IF(NOT(ISNUMBER('Sheet5-查询核对'!N48)),"",IF('Sheet5-查询核对'!N48=1,'Sheet1-指标体系'!$J$21,IF('Sheet5-查询核对'!N48=0,'Sheet1-指标体系'!$J$18,"")))</x:f>
        <x:v>100</x:v>
      </x:c>
      <x:c r="L63" s="52" t="n">
        <x:f>IF(NOT(ISNUMBER(F63)),"",IF(F63&lt;'Sheet1-指标体系'!$J$15,"",IF(F63&lt;'Sheet1-指标体系'!$J$16,'Sheet1-指标体系'!$J$17,'Sheet1-指标体系'!$J$18)))</x:f>
        <x:v>100</x:v>
      </x:c>
      <x:c r="M63" s="47" t="n">
        <x:f>IF(ISNUMBER('Sheet4-原始数据'!G48),'Sheet4-原始数据'!G48,"")</x:f>
        <x:v>0.20620000000000002</x:v>
      </x:c>
      <x:c r="N63" s="47" t="n">
        <x:f>IF(ISNUMBER('Sheet4-原始数据'!H48),'Sheet4-原始数据'!H48,"")</x:f>
        <x:v>0.1364</x:v>
      </x:c>
      <x:c r="O63" s="47" t="n">
        <x:f>IF(ISNUMBER('Sheet5-查询核对'!Q48),'Sheet5-查询核对'!Q48,"")</x:f>
        <x:v>0.1454</x:v>
      </x:c>
      <x:c r="P63" s="44" t="n">
        <x:f>IF($G63&lt;&gt;"入池","",IF($F63&gt;='Sheet1-指标体系'!$J$16,IF(COUNT(M63,N63)&lt;&gt;2,"",IF(OR(1+M63&lt;=0,1+N63&lt;0),"",((1+N63)^'Sheet1-指标体系'!$J$16/(1+M63))^(1/('Sheet1-指标体系'!$J$16-'Sheet1-指标体系'!$J$15))-1)),IF(COUNT(M63,O63)&lt;&gt;2,"",IF(OR(F63&lt;='Sheet1-指标体系'!$J$15,1+M63&lt;=0,1+O63&lt;0),"",((1+O63)^F63/(1+M63))^(1/(F63-'Sheet1-指标体系'!$J$15))-1))))</x:f>
        <x:v>0.10302962169228502</x:v>
      </x:c>
      <x:c r="Q63" s="52" t="n">
        <x:f>IF(OR($G63&lt;&gt;"入池",NOT(ISNUMBER(M63))),"",IF(COUNTIFS($G$17:$G$99,"入池",$M$17:$M$99,"&gt;=-1E+307",$M$17:$M$99,"&lt;=1E+307")&lt;=1,'Sheet1-指标体系'!$J$18,ROUND('Sheet1-指标体系'!$J$18*(COUNTIFS($G$17:$G$99,"入池",$M$17:$M$99,"&gt;=-1E+307",$M$17:$M$99,"&lt;"&amp;M63)+COUNTIFS($G$17:$G$99,"入池",$M$17:$M$99,"&gt;=-1E+307",$M$17:$M$99,"&lt;=1E+307",$M$17:$M$99,M63)/2-0.5)/(COUNTIFS($G$17:$G$99,"入池",$M$17:$M$99,"&gt;=-1E+307",$M$17:$M$99,"&lt;=1E+307")-1),2)))</x:f>
        <x:v>89.29</x:v>
      </x:c>
      <x:c r="R63" s="52" t="n">
        <x:f>IF(OR($G63&lt;&gt;"入池",NOT(ISNUMBER(P63))),"",IF(COUNTIFS($G$17:$G$99,"入池",$P$17:$P$99,"&gt;=-1E+307",$P$17:$P$99,"&lt;=1E+307")&lt;=1,'Sheet1-指标体系'!$J$18,ROUND('Sheet1-指标体系'!$J$18*(COUNTIFS($G$17:$G$99,"入池",$P$17:$P$99,"&gt;=-1E+307",$P$17:$P$99,"&lt;"&amp;P63)+COUNTIFS($G$17:$G$99,"入池",$P$17:$P$99,"&gt;=-1E+307",$P$17:$P$99,"&lt;=1E+307",$P$17:$P$99,P63)/2-0.5)/(COUNTIFS($G$17:$G$99,"入池",$P$17:$P$99,"&gt;=-1E+307",$P$17:$P$99,"&lt;=1E+307")-1),2)))</x:f>
        <x:v>72.22</x:v>
      </x:c>
      <x:c r="S63" s="52" t="n">
        <x:f>IF(COUNT(Q63,R63)=0,"",ROUND((IF(ISNUMBER(Q63),Q63*'Sheet1-指标体系'!$G$7*'Sheet1-指标体系'!$J$8,0)+IF(ISNUMBER(R63),R63*'Sheet1-指标体系'!$G$7*'Sheet1-指标体系'!$J$9,0))/(IF(ISNUMBER(Q63),'Sheet1-指标体系'!$G$7*'Sheet1-指标体系'!$J$8,0)+IF(ISNUMBER(R63),'Sheet1-指标体系'!$G$7*'Sheet1-指标体系'!$J$9,0)),2))</x:f>
        <x:v>82.46</x:v>
      </x:c>
      <x:c r="T63" s="47" t="n">
        <x:f>IF(ISNUMBER('Sheet4-原始数据'!J48),'Sheet4-原始数据'!J48,"")</x:f>
        <x:v>0.9231</x:v>
      </x:c>
      <x:c r="U63" s="47" t="n">
        <x:f>IF(ISNUMBER('Sheet4-原始数据'!I48),'Sheet4-原始数据'!I48,"")</x:f>
        <x:v>0.8649</x:v>
      </x:c>
      <x:c r="V63" s="44" t="n">
        <x:f>IF(COUNT(T63:U63)&lt;&gt;2,"",(U63*'Sheet1-指标体系'!$J$6-T63*'Sheet1-指标体系'!$J$5)/'Sheet1-指标体系'!$J$7)</x:f>
        <x:v>0.8333749999999999</x:v>
      </x:c>
      <x:c r="W63" s="52" t="n">
        <x:f>IF(NOT(ISNUMBER(T63)),"",T63*'Sheet1-指标体系'!$J$18)</x:f>
        <x:v>92.31</x:v>
      </x:c>
      <x:c r="X63" s="52" t="n">
        <x:f>IF(G63&lt;&gt;"入池","",IF(ISNUMBER(V63),IF(AND(V63&gt;=0,V63&lt;=1),V63*'Sheet1-指标体系'!$J$18,IF(MAX(0,(F63-'Sheet1-指标体系'!$J$15)*'Sheet1-指标体系'!$J$20)&lt;'Sheet1-指标体系'!$J$19,'Sheet1-指标体系'!$J$18,"")),IF(MAX(0,(F63-'Sheet1-指标体系'!$J$15)*'Sheet1-指标体系'!$J$20)&lt;'Sheet1-指标体系'!$J$19,'Sheet1-指标体系'!$J$18,"")))</x:f>
        <x:v>83.33749999999999</x:v>
      </x:c>
      <x:c r="Y63" s="52" t="n">
        <x:f>IF(NOT(ISNUMBER(W63)),"",IF(COUNT(W63,X63)=0,"",ROUND((IF(ISNUMBER(W63),W63*'Sheet1-指标体系'!$G$8*'Sheet1-指标体系'!$J$8,0)+IF(ISNUMBER(X63),X63*'Sheet1-指标体系'!$G$8*'Sheet1-指标体系'!$J$9,0))/(IF(ISNUMBER(W63),'Sheet1-指标体系'!$G$8*'Sheet1-指标体系'!$J$8,0)+IF(ISNUMBER(X63),'Sheet1-指标体系'!$G$8*'Sheet1-指标体系'!$J$9,0)),2)))</x:f>
        <x:v>88.72</x:v>
      </x:c>
      <x:c r="Z63" s="44" t="n">
        <x:f>IF(COUNT(M63,AD63)&lt;&gt;2,"",IF(AD63=0,"",ABS(M63/AD63)))</x:f>
        <x:v>0.0039989139709875115</x:v>
      </x:c>
      <x:c r="AA63" s="47" t="n">
        <x:f>IF(ISNUMBER('Sheet4-原始数据'!K48),'Sheet4-原始数据'!K48,"")</x:f>
        <x:v>0.025699999999999997</x:v>
      </x:c>
      <x:c r="AB63" s="44" t="n">
        <x:f>IF(COUNT(Z63:AA63)=0,"",MAX(Z63:AA63))</x:f>
        <x:v>0.025699999999999997</x:v>
      </x:c>
      <x:c r="AC63" s="52" t="n">
        <x:f>IF(OR($G63&lt;&gt;"入池",NOT(ISNUMBER(AB63))),"",IF(COUNTIFS($G$17:$G$99,"入池",$AB$17:$AB$99,"&gt;=-1E+307",$AB$17:$AB$99,"&lt;=1E+307")&lt;=1,'Sheet1-指标体系'!$J$18,ROUND('Sheet1-指标体系'!$J$18*(COUNTIFS($G$17:$G$99,"入池",$AB$17:$AB$99,"&lt;=1E+307",$AB$17:$AB$99,"&gt;"&amp;AB63)+COUNTIFS($G$17:$G$99,"入池",$AB$17:$AB$99,"&gt;=-1E+307",$AB$17:$AB$99,"&lt;=1E+307",$AB$17:$AB$99,AB63)/2-0.5)/(COUNTIFS($G$17:$G$99,"入池",$AB$17:$AB$99,"&gt;=-1E+307",$AB$17:$AB$99,"&lt;=1E+307")-1),2)))</x:f>
        <x:v>41.38</x:v>
      </x:c>
      <x:c r="AD63" s="48" t="n">
        <x:f>IF(ISNUMBER('Sheet4-原始数据'!M48),'Sheet4-原始数据'!M48,"")</x:f>
        <x:v>51.564</x:v>
      </x:c>
      <x:c r="AE63" s="44" t="n">
        <x:f>IF(COUNT(P63,AA63,Z63)&lt;&gt;3,"",IF(AA63&gt;Z63+'Sheet1-指标体系'!$J$11,AA63,""))</x:f>
        <x:v>0.025699999999999997</x:v>
      </x:c>
      <x:c r="AF63" s="52" t="n">
        <x:f>IF(COUNT(P63,AE63)&lt;&gt;2,"",IF(AE63=0,"",P63/AE63))</x:f>
        <x:v>4.008934696197861</x:v>
      </x:c>
      <x:c r="AG63" s="52" t="n">
        <x:f>IF(OR($G63&lt;&gt;"入池",NOT(ISNUMBER(AD63))),"",IF(COUNTIFS($G$17:$G$99,"入池",$AD$17:$AD$99,"&gt;=-1E+307",$AD$17:$AD$99,"&lt;=1E+307")&lt;=1,'Sheet1-指标体系'!$J$18,ROUND('Sheet1-指标体系'!$J$18*(COUNTIFS($G$17:$G$99,"入池",$AD$17:$AD$99,"&gt;=-1E+307",$AD$17:$AD$99,"&lt;"&amp;AD63)+COUNTIFS($G$17:$G$99,"入池",$AD$17:$AD$99,"&gt;=-1E+307",$AD$17:$AD$99,"&lt;=1E+307",$AD$17:$AD$99,AD63)/2-0.5)/(COUNTIFS($G$17:$G$99,"入池",$AD$17:$AD$99,"&gt;=-1E+307",$AD$17:$AD$99,"&lt;=1E+307")-1),2)))</x:f>
        <x:v>96.36</x:v>
      </x:c>
      <x:c r="AH63" s="52" t="n">
        <x:f>IF(OR($G63&lt;&gt;"入池",NOT(ISNUMBER(AF63))),"",IF(COUNTIFS($G$17:$G$99,"入池",$AF$17:$AF$99,"&gt;=-1E+307",$AF$17:$AF$99,"&lt;=1E+307")&lt;=1,'Sheet1-指标体系'!$J$18,ROUND('Sheet1-指标体系'!$J$18*(COUNTIFS($G$17:$G$99,"入池",$AF$17:$AF$99,"&gt;=-1E+307",$AF$17:$AF$99,"&lt;"&amp;AF63)+COUNTIFS($G$17:$G$99,"入池",$AF$17:$AF$99,"&gt;=-1E+307",$AF$17:$AF$99,"&lt;=1E+307",$AF$17:$AF$99,AF63)/2-0.5)/(COUNTIFS($G$17:$G$99,"入池",$AF$17:$AF$99,"&gt;=-1E+307",$AF$17:$AF$99,"&lt;=1E+307")-1),2)))</x:f>
        <x:v>60.71</x:v>
      </x:c>
      <x:c r="AI63" s="52" t="n">
        <x:f>IF(COUNT(AG63,AH63)=0,"",ROUND((IF(ISNUMBER(AG63),AG63*'Sheet1-指标体系'!$G$10*'Sheet1-指标体系'!$J$8,0)+IF(ISNUMBER(AH63),AH63*'Sheet1-指标体系'!$G$10*'Sheet1-指标体系'!$J$9,0))/(IF(ISNUMBER(AG63),'Sheet1-指标体系'!$G$10*'Sheet1-指标体系'!$J$8,0)+IF(ISNUMBER(AH63),'Sheet1-指标体系'!$G$10*'Sheet1-指标体系'!$J$9,0)),2))</x:f>
        <x:v>82.1</x:v>
      </x:c>
      <x:c r="AJ63" s="44" t="n">
        <x:f>IF(NOT(ISNUMBER(F63)),"",IF(F63&gt;='Sheet1-指标体系'!$J$16,IF(ISNUMBER(N63),N63,""),IF(ISNUMBER(O63),O63,"")))</x:f>
        <x:v>0.1364</x:v>
      </x:c>
      <x:c r="AK63" s="52" t="n">
        <x:f>IF(OR(G63&lt;&gt;"入池",COUNT(M63,AJ63)&lt;&gt;2),"",IF(M63&gt;=AJ63,'Sheet1-指标体系'!$J$18,IF(AJ63-M63&lt;'Sheet1-指标体系'!$J$10,'Sheet1-指标体系'!$J$22,'Sheet1-指标体系'!$J$23)))</x:f>
        <x:v>100</x:v>
      </x:c>
      <x:c r="AL63" s="52" t="n">
        <x:f>IF(COUNT(I63,K63,L63)=0,"",ROUND((IF(ISNUMBER(I63),I63*'Sheet1-指标体系'!$G$4,0)+IF(ISNUMBER(K63),K63*'Sheet1-指标体系'!$G$5,0)+IF(ISNUMBER(L63),L63*'Sheet1-指标体系'!$G$6,0))/(IF(ISNUMBER(I63),'Sheet1-指标体系'!$G$4,0)+IF(ISNUMBER(K63),'Sheet1-指标体系'!$G$5,0)+IF(ISNUMBER(L63),'Sheet1-指标体系'!$G$6,0)),2))</x:f>
        <x:v>96</x:v>
      </x:c>
      <x:c r="AM63" s="52" t="n">
        <x:f>IF(COUNT(Q63,R63,W63,X63)=0,"",ROUND((IF(ISNUMBER(Q63),Q63*'Sheet1-指标体系'!$G$7*'Sheet1-指标体系'!$J$8,0)+IF(ISNUMBER(R63),R63*'Sheet1-指标体系'!$G$7*'Sheet1-指标体系'!$J$9,0)+IF(ISNUMBER(W63),W63*'Sheet1-指标体系'!$G$8*'Sheet1-指标体系'!$J$8,0)+IF(ISNUMBER(X63),X63*'Sheet1-指标体系'!$G$8*'Sheet1-指标体系'!$J$9,0))/(IF(ISNUMBER(Q63),'Sheet1-指标体系'!$G$7*'Sheet1-指标体系'!$J$8,0)+IF(ISNUMBER(R63),'Sheet1-指标体系'!$G$7*'Sheet1-指标体系'!$J$9,0)+IF(ISNUMBER(W63),'Sheet1-指标体系'!$G$8*'Sheet1-指标体系'!$J$8,0)+IF(ISNUMBER(X63),'Sheet1-指标体系'!$G$8*'Sheet1-指标体系'!$J$9,0)),2))</x:f>
        <x:v>84.34</x:v>
      </x:c>
      <x:c r="AN63" s="52" t="n">
        <x:f>IF(ISNUMBER(AC63),AC63,"")</x:f>
        <x:v>41.38</x:v>
      </x:c>
      <x:c r="AO63" s="52" t="n">
        <x:f>IF(COUNT(AG63,AH63)=0,"",ROUND((IF(ISNUMBER(AG63),AG63*'Sheet1-指标体系'!$G$10*'Sheet1-指标体系'!$J$8,0)+IF(ISNUMBER(AH63),AH63*'Sheet1-指标体系'!$G$10*'Sheet1-指标体系'!$J$9,0))/(IF(ISNUMBER(AG63),'Sheet1-指标体系'!$G$10*'Sheet1-指标体系'!$J$8,0)+IF(ISNUMBER(AH63),'Sheet1-指标体系'!$G$10*'Sheet1-指标体系'!$J$9,0)),2))</x:f>
        <x:v>82.1</x:v>
      </x:c>
      <x:c r="AP63" s="52" t="n">
        <x:f>IF(ISNUMBER(AK63),AK63,"")</x:f>
        <x:v>100</x:v>
      </x:c>
      <x:c r="AQ63" s="27" t="n">
        <x:f>IF(G63&lt;&gt;"入池",0,IF(ISNUMBER(I63),'Sheet1-指标体系'!$G$4,0)+IF(ISNUMBER(K63),'Sheet1-指标体系'!$G$5,0)+IF(ISNUMBER(L63),'Sheet1-指标体系'!$G$6,0)+IF(ISNUMBER(Q63),'Sheet1-指标体系'!$G$7*'Sheet1-指标体系'!$J$8,0)+IF(ISNUMBER(R63),'Sheet1-指标体系'!$G$7*'Sheet1-指标体系'!$J$9,0)+IF(ISNUMBER(W63),'Sheet1-指标体系'!$G$8*'Sheet1-指标体系'!$J$8,0)+IF(ISNUMBER(X63),'Sheet1-指标体系'!$G$8*'Sheet1-指标体系'!$J$9,0)+IF(ISNUMBER(AC63),'Sheet1-指标体系'!$G$9,0)+IF(ISNUMBER(AG63),'Sheet1-指标体系'!$G$10*'Sheet1-指标体系'!$J$8,0)+IF(ISNUMBER(AH63),'Sheet1-指标体系'!$G$10*'Sheet1-指标体系'!$J$9,0)+IF(ISNUMBER(AK63),'Sheet1-指标体系'!$G$11,0))</x:f>
        <x:v>1</x:v>
      </x:c>
      <x:c r="AR63" s="52" t="n">
        <x:f>IF(AQ63=0,"",IF(ISNUMBER(I63),I63*'Sheet1-指标体系'!$G$4,0)+IF(ISNUMBER(K63),K63*'Sheet1-指标体系'!$G$5,0)+IF(ISNUMBER(L63),L63*'Sheet1-指标体系'!$G$6,0)+IF(ISNUMBER(Q63),Q63*'Sheet1-指标体系'!$G$7*'Sheet1-指标体系'!$J$8,0)+IF(ISNUMBER(R63),R63*'Sheet1-指标体系'!$G$7*'Sheet1-指标体系'!$J$9,0)+IF(ISNUMBER(W63),W63*'Sheet1-指标体系'!$G$8*'Sheet1-指标体系'!$J$8,0)+IF(ISNUMBER(X63),X63*'Sheet1-指标体系'!$G$8*'Sheet1-指标体系'!$J$9,0)+IF(ISNUMBER(AC63),AC63*'Sheet1-指标体系'!$G$9,0)+IF(ISNUMBER(AG63),AG63*'Sheet1-指标体系'!$G$10*'Sheet1-指标体系'!$J$8,0)+IF(ISNUMBER(AH63),AH63*'Sheet1-指标体系'!$G$10*'Sheet1-指标体系'!$J$9,0)+IF(ISNUMBER(AK63),AK63*'Sheet1-指标体系'!$G$11,0))</x:f>
        <x:v>76.24294</x:v>
      </x:c>
      <x:c r="AS63" s="52" t="n">
        <x:f>IF(AQ63=0,"",ROUND(AR63/AQ63,2))</x:f>
        <x:v>76.24</x:v>
      </x:c>
      <x:c r="AT63" s="49" t="n">
        <x:f>IF(OR(G63&lt;&gt;"入池",NOT(ISNUMBER(AS63))),"",COUNTIFS($G$17:$G$99,"入池",$AS$17:$AS$99,"&gt;"&amp;AS63)+COUNTIFS($G$17:$G$99,"入池",$AS$17:$AS$99,AS63,$AQ$17:$AQ$99,"&gt;"&amp;AQ63)+COUNTIFS($G$17:G63,"入池",$AS$17:AS63,AS63,$AQ$17:AQ63,AQ63))</x:f>
        <x:v>31</x:v>
      </x:c>
      <x:c r="AU63" s="53" t="str">
        <x:f>IF(NOT(ISNUMBER(I63)),"管理人规模；","")&amp;IF(NOT(ISNUMBER(K63)),"产品规模标识；","")&amp;IF(NOT(ISNUMBER(M63)),"近一年收益；","")&amp;IF(NOT(ISNUMBER(T63)),"近一年胜率；","")&amp;IF(NOT(ISNUMBER(N63)),"近三年收益；","")&amp;IF(NOT(ISNUMBER(U63)),"近三年胜率；","")&amp;IF(NOT(ISNUMBER(AA63)),"近三年回撤；","")&amp;IF(NOT(ISNUMBER(AD63)),"近一年卡玛；","")&amp;IF(ISNUMBER(F63),IF(AND(F63&lt;'Sheet1-指标体系'!$J$16,NOT(ISNUMBER(O63))),"成立以来年化；",""),"成立日期；")&amp;IF(ISNUMBER(V63),IF(OR(V63&lt;0,V63&gt;1),"胜率窗口口径不一致；",""),"")&amp;IF(ISNUMBER(P63),IF(NOT(ISNUMBER(AE63)),"DD_long不可识别；",""),"")</x:f>
      </x:c>
      <x:c r="AV63" s="52" t="n">
        <x:f>IF(ROUND(AQ63,10)=ROUND('Sheet1-指标体系'!$J$25,10),AR63,"")</x:f>
        <x:v>76.24294</x:v>
      </x:c>
      <x:c r="AW63" s="14" t="str">
        <x:f>IF(G63&lt;&gt;"入池",G63,IF(AQ63=0,"无有效评分数据",IF(ROUND(AQ63,10)=ROUND('Sheet1-指标体系'!$J$25,10),"完整赋分", "暂定分／数据不完整")))</x:f>
        <x:v>完整赋分</x:v>
      </x:c>
      <x:c r="AX63" s="45" t="str">
        <x:f>IF('Sheet4-原始数据'!C48="","",'Sheet4-原始数据'!C48)</x:f>
        <x:v>套利策略</x:v>
      </x:c>
      <x:c r="AY63" s="45" t="str">
        <x:f>IF('Sheet4-原始数据'!D48="","",'Sheet4-原始数据'!D48)</x:f>
        <x:v>基金套利</x:v>
      </x:c>
      <x:c r="AZ63" s="45" t="str">
        <x:f>IF('Sheet5-查询核对'!S48="","",'Sheet5-查询核对'!S48)</x:f>
        <x:v>套利策略—基金套利</x:v>
      </x:c>
      <x:c r="BA63" s="51" t="n">
        <x:f>IF('Sheet5-查询核对'!A48="","",'Sheet5-查询核对'!A48)</x:f>
        <x:v>48</x:v>
      </x:c>
      <x:c r="BB63" s="45" t="str">
        <x:f>IF('Sheet5-查询核对'!F48="","",'Sheet5-查询核对'!F48)</x:f>
        <x:v>备案号匹配</x:v>
      </x:c>
      <x:c r="BC63" s="50" t="str">
        <x:f>IF('Sheet5-查询核对'!I48="","",'Sheet5-查询核对'!I48)</x:f>
        <x:v>https://mp.fof99.com/fund/view/cede2959c01b91f6</x:v>
      </x:c>
      <x:c r="BD63" s="46" t="n">
        <x:f>IF('Sheet5-查询核对'!H48="","",'Sheet5-查询核对'!H48)</x:f>
        <x:v>46269</x:v>
      </x:c>
      <x:c r="BE63" s="50" t="str">
        <x:f>IF('Sheet5-查询核对'!L48="","",'Sheet5-查询核对'!L48)</x:f>
        <x:v>https://mp.fof99.com/fund/view/cede2959c01b91f6</x:v>
      </x:c>
      <x:c r="BF63" s="46" t="n">
        <x:f>IF('Sheet5-查询核对'!M48="","",'Sheet5-查询核对'!M48)</x:f>
        <x:v>46275</x:v>
      </x:c>
      <x:c r="BG63" s="50" t="str">
        <x:f>IF('Sheet5-查询核对'!O48="","",'Sheet5-查询核对'!O48)</x:f>
        <x:v>https://gs.amac.org.cn/amac-infodisc/res/pof/fund/2003111724111317.html</x:v>
      </x:c>
      <x:c r="BH63" s="46" t="n">
        <x:f>IF('Sheet5-查询核对'!P48="","",'Sheet5-查询核对'!P48)</x:f>
        <x:v>46275</x:v>
      </x:c>
      <x:c r="BI63" s="45" t="str">
        <x:f>IF('Sheet5-查询核对'!D48="","",'Sheet5-查询核对'!D48)</x:f>
        <x:v>SJS890</x:v>
      </x:c>
      <x:c r="BJ63" t="n">
        <x:f>IF(ISNUMBER(AT63),AT63,COUNT($AT$17:$AT$99)+ROWS($AT$17:AT63)-COUNT($AT$17:AT63))</x:f>
        <x:v>31</x:v>
      </x:c>
    </x:row>
    <x:row r="64" ht="44" customHeight="1">
      <x:c r="A64" s="49" t="n">
        <x:f>'Sheet5-查询核对'!A49-1</x:f>
        <x:v>48</x:v>
      </x:c>
      <x:c r="B64" s="50" t="str">
        <x:f>IF('Sheet4-原始数据'!A49="",'Sheet5-查询核对'!B49,'Sheet4-原始数据'!A49)</x:f>
        <x:v>平凡悟鑫</x:v>
      </x:c>
      <x:c r="C64" s="45" t="str">
        <x:f>IF('Sheet4-原始数据'!B49="","",'Sheet4-原始数据'!B49)</x:f>
        <x:v>SJ2870</x:v>
      </x:c>
      <x:c r="D64" s="45" t="str">
        <x:f>IF('Sheet4-原始数据'!E49="","",'Sheet4-原始数据'!E49)</x:f>
        <x:v>北京平凡</x:v>
      </x:c>
      <x:c r="E64" s="46" t="n">
        <x:f>IF('Sheet4-原始数据'!F49="","",'Sheet4-原始数据'!F49)</x:f>
        <x:v>42479</x:v>
      </x:c>
      <x:c r="F64" s="52" t="n">
        <x:f>IF(ISNUMBER(E64),ROUND(('Sheet1-指标体系'!$J$12-E64)/'Sheet1-指标体系'!$J$14,4),"")</x:f>
        <x:v>10.3929</x:v>
      </x:c>
      <x:c r="G64" s="14" t="str">
        <x:f>IF(C64="","未匹配",IF(NOT(ISNUMBER(F64)),"缺成立日期",IF(F64&lt;'Sheet1-指标体系'!$J$15,"不入池","入池")))</x:f>
        <x:v>入池</x:v>
      </x:c>
      <x:c r="H64" s="45" t="str">
        <x:f>IF('Sheet5-查询核对'!K49="","",'Sheet5-查询核对'!K49)</x:f>
        <x:v>50-100亿元</x:v>
      </x:c>
      <x:c r="I64" s="52" t="n">
        <x:f>IF(H64="","",IF(COUNTIF('Sheet1-指标体系'!$P$4:$P$10,H64)=0,"",INDEX('Sheet1-指标体系'!$Q$4:$Q$10,MATCH(H64,'Sheet1-指标体系'!$P$4:$P$10,0))))</x:f>
        <x:v>90</x:v>
      </x:c>
      <x:c r="J64" s="54" t="str">
        <x:f>IF(NOT(ISNUMBER('Sheet5-查询核对'!N49)),"",IF('Sheet5-查询核对'!N49=1,"低于"&amp;'Sheet1-指标体系'!$J$4&amp;"万元",IF('Sheet5-查询核对'!N49=0,"无低于"&amp;'Sheet1-指标体系'!$J$4&amp;"万元标识","")))</x:f>
        <x:v>无低于1000万元标识</x:v>
      </x:c>
      <x:c r="K64" s="52" t="n">
        <x:f>IF(NOT(ISNUMBER('Sheet5-查询核对'!N49)),"",IF('Sheet5-查询核对'!N49=1,'Sheet1-指标体系'!$J$21,IF('Sheet5-查询核对'!N49=0,'Sheet1-指标体系'!$J$18,"")))</x:f>
        <x:v>100</x:v>
      </x:c>
      <x:c r="L64" s="52" t="n">
        <x:f>IF(NOT(ISNUMBER(F64)),"",IF(F64&lt;'Sheet1-指标体系'!$J$15,"",IF(F64&lt;'Sheet1-指标体系'!$J$16,'Sheet1-指标体系'!$J$17,'Sheet1-指标体系'!$J$18)))</x:f>
        <x:v>100</x:v>
      </x:c>
      <x:c r="M64" s="47" t="n">
        <x:f>IF(ISNUMBER('Sheet4-原始数据'!G49),'Sheet4-原始数据'!G49,"")</x:f>
        <x:v>0.0719</x:v>
      </x:c>
      <x:c r="N64" s="47" t="n">
        <x:f>IF(ISNUMBER('Sheet4-原始数据'!H49),'Sheet4-原始数据'!H49,"")</x:f>
        <x:v>0.0646</x:v>
      </x:c>
      <x:c r="O64" s="47" t="n">
        <x:f>IF(ISNUMBER('Sheet5-查询核对'!Q49),'Sheet5-查询核对'!Q49,"")</x:f>
        <x:v>0.0786</x:v>
      </x:c>
      <x:c r="P64" s="44" t="n">
        <x:f>IF($G64&lt;&gt;"入池","",IF($F64&gt;='Sheet1-指标体系'!$J$16,IF(COUNT(M64,N64)&lt;&gt;2,"",IF(OR(1+M64&lt;=0,1+N64&lt;0),"",((1+N64)^'Sheet1-指标体系'!$J$16/(1+M64))^(1/('Sheet1-指标体系'!$J$16-'Sheet1-指标体系'!$J$15))-1)),IF(COUNT(M64,O64)&lt;&gt;2,"",IF(OR(F64&lt;='Sheet1-指标体系'!$J$15,1+M64&lt;=0,1+O64&lt;0),"",((1+O64)^F64/(1+M64))^(1/(F64-'Sheet1-指标体系'!$J$15))-1))))</x:f>
        <x:v>0.06096866451236571</x:v>
      </x:c>
      <x:c r="Q64" s="52" t="n">
        <x:f>IF(OR($G64&lt;&gt;"入池",NOT(ISNUMBER(M64))),"",IF(COUNTIFS($G$17:$G$99,"入池",$M$17:$M$99,"&gt;=-1E+307",$M$17:$M$99,"&lt;=1E+307")&lt;=1,'Sheet1-指标体系'!$J$18,ROUND('Sheet1-指标体系'!$J$18*(COUNTIFS($G$17:$G$99,"入池",$M$17:$M$99,"&gt;=-1E+307",$M$17:$M$99,"&lt;"&amp;M64)+COUNTIFS($G$17:$G$99,"入池",$M$17:$M$99,"&gt;=-1E+307",$M$17:$M$99,"&lt;=1E+307",$M$17:$M$99,M64)/2-0.5)/(COUNTIFS($G$17:$G$99,"入池",$M$17:$M$99,"&gt;=-1E+307",$M$17:$M$99,"&lt;=1E+307")-1),2)))</x:f>
        <x:v>35.71</x:v>
      </x:c>
      <x:c r="R64" s="52" t="n">
        <x:f>IF(OR($G64&lt;&gt;"入池",NOT(ISNUMBER(P64))),"",IF(COUNTIFS($G$17:$G$99,"入池",$P$17:$P$99,"&gt;=-1E+307",$P$17:$P$99,"&lt;=1E+307")&lt;=1,'Sheet1-指标体系'!$J$18,ROUND('Sheet1-指标体系'!$J$18*(COUNTIFS($G$17:$G$99,"入池",$P$17:$P$99,"&gt;=-1E+307",$P$17:$P$99,"&lt;"&amp;P64)+COUNTIFS($G$17:$G$99,"入池",$P$17:$P$99,"&gt;=-1E+307",$P$17:$P$99,"&lt;=1E+307",$P$17:$P$99,P64)/2-0.5)/(COUNTIFS($G$17:$G$99,"入池",$P$17:$P$99,"&gt;=-1E+307",$P$17:$P$99,"&lt;=1E+307")-1),2)))</x:f>
        <x:v>38.89</x:v>
      </x:c>
      <x:c r="S64" s="52" t="n">
        <x:f>IF(COUNT(Q64,R64)=0,"",ROUND((IF(ISNUMBER(Q64),Q64*'Sheet1-指标体系'!$G$7*'Sheet1-指标体系'!$J$8,0)+IF(ISNUMBER(R64),R64*'Sheet1-指标体系'!$G$7*'Sheet1-指标体系'!$J$9,0))/(IF(ISNUMBER(Q64),'Sheet1-指标体系'!$G$7*'Sheet1-指标体系'!$J$8,0)+IF(ISNUMBER(R64),'Sheet1-指标体系'!$G$7*'Sheet1-指标体系'!$J$9,0)),2))</x:f>
        <x:v>36.98</x:v>
      </x:c>
      <x:c r="T64" s="47" t="n">
        <x:f>IF(ISNUMBER('Sheet4-原始数据'!J49),'Sheet4-原始数据'!J49,"")</x:f>
        <x:v>0.9231</x:v>
      </x:c>
      <x:c r="U64" s="47" t="n">
        <x:f>IF(ISNUMBER('Sheet4-原始数据'!I49),'Sheet4-原始数据'!I49,"")</x:f>
        <x:v>0.8919</x:v>
      </x:c>
      <x:c r="V64" s="44" t="n">
        <x:f>IF(COUNT(T64:U64)&lt;&gt;2,"",(U64*'Sheet1-指标体系'!$J$6-T64*'Sheet1-指标体系'!$J$5)/'Sheet1-指标体系'!$J$7)</x:f>
        <x:v>0.875</x:v>
      </x:c>
      <x:c r="W64" s="52" t="n">
        <x:f>IF(NOT(ISNUMBER(T64)),"",T64*'Sheet1-指标体系'!$J$18)</x:f>
        <x:v>92.31</x:v>
      </x:c>
      <x:c r="X64" s="52" t="n">
        <x:f>IF(G64&lt;&gt;"入池","",IF(ISNUMBER(V64),IF(AND(V64&gt;=0,V64&lt;=1),V64*'Sheet1-指标体系'!$J$18,IF(MAX(0,(F64-'Sheet1-指标体系'!$J$15)*'Sheet1-指标体系'!$J$20)&lt;'Sheet1-指标体系'!$J$19,'Sheet1-指标体系'!$J$18,"")),IF(MAX(0,(F64-'Sheet1-指标体系'!$J$15)*'Sheet1-指标体系'!$J$20)&lt;'Sheet1-指标体系'!$J$19,'Sheet1-指标体系'!$J$18,"")))</x:f>
        <x:v>87.5</x:v>
      </x:c>
      <x:c r="Y64" s="52" t="n">
        <x:f>IF(NOT(ISNUMBER(W64)),"",IF(COUNT(W64,X64)=0,"",ROUND((IF(ISNUMBER(W64),W64*'Sheet1-指标体系'!$G$8*'Sheet1-指标体系'!$J$8,0)+IF(ISNUMBER(X64),X64*'Sheet1-指标体系'!$G$8*'Sheet1-指标体系'!$J$9,0))/(IF(ISNUMBER(W64),'Sheet1-指标体系'!$G$8*'Sheet1-指标体系'!$J$8,0)+IF(ISNUMBER(X64),'Sheet1-指标体系'!$G$8*'Sheet1-指标体系'!$J$9,0)),2)))</x:f>
        <x:v>90.39</x:v>
      </x:c>
      <x:c r="Z64" s="44" t="n">
        <x:f>IF(COUNT(M64,AD64)&lt;&gt;2,"",IF(AD64=0,"",ABS(M64/AD64)))</x:f>
        <x:v>0.009716478823751994</x:v>
      </x:c>
      <x:c r="AA64" s="47" t="n">
        <x:f>IF(ISNUMBER('Sheet4-原始数据'!K49),'Sheet4-原始数据'!K49,"")</x:f>
        <x:v>0.0097</x:v>
      </x:c>
      <x:c r="AB64" s="44" t="n">
        <x:f>IF(COUNT(Z64:AA64)=0,"",MAX(Z64:AA64))</x:f>
        <x:v>0.009716478823751994</x:v>
      </x:c>
      <x:c r="AC64" s="52" t="n">
        <x:f>IF(OR($G64&lt;&gt;"入池",NOT(ISNUMBER(AB64))),"",IF(COUNTIFS($G$17:$G$99,"入池",$AB$17:$AB$99,"&gt;=-1E+307",$AB$17:$AB$99,"&lt;=1E+307")&lt;=1,'Sheet1-指标体系'!$J$18,ROUND('Sheet1-指标体系'!$J$18*(COUNTIFS($G$17:$G$99,"入池",$AB$17:$AB$99,"&lt;=1E+307",$AB$17:$AB$99,"&gt;"&amp;AB64)+COUNTIFS($G$17:$G$99,"入池",$AB$17:$AB$99,"&gt;=-1E+307",$AB$17:$AB$99,"&lt;=1E+307",$AB$17:$AB$99,AB64)/2-0.5)/(COUNTIFS($G$17:$G$99,"入池",$AB$17:$AB$99,"&gt;=-1E+307",$AB$17:$AB$99,"&lt;=1E+307")-1),2)))</x:f>
        <x:v>79.31</x:v>
      </x:c>
      <x:c r="AD64" s="48" t="n">
        <x:f>IF(ISNUMBER('Sheet4-原始数据'!M49),'Sheet4-原始数据'!M49,"")</x:f>
        <x:v>7.3998</x:v>
      </x:c>
      <x:c r="AE64" s="44" t="str">
        <x:f>IF(COUNT(P64,AA64,Z64)&lt;&gt;3,"",IF(AA64&gt;Z64+'Sheet1-指标体系'!$J$11,AA64,""))</x:f>
      </x:c>
      <x:c r="AF64" s="52" t="str">
        <x:f>IF(COUNT(P64,AE64)&lt;&gt;2,"",IF(AE64=0,"",P64/AE64))</x:f>
      </x:c>
      <x:c r="AG64" s="52" t="n">
        <x:f>IF(OR($G64&lt;&gt;"入池",NOT(ISNUMBER(AD64))),"",IF(COUNTIFS($G$17:$G$99,"入池",$AD$17:$AD$99,"&gt;=-1E+307",$AD$17:$AD$99,"&lt;=1E+307")&lt;=1,'Sheet1-指标体系'!$J$18,ROUND('Sheet1-指标体系'!$J$18*(COUNTIFS($G$17:$G$99,"入池",$AD$17:$AD$99,"&gt;=-1E+307",$AD$17:$AD$99,"&lt;"&amp;AD64)+COUNTIFS($G$17:$G$99,"入池",$AD$17:$AD$99,"&gt;=-1E+307",$AD$17:$AD$99,"&lt;=1E+307",$AD$17:$AD$99,AD64)/2-0.5)/(COUNTIFS($G$17:$G$99,"入池",$AD$17:$AD$99,"&gt;=-1E+307",$AD$17:$AD$99,"&lt;=1E+307")-1),2)))</x:f>
        <x:v>49.09</x:v>
      </x:c>
      <x:c r="AH64" s="52" t="str">
        <x:f>IF(OR($G64&lt;&gt;"入池",NOT(ISNUMBER(AF64))),"",IF(COUNTIFS($G$17:$G$99,"入池",$AF$17:$AF$99,"&gt;=-1E+307",$AF$17:$AF$99,"&lt;=1E+307")&lt;=1,'Sheet1-指标体系'!$J$18,ROUND('Sheet1-指标体系'!$J$18*(COUNTIFS($G$17:$G$99,"入池",$AF$17:$AF$99,"&gt;=-1E+307",$AF$17:$AF$99,"&lt;"&amp;AF64)+COUNTIFS($G$17:$G$99,"入池",$AF$17:$AF$99,"&gt;=-1E+307",$AF$17:$AF$99,"&lt;=1E+307",$AF$17:$AF$99,AF64)/2-0.5)/(COUNTIFS($G$17:$G$99,"入池",$AF$17:$AF$99,"&gt;=-1E+307",$AF$17:$AF$99,"&lt;=1E+307")-1),2)))</x:f>
      </x:c>
      <x:c r="AI64" s="52" t="n">
        <x:f>IF(COUNT(AG64,AH64)=0,"",ROUND((IF(ISNUMBER(AG64),AG64*'Sheet1-指标体系'!$G$10*'Sheet1-指标体系'!$J$8,0)+IF(ISNUMBER(AH64),AH64*'Sheet1-指标体系'!$G$10*'Sheet1-指标体系'!$J$9,0))/(IF(ISNUMBER(AG64),'Sheet1-指标体系'!$G$10*'Sheet1-指标体系'!$J$8,0)+IF(ISNUMBER(AH64),'Sheet1-指标体系'!$G$10*'Sheet1-指标体系'!$J$9,0)),2))</x:f>
        <x:v>49.09</x:v>
      </x:c>
      <x:c r="AJ64" s="44" t="n">
        <x:f>IF(NOT(ISNUMBER(F64)),"",IF(F64&gt;='Sheet1-指标体系'!$J$16,IF(ISNUMBER(N64),N64,""),IF(ISNUMBER(O64),O64,"")))</x:f>
        <x:v>0.0646</x:v>
      </x:c>
      <x:c r="AK64" s="52" t="n">
        <x:f>IF(OR(G64&lt;&gt;"入池",COUNT(M64,AJ64)&lt;&gt;2),"",IF(M64&gt;=AJ64,'Sheet1-指标体系'!$J$18,IF(AJ64-M64&lt;'Sheet1-指标体系'!$J$10,'Sheet1-指标体系'!$J$22,'Sheet1-指标体系'!$J$23)))</x:f>
        <x:v>100</x:v>
      </x:c>
      <x:c r="AL64" s="52" t="n">
        <x:f>IF(COUNT(I64,K64,L64)=0,"",ROUND((IF(ISNUMBER(I64),I64*'Sheet1-指标体系'!$G$4,0)+IF(ISNUMBER(K64),K64*'Sheet1-指标体系'!$G$5,0)+IF(ISNUMBER(L64),L64*'Sheet1-指标体系'!$G$6,0))/(IF(ISNUMBER(I64),'Sheet1-指标体系'!$G$4,0)+IF(ISNUMBER(K64),'Sheet1-指标体系'!$G$5,0)+IF(ISNUMBER(L64),'Sheet1-指标体系'!$G$6,0)),2))</x:f>
        <x:v>96</x:v>
      </x:c>
      <x:c r="AM64" s="52" t="n">
        <x:f>IF(COUNT(Q64,R64,W64,X64)=0,"",ROUND((IF(ISNUMBER(Q64),Q64*'Sheet1-指标体系'!$G$7*'Sheet1-指标体系'!$J$8,0)+IF(ISNUMBER(R64),R64*'Sheet1-指标体系'!$G$7*'Sheet1-指标体系'!$J$9,0)+IF(ISNUMBER(W64),W64*'Sheet1-指标体系'!$G$8*'Sheet1-指标体系'!$J$8,0)+IF(ISNUMBER(X64),X64*'Sheet1-指标体系'!$G$8*'Sheet1-指标体系'!$J$9,0))/(IF(ISNUMBER(Q64),'Sheet1-指标体系'!$G$7*'Sheet1-指标体系'!$J$8,0)+IF(ISNUMBER(R64),'Sheet1-指标体系'!$G$7*'Sheet1-指标体系'!$J$9,0)+IF(ISNUMBER(W64),'Sheet1-指标体系'!$G$8*'Sheet1-指标体系'!$J$8,0)+IF(ISNUMBER(X64),'Sheet1-指标体系'!$G$8*'Sheet1-指标体系'!$J$9,0)),2))</x:f>
        <x:v>53</x:v>
      </x:c>
      <x:c r="AN64" s="52" t="n">
        <x:f>IF(ISNUMBER(AC64),AC64,"")</x:f>
        <x:v>79.31</x:v>
      </x:c>
      <x:c r="AO64" s="52" t="n">
        <x:f>IF(COUNT(AG64,AH64)=0,"",ROUND((IF(ISNUMBER(AG64),AG64*'Sheet1-指标体系'!$G$10*'Sheet1-指标体系'!$J$8,0)+IF(ISNUMBER(AH64),AH64*'Sheet1-指标体系'!$G$10*'Sheet1-指标体系'!$J$9,0))/(IF(ISNUMBER(AG64),'Sheet1-指标体系'!$G$10*'Sheet1-指标体系'!$J$8,0)+IF(ISNUMBER(AH64),'Sheet1-指标体系'!$G$10*'Sheet1-指标体系'!$J$9,0)),2))</x:f>
        <x:v>49.09</x:v>
      </x:c>
      <x:c r="AP64" s="52" t="n">
        <x:f>IF(ISNUMBER(AK64),AK64,"")</x:f>
        <x:v>100</x:v>
      </x:c>
      <x:c r="AQ64" s="27" t="n">
        <x:f>IF(G64&lt;&gt;"入池",0,IF(ISNUMBER(I64),'Sheet1-指标体系'!$G$4,0)+IF(ISNUMBER(K64),'Sheet1-指标体系'!$G$5,0)+IF(ISNUMBER(L64),'Sheet1-指标体系'!$G$6,0)+IF(ISNUMBER(Q64),'Sheet1-指标体系'!$G$7*'Sheet1-指标体系'!$J$8,0)+IF(ISNUMBER(R64),'Sheet1-指标体系'!$G$7*'Sheet1-指标体系'!$J$9,0)+IF(ISNUMBER(W64),'Sheet1-指标体系'!$G$8*'Sheet1-指标体系'!$J$8,0)+IF(ISNUMBER(X64),'Sheet1-指标体系'!$G$8*'Sheet1-指标体系'!$J$9,0)+IF(ISNUMBER(AC64),'Sheet1-指标体系'!$G$9,0)+IF(ISNUMBER(AG64),'Sheet1-指标体系'!$G$10*'Sheet1-指标体系'!$J$8,0)+IF(ISNUMBER(AH64),'Sheet1-指标体系'!$G$10*'Sheet1-指标体系'!$J$9,0)+IF(ISNUMBER(AK64),'Sheet1-指标体系'!$G$11,0))</x:f>
        <x:v>0.88</x:v>
      </x:c>
      <x:c r="AR64" s="52" t="n">
        <x:f>IF(AQ64=0,"",IF(ISNUMBER(I64),I64*'Sheet1-指标体系'!$G$4,0)+IF(ISNUMBER(K64),K64*'Sheet1-指标体系'!$G$5,0)+IF(ISNUMBER(L64),L64*'Sheet1-指标体系'!$G$6,0)+IF(ISNUMBER(Q64),Q64*'Sheet1-指标体系'!$G$7*'Sheet1-指标体系'!$J$8,0)+IF(ISNUMBER(R64),R64*'Sheet1-指标体系'!$G$7*'Sheet1-指标体系'!$J$9,0)+IF(ISNUMBER(W64),W64*'Sheet1-指标体系'!$G$8*'Sheet1-指标体系'!$J$8,0)+IF(ISNUMBER(X64),X64*'Sheet1-指标体系'!$G$8*'Sheet1-指标体系'!$J$9,0)+IF(ISNUMBER(AC64),AC64*'Sheet1-指标体系'!$G$9,0)+IF(ISNUMBER(AG64),AG64*'Sheet1-指标体系'!$G$10*'Sheet1-指标体系'!$J$8,0)+IF(ISNUMBER(AH64),AH64*'Sheet1-指标体系'!$G$10*'Sheet1-指标体系'!$J$9,0)+IF(ISNUMBER(AK64),AK64*'Sheet1-指标体系'!$G$11,0))</x:f>
        <x:v>63.664339999999996</x:v>
      </x:c>
      <x:c r="AS64" s="52" t="n">
        <x:f>IF(AQ64=0,"",ROUND(AR64/AQ64,2))</x:f>
        <x:v>72.35</x:v>
      </x:c>
      <x:c r="AT64" s="49" t="n">
        <x:f>IF(OR(G64&lt;&gt;"入池",NOT(ISNUMBER(AS64))),"",COUNTIFS($G$17:$G$99,"入池",$AS$17:$AS$99,"&gt;"&amp;AS64)+COUNTIFS($G$17:$G$99,"入池",$AS$17:$AS$99,AS64,$AQ$17:$AQ$99,"&gt;"&amp;AQ64)+COUNTIFS($G$17:G64,"入池",$AS$17:AS64,AS64,$AQ$17:AQ64,AQ64))</x:f>
        <x:v>39</x:v>
      </x:c>
      <x:c r="AU64" s="53" t="str">
        <x:f>IF(NOT(ISNUMBER(I64)),"管理人规模；","")&amp;IF(NOT(ISNUMBER(K64)),"产品规模标识；","")&amp;IF(NOT(ISNUMBER(M64)),"近一年收益；","")&amp;IF(NOT(ISNUMBER(T64)),"近一年胜率；","")&amp;IF(NOT(ISNUMBER(N64)),"近三年收益；","")&amp;IF(NOT(ISNUMBER(U64)),"近三年胜率；","")&amp;IF(NOT(ISNUMBER(AA64)),"近三年回撤；","")&amp;IF(NOT(ISNUMBER(AD64)),"近一年卡玛；","")&amp;IF(ISNUMBER(F64),IF(AND(F64&lt;'Sheet1-指标体系'!$J$16,NOT(ISNUMBER(O64))),"成立以来年化；",""),"成立日期；")&amp;IF(ISNUMBER(V64),IF(OR(V64&lt;0,V64&gt;1),"胜率窗口口径不一致；",""),"")&amp;IF(ISNUMBER(P64),IF(NOT(ISNUMBER(AE64)),"DD_long不可识别；",""),"")</x:f>
        <x:v>DD_long不可识别；</x:v>
      </x:c>
      <x:c r="AV64" s="52" t="str">
        <x:f>IF(ROUND(AQ64,10)=ROUND('Sheet1-指标体系'!$J$25,10),AR64,"")</x:f>
      </x:c>
      <x:c r="AW64" s="14" t="str">
        <x:f>IF(G64&lt;&gt;"入池",G64,IF(AQ64=0,"无有效评分数据",IF(ROUND(AQ64,10)=ROUND('Sheet1-指标体系'!$J$25,10),"完整赋分", "暂定分／数据不完整")))</x:f>
        <x:v>暂定分／数据不完整</x:v>
      </x:c>
      <x:c r="AX64" s="45" t="str">
        <x:f>IF('Sheet4-原始数据'!C49="","",'Sheet4-原始数据'!C49)</x:f>
        <x:v>套利策略</x:v>
      </x:c>
      <x:c r="AY64" s="45" t="str">
        <x:f>IF('Sheet4-原始数据'!D49="","",'Sheet4-原始数据'!D49)</x:f>
        <x:v>基金套利</x:v>
      </x:c>
      <x:c r="AZ64" s="45" t="str">
        <x:f>IF('Sheet5-查询核对'!S49="","",'Sheet5-查询核对'!S49)</x:f>
        <x:v>套利策略—基金套利</x:v>
      </x:c>
      <x:c r="BA64" s="51" t="n">
        <x:f>IF('Sheet5-查询核对'!A49="","",'Sheet5-查询核对'!A49)</x:f>
        <x:v>49</x:v>
      </x:c>
      <x:c r="BB64" s="45" t="str">
        <x:f>IF('Sheet5-查询核对'!F49="","",'Sheet5-查询核对'!F49)</x:f>
        <x:v>备案号匹配</x:v>
      </x:c>
      <x:c r="BC64" s="50" t="str">
        <x:f>IF('Sheet5-查询核对'!I49="","",'Sheet5-查询核对'!I49)</x:f>
        <x:v>https://mp.fof99.com/fund/view/8b4dbf527867d6d0</x:v>
      </x:c>
      <x:c r="BD64" s="46" t="n">
        <x:f>IF('Sheet5-查询核对'!H49="","",'Sheet5-查询核对'!H49)</x:f>
        <x:v>46269</x:v>
      </x:c>
      <x:c r="BE64" s="50" t="str">
        <x:f>IF('Sheet5-查询核对'!L49="","",'Sheet5-查询核对'!L49)</x:f>
        <x:v>https://mp.fof99.com/fund/view/8b4dbf527867d6d0</x:v>
      </x:c>
      <x:c r="BF64" s="46" t="n">
        <x:f>IF('Sheet5-查询核对'!M49="","",'Sheet5-查询核对'!M49)</x:f>
        <x:v>46275</x:v>
      </x:c>
      <x:c r="BG64" s="50" t="str">
        <x:f>IF('Sheet5-查询核对'!O49="","",'Sheet5-查询核对'!O49)</x:f>
        <x:v>https://gs.amac.org.cn/amac-infodisc/res/pof/fund/351000410825.html</x:v>
      </x:c>
      <x:c r="BH64" s="46" t="n">
        <x:f>IF('Sheet5-查询核对'!P49="","",'Sheet5-查询核对'!P49)</x:f>
        <x:v>46275</x:v>
      </x:c>
      <x:c r="BI64" s="45" t="str">
        <x:f>IF('Sheet5-查询核对'!D49="","",'Sheet5-查询核对'!D49)</x:f>
        <x:v>SJ2870</x:v>
      </x:c>
      <x:c r="BJ64" t="n">
        <x:f>IF(ISNUMBER(AT64),AT64,COUNT($AT$17:$AT$99)+ROWS($AT$17:AT64)-COUNT($AT$17:AT64))</x:f>
        <x:v>39</x:v>
      </x:c>
    </x:row>
    <x:row r="65" ht="44" customHeight="1">
      <x:c r="A65" s="49" t="n">
        <x:f>'Sheet5-查询核对'!A50-1</x:f>
        <x:v>49</x:v>
      </x:c>
      <x:c r="B65" s="50" t="str">
        <x:f>IF('Sheet4-原始数据'!A50="",'Sheet5-查询核对'!B50,'Sheet4-原始数据'!A50)</x:f>
        <x:v>祁腾蜂赢1号</x:v>
      </x:c>
      <x:c r="C65" s="45" t="str">
        <x:f>IF('Sheet4-原始数据'!B50="","",'Sheet4-原始数据'!B50)</x:f>
        <x:v>SEV580</x:v>
      </x:c>
      <x:c r="D65" s="45" t="str">
        <x:f>IF('Sheet4-原始数据'!E50="","",'Sheet4-原始数据'!E50)</x:f>
        <x:v>宁波祁腾投资</x:v>
      </x:c>
      <x:c r="E65" s="46" t="n">
        <x:f>IF('Sheet4-原始数据'!F50="","",'Sheet4-原始数据'!F50)</x:f>
        <x:v>43490</x:v>
      </x:c>
      <x:c r="F65" s="52" t="n">
        <x:f>IF(ISNUMBER(E65),ROUND(('Sheet1-指标体系'!$J$12-E65)/'Sheet1-指标体系'!$J$14,4),"")</x:f>
        <x:v>7.6249</x:v>
      </x:c>
      <x:c r="G65" s="14" t="str">
        <x:f>IF(C65="","未匹配",IF(NOT(ISNUMBER(F65)),"缺成立日期",IF(F65&lt;'Sheet1-指标体系'!$J$15,"不入池","入池")))</x:f>
        <x:v>入池</x:v>
      </x:c>
      <x:c r="H65" s="45" t="str">
        <x:f>IF('Sheet5-查询核对'!K50="","",'Sheet5-查询核对'!K50)</x:f>
        <x:v>0-5亿元</x:v>
      </x:c>
      <x:c r="I65" s="52" t="n">
        <x:f>IF(H65="","",IF(COUNTIF('Sheet1-指标体系'!$P$4:$P$10,H65)=0,"",INDEX('Sheet1-指标体系'!$Q$4:$Q$10,MATCH(H65,'Sheet1-指标体系'!$P$4:$P$10,0))))</x:f>
        <x:v>60</x:v>
      </x:c>
      <x:c r="J65" s="54" t="str">
        <x:f>IF(NOT(ISNUMBER('Sheet5-查询核对'!N50)),"",IF('Sheet5-查询核对'!N50=1,"低于"&amp;'Sheet1-指标体系'!$J$4&amp;"万元",IF('Sheet5-查询核对'!N50=0,"无低于"&amp;'Sheet1-指标体系'!$J$4&amp;"万元标识","")))</x:f>
        <x:v>无低于1000万元标识</x:v>
      </x:c>
      <x:c r="K65" s="52" t="n">
        <x:f>IF(NOT(ISNUMBER('Sheet5-查询核对'!N50)),"",IF('Sheet5-查询核对'!N50=1,'Sheet1-指标体系'!$J$21,IF('Sheet5-查询核对'!N50=0,'Sheet1-指标体系'!$J$18,"")))</x:f>
        <x:v>100</x:v>
      </x:c>
      <x:c r="L65" s="52" t="n">
        <x:f>IF(NOT(ISNUMBER(F65)),"",IF(F65&lt;'Sheet1-指标体系'!$J$15,"",IF(F65&lt;'Sheet1-指标体系'!$J$16,'Sheet1-指标体系'!$J$17,'Sheet1-指标体系'!$J$18)))</x:f>
        <x:v>100</x:v>
      </x:c>
      <x:c r="M65" s="47" t="str">
        <x:f>IF(ISNUMBER('Sheet4-原始数据'!G50),'Sheet4-原始数据'!G50,"")</x:f>
      </x:c>
      <x:c r="N65" s="47" t="str">
        <x:f>IF(ISNUMBER('Sheet4-原始数据'!H50),'Sheet4-原始数据'!H50,"")</x:f>
      </x:c>
      <x:c r="O65" s="47" t="str">
        <x:f>IF(ISNUMBER('Sheet5-查询核对'!Q50),'Sheet5-查询核对'!Q50,"")</x:f>
      </x:c>
      <x:c r="P65" s="44" t="str">
        <x:f>IF($G65&lt;&gt;"入池","",IF($F65&gt;='Sheet1-指标体系'!$J$16,IF(COUNT(M65,N65)&lt;&gt;2,"",IF(OR(1+M65&lt;=0,1+N65&lt;0),"",((1+N65)^'Sheet1-指标体系'!$J$16/(1+M65))^(1/('Sheet1-指标体系'!$J$16-'Sheet1-指标体系'!$J$15))-1)),IF(COUNT(M65,O65)&lt;&gt;2,"",IF(OR(F65&lt;='Sheet1-指标体系'!$J$15,1+M65&lt;=0,1+O65&lt;0),"",((1+O65)^F65/(1+M65))^(1/(F65-'Sheet1-指标体系'!$J$15))-1))))</x:f>
      </x:c>
      <x:c r="Q65" s="52" t="str">
        <x:f>IF(OR($G65&lt;&gt;"入池",NOT(ISNUMBER(M65))),"",IF(COUNTIFS($G$17:$G$99,"入池",$M$17:$M$99,"&gt;=-1E+307",$M$17:$M$99,"&lt;=1E+307")&lt;=1,'Sheet1-指标体系'!$J$18,ROUND('Sheet1-指标体系'!$J$18*(COUNTIFS($G$17:$G$99,"入池",$M$17:$M$99,"&gt;=-1E+307",$M$17:$M$99,"&lt;"&amp;M65)+COUNTIFS($G$17:$G$99,"入池",$M$17:$M$99,"&gt;=-1E+307",$M$17:$M$99,"&lt;=1E+307",$M$17:$M$99,M65)/2-0.5)/(COUNTIFS($G$17:$G$99,"入池",$M$17:$M$99,"&gt;=-1E+307",$M$17:$M$99,"&lt;=1E+307")-1),2)))</x:f>
      </x:c>
      <x:c r="R65" s="52" t="str">
        <x:f>IF(OR($G65&lt;&gt;"入池",NOT(ISNUMBER(P65))),"",IF(COUNTIFS($G$17:$G$99,"入池",$P$17:$P$99,"&gt;=-1E+307",$P$17:$P$99,"&lt;=1E+307")&lt;=1,'Sheet1-指标体系'!$J$18,ROUND('Sheet1-指标体系'!$J$18*(COUNTIFS($G$17:$G$99,"入池",$P$17:$P$99,"&gt;=-1E+307",$P$17:$P$99,"&lt;"&amp;P65)+COUNTIFS($G$17:$G$99,"入池",$P$17:$P$99,"&gt;=-1E+307",$P$17:$P$99,"&lt;=1E+307",$P$17:$P$99,P65)/2-0.5)/(COUNTIFS($G$17:$G$99,"入池",$P$17:$P$99,"&gt;=-1E+307",$P$17:$P$99,"&lt;=1E+307")-1),2)))</x:f>
      </x:c>
      <x:c r="S65" s="52" t="str">
        <x:f>IF(COUNT(Q65,R65)=0,"",ROUND((IF(ISNUMBER(Q65),Q65*'Sheet1-指标体系'!$G$7*'Sheet1-指标体系'!$J$8,0)+IF(ISNUMBER(R65),R65*'Sheet1-指标体系'!$G$7*'Sheet1-指标体系'!$J$9,0))/(IF(ISNUMBER(Q65),'Sheet1-指标体系'!$G$7*'Sheet1-指标体系'!$J$8,0)+IF(ISNUMBER(R65),'Sheet1-指标体系'!$G$7*'Sheet1-指标体系'!$J$9,0)),2))</x:f>
      </x:c>
      <x:c r="T65" s="47" t="str">
        <x:f>IF(ISNUMBER('Sheet4-原始数据'!J50),'Sheet4-原始数据'!J50,"")</x:f>
      </x:c>
      <x:c r="U65" s="47" t="str">
        <x:f>IF(ISNUMBER('Sheet4-原始数据'!I50),'Sheet4-原始数据'!I50,"")</x:f>
      </x:c>
      <x:c r="V65" s="44" t="str">
        <x:f>IF(COUNT(T65:U65)&lt;&gt;2,"",(U65*'Sheet1-指标体系'!$J$6-T65*'Sheet1-指标体系'!$J$5)/'Sheet1-指标体系'!$J$7)</x:f>
      </x:c>
      <x:c r="W65" s="52" t="str">
        <x:f>IF(NOT(ISNUMBER(T65)),"",T65*'Sheet1-指标体系'!$J$18)</x:f>
      </x:c>
      <x:c r="X65" s="52" t="str">
        <x:f>IF(G65&lt;&gt;"入池","",IF(ISNUMBER(V65),IF(AND(V65&gt;=0,V65&lt;=1),V65*'Sheet1-指标体系'!$J$18,IF(MAX(0,(F65-'Sheet1-指标体系'!$J$15)*'Sheet1-指标体系'!$J$20)&lt;'Sheet1-指标体系'!$J$19,'Sheet1-指标体系'!$J$18,"")),IF(MAX(0,(F65-'Sheet1-指标体系'!$J$15)*'Sheet1-指标体系'!$J$20)&lt;'Sheet1-指标体系'!$J$19,'Sheet1-指标体系'!$J$18,"")))</x:f>
      </x:c>
      <x:c r="Y65" s="52" t="str">
        <x:f>IF(NOT(ISNUMBER(W65)),"",IF(COUNT(W65,X65)=0,"",ROUND((IF(ISNUMBER(W65),W65*'Sheet1-指标体系'!$G$8*'Sheet1-指标体系'!$J$8,0)+IF(ISNUMBER(X65),X65*'Sheet1-指标体系'!$G$8*'Sheet1-指标体系'!$J$9,0))/(IF(ISNUMBER(W65),'Sheet1-指标体系'!$G$8*'Sheet1-指标体系'!$J$8,0)+IF(ISNUMBER(X65),'Sheet1-指标体系'!$G$8*'Sheet1-指标体系'!$J$9,0)),2)))</x:f>
      </x:c>
      <x:c r="Z65" s="44" t="str">
        <x:f>IF(COUNT(M65,AD65)&lt;&gt;2,"",IF(AD65=0,"",ABS(M65/AD65)))</x:f>
      </x:c>
      <x:c r="AA65" s="47" t="str">
        <x:f>IF(ISNUMBER('Sheet4-原始数据'!K50),'Sheet4-原始数据'!K50,"")</x:f>
      </x:c>
      <x:c r="AB65" s="44" t="str">
        <x:f>IF(COUNT(Z65:AA65)=0,"",MAX(Z65:AA65))</x:f>
      </x:c>
      <x:c r="AC65" s="52" t="str">
        <x:f>IF(OR($G65&lt;&gt;"入池",NOT(ISNUMBER(AB65))),"",IF(COUNTIFS($G$17:$G$99,"入池",$AB$17:$AB$99,"&gt;=-1E+307",$AB$17:$AB$99,"&lt;=1E+307")&lt;=1,'Sheet1-指标体系'!$J$18,ROUND('Sheet1-指标体系'!$J$18*(COUNTIFS($G$17:$G$99,"入池",$AB$17:$AB$99,"&lt;=1E+307",$AB$17:$AB$99,"&gt;"&amp;AB65)+COUNTIFS($G$17:$G$99,"入池",$AB$17:$AB$99,"&gt;=-1E+307",$AB$17:$AB$99,"&lt;=1E+307",$AB$17:$AB$99,AB65)/2-0.5)/(COUNTIFS($G$17:$G$99,"入池",$AB$17:$AB$99,"&gt;=-1E+307",$AB$17:$AB$99,"&lt;=1E+307")-1),2)))</x:f>
      </x:c>
      <x:c r="AD65" s="48" t="str">
        <x:f>IF(ISNUMBER('Sheet4-原始数据'!M50),'Sheet4-原始数据'!M50,"")</x:f>
      </x:c>
      <x:c r="AE65" s="44" t="str">
        <x:f>IF(COUNT(P65,AA65,Z65)&lt;&gt;3,"",IF(AA65&gt;Z65+'Sheet1-指标体系'!$J$11,AA65,""))</x:f>
      </x:c>
      <x:c r="AF65" s="52" t="str">
        <x:f>IF(COUNT(P65,AE65)&lt;&gt;2,"",IF(AE65=0,"",P65/AE65))</x:f>
      </x:c>
      <x:c r="AG65" s="52" t="str">
        <x:f>IF(OR($G65&lt;&gt;"入池",NOT(ISNUMBER(AD65))),"",IF(COUNTIFS($G$17:$G$99,"入池",$AD$17:$AD$99,"&gt;=-1E+307",$AD$17:$AD$99,"&lt;=1E+307")&lt;=1,'Sheet1-指标体系'!$J$18,ROUND('Sheet1-指标体系'!$J$18*(COUNTIFS($G$17:$G$99,"入池",$AD$17:$AD$99,"&gt;=-1E+307",$AD$17:$AD$99,"&lt;"&amp;AD65)+COUNTIFS($G$17:$G$99,"入池",$AD$17:$AD$99,"&gt;=-1E+307",$AD$17:$AD$99,"&lt;=1E+307",$AD$17:$AD$99,AD65)/2-0.5)/(COUNTIFS($G$17:$G$99,"入池",$AD$17:$AD$99,"&gt;=-1E+307",$AD$17:$AD$99,"&lt;=1E+307")-1),2)))</x:f>
      </x:c>
      <x:c r="AH65" s="52" t="str">
        <x:f>IF(OR($G65&lt;&gt;"入池",NOT(ISNUMBER(AF65))),"",IF(COUNTIFS($G$17:$G$99,"入池",$AF$17:$AF$99,"&gt;=-1E+307",$AF$17:$AF$99,"&lt;=1E+307")&lt;=1,'Sheet1-指标体系'!$J$18,ROUND('Sheet1-指标体系'!$J$18*(COUNTIFS($G$17:$G$99,"入池",$AF$17:$AF$99,"&gt;=-1E+307",$AF$17:$AF$99,"&lt;"&amp;AF65)+COUNTIFS($G$17:$G$99,"入池",$AF$17:$AF$99,"&gt;=-1E+307",$AF$17:$AF$99,"&lt;=1E+307",$AF$17:$AF$99,AF65)/2-0.5)/(COUNTIFS($G$17:$G$99,"入池",$AF$17:$AF$99,"&gt;=-1E+307",$AF$17:$AF$99,"&lt;=1E+307")-1),2)))</x:f>
      </x:c>
      <x:c r="AI65" s="52" t="str">
        <x:f>IF(COUNT(AG65,AH65)=0,"",ROUND((IF(ISNUMBER(AG65),AG65*'Sheet1-指标体系'!$G$10*'Sheet1-指标体系'!$J$8,0)+IF(ISNUMBER(AH65),AH65*'Sheet1-指标体系'!$G$10*'Sheet1-指标体系'!$J$9,0))/(IF(ISNUMBER(AG65),'Sheet1-指标体系'!$G$10*'Sheet1-指标体系'!$J$8,0)+IF(ISNUMBER(AH65),'Sheet1-指标体系'!$G$10*'Sheet1-指标体系'!$J$9,0)),2))</x:f>
      </x:c>
      <x:c r="AJ65" s="44" t="str">
        <x:f>IF(NOT(ISNUMBER(F65)),"",IF(F65&gt;='Sheet1-指标体系'!$J$16,IF(ISNUMBER(N65),N65,""),IF(ISNUMBER(O65),O65,"")))</x:f>
      </x:c>
      <x:c r="AK65" s="52" t="str">
        <x:f>IF(OR(G65&lt;&gt;"入池",COUNT(M65,AJ65)&lt;&gt;2),"",IF(M65&gt;=AJ65,'Sheet1-指标体系'!$J$18,IF(AJ65-M65&lt;'Sheet1-指标体系'!$J$10,'Sheet1-指标体系'!$J$22,'Sheet1-指标体系'!$J$23)))</x:f>
      </x:c>
      <x:c r="AL65" s="52" t="n">
        <x:f>IF(COUNT(I65,K65,L65)=0,"",ROUND((IF(ISNUMBER(I65),I65*'Sheet1-指标体系'!$G$4,0)+IF(ISNUMBER(K65),K65*'Sheet1-指标体系'!$G$5,0)+IF(ISNUMBER(L65),L65*'Sheet1-指标体系'!$G$6,0))/(IF(ISNUMBER(I65),'Sheet1-指标体系'!$G$4,0)+IF(ISNUMBER(K65),'Sheet1-指标体系'!$G$5,0)+IF(ISNUMBER(L65),'Sheet1-指标体系'!$G$6,0)),2))</x:f>
        <x:v>84</x:v>
      </x:c>
      <x:c r="AM65" s="52" t="str">
        <x:f>IF(COUNT(Q65,R65,W65,X65)=0,"",ROUND((IF(ISNUMBER(Q65),Q65*'Sheet1-指标体系'!$G$7*'Sheet1-指标体系'!$J$8,0)+IF(ISNUMBER(R65),R65*'Sheet1-指标体系'!$G$7*'Sheet1-指标体系'!$J$9,0)+IF(ISNUMBER(W65),W65*'Sheet1-指标体系'!$G$8*'Sheet1-指标体系'!$J$8,0)+IF(ISNUMBER(X65),X65*'Sheet1-指标体系'!$G$8*'Sheet1-指标体系'!$J$9,0))/(IF(ISNUMBER(Q65),'Sheet1-指标体系'!$G$7*'Sheet1-指标体系'!$J$8,0)+IF(ISNUMBER(R65),'Sheet1-指标体系'!$G$7*'Sheet1-指标体系'!$J$9,0)+IF(ISNUMBER(W65),'Sheet1-指标体系'!$G$8*'Sheet1-指标体系'!$J$8,0)+IF(ISNUMBER(X65),'Sheet1-指标体系'!$G$8*'Sheet1-指标体系'!$J$9,0)),2))</x:f>
      </x:c>
      <x:c r="AN65" s="52" t="str">
        <x:f>IF(ISNUMBER(AC65),AC65,"")</x:f>
      </x:c>
      <x:c r="AO65" s="52" t="str">
        <x:f>IF(COUNT(AG65,AH65)=0,"",ROUND((IF(ISNUMBER(AG65),AG65*'Sheet1-指标体系'!$G$10*'Sheet1-指标体系'!$J$8,0)+IF(ISNUMBER(AH65),AH65*'Sheet1-指标体系'!$G$10*'Sheet1-指标体系'!$J$9,0))/(IF(ISNUMBER(AG65),'Sheet1-指标体系'!$G$10*'Sheet1-指标体系'!$J$8,0)+IF(ISNUMBER(AH65),'Sheet1-指标体系'!$G$10*'Sheet1-指标体系'!$J$9,0)),2))</x:f>
      </x:c>
      <x:c r="AP65" s="52" t="str">
        <x:f>IF(ISNUMBER(AK65),AK65,"")</x:f>
      </x:c>
      <x:c r="AQ65" s="27" t="n">
        <x:f>IF(G65&lt;&gt;"入池",0,IF(ISNUMBER(I65),'Sheet1-指标体系'!$G$4,0)+IF(ISNUMBER(K65),'Sheet1-指标体系'!$G$5,0)+IF(ISNUMBER(L65),'Sheet1-指标体系'!$G$6,0)+IF(ISNUMBER(Q65),'Sheet1-指标体系'!$G$7*'Sheet1-指标体系'!$J$8,0)+IF(ISNUMBER(R65),'Sheet1-指标体系'!$G$7*'Sheet1-指标体系'!$J$9,0)+IF(ISNUMBER(W65),'Sheet1-指标体系'!$G$8*'Sheet1-指标体系'!$J$8,0)+IF(ISNUMBER(X65),'Sheet1-指标体系'!$G$8*'Sheet1-指标体系'!$J$9,0)+IF(ISNUMBER(AC65),'Sheet1-指标体系'!$G$9,0)+IF(ISNUMBER(AG65),'Sheet1-指标体系'!$G$10*'Sheet1-指标体系'!$J$8,0)+IF(ISNUMBER(AH65),'Sheet1-指标体系'!$G$10*'Sheet1-指标体系'!$J$9,0)+IF(ISNUMBER(AK65),'Sheet1-指标体系'!$G$11,0))</x:f>
        <x:v>0.15</x:v>
      </x:c>
      <x:c r="AR65" s="52" t="n">
        <x:f>IF(AQ65=0,"",IF(ISNUMBER(I65),I65*'Sheet1-指标体系'!$G$4,0)+IF(ISNUMBER(K65),K65*'Sheet1-指标体系'!$G$5,0)+IF(ISNUMBER(L65),L65*'Sheet1-指标体系'!$G$6,0)+IF(ISNUMBER(Q65),Q65*'Sheet1-指标体系'!$G$7*'Sheet1-指标体系'!$J$8,0)+IF(ISNUMBER(R65),R65*'Sheet1-指标体系'!$G$7*'Sheet1-指标体系'!$J$9,0)+IF(ISNUMBER(W65),W65*'Sheet1-指标体系'!$G$8*'Sheet1-指标体系'!$J$8,0)+IF(ISNUMBER(X65),X65*'Sheet1-指标体系'!$G$8*'Sheet1-指标体系'!$J$9,0)+IF(ISNUMBER(AC65),AC65*'Sheet1-指标体系'!$G$9,0)+IF(ISNUMBER(AG65),AG65*'Sheet1-指标体系'!$G$10*'Sheet1-指标体系'!$J$8,0)+IF(ISNUMBER(AH65),AH65*'Sheet1-指标体系'!$G$10*'Sheet1-指标体系'!$J$9,0)+IF(ISNUMBER(AK65),AK65*'Sheet1-指标体系'!$G$11,0))</x:f>
        <x:v>12.6</x:v>
      </x:c>
      <x:c r="AS65" s="52" t="n">
        <x:f>IF(AQ65=0,"",ROUND(AR65/AQ65,2))</x:f>
        <x:v>84</x:v>
      </x:c>
      <x:c r="AT65" s="49" t="n">
        <x:f>IF(OR(G65&lt;&gt;"入池",NOT(ISNUMBER(AS65))),"",COUNTIFS($G$17:$G$99,"入池",$AS$17:$AS$99,"&gt;"&amp;AS65)+COUNTIFS($G$17:$G$99,"入池",$AS$17:$AS$99,AS65,$AQ$17:$AQ$99,"&gt;"&amp;AQ65)+COUNTIFS($G$17:G65,"入池",$AS$17:AS65,AS65,$AQ$17:AQ65,AQ65))</x:f>
        <x:v>19</x:v>
      </x:c>
      <x:c r="AU65" s="53" t="str">
        <x:f>IF(NOT(ISNUMBER(I65)),"管理人规模；","")&amp;IF(NOT(ISNUMBER(K65)),"产品规模标识；","")&amp;IF(NOT(ISNUMBER(M65)),"近一年收益；","")&amp;IF(NOT(ISNUMBER(T65)),"近一年胜率；","")&amp;IF(NOT(ISNUMBER(N65)),"近三年收益；","")&amp;IF(NOT(ISNUMBER(U65)),"近三年胜率；","")&amp;IF(NOT(ISNUMBER(AA65)),"近三年回撤；","")&amp;IF(NOT(ISNUMBER(AD65)),"近一年卡玛；","")&amp;IF(ISNUMBER(F65),IF(AND(F65&lt;'Sheet1-指标体系'!$J$16,NOT(ISNUMBER(O65))),"成立以来年化；",""),"成立日期；")&amp;IF(ISNUMBER(V65),IF(OR(V65&lt;0,V65&gt;1),"胜率窗口口径不一致；",""),"")&amp;IF(ISNUMBER(P65),IF(NOT(ISNUMBER(AE65)),"DD_long不可识别；",""),"")</x:f>
        <x:v>近一年收益；近一年胜率；近三年收益；近三年胜率；近三年回撤；近一年卡玛；</x:v>
      </x:c>
      <x:c r="AV65" s="52" t="str">
        <x:f>IF(ROUND(AQ65,10)=ROUND('Sheet1-指标体系'!$J$25,10),AR65,"")</x:f>
      </x:c>
      <x:c r="AW65" s="14" t="str">
        <x:f>IF(G65&lt;&gt;"入池",G65,IF(AQ65=0,"无有效评分数据",IF(ROUND(AQ65,10)=ROUND('Sheet1-指标体系'!$J$25,10),"完整赋分", "暂定分／数据不完整")))</x:f>
        <x:v>暂定分／数据不完整</x:v>
      </x:c>
      <x:c r="AX65" s="45" t="str">
        <x:f>IF('Sheet4-原始数据'!C50="","",'Sheet4-原始数据'!C50)</x:f>
        <x:v>套利策略</x:v>
      </x:c>
      <x:c r="AY65" s="45" t="str">
        <x:f>IF('Sheet4-原始数据'!D50="","",'Sheet4-原始数据'!D50)</x:f>
        <x:v>期货套利</x:v>
      </x:c>
      <x:c r="AZ65" s="45" t="str">
        <x:f>IF('Sheet5-查询核对'!S50="","",'Sheet5-查询核对'!S50)</x:f>
        <x:v>套利策略—期货套利</x:v>
      </x:c>
      <x:c r="BA65" s="51" t="n">
        <x:f>IF('Sheet5-查询核对'!A50="","",'Sheet5-查询核对'!A50)</x:f>
        <x:v>50</x:v>
      </x:c>
      <x:c r="BB65" s="45" t="str">
        <x:f>IF('Sheet5-查询核对'!F50="","",'Sheet5-查询核对'!F50)</x:f>
        <x:v>备案号匹配</x:v>
      </x:c>
      <x:c r="BC65" s="50" t="str">
        <x:f>IF('Sheet5-查询核对'!I50="","",'Sheet5-查询核对'!I50)</x:f>
        <x:v>https://mp.fof99.com/fund/view/47e9165a9812665a</x:v>
      </x:c>
      <x:c r="BD65" s="46" t="n">
        <x:f>IF('Sheet5-查询核对'!H50="","",'Sheet5-查询核对'!H50)</x:f>
        <x:v>46269</x:v>
      </x:c>
      <x:c r="BE65" s="50" t="str">
        <x:f>IF('Sheet5-查询核对'!L50="","",'Sheet5-查询核对'!L50)</x:f>
        <x:v>https://mp.fof99.com/fund/view/47e9165a9812665a</x:v>
      </x:c>
      <x:c r="BF65" s="46" t="n">
        <x:f>IF('Sheet5-查询核对'!M50="","",'Sheet5-查询核对'!M50)</x:f>
        <x:v>46275</x:v>
      </x:c>
      <x:c r="BG65" s="50" t="str">
        <x:f>IF('Sheet5-查询核对'!O50="","",'Sheet5-查询核对'!O50)</x:f>
        <x:v>https://gs.amac.org.cn/amac-infodisc/res/pof/fund/1902010925104002.html</x:v>
      </x:c>
      <x:c r="BH65" s="46" t="n">
        <x:f>IF('Sheet5-查询核对'!P50="","",'Sheet5-查询核对'!P50)</x:f>
        <x:v>46275</x:v>
      </x:c>
      <x:c r="BI65" s="45" t="str">
        <x:f>IF('Sheet5-查询核对'!D50="","",'Sheet5-查询核对'!D50)</x:f>
        <x:v>SEV580</x:v>
      </x:c>
      <x:c r="BJ65" t="n">
        <x:f>IF(ISNUMBER(AT65),AT65,COUNT($AT$17:$AT$99)+ROWS($AT$17:AT65)-COUNT($AT$17:AT65))</x:f>
        <x:v>19</x:v>
      </x:c>
    </x:row>
    <x:row r="66" ht="44" customHeight="1">
      <x:c r="A66" s="49" t="n">
        <x:f>'Sheet5-查询核对'!A51-1</x:f>
        <x:v>50</x:v>
      </x:c>
      <x:c r="B66" s="50" t="str">
        <x:f>IF('Sheet4-原始数据'!A51="",'Sheet5-查询核对'!B51,'Sheet4-原始数据'!A51)</x:f>
        <x:v>融昊青松CTA套利一号</x:v>
      </x:c>
      <x:c r="C66" s="45" t="str">
        <x:f>IF('Sheet4-原始数据'!B51="","",'Sheet4-原始数据'!B51)</x:f>
        <x:v>S09735</x:v>
      </x:c>
      <x:c r="D66" s="45" t="str">
        <x:f>IF('Sheet4-原始数据'!E51="","",'Sheet4-原始数据'!E51)</x:f>
        <x:v>上海融昊投资</x:v>
      </x:c>
      <x:c r="E66" s="46" t="n">
        <x:f>IF('Sheet4-原始数据'!F51="","",'Sheet4-原始数据'!F51)</x:f>
        <x:v>45064</x:v>
      </x:c>
      <x:c r="F66" s="52" t="n">
        <x:f>IF(ISNUMBER(E66),ROUND(('Sheet1-指标体系'!$J$12-E66)/'Sheet1-指标体系'!$J$14,4),"")</x:f>
        <x:v>3.3155</x:v>
      </x:c>
      <x:c r="G66" s="14" t="str">
        <x:f>IF(C66="","未匹配",IF(NOT(ISNUMBER(F66)),"缺成立日期",IF(F66&lt;'Sheet1-指标体系'!$J$15,"不入池","入池")))</x:f>
        <x:v>入池</x:v>
      </x:c>
      <x:c r="H66" s="45" t="str">
        <x:f>IF('Sheet5-查询核对'!K51="","",'Sheet5-查询核对'!K51)</x:f>
        <x:v>10-20亿元</x:v>
      </x:c>
      <x:c r="I66" s="52" t="n">
        <x:f>IF(H66="","",IF(COUNTIF('Sheet1-指标体系'!$P$4:$P$10,H66)=0,"",INDEX('Sheet1-指标体系'!$Q$4:$Q$10,MATCH(H66,'Sheet1-指标体系'!$P$4:$P$10,0))))</x:f>
        <x:v>80</x:v>
      </x:c>
      <x:c r="J66" s="54" t="str">
        <x:f>IF(NOT(ISNUMBER('Sheet5-查询核对'!N51)),"",IF('Sheet5-查询核对'!N51=1,"低于"&amp;'Sheet1-指标体系'!$J$4&amp;"万元",IF('Sheet5-查询核对'!N51=0,"无低于"&amp;'Sheet1-指标体系'!$J$4&amp;"万元标识","")))</x:f>
        <x:v>无低于1000万元标识</x:v>
      </x:c>
      <x:c r="K66" s="52" t="n">
        <x:f>IF(NOT(ISNUMBER('Sheet5-查询核对'!N51)),"",IF('Sheet5-查询核对'!N51=1,'Sheet1-指标体系'!$J$21,IF('Sheet5-查询核对'!N51=0,'Sheet1-指标体系'!$J$18,"")))</x:f>
        <x:v>100</x:v>
      </x:c>
      <x:c r="L66" s="52" t="n">
        <x:f>IF(NOT(ISNUMBER(F66)),"",IF(F66&lt;'Sheet1-指标体系'!$J$15,"",IF(F66&lt;'Sheet1-指标体系'!$J$16,'Sheet1-指标体系'!$J$17,'Sheet1-指标体系'!$J$18)))</x:f>
        <x:v>100</x:v>
      </x:c>
      <x:c r="M66" s="47" t="n">
        <x:f>IF(ISNUMBER('Sheet4-原始数据'!G51),'Sheet4-原始数据'!G51,"")</x:f>
        <x:v>0.09449999999999999</x:v>
      </x:c>
      <x:c r="N66" s="47" t="n">
        <x:f>IF(ISNUMBER('Sheet4-原始数据'!H51),'Sheet4-原始数据'!H51,"")</x:f>
        <x:v>0.1009</x:v>
      </x:c>
      <x:c r="O66" s="47" t="n">
        <x:f>IF(ISNUMBER('Sheet5-查询核对'!Q51),'Sheet5-查询核对'!Q51,"")</x:f>
        <x:v>0.0924</x:v>
      </x:c>
      <x:c r="P66" s="44" t="n">
        <x:f>IF($G66&lt;&gt;"入池","",IF($F66&gt;='Sheet1-指标体系'!$J$16,IF(COUNT(M66,N66)&lt;&gt;2,"",IF(OR(1+M66&lt;=0,1+N66&lt;0),"",((1+N66)^'Sheet1-指标体系'!$J$16/(1+M66))^(1/('Sheet1-指标体系'!$J$16-'Sheet1-指标体系'!$J$15))-1)),IF(COUNT(M66,O66)&lt;&gt;2,"",IF(OR(F66&lt;='Sheet1-指标体系'!$J$15,1+M66&lt;=0,1+O66&lt;0),"",((1+O66)^F66/(1+M66))^(1/(F66-'Sheet1-指标体系'!$J$15))-1))))</x:f>
        <x:v>0.10411402015837057</x:v>
      </x:c>
      <x:c r="Q66" s="52" t="n">
        <x:f>IF(OR($G66&lt;&gt;"入池",NOT(ISNUMBER(M66))),"",IF(COUNTIFS($G$17:$G$99,"入池",$M$17:$M$99,"&gt;=-1E+307",$M$17:$M$99,"&lt;=1E+307")&lt;=1,'Sheet1-指标体系'!$J$18,ROUND('Sheet1-指标体系'!$J$18*(COUNTIFS($G$17:$G$99,"入池",$M$17:$M$99,"&gt;=-1E+307",$M$17:$M$99,"&lt;"&amp;M66)+COUNTIFS($G$17:$G$99,"入池",$M$17:$M$99,"&gt;=-1E+307",$M$17:$M$99,"&lt;=1E+307",$M$17:$M$99,M66)/2-0.5)/(COUNTIFS($G$17:$G$99,"入池",$M$17:$M$99,"&gt;=-1E+307",$M$17:$M$99,"&lt;=1E+307")-1),2)))</x:f>
        <x:v>64.29</x:v>
      </x:c>
      <x:c r="R66" s="52" t="n">
        <x:f>IF(OR($G66&lt;&gt;"入池",NOT(ISNUMBER(P66))),"",IF(COUNTIFS($G$17:$G$99,"入池",$P$17:$P$99,"&gt;=-1E+307",$P$17:$P$99,"&lt;=1E+307")&lt;=1,'Sheet1-指标体系'!$J$18,ROUND('Sheet1-指标体系'!$J$18*(COUNTIFS($G$17:$G$99,"入池",$P$17:$P$99,"&gt;=-1E+307",$P$17:$P$99,"&lt;"&amp;P66)+COUNTIFS($G$17:$G$99,"入池",$P$17:$P$99,"&gt;=-1E+307",$P$17:$P$99,"&lt;=1E+307",$P$17:$P$99,P66)/2-0.5)/(COUNTIFS($G$17:$G$99,"入池",$P$17:$P$99,"&gt;=-1E+307",$P$17:$P$99,"&lt;=1E+307")-1),2)))</x:f>
        <x:v>74.07</x:v>
      </x:c>
      <x:c r="S66" s="52" t="n">
        <x:f>IF(COUNT(Q66,R66)=0,"",ROUND((IF(ISNUMBER(Q66),Q66*'Sheet1-指标体系'!$G$7*'Sheet1-指标体系'!$J$8,0)+IF(ISNUMBER(R66),R66*'Sheet1-指标体系'!$G$7*'Sheet1-指标体系'!$J$9,0))/(IF(ISNUMBER(Q66),'Sheet1-指标体系'!$G$7*'Sheet1-指标体系'!$J$8,0)+IF(ISNUMBER(R66),'Sheet1-指标体系'!$G$7*'Sheet1-指标体系'!$J$9,0)),2))</x:f>
        <x:v>68.2</x:v>
      </x:c>
      <x:c r="T66" s="47" t="n">
        <x:f>IF(ISNUMBER('Sheet4-原始数据'!J51),'Sheet4-原始数据'!J51,"")</x:f>
        <x:v>0.8462000000000001</x:v>
      </x:c>
      <x:c r="U66" s="47" t="n">
        <x:f>IF(ISNUMBER('Sheet4-原始数据'!I51),'Sheet4-原始数据'!I51,"")</x:f>
        <x:v>0.7837999999999999</x:v>
      </x:c>
      <x:c r="V66" s="44" t="n">
        <x:f>IF(COUNT(T66:U66)&lt;&gt;2,"",(U66*'Sheet1-指标体系'!$J$6-T66*'Sheet1-指标体系'!$J$5)/'Sheet1-指标体系'!$J$7)</x:f>
        <x:v>0.75</x:v>
      </x:c>
      <x:c r="W66" s="52" t="n">
        <x:f>IF(NOT(ISNUMBER(T66)),"",T66*'Sheet1-指标体系'!$J$18)</x:f>
        <x:v>84.62</x:v>
      </x:c>
      <x:c r="X66" s="52" t="n">
        <x:f>IF(G66&lt;&gt;"入池","",IF(ISNUMBER(V66),IF(AND(V66&gt;=0,V66&lt;=1),V66*'Sheet1-指标体系'!$J$18,IF(MAX(0,(F66-'Sheet1-指标体系'!$J$15)*'Sheet1-指标体系'!$J$20)&lt;'Sheet1-指标体系'!$J$19,'Sheet1-指标体系'!$J$18,"")),IF(MAX(0,(F66-'Sheet1-指标体系'!$J$15)*'Sheet1-指标体系'!$J$20)&lt;'Sheet1-指标体系'!$J$19,'Sheet1-指标体系'!$J$18,"")))</x:f>
        <x:v>75</x:v>
      </x:c>
      <x:c r="Y66" s="52" t="n">
        <x:f>IF(NOT(ISNUMBER(W66)),"",IF(COUNT(W66,X66)=0,"",ROUND((IF(ISNUMBER(W66),W66*'Sheet1-指标体系'!$G$8*'Sheet1-指标体系'!$J$8,0)+IF(ISNUMBER(X66),X66*'Sheet1-指标体系'!$G$8*'Sheet1-指标体系'!$J$9,0))/(IF(ISNUMBER(W66),'Sheet1-指标体系'!$G$8*'Sheet1-指标体系'!$J$8,0)+IF(ISNUMBER(X66),'Sheet1-指标体系'!$G$8*'Sheet1-指标体系'!$J$9,0)),2)))</x:f>
        <x:v>80.77</x:v>
      </x:c>
      <x:c r="Z66" s="44" t="n">
        <x:f>IF(COUNT(M66,AD66)&lt;&gt;2,"",IF(AD66=0,"",ABS(M66/AD66)))</x:f>
        <x:v>0.01641907740422205</x:v>
      </x:c>
      <x:c r="AA66" s="47" t="n">
        <x:f>IF(ISNUMBER('Sheet4-原始数据'!K51),'Sheet4-原始数据'!K51,"")</x:f>
        <x:v>0.0362</x:v>
      </x:c>
      <x:c r="AB66" s="44" t="n">
        <x:f>IF(COUNT(Z66:AA66)=0,"",MAX(Z66:AA66))</x:f>
        <x:v>0.0362</x:v>
      </x:c>
      <x:c r="AC66" s="52" t="n">
        <x:f>IF(OR($G66&lt;&gt;"入池",NOT(ISNUMBER(AB66))),"",IF(COUNTIFS($G$17:$G$99,"入池",$AB$17:$AB$99,"&gt;=-1E+307",$AB$17:$AB$99,"&lt;=1E+307")&lt;=1,'Sheet1-指标体系'!$J$18,ROUND('Sheet1-指标体系'!$J$18*(COUNTIFS($G$17:$G$99,"入池",$AB$17:$AB$99,"&lt;=1E+307",$AB$17:$AB$99,"&gt;"&amp;AB66)+COUNTIFS($G$17:$G$99,"入池",$AB$17:$AB$99,"&gt;=-1E+307",$AB$17:$AB$99,"&lt;=1E+307",$AB$17:$AB$99,AB66)/2-0.5)/(COUNTIFS($G$17:$G$99,"入池",$AB$17:$AB$99,"&gt;=-1E+307",$AB$17:$AB$99,"&lt;=1E+307")-1),2)))</x:f>
        <x:v>34.48</x:v>
      </x:c>
      <x:c r="AD66" s="48" t="n">
        <x:f>IF(ISNUMBER('Sheet4-原始数据'!M51),'Sheet4-原始数据'!M51,"")</x:f>
        <x:v>5.7555</x:v>
      </x:c>
      <x:c r="AE66" s="44" t="n">
        <x:f>IF(COUNT(P66,AA66,Z66)&lt;&gt;3,"",IF(AA66&gt;Z66+'Sheet1-指标体系'!$J$11,AA66,""))</x:f>
        <x:v>0.0362</x:v>
      </x:c>
      <x:c r="AF66" s="52" t="n">
        <x:f>IF(COUNT(P66,AE66)&lt;&gt;2,"",IF(AE66=0,"",P66/AE66))</x:f>
        <x:v>2.8760779049273637</x:v>
      </x:c>
      <x:c r="AG66" s="52" t="n">
        <x:f>IF(OR($G66&lt;&gt;"入池",NOT(ISNUMBER(AD66))),"",IF(COUNTIFS($G$17:$G$99,"入池",$AD$17:$AD$99,"&gt;=-1E+307",$AD$17:$AD$99,"&lt;=1E+307")&lt;=1,'Sheet1-指标体系'!$J$18,ROUND('Sheet1-指标体系'!$J$18*(COUNTIFS($G$17:$G$99,"入池",$AD$17:$AD$99,"&gt;=-1E+307",$AD$17:$AD$99,"&lt;"&amp;AD66)+COUNTIFS($G$17:$G$99,"入池",$AD$17:$AD$99,"&gt;=-1E+307",$AD$17:$AD$99,"&lt;=1E+307",$AD$17:$AD$99,AD66)/2-0.5)/(COUNTIFS($G$17:$G$99,"入池",$AD$17:$AD$99,"&gt;=-1E+307",$AD$17:$AD$99,"&lt;=1E+307")-1),2)))</x:f>
        <x:v>38.18</x:v>
      </x:c>
      <x:c r="AH66" s="52" t="n">
        <x:f>IF(OR($G66&lt;&gt;"入池",NOT(ISNUMBER(AF66))),"",IF(COUNTIFS($G$17:$G$99,"入池",$AF$17:$AF$99,"&gt;=-1E+307",$AF$17:$AF$99,"&lt;=1E+307")&lt;=1,'Sheet1-指标体系'!$J$18,ROUND('Sheet1-指标体系'!$J$18*(COUNTIFS($G$17:$G$99,"入池",$AF$17:$AF$99,"&gt;=-1E+307",$AF$17:$AF$99,"&lt;"&amp;AF66)+COUNTIFS($G$17:$G$99,"入池",$AF$17:$AF$99,"&gt;=-1E+307",$AF$17:$AF$99,"&lt;=1E+307",$AF$17:$AF$99,AF66)/2-0.5)/(COUNTIFS($G$17:$G$99,"入池",$AF$17:$AF$99,"&gt;=-1E+307",$AF$17:$AF$99,"&lt;=1E+307")-1),2)))</x:f>
        <x:v>57.14</x:v>
      </x:c>
      <x:c r="AI66" s="52" t="n">
        <x:f>IF(COUNT(AG66,AH66)=0,"",ROUND((IF(ISNUMBER(AG66),AG66*'Sheet1-指标体系'!$G$10*'Sheet1-指标体系'!$J$8,0)+IF(ISNUMBER(AH66),AH66*'Sheet1-指标体系'!$G$10*'Sheet1-指标体系'!$J$9,0))/(IF(ISNUMBER(AG66),'Sheet1-指标体系'!$G$10*'Sheet1-指标体系'!$J$8,0)+IF(ISNUMBER(AH66),'Sheet1-指标体系'!$G$10*'Sheet1-指标体系'!$J$9,0)),2))</x:f>
        <x:v>45.76</x:v>
      </x:c>
      <x:c r="AJ66" s="44" t="n">
        <x:f>IF(NOT(ISNUMBER(F66)),"",IF(F66&gt;='Sheet1-指标体系'!$J$16,IF(ISNUMBER(N66),N66,""),IF(ISNUMBER(O66),O66,"")))</x:f>
        <x:v>0.1009</x:v>
      </x:c>
      <x:c r="AK66" s="52" t="n">
        <x:f>IF(OR(G66&lt;&gt;"入池",COUNT(M66,AJ66)&lt;&gt;2),"",IF(M66&gt;=AJ66,'Sheet1-指标体系'!$J$18,IF(AJ66-M66&lt;'Sheet1-指标体系'!$J$10,'Sheet1-指标体系'!$J$22,'Sheet1-指标体系'!$J$23)))</x:f>
        <x:v>80</x:v>
      </x:c>
      <x:c r="AL66" s="52" t="n">
        <x:f>IF(COUNT(I66,K66,L66)=0,"",ROUND((IF(ISNUMBER(I66),I66*'Sheet1-指标体系'!$G$4,0)+IF(ISNUMBER(K66),K66*'Sheet1-指标体系'!$G$5,0)+IF(ISNUMBER(L66),L66*'Sheet1-指标体系'!$G$6,0))/(IF(ISNUMBER(I66),'Sheet1-指标体系'!$G$4,0)+IF(ISNUMBER(K66),'Sheet1-指标体系'!$G$5,0)+IF(ISNUMBER(L66),'Sheet1-指标体系'!$G$6,0)),2))</x:f>
        <x:v>92</x:v>
      </x:c>
      <x:c r="AM66" s="52" t="n">
        <x:f>IF(COUNT(Q66,R66,W66,X66)=0,"",ROUND((IF(ISNUMBER(Q66),Q66*'Sheet1-指标体系'!$G$7*'Sheet1-指标体系'!$J$8,0)+IF(ISNUMBER(R66),R66*'Sheet1-指标体系'!$G$7*'Sheet1-指标体系'!$J$9,0)+IF(ISNUMBER(W66),W66*'Sheet1-指标体系'!$G$8*'Sheet1-指标体系'!$J$8,0)+IF(ISNUMBER(X66),X66*'Sheet1-指标体系'!$G$8*'Sheet1-指标体系'!$J$9,0))/(IF(ISNUMBER(Q66),'Sheet1-指标体系'!$G$7*'Sheet1-指标体系'!$J$8,0)+IF(ISNUMBER(R66),'Sheet1-指标体系'!$G$7*'Sheet1-指标体系'!$J$9,0)+IF(ISNUMBER(W66),'Sheet1-指标体系'!$G$8*'Sheet1-指标体系'!$J$8,0)+IF(ISNUMBER(X66),'Sheet1-指标体系'!$G$8*'Sheet1-指标体系'!$J$9,0)),2))</x:f>
        <x:v>71.97</x:v>
      </x:c>
      <x:c r="AN66" s="52" t="n">
        <x:f>IF(ISNUMBER(AC66),AC66,"")</x:f>
        <x:v>34.48</x:v>
      </x:c>
      <x:c r="AO66" s="52" t="n">
        <x:f>IF(COUNT(AG66,AH66)=0,"",ROUND((IF(ISNUMBER(AG66),AG66*'Sheet1-指标体系'!$G$10*'Sheet1-指标体系'!$J$8,0)+IF(ISNUMBER(AH66),AH66*'Sheet1-指标体系'!$G$10*'Sheet1-指标体系'!$J$9,0))/(IF(ISNUMBER(AG66),'Sheet1-指标体系'!$G$10*'Sheet1-指标体系'!$J$8,0)+IF(ISNUMBER(AH66),'Sheet1-指标体系'!$G$10*'Sheet1-指标体系'!$J$9,0)),2))</x:f>
        <x:v>45.76</x:v>
      </x:c>
      <x:c r="AP66" s="52" t="n">
        <x:f>IF(ISNUMBER(AK66),AK66,"")</x:f>
        <x:v>80</x:v>
      </x:c>
      <x:c r="AQ66" s="27" t="n">
        <x:f>IF(G66&lt;&gt;"入池",0,IF(ISNUMBER(I66),'Sheet1-指标体系'!$G$4,0)+IF(ISNUMBER(K66),'Sheet1-指标体系'!$G$5,0)+IF(ISNUMBER(L66),'Sheet1-指标体系'!$G$6,0)+IF(ISNUMBER(Q66),'Sheet1-指标体系'!$G$7*'Sheet1-指标体系'!$J$8,0)+IF(ISNUMBER(R66),'Sheet1-指标体系'!$G$7*'Sheet1-指标体系'!$J$9,0)+IF(ISNUMBER(W66),'Sheet1-指标体系'!$G$8*'Sheet1-指标体系'!$J$8,0)+IF(ISNUMBER(X66),'Sheet1-指标体系'!$G$8*'Sheet1-指标体系'!$J$9,0)+IF(ISNUMBER(AC66),'Sheet1-指标体系'!$G$9,0)+IF(ISNUMBER(AG66),'Sheet1-指标体系'!$G$10*'Sheet1-指标体系'!$J$8,0)+IF(ISNUMBER(AH66),'Sheet1-指标体系'!$G$10*'Sheet1-指标体系'!$J$9,0)+IF(ISNUMBER(AK66),'Sheet1-指标体系'!$G$11,0))</x:f>
        <x:v>1</x:v>
      </x:c>
      <x:c r="AR66" s="52" t="n">
        <x:f>IF(AQ66=0,"",IF(ISNUMBER(I66),I66*'Sheet1-指标体系'!$G$4,0)+IF(ISNUMBER(K66),K66*'Sheet1-指标体系'!$G$5,0)+IF(ISNUMBER(L66),L66*'Sheet1-指标体系'!$G$6,0)+IF(ISNUMBER(Q66),Q66*'Sheet1-指标体系'!$G$7*'Sheet1-指标体系'!$J$8,0)+IF(ISNUMBER(R66),R66*'Sheet1-指标体系'!$G$7*'Sheet1-指标体系'!$J$9,0)+IF(ISNUMBER(W66),W66*'Sheet1-指标体系'!$G$8*'Sheet1-指标体系'!$J$8,0)+IF(ISNUMBER(X66),X66*'Sheet1-指标体系'!$G$8*'Sheet1-指标体系'!$J$9,0)+IF(ISNUMBER(AC66),AC66*'Sheet1-指标体系'!$G$9,0)+IF(ISNUMBER(AG66),AG66*'Sheet1-指标体系'!$G$10*'Sheet1-指标体系'!$J$8,0)+IF(ISNUMBER(AH66),AH66*'Sheet1-指标体系'!$G$10*'Sheet1-指标体系'!$J$9,0)+IF(ISNUMBER(AK66),AK66*'Sheet1-指标体系'!$G$11,0))</x:f>
        <x:v>58.5438</x:v>
      </x:c>
      <x:c r="AS66" s="52" t="n">
        <x:f>IF(AQ66=0,"",ROUND(AR66/AQ66,2))</x:f>
        <x:v>58.54</x:v>
      </x:c>
      <x:c r="AT66" s="49" t="n">
        <x:f>IF(OR(G66&lt;&gt;"入池",NOT(ISNUMBER(AS66))),"",COUNTIFS($G$17:$G$99,"入池",$AS$17:$AS$99,"&gt;"&amp;AS66)+COUNTIFS($G$17:$G$99,"入池",$AS$17:$AS$99,AS66,$AQ$17:$AQ$99,"&gt;"&amp;AQ66)+COUNTIFS($G$17:G66,"入池",$AS$17:AS66,AS66,$AQ$17:AQ66,AQ66))</x:f>
        <x:v>51</x:v>
      </x:c>
      <x:c r="AU66" s="53" t="str">
        <x:f>IF(NOT(ISNUMBER(I66)),"管理人规模；","")&amp;IF(NOT(ISNUMBER(K66)),"产品规模标识；","")&amp;IF(NOT(ISNUMBER(M66)),"近一年收益；","")&amp;IF(NOT(ISNUMBER(T66)),"近一年胜率；","")&amp;IF(NOT(ISNUMBER(N66)),"近三年收益；","")&amp;IF(NOT(ISNUMBER(U66)),"近三年胜率；","")&amp;IF(NOT(ISNUMBER(AA66)),"近三年回撤；","")&amp;IF(NOT(ISNUMBER(AD66)),"近一年卡玛；","")&amp;IF(ISNUMBER(F66),IF(AND(F66&lt;'Sheet1-指标体系'!$J$16,NOT(ISNUMBER(O66))),"成立以来年化；",""),"成立日期；")&amp;IF(ISNUMBER(V66),IF(OR(V66&lt;0,V66&gt;1),"胜率窗口口径不一致；",""),"")&amp;IF(ISNUMBER(P66),IF(NOT(ISNUMBER(AE66)),"DD_long不可识别；",""),"")</x:f>
      </x:c>
      <x:c r="AV66" s="52" t="n">
        <x:f>IF(ROUND(AQ66,10)=ROUND('Sheet1-指标体系'!$J$25,10),AR66,"")</x:f>
        <x:v>58.5438</x:v>
      </x:c>
      <x:c r="AW66" s="14" t="str">
        <x:f>IF(G66&lt;&gt;"入池",G66,IF(AQ66=0,"无有效评分数据",IF(ROUND(AQ66,10)=ROUND('Sheet1-指标体系'!$J$25,10),"完整赋分", "暂定分／数据不完整")))</x:f>
        <x:v>完整赋分</x:v>
      </x:c>
      <x:c r="AX66" s="45" t="str">
        <x:f>IF('Sheet4-原始数据'!C51="","",'Sheet4-原始数据'!C51)</x:f>
        <x:v>期货策略</x:v>
      </x:c>
      <x:c r="AY66" s="45" t="str">
        <x:f>IF('Sheet4-原始数据'!D51="","",'Sheet4-原始数据'!D51)</x:f>
        <x:v>主观期货</x:v>
      </x:c>
      <x:c r="AZ66" s="45" t="str">
        <x:f>IF('Sheet5-查询核对'!S51="","",'Sheet5-查询核对'!S51)</x:f>
        <x:v>管理期货—主观CTA</x:v>
      </x:c>
      <x:c r="BA66" s="51" t="n">
        <x:f>IF('Sheet5-查询核对'!A51="","",'Sheet5-查询核对'!A51)</x:f>
        <x:v>51</x:v>
      </x:c>
      <x:c r="BB66" s="45" t="str">
        <x:f>IF('Sheet5-查询核对'!F51="","",'Sheet5-查询核对'!F51)</x:f>
        <x:v>备案号匹配</x:v>
      </x:c>
      <x:c r="BC66" s="50" t="str">
        <x:f>IF('Sheet5-查询核对'!I51="","",'Sheet5-查询核对'!I51)</x:f>
        <x:v>https://mp.fof99.com/fund/view/a88265fe21033296</x:v>
      </x:c>
      <x:c r="BD66" s="46" t="n">
        <x:f>IF('Sheet5-查询核对'!H51="","",'Sheet5-查询核对'!H51)</x:f>
        <x:v>46269</x:v>
      </x:c>
      <x:c r="BE66" s="50" t="str">
        <x:f>IF('Sheet5-查询核对'!L51="","",'Sheet5-查询核对'!L51)</x:f>
        <x:v>https://mp.fof99.com/fund/view/a88265fe21033296</x:v>
      </x:c>
      <x:c r="BF66" s="46" t="n">
        <x:f>IF('Sheet5-查询核对'!M51="","",'Sheet5-查询核对'!M51)</x:f>
        <x:v>46275</x:v>
      </x:c>
      <x:c r="BG66" s="50" t="str">
        <x:f>IF('Sheet5-查询核对'!O51="","",'Sheet5-查询核对'!O51)</x:f>
        <x:v>https://gs.amac.org.cn/amac-infodisc/res/pof/fund/2305231100107580.html</x:v>
      </x:c>
      <x:c r="BH66" s="46" t="n">
        <x:f>IF('Sheet5-查询核对'!P51="","",'Sheet5-查询核对'!P51)</x:f>
        <x:v>46275</x:v>
      </x:c>
      <x:c r="BI66" s="45" t="str">
        <x:f>IF('Sheet5-查询核对'!D51="","",'Sheet5-查询核对'!D51)</x:f>
        <x:v>S09735</x:v>
      </x:c>
      <x:c r="BJ66" t="n">
        <x:f>IF(ISNUMBER(AT66),AT66,COUNT($AT$17:$AT$99)+ROWS($AT$17:AT66)-COUNT($AT$17:AT66))</x:f>
        <x:v>51</x:v>
      </x:c>
    </x:row>
    <x:row r="67" ht="44" customHeight="1">
      <x:c r="A67" s="49" t="n">
        <x:f>'Sheet5-查询核对'!A52-1</x:f>
        <x:v>51</x:v>
      </x:c>
      <x:c r="B67" s="50" t="str">
        <x:f>IF('Sheet4-原始数据'!A52="",'Sheet5-查询核对'!B52,'Sheet4-原始数据'!A52)</x:f>
        <x:v>锐耐复利倍增2号C类</x:v>
      </x:c>
      <x:c r="C67" s="45" t="str">
        <x:f>IF('Sheet4-原始数据'!B52="","",'Sheet4-原始数据'!B52)</x:f>
        <x:v>XV513C</x:v>
      </x:c>
      <x:c r="D67" s="45" t="str">
        <x:f>IF('Sheet4-原始数据'!E52="","",'Sheet4-原始数据'!E52)</x:f>
        <x:v>上海锐耐</x:v>
      </x:c>
      <x:c r="E67" s="46" t="n">
        <x:f>IF('Sheet4-原始数据'!F52="","",'Sheet4-原始数据'!F52)</x:f>
        <x:v>44893</x:v>
      </x:c>
      <x:c r="F67" s="52" t="n">
        <x:f>IF(ISNUMBER(E67),ROUND(('Sheet1-指标体系'!$J$12-E67)/'Sheet1-指标体系'!$J$14,4),"")</x:f>
        <x:v>3.7837</x:v>
      </x:c>
      <x:c r="G67" s="14" t="str">
        <x:f>IF(C67="","未匹配",IF(NOT(ISNUMBER(F67)),"缺成立日期",IF(F67&lt;'Sheet1-指标体系'!$J$15,"不入池","入池")))</x:f>
        <x:v>入池</x:v>
      </x:c>
      <x:c r="H67" s="45" t="str">
        <x:f>IF('Sheet5-查询核对'!K52="","",'Sheet5-查询核对'!K52)</x:f>
        <x:v>20-50亿元</x:v>
      </x:c>
      <x:c r="I67" s="52" t="n">
        <x:f>IF(H67="","",IF(COUNTIF('Sheet1-指标体系'!$P$4:$P$10,H67)=0,"",INDEX('Sheet1-指标体系'!$Q$4:$Q$10,MATCH(H67,'Sheet1-指标体系'!$P$4:$P$10,0))))</x:f>
        <x:v>90</x:v>
      </x:c>
      <x:c r="J67" s="54" t="str">
        <x:f>IF(NOT(ISNUMBER('Sheet5-查询核对'!N52)),"",IF('Sheet5-查询核对'!N52=1,"低于"&amp;'Sheet1-指标体系'!$J$4&amp;"万元",IF('Sheet5-查询核对'!N52=0,"无低于"&amp;'Sheet1-指标体系'!$J$4&amp;"万元标识","")))</x:f>
      </x:c>
      <x:c r="K67" s="52" t="str">
        <x:f>IF(NOT(ISNUMBER('Sheet5-查询核对'!N52)),"",IF('Sheet5-查询核对'!N52=1,'Sheet1-指标体系'!$J$21,IF('Sheet5-查询核对'!N52=0,'Sheet1-指标体系'!$J$18,"")))</x:f>
      </x:c>
      <x:c r="L67" s="52" t="n">
        <x:f>IF(NOT(ISNUMBER(F67)),"",IF(F67&lt;'Sheet1-指标体系'!$J$15,"",IF(F67&lt;'Sheet1-指标体系'!$J$16,'Sheet1-指标体系'!$J$17,'Sheet1-指标体系'!$J$18)))</x:f>
        <x:v>100</x:v>
      </x:c>
      <x:c r="M67" s="47" t="str">
        <x:f>IF(ISNUMBER('Sheet4-原始数据'!G52),'Sheet4-原始数据'!G52,"")</x:f>
      </x:c>
      <x:c r="N67" s="47" t="str">
        <x:f>IF(ISNUMBER('Sheet4-原始数据'!H52),'Sheet4-原始数据'!H52,"")</x:f>
      </x:c>
      <x:c r="O67" s="47" t="str">
        <x:f>IF(ISNUMBER('Sheet5-查询核对'!Q52),'Sheet5-查询核对'!Q52,"")</x:f>
      </x:c>
      <x:c r="P67" s="44" t="str">
        <x:f>IF($G67&lt;&gt;"入池","",IF($F67&gt;='Sheet1-指标体系'!$J$16,IF(COUNT(M67,N67)&lt;&gt;2,"",IF(OR(1+M67&lt;=0,1+N67&lt;0),"",((1+N67)^'Sheet1-指标体系'!$J$16/(1+M67))^(1/('Sheet1-指标体系'!$J$16-'Sheet1-指标体系'!$J$15))-1)),IF(COUNT(M67,O67)&lt;&gt;2,"",IF(OR(F67&lt;='Sheet1-指标体系'!$J$15,1+M67&lt;=0,1+O67&lt;0),"",((1+O67)^F67/(1+M67))^(1/(F67-'Sheet1-指标体系'!$J$15))-1))))</x:f>
      </x:c>
      <x:c r="Q67" s="52" t="str">
        <x:f>IF(OR($G67&lt;&gt;"入池",NOT(ISNUMBER(M67))),"",IF(COUNTIFS($G$17:$G$99,"入池",$M$17:$M$99,"&gt;=-1E+307",$M$17:$M$99,"&lt;=1E+307")&lt;=1,'Sheet1-指标体系'!$J$18,ROUND('Sheet1-指标体系'!$J$18*(COUNTIFS($G$17:$G$99,"入池",$M$17:$M$99,"&gt;=-1E+307",$M$17:$M$99,"&lt;"&amp;M67)+COUNTIFS($G$17:$G$99,"入池",$M$17:$M$99,"&gt;=-1E+307",$M$17:$M$99,"&lt;=1E+307",$M$17:$M$99,M67)/2-0.5)/(COUNTIFS($G$17:$G$99,"入池",$M$17:$M$99,"&gt;=-1E+307",$M$17:$M$99,"&lt;=1E+307")-1),2)))</x:f>
      </x:c>
      <x:c r="R67" s="52" t="str">
        <x:f>IF(OR($G67&lt;&gt;"入池",NOT(ISNUMBER(P67))),"",IF(COUNTIFS($G$17:$G$99,"入池",$P$17:$P$99,"&gt;=-1E+307",$P$17:$P$99,"&lt;=1E+307")&lt;=1,'Sheet1-指标体系'!$J$18,ROUND('Sheet1-指标体系'!$J$18*(COUNTIFS($G$17:$G$99,"入池",$P$17:$P$99,"&gt;=-1E+307",$P$17:$P$99,"&lt;"&amp;P67)+COUNTIFS($G$17:$G$99,"入池",$P$17:$P$99,"&gt;=-1E+307",$P$17:$P$99,"&lt;=1E+307",$P$17:$P$99,P67)/2-0.5)/(COUNTIFS($G$17:$G$99,"入池",$P$17:$P$99,"&gt;=-1E+307",$P$17:$P$99,"&lt;=1E+307")-1),2)))</x:f>
      </x:c>
      <x:c r="S67" s="52" t="str">
        <x:f>IF(COUNT(Q67,R67)=0,"",ROUND((IF(ISNUMBER(Q67),Q67*'Sheet1-指标体系'!$G$7*'Sheet1-指标体系'!$J$8,0)+IF(ISNUMBER(R67),R67*'Sheet1-指标体系'!$G$7*'Sheet1-指标体系'!$J$9,0))/(IF(ISNUMBER(Q67),'Sheet1-指标体系'!$G$7*'Sheet1-指标体系'!$J$8,0)+IF(ISNUMBER(R67),'Sheet1-指标体系'!$G$7*'Sheet1-指标体系'!$J$9,0)),2))</x:f>
      </x:c>
      <x:c r="T67" s="47" t="str">
        <x:f>IF(ISNUMBER('Sheet4-原始数据'!J52),'Sheet4-原始数据'!J52,"")</x:f>
      </x:c>
      <x:c r="U67" s="47" t="str">
        <x:f>IF(ISNUMBER('Sheet4-原始数据'!I52),'Sheet4-原始数据'!I52,"")</x:f>
      </x:c>
      <x:c r="V67" s="44" t="str">
        <x:f>IF(COUNT(T67:U67)&lt;&gt;2,"",(U67*'Sheet1-指标体系'!$J$6-T67*'Sheet1-指标体系'!$J$5)/'Sheet1-指标体系'!$J$7)</x:f>
      </x:c>
      <x:c r="W67" s="52" t="str">
        <x:f>IF(NOT(ISNUMBER(T67)),"",T67*'Sheet1-指标体系'!$J$18)</x:f>
      </x:c>
      <x:c r="X67" s="52" t="str">
        <x:f>IF(G67&lt;&gt;"入池","",IF(ISNUMBER(V67),IF(AND(V67&gt;=0,V67&lt;=1),V67*'Sheet1-指标体系'!$J$18,IF(MAX(0,(F67-'Sheet1-指标体系'!$J$15)*'Sheet1-指标体系'!$J$20)&lt;'Sheet1-指标体系'!$J$19,'Sheet1-指标体系'!$J$18,"")),IF(MAX(0,(F67-'Sheet1-指标体系'!$J$15)*'Sheet1-指标体系'!$J$20)&lt;'Sheet1-指标体系'!$J$19,'Sheet1-指标体系'!$J$18,"")))</x:f>
      </x:c>
      <x:c r="Y67" s="52" t="str">
        <x:f>IF(NOT(ISNUMBER(W67)),"",IF(COUNT(W67,X67)=0,"",ROUND((IF(ISNUMBER(W67),W67*'Sheet1-指标体系'!$G$8*'Sheet1-指标体系'!$J$8,0)+IF(ISNUMBER(X67),X67*'Sheet1-指标体系'!$G$8*'Sheet1-指标体系'!$J$9,0))/(IF(ISNUMBER(W67),'Sheet1-指标体系'!$G$8*'Sheet1-指标体系'!$J$8,0)+IF(ISNUMBER(X67),'Sheet1-指标体系'!$G$8*'Sheet1-指标体系'!$J$9,0)),2)))</x:f>
      </x:c>
      <x:c r="Z67" s="44" t="str">
        <x:f>IF(COUNT(M67,AD67)&lt;&gt;2,"",IF(AD67=0,"",ABS(M67/AD67)))</x:f>
      </x:c>
      <x:c r="AA67" s="47" t="str">
        <x:f>IF(ISNUMBER('Sheet4-原始数据'!K52),'Sheet4-原始数据'!K52,"")</x:f>
      </x:c>
      <x:c r="AB67" s="44" t="str">
        <x:f>IF(COUNT(Z67:AA67)=0,"",MAX(Z67:AA67))</x:f>
      </x:c>
      <x:c r="AC67" s="52" t="str">
        <x:f>IF(OR($G67&lt;&gt;"入池",NOT(ISNUMBER(AB67))),"",IF(COUNTIFS($G$17:$G$99,"入池",$AB$17:$AB$99,"&gt;=-1E+307",$AB$17:$AB$99,"&lt;=1E+307")&lt;=1,'Sheet1-指标体系'!$J$18,ROUND('Sheet1-指标体系'!$J$18*(COUNTIFS($G$17:$G$99,"入池",$AB$17:$AB$99,"&lt;=1E+307",$AB$17:$AB$99,"&gt;"&amp;AB67)+COUNTIFS($G$17:$G$99,"入池",$AB$17:$AB$99,"&gt;=-1E+307",$AB$17:$AB$99,"&lt;=1E+307",$AB$17:$AB$99,AB67)/2-0.5)/(COUNTIFS($G$17:$G$99,"入池",$AB$17:$AB$99,"&gt;=-1E+307",$AB$17:$AB$99,"&lt;=1E+307")-1),2)))</x:f>
      </x:c>
      <x:c r="AD67" s="48" t="str">
        <x:f>IF(ISNUMBER('Sheet4-原始数据'!M52),'Sheet4-原始数据'!M52,"")</x:f>
      </x:c>
      <x:c r="AE67" s="44" t="str">
        <x:f>IF(COUNT(P67,AA67,Z67)&lt;&gt;3,"",IF(AA67&gt;Z67+'Sheet1-指标体系'!$J$11,AA67,""))</x:f>
      </x:c>
      <x:c r="AF67" s="52" t="str">
        <x:f>IF(COUNT(P67,AE67)&lt;&gt;2,"",IF(AE67=0,"",P67/AE67))</x:f>
      </x:c>
      <x:c r="AG67" s="52" t="str">
        <x:f>IF(OR($G67&lt;&gt;"入池",NOT(ISNUMBER(AD67))),"",IF(COUNTIFS($G$17:$G$99,"入池",$AD$17:$AD$99,"&gt;=-1E+307",$AD$17:$AD$99,"&lt;=1E+307")&lt;=1,'Sheet1-指标体系'!$J$18,ROUND('Sheet1-指标体系'!$J$18*(COUNTIFS($G$17:$G$99,"入池",$AD$17:$AD$99,"&gt;=-1E+307",$AD$17:$AD$99,"&lt;"&amp;AD67)+COUNTIFS($G$17:$G$99,"入池",$AD$17:$AD$99,"&gt;=-1E+307",$AD$17:$AD$99,"&lt;=1E+307",$AD$17:$AD$99,AD67)/2-0.5)/(COUNTIFS($G$17:$G$99,"入池",$AD$17:$AD$99,"&gt;=-1E+307",$AD$17:$AD$99,"&lt;=1E+307")-1),2)))</x:f>
      </x:c>
      <x:c r="AH67" s="52" t="str">
        <x:f>IF(OR($G67&lt;&gt;"入池",NOT(ISNUMBER(AF67))),"",IF(COUNTIFS($G$17:$G$99,"入池",$AF$17:$AF$99,"&gt;=-1E+307",$AF$17:$AF$99,"&lt;=1E+307")&lt;=1,'Sheet1-指标体系'!$J$18,ROUND('Sheet1-指标体系'!$J$18*(COUNTIFS($G$17:$G$99,"入池",$AF$17:$AF$99,"&gt;=-1E+307",$AF$17:$AF$99,"&lt;"&amp;AF67)+COUNTIFS($G$17:$G$99,"入池",$AF$17:$AF$99,"&gt;=-1E+307",$AF$17:$AF$99,"&lt;=1E+307",$AF$17:$AF$99,AF67)/2-0.5)/(COUNTIFS($G$17:$G$99,"入池",$AF$17:$AF$99,"&gt;=-1E+307",$AF$17:$AF$99,"&lt;=1E+307")-1),2)))</x:f>
      </x:c>
      <x:c r="AI67" s="52" t="str">
        <x:f>IF(COUNT(AG67,AH67)=0,"",ROUND((IF(ISNUMBER(AG67),AG67*'Sheet1-指标体系'!$G$10*'Sheet1-指标体系'!$J$8,0)+IF(ISNUMBER(AH67),AH67*'Sheet1-指标体系'!$G$10*'Sheet1-指标体系'!$J$9,0))/(IF(ISNUMBER(AG67),'Sheet1-指标体系'!$G$10*'Sheet1-指标体系'!$J$8,0)+IF(ISNUMBER(AH67),'Sheet1-指标体系'!$G$10*'Sheet1-指标体系'!$J$9,0)),2))</x:f>
      </x:c>
      <x:c r="AJ67" s="44" t="str">
        <x:f>IF(NOT(ISNUMBER(F67)),"",IF(F67&gt;='Sheet1-指标体系'!$J$16,IF(ISNUMBER(N67),N67,""),IF(ISNUMBER(O67),O67,"")))</x:f>
      </x:c>
      <x:c r="AK67" s="52" t="str">
        <x:f>IF(OR(G67&lt;&gt;"入池",COUNT(M67,AJ67)&lt;&gt;2),"",IF(M67&gt;=AJ67,'Sheet1-指标体系'!$J$18,IF(AJ67-M67&lt;'Sheet1-指标体系'!$J$10,'Sheet1-指标体系'!$J$22,'Sheet1-指标体系'!$J$23)))</x:f>
      </x:c>
      <x:c r="AL67" s="52" t="n">
        <x:f>IF(COUNT(I67,K67,L67)=0,"",ROUND((IF(ISNUMBER(I67),I67*'Sheet1-指标体系'!$G$4,0)+IF(ISNUMBER(K67),K67*'Sheet1-指标体系'!$G$5,0)+IF(ISNUMBER(L67),L67*'Sheet1-指标体系'!$G$6,0))/(IF(ISNUMBER(I67),'Sheet1-指标体系'!$G$4,0)+IF(ISNUMBER(K67),'Sheet1-指标体系'!$G$5,0)+IF(ISNUMBER(L67),'Sheet1-指标体系'!$G$6,0)),2))</x:f>
        <x:v>94.29</x:v>
      </x:c>
      <x:c r="AM67" s="52" t="str">
        <x:f>IF(COUNT(Q67,R67,W67,X67)=0,"",ROUND((IF(ISNUMBER(Q67),Q67*'Sheet1-指标体系'!$G$7*'Sheet1-指标体系'!$J$8,0)+IF(ISNUMBER(R67),R67*'Sheet1-指标体系'!$G$7*'Sheet1-指标体系'!$J$9,0)+IF(ISNUMBER(W67),W67*'Sheet1-指标体系'!$G$8*'Sheet1-指标体系'!$J$8,0)+IF(ISNUMBER(X67),X67*'Sheet1-指标体系'!$G$8*'Sheet1-指标体系'!$J$9,0))/(IF(ISNUMBER(Q67),'Sheet1-指标体系'!$G$7*'Sheet1-指标体系'!$J$8,0)+IF(ISNUMBER(R67),'Sheet1-指标体系'!$G$7*'Sheet1-指标体系'!$J$9,0)+IF(ISNUMBER(W67),'Sheet1-指标体系'!$G$8*'Sheet1-指标体系'!$J$8,0)+IF(ISNUMBER(X67),'Sheet1-指标体系'!$G$8*'Sheet1-指标体系'!$J$9,0)),2))</x:f>
      </x:c>
      <x:c r="AN67" s="52" t="str">
        <x:f>IF(ISNUMBER(AC67),AC67,"")</x:f>
      </x:c>
      <x:c r="AO67" s="52" t="str">
        <x:f>IF(COUNT(AG67,AH67)=0,"",ROUND((IF(ISNUMBER(AG67),AG67*'Sheet1-指标体系'!$G$10*'Sheet1-指标体系'!$J$8,0)+IF(ISNUMBER(AH67),AH67*'Sheet1-指标体系'!$G$10*'Sheet1-指标体系'!$J$9,0))/(IF(ISNUMBER(AG67),'Sheet1-指标体系'!$G$10*'Sheet1-指标体系'!$J$8,0)+IF(ISNUMBER(AH67),'Sheet1-指标体系'!$G$10*'Sheet1-指标体系'!$J$9,0)),2))</x:f>
      </x:c>
      <x:c r="AP67" s="52" t="str">
        <x:f>IF(ISNUMBER(AK67),AK67,"")</x:f>
      </x:c>
      <x:c r="AQ67" s="27" t="n">
        <x:f>IF(G67&lt;&gt;"入池",0,IF(ISNUMBER(I67),'Sheet1-指标体系'!$G$4,0)+IF(ISNUMBER(K67),'Sheet1-指标体系'!$G$5,0)+IF(ISNUMBER(L67),'Sheet1-指标体系'!$G$6,0)+IF(ISNUMBER(Q67),'Sheet1-指标体系'!$G$7*'Sheet1-指标体系'!$J$8,0)+IF(ISNUMBER(R67),'Sheet1-指标体系'!$G$7*'Sheet1-指标体系'!$J$9,0)+IF(ISNUMBER(W67),'Sheet1-指标体系'!$G$8*'Sheet1-指标体系'!$J$8,0)+IF(ISNUMBER(X67),'Sheet1-指标体系'!$G$8*'Sheet1-指标体系'!$J$9,0)+IF(ISNUMBER(AC67),'Sheet1-指标体系'!$G$9,0)+IF(ISNUMBER(AG67),'Sheet1-指标体系'!$G$10*'Sheet1-指标体系'!$J$8,0)+IF(ISNUMBER(AH67),'Sheet1-指标体系'!$G$10*'Sheet1-指标体系'!$J$9,0)+IF(ISNUMBER(AK67),'Sheet1-指标体系'!$G$11,0))</x:f>
        <x:v>0.105</x:v>
      </x:c>
      <x:c r="AR67" s="52" t="n">
        <x:f>IF(AQ67=0,"",IF(ISNUMBER(I67),I67*'Sheet1-指标体系'!$G$4,0)+IF(ISNUMBER(K67),K67*'Sheet1-指标体系'!$G$5,0)+IF(ISNUMBER(L67),L67*'Sheet1-指标体系'!$G$6,0)+IF(ISNUMBER(Q67),Q67*'Sheet1-指标体系'!$G$7*'Sheet1-指标体系'!$J$8,0)+IF(ISNUMBER(R67),R67*'Sheet1-指标体系'!$G$7*'Sheet1-指标体系'!$J$9,0)+IF(ISNUMBER(W67),W67*'Sheet1-指标体系'!$G$8*'Sheet1-指标体系'!$J$8,0)+IF(ISNUMBER(X67),X67*'Sheet1-指标体系'!$G$8*'Sheet1-指标体系'!$J$9,0)+IF(ISNUMBER(AC67),AC67*'Sheet1-指标体系'!$G$9,0)+IF(ISNUMBER(AG67),AG67*'Sheet1-指标体系'!$G$10*'Sheet1-指标体系'!$J$8,0)+IF(ISNUMBER(AH67),AH67*'Sheet1-指标体系'!$G$10*'Sheet1-指标体系'!$J$9,0)+IF(ISNUMBER(AK67),AK67*'Sheet1-指标体系'!$G$11,0))</x:f>
        <x:v>9.899999999999999</x:v>
      </x:c>
      <x:c r="AS67" s="52" t="n">
        <x:f>IF(AQ67=0,"",ROUND(AR67/AQ67,2))</x:f>
        <x:v>94.29</x:v>
      </x:c>
      <x:c r="AT67" s="49" t="n">
        <x:f>IF(OR(G67&lt;&gt;"入池",NOT(ISNUMBER(AS67))),"",COUNTIFS($G$17:$G$99,"入池",$AS$17:$AS$99,"&gt;"&amp;AS67)+COUNTIFS($G$17:$G$99,"入池",$AS$17:$AS$99,AS67,$AQ$17:$AQ$99,"&gt;"&amp;AQ67)+COUNTIFS($G$17:G67,"入池",$AS$17:AS67,AS67,$AQ$17:AQ67,AQ67))</x:f>
        <x:v>2</x:v>
      </x:c>
      <x:c r="AU67" s="53" t="str">
        <x:f>IF(NOT(ISNUMBER(I67)),"管理人规模；","")&amp;IF(NOT(ISNUMBER(K67)),"产品规模标识；","")&amp;IF(NOT(ISNUMBER(M67)),"近一年收益；","")&amp;IF(NOT(ISNUMBER(T67)),"近一年胜率；","")&amp;IF(NOT(ISNUMBER(N67)),"近三年收益；","")&amp;IF(NOT(ISNUMBER(U67)),"近三年胜率；","")&amp;IF(NOT(ISNUMBER(AA67)),"近三年回撤；","")&amp;IF(NOT(ISNUMBER(AD67)),"近一年卡玛；","")&amp;IF(ISNUMBER(F67),IF(AND(F67&lt;'Sheet1-指标体系'!$J$16,NOT(ISNUMBER(O67))),"成立以来年化；",""),"成立日期；")&amp;IF(ISNUMBER(V67),IF(OR(V67&lt;0,V67&gt;1),"胜率窗口口径不一致；",""),"")&amp;IF(ISNUMBER(P67),IF(NOT(ISNUMBER(AE67)),"DD_long不可识别；",""),"")</x:f>
        <x:v>产品规模标识；近一年收益；近一年胜率；近三年收益；近三年胜率；近三年回撤；近一年卡玛；</x:v>
      </x:c>
      <x:c r="AV67" s="52" t="str">
        <x:f>IF(ROUND(AQ67,10)=ROUND('Sheet1-指标体系'!$J$25,10),AR67,"")</x:f>
      </x:c>
      <x:c r="AW67" s="14" t="str">
        <x:f>IF(G67&lt;&gt;"入池",G67,IF(AQ67=0,"无有效评分数据",IF(ROUND(AQ67,10)=ROUND('Sheet1-指标体系'!$J$25,10),"完整赋分", "暂定分／数据不完整")))</x:f>
        <x:v>暂定分／数据不完整</x:v>
      </x:c>
      <x:c r="AX67" s="45" t="str">
        <x:f>IF('Sheet4-原始数据'!C52="","",'Sheet4-原始数据'!C52)</x:f>
        <x:v>套利策略</x:v>
      </x:c>
      <x:c r="AY67" s="45" t="str">
        <x:f>IF('Sheet4-原始数据'!D52="","",'Sheet4-原始数据'!D52)</x:f>
        <x:v>期货套利</x:v>
      </x:c>
      <x:c r="AZ67" s="45" t="str">
        <x:f>IF('Sheet5-查询核对'!S52="","",'Sheet5-查询核对'!S52)</x:f>
        <x:v>套利策略—期货套利</x:v>
      </x:c>
      <x:c r="BA67" s="51" t="n">
        <x:f>IF('Sheet5-查询核对'!A52="","",'Sheet5-查询核对'!A52)</x:f>
        <x:v>52</x:v>
      </x:c>
      <x:c r="BB67" s="45" t="str">
        <x:f>IF('Sheet5-查询核对'!F52="","",'Sheet5-查询核对'!F52)</x:f>
        <x:v>备案号匹配</x:v>
      </x:c>
      <x:c r="BC67" s="50" t="str">
        <x:f>IF('Sheet5-查询核对'!I52="","",'Sheet5-查询核对'!I52)</x:f>
        <x:v>https://mp.fof99.com/fund/view/31ef590a8e08938a</x:v>
      </x:c>
      <x:c r="BD67" s="46" t="n">
        <x:f>IF('Sheet5-查询核对'!H52="","",'Sheet5-查询核对'!H52)</x:f>
        <x:v>46269</x:v>
      </x:c>
      <x:c r="BE67" s="50" t="str">
        <x:f>IF('Sheet5-查询核对'!L52="","",'Sheet5-查询核对'!L52)</x:f>
        <x:v>https://mp.fof99.com/fund/view/31ef590a8e08938a</x:v>
      </x:c>
      <x:c r="BF67" s="46" t="n">
        <x:f>IF('Sheet5-查询核对'!M52="","",'Sheet5-查询核对'!M52)</x:f>
        <x:v>46275</x:v>
      </x:c>
      <x:c r="BG67" s="50" t="str">
        <x:f>IF('Sheet5-查询核对'!O52="","",'Sheet5-查询核对'!O52)</x:f>
      </x:c>
      <x:c r="BH67" s="46" t="str">
        <x:f>IF('Sheet5-查询核对'!P52="","",'Sheet5-查询核对'!P52)</x:f>
      </x:c>
      <x:c r="BI67" s="45" t="str">
        <x:f>IF('Sheet5-查询核对'!D52="","",'Sheet5-查询核对'!D52)</x:f>
        <x:v>XV513C</x:v>
      </x:c>
      <x:c r="BJ67" t="n">
        <x:f>IF(ISNUMBER(AT67),AT67,COUNT($AT$17:$AT$99)+ROWS($AT$17:AT67)-COUNT($AT$17:AT67))</x:f>
        <x:v>2</x:v>
      </x:c>
    </x:row>
    <x:row r="68" ht="44" customHeight="1">
      <x:c r="A68" s="49" t="n">
        <x:f>'Sheet5-查询核对'!A53-1</x:f>
        <x:v>52</x:v>
      </x:c>
      <x:c r="B68" s="50" t="str">
        <x:f>IF('Sheet4-原始数据'!A53="",'Sheet5-查询核对'!B53,'Sheet4-原始数据'!A53)</x:f>
        <x:v>睿启鑫享1号</x:v>
      </x:c>
      <x:c r="C68" s="45" t="str">
        <x:f>IF('Sheet4-原始数据'!B53="","",'Sheet4-原始数据'!B53)</x:f>
        <x:v>SAQD46</x:v>
      </x:c>
      <x:c r="D68" s="45" t="str">
        <x:f>IF('Sheet4-原始数据'!E53="","",'Sheet4-原始数据'!E53)</x:f>
        <x:v>无锡睿启</x:v>
      </x:c>
      <x:c r="E68" s="46" t="n">
        <x:f>IF('Sheet4-原始数据'!F53="","",'Sheet4-原始数据'!F53)</x:f>
        <x:v>45595</x:v>
      </x:c>
      <x:c r="F68" s="52" t="n">
        <x:f>IF(ISNUMBER(E68),ROUND(('Sheet1-指标体系'!$J$12-E68)/'Sheet1-指标体系'!$J$14,4),"")</x:f>
        <x:v>1.8617</x:v>
      </x:c>
      <x:c r="G68" s="14" t="str">
        <x:f>IF(C68="","未匹配",IF(NOT(ISNUMBER(F68)),"缺成立日期",IF(F68&lt;'Sheet1-指标体系'!$J$15,"不入池","入池")))</x:f>
        <x:v>入池</x:v>
      </x:c>
      <x:c r="H68" s="45" t="str">
        <x:f>IF('Sheet5-查询核对'!K53="","",'Sheet5-查询核对'!K53)</x:f>
        <x:v>5-10亿元</x:v>
      </x:c>
      <x:c r="I68" s="52" t="n">
        <x:f>IF(H68="","",IF(COUNTIF('Sheet1-指标体系'!$P$4:$P$10,H68)=0,"",INDEX('Sheet1-指标体系'!$Q$4:$Q$10,MATCH(H68,'Sheet1-指标体系'!$P$4:$P$10,0))))</x:f>
        <x:v>70</x:v>
      </x:c>
      <x:c r="J68" s="54" t="str">
        <x:f>IF(NOT(ISNUMBER('Sheet5-查询核对'!N53)),"",IF('Sheet5-查询核对'!N53=1,"低于"&amp;'Sheet1-指标体系'!$J$4&amp;"万元",IF('Sheet5-查询核对'!N53=0,"无低于"&amp;'Sheet1-指标体系'!$J$4&amp;"万元标识","")))</x:f>
        <x:v>无低于1000万元标识</x:v>
      </x:c>
      <x:c r="K68" s="52" t="n">
        <x:f>IF(NOT(ISNUMBER('Sheet5-查询核对'!N53)),"",IF('Sheet5-查询核对'!N53=1,'Sheet1-指标体系'!$J$21,IF('Sheet5-查询核对'!N53=0,'Sheet1-指标体系'!$J$18,"")))</x:f>
        <x:v>100</x:v>
      </x:c>
      <x:c r="L68" s="52" t="n">
        <x:f>IF(NOT(ISNUMBER(F68)),"",IF(F68&lt;'Sheet1-指标体系'!$J$15,"",IF(F68&lt;'Sheet1-指标体系'!$J$16,'Sheet1-指标体系'!$J$17,'Sheet1-指标体系'!$J$18)))</x:f>
        <x:v>70</x:v>
      </x:c>
      <x:c r="M68" s="47" t="str">
        <x:f>IF(ISNUMBER('Sheet4-原始数据'!G53),'Sheet4-原始数据'!G53,"")</x:f>
      </x:c>
      <x:c r="N68" s="47" t="str">
        <x:f>IF(ISNUMBER('Sheet4-原始数据'!H53),'Sheet4-原始数据'!H53,"")</x:f>
      </x:c>
      <x:c r="O68" s="47" t="str">
        <x:f>IF(ISNUMBER('Sheet5-查询核对'!Q53),'Sheet5-查询核对'!Q53,"")</x:f>
      </x:c>
      <x:c r="P68" s="44" t="str">
        <x:f>IF($G68&lt;&gt;"入池","",IF($F68&gt;='Sheet1-指标体系'!$J$16,IF(COUNT(M68,N68)&lt;&gt;2,"",IF(OR(1+M68&lt;=0,1+N68&lt;0),"",((1+N68)^'Sheet1-指标体系'!$J$16/(1+M68))^(1/('Sheet1-指标体系'!$J$16-'Sheet1-指标体系'!$J$15))-1)),IF(COUNT(M68,O68)&lt;&gt;2,"",IF(OR(F68&lt;='Sheet1-指标体系'!$J$15,1+M68&lt;=0,1+O68&lt;0),"",((1+O68)^F68/(1+M68))^(1/(F68-'Sheet1-指标体系'!$J$15))-1))))</x:f>
      </x:c>
      <x:c r="Q68" s="52" t="str">
        <x:f>IF(OR($G68&lt;&gt;"入池",NOT(ISNUMBER(M68))),"",IF(COUNTIFS($G$17:$G$99,"入池",$M$17:$M$99,"&gt;=-1E+307",$M$17:$M$99,"&lt;=1E+307")&lt;=1,'Sheet1-指标体系'!$J$18,ROUND('Sheet1-指标体系'!$J$18*(COUNTIFS($G$17:$G$99,"入池",$M$17:$M$99,"&gt;=-1E+307",$M$17:$M$99,"&lt;"&amp;M68)+COUNTIFS($G$17:$G$99,"入池",$M$17:$M$99,"&gt;=-1E+307",$M$17:$M$99,"&lt;=1E+307",$M$17:$M$99,M68)/2-0.5)/(COUNTIFS($G$17:$G$99,"入池",$M$17:$M$99,"&gt;=-1E+307",$M$17:$M$99,"&lt;=1E+307")-1),2)))</x:f>
      </x:c>
      <x:c r="R68" s="52" t="str">
        <x:f>IF(OR($G68&lt;&gt;"入池",NOT(ISNUMBER(P68))),"",IF(COUNTIFS($G$17:$G$99,"入池",$P$17:$P$99,"&gt;=-1E+307",$P$17:$P$99,"&lt;=1E+307")&lt;=1,'Sheet1-指标体系'!$J$18,ROUND('Sheet1-指标体系'!$J$18*(COUNTIFS($G$17:$G$99,"入池",$P$17:$P$99,"&gt;=-1E+307",$P$17:$P$99,"&lt;"&amp;P68)+COUNTIFS($G$17:$G$99,"入池",$P$17:$P$99,"&gt;=-1E+307",$P$17:$P$99,"&lt;=1E+307",$P$17:$P$99,P68)/2-0.5)/(COUNTIFS($G$17:$G$99,"入池",$P$17:$P$99,"&gt;=-1E+307",$P$17:$P$99,"&lt;=1E+307")-1),2)))</x:f>
      </x:c>
      <x:c r="S68" s="52" t="str">
        <x:f>IF(COUNT(Q68,R68)=0,"",ROUND((IF(ISNUMBER(Q68),Q68*'Sheet1-指标体系'!$G$7*'Sheet1-指标体系'!$J$8,0)+IF(ISNUMBER(R68),R68*'Sheet1-指标体系'!$G$7*'Sheet1-指标体系'!$J$9,0))/(IF(ISNUMBER(Q68),'Sheet1-指标体系'!$G$7*'Sheet1-指标体系'!$J$8,0)+IF(ISNUMBER(R68),'Sheet1-指标体系'!$G$7*'Sheet1-指标体系'!$J$9,0)),2))</x:f>
      </x:c>
      <x:c r="T68" s="47" t="str">
        <x:f>IF(ISNUMBER('Sheet4-原始数据'!J53),'Sheet4-原始数据'!J53,"")</x:f>
      </x:c>
      <x:c r="U68" s="47" t="str">
        <x:f>IF(ISNUMBER('Sheet4-原始数据'!I53),'Sheet4-原始数据'!I53,"")</x:f>
      </x:c>
      <x:c r="V68" s="44" t="str">
        <x:f>IF(COUNT(T68:U68)&lt;&gt;2,"",(U68*'Sheet1-指标体系'!$J$6-T68*'Sheet1-指标体系'!$J$5)/'Sheet1-指标体系'!$J$7)</x:f>
      </x:c>
      <x:c r="W68" s="52" t="str">
        <x:f>IF(NOT(ISNUMBER(T68)),"",T68*'Sheet1-指标体系'!$J$18)</x:f>
      </x:c>
      <x:c r="X68" s="52" t="str">
        <x:f>IF(G68&lt;&gt;"入池","",IF(ISNUMBER(V68),IF(AND(V68&gt;=0,V68&lt;=1),V68*'Sheet1-指标体系'!$J$18,IF(MAX(0,(F68-'Sheet1-指标体系'!$J$15)*'Sheet1-指标体系'!$J$20)&lt;'Sheet1-指标体系'!$J$19,'Sheet1-指标体系'!$J$18,"")),IF(MAX(0,(F68-'Sheet1-指标体系'!$J$15)*'Sheet1-指标体系'!$J$20)&lt;'Sheet1-指标体系'!$J$19,'Sheet1-指标体系'!$J$18,"")))</x:f>
      </x:c>
      <x:c r="Y68" s="52" t="str">
        <x:f>IF(NOT(ISNUMBER(W68)),"",IF(COUNT(W68,X68)=0,"",ROUND((IF(ISNUMBER(W68),W68*'Sheet1-指标体系'!$G$8*'Sheet1-指标体系'!$J$8,0)+IF(ISNUMBER(X68),X68*'Sheet1-指标体系'!$G$8*'Sheet1-指标体系'!$J$9,0))/(IF(ISNUMBER(W68),'Sheet1-指标体系'!$G$8*'Sheet1-指标体系'!$J$8,0)+IF(ISNUMBER(X68),'Sheet1-指标体系'!$G$8*'Sheet1-指标体系'!$J$9,0)),2)))</x:f>
      </x:c>
      <x:c r="Z68" s="44" t="str">
        <x:f>IF(COUNT(M68,AD68)&lt;&gt;2,"",IF(AD68=0,"",ABS(M68/AD68)))</x:f>
      </x:c>
      <x:c r="AA68" s="47" t="str">
        <x:f>IF(ISNUMBER('Sheet4-原始数据'!K53),'Sheet4-原始数据'!K53,"")</x:f>
      </x:c>
      <x:c r="AB68" s="44" t="str">
        <x:f>IF(COUNT(Z68:AA68)=0,"",MAX(Z68:AA68))</x:f>
      </x:c>
      <x:c r="AC68" s="52" t="str">
        <x:f>IF(OR($G68&lt;&gt;"入池",NOT(ISNUMBER(AB68))),"",IF(COUNTIFS($G$17:$G$99,"入池",$AB$17:$AB$99,"&gt;=-1E+307",$AB$17:$AB$99,"&lt;=1E+307")&lt;=1,'Sheet1-指标体系'!$J$18,ROUND('Sheet1-指标体系'!$J$18*(COUNTIFS($G$17:$G$99,"入池",$AB$17:$AB$99,"&lt;=1E+307",$AB$17:$AB$99,"&gt;"&amp;AB68)+COUNTIFS($G$17:$G$99,"入池",$AB$17:$AB$99,"&gt;=-1E+307",$AB$17:$AB$99,"&lt;=1E+307",$AB$17:$AB$99,AB68)/2-0.5)/(COUNTIFS($G$17:$G$99,"入池",$AB$17:$AB$99,"&gt;=-1E+307",$AB$17:$AB$99,"&lt;=1E+307")-1),2)))</x:f>
      </x:c>
      <x:c r="AD68" s="48" t="str">
        <x:f>IF(ISNUMBER('Sheet4-原始数据'!M53),'Sheet4-原始数据'!M53,"")</x:f>
      </x:c>
      <x:c r="AE68" s="44" t="str">
        <x:f>IF(COUNT(P68,AA68,Z68)&lt;&gt;3,"",IF(AA68&gt;Z68+'Sheet1-指标体系'!$J$11,AA68,""))</x:f>
      </x:c>
      <x:c r="AF68" s="52" t="str">
        <x:f>IF(COUNT(P68,AE68)&lt;&gt;2,"",IF(AE68=0,"",P68/AE68))</x:f>
      </x:c>
      <x:c r="AG68" s="52" t="str">
        <x:f>IF(OR($G68&lt;&gt;"入池",NOT(ISNUMBER(AD68))),"",IF(COUNTIFS($G$17:$G$99,"入池",$AD$17:$AD$99,"&gt;=-1E+307",$AD$17:$AD$99,"&lt;=1E+307")&lt;=1,'Sheet1-指标体系'!$J$18,ROUND('Sheet1-指标体系'!$J$18*(COUNTIFS($G$17:$G$99,"入池",$AD$17:$AD$99,"&gt;=-1E+307",$AD$17:$AD$99,"&lt;"&amp;AD68)+COUNTIFS($G$17:$G$99,"入池",$AD$17:$AD$99,"&gt;=-1E+307",$AD$17:$AD$99,"&lt;=1E+307",$AD$17:$AD$99,AD68)/2-0.5)/(COUNTIFS($G$17:$G$99,"入池",$AD$17:$AD$99,"&gt;=-1E+307",$AD$17:$AD$99,"&lt;=1E+307")-1),2)))</x:f>
      </x:c>
      <x:c r="AH68" s="52" t="str">
        <x:f>IF(OR($G68&lt;&gt;"入池",NOT(ISNUMBER(AF68))),"",IF(COUNTIFS($G$17:$G$99,"入池",$AF$17:$AF$99,"&gt;=-1E+307",$AF$17:$AF$99,"&lt;=1E+307")&lt;=1,'Sheet1-指标体系'!$J$18,ROUND('Sheet1-指标体系'!$J$18*(COUNTIFS($G$17:$G$99,"入池",$AF$17:$AF$99,"&gt;=-1E+307",$AF$17:$AF$99,"&lt;"&amp;AF68)+COUNTIFS($G$17:$G$99,"入池",$AF$17:$AF$99,"&gt;=-1E+307",$AF$17:$AF$99,"&lt;=1E+307",$AF$17:$AF$99,AF68)/2-0.5)/(COUNTIFS($G$17:$G$99,"入池",$AF$17:$AF$99,"&gt;=-1E+307",$AF$17:$AF$99,"&lt;=1E+307")-1),2)))</x:f>
      </x:c>
      <x:c r="AI68" s="52" t="str">
        <x:f>IF(COUNT(AG68,AH68)=0,"",ROUND((IF(ISNUMBER(AG68),AG68*'Sheet1-指标体系'!$G$10*'Sheet1-指标体系'!$J$8,0)+IF(ISNUMBER(AH68),AH68*'Sheet1-指标体系'!$G$10*'Sheet1-指标体系'!$J$9,0))/(IF(ISNUMBER(AG68),'Sheet1-指标体系'!$G$10*'Sheet1-指标体系'!$J$8,0)+IF(ISNUMBER(AH68),'Sheet1-指标体系'!$G$10*'Sheet1-指标体系'!$J$9,0)),2))</x:f>
      </x:c>
      <x:c r="AJ68" s="44" t="str">
        <x:f>IF(NOT(ISNUMBER(F68)),"",IF(F68&gt;='Sheet1-指标体系'!$J$16,IF(ISNUMBER(N68),N68,""),IF(ISNUMBER(O68),O68,"")))</x:f>
      </x:c>
      <x:c r="AK68" s="52" t="str">
        <x:f>IF(OR(G68&lt;&gt;"入池",COUNT(M68,AJ68)&lt;&gt;2),"",IF(M68&gt;=AJ68,'Sheet1-指标体系'!$J$18,IF(AJ68-M68&lt;'Sheet1-指标体系'!$J$10,'Sheet1-指标体系'!$J$22,'Sheet1-指标体系'!$J$23)))</x:f>
      </x:c>
      <x:c r="AL68" s="52" t="n">
        <x:f>IF(COUNT(I68,K68,L68)=0,"",ROUND((IF(ISNUMBER(I68),I68*'Sheet1-指标体系'!$G$4,0)+IF(ISNUMBER(K68),K68*'Sheet1-指标体系'!$G$5,0)+IF(ISNUMBER(L68),L68*'Sheet1-指标体系'!$G$6,0))/(IF(ISNUMBER(I68),'Sheet1-指标体系'!$G$4,0)+IF(ISNUMBER(K68),'Sheet1-指标体系'!$G$5,0)+IF(ISNUMBER(L68),'Sheet1-指标体系'!$G$6,0)),2))</x:f>
        <x:v>79</x:v>
      </x:c>
      <x:c r="AM68" s="52" t="str">
        <x:f>IF(COUNT(Q68,R68,W68,X68)=0,"",ROUND((IF(ISNUMBER(Q68),Q68*'Sheet1-指标体系'!$G$7*'Sheet1-指标体系'!$J$8,0)+IF(ISNUMBER(R68),R68*'Sheet1-指标体系'!$G$7*'Sheet1-指标体系'!$J$9,0)+IF(ISNUMBER(W68),W68*'Sheet1-指标体系'!$G$8*'Sheet1-指标体系'!$J$8,0)+IF(ISNUMBER(X68),X68*'Sheet1-指标体系'!$G$8*'Sheet1-指标体系'!$J$9,0))/(IF(ISNUMBER(Q68),'Sheet1-指标体系'!$G$7*'Sheet1-指标体系'!$J$8,0)+IF(ISNUMBER(R68),'Sheet1-指标体系'!$G$7*'Sheet1-指标体系'!$J$9,0)+IF(ISNUMBER(W68),'Sheet1-指标体系'!$G$8*'Sheet1-指标体系'!$J$8,0)+IF(ISNUMBER(X68),'Sheet1-指标体系'!$G$8*'Sheet1-指标体系'!$J$9,0)),2))</x:f>
      </x:c>
      <x:c r="AN68" s="52" t="str">
        <x:f>IF(ISNUMBER(AC68),AC68,"")</x:f>
      </x:c>
      <x:c r="AO68" s="52" t="str">
        <x:f>IF(COUNT(AG68,AH68)=0,"",ROUND((IF(ISNUMBER(AG68),AG68*'Sheet1-指标体系'!$G$10*'Sheet1-指标体系'!$J$8,0)+IF(ISNUMBER(AH68),AH68*'Sheet1-指标体系'!$G$10*'Sheet1-指标体系'!$J$9,0))/(IF(ISNUMBER(AG68),'Sheet1-指标体系'!$G$10*'Sheet1-指标体系'!$J$8,0)+IF(ISNUMBER(AH68),'Sheet1-指标体系'!$G$10*'Sheet1-指标体系'!$J$9,0)),2))</x:f>
      </x:c>
      <x:c r="AP68" s="52" t="str">
        <x:f>IF(ISNUMBER(AK68),AK68,"")</x:f>
      </x:c>
      <x:c r="AQ68" s="27" t="n">
        <x:f>IF(G68&lt;&gt;"入池",0,IF(ISNUMBER(I68),'Sheet1-指标体系'!$G$4,0)+IF(ISNUMBER(K68),'Sheet1-指标体系'!$G$5,0)+IF(ISNUMBER(L68),'Sheet1-指标体系'!$G$6,0)+IF(ISNUMBER(Q68),'Sheet1-指标体系'!$G$7*'Sheet1-指标体系'!$J$8,0)+IF(ISNUMBER(R68),'Sheet1-指标体系'!$G$7*'Sheet1-指标体系'!$J$9,0)+IF(ISNUMBER(W68),'Sheet1-指标体系'!$G$8*'Sheet1-指标体系'!$J$8,0)+IF(ISNUMBER(X68),'Sheet1-指标体系'!$G$8*'Sheet1-指标体系'!$J$9,0)+IF(ISNUMBER(AC68),'Sheet1-指标体系'!$G$9,0)+IF(ISNUMBER(AG68),'Sheet1-指标体系'!$G$10*'Sheet1-指标体系'!$J$8,0)+IF(ISNUMBER(AH68),'Sheet1-指标体系'!$G$10*'Sheet1-指标体系'!$J$9,0)+IF(ISNUMBER(AK68),'Sheet1-指标体系'!$G$11,0))</x:f>
        <x:v>0.15</x:v>
      </x:c>
      <x:c r="AR68" s="52" t="n">
        <x:f>IF(AQ68=0,"",IF(ISNUMBER(I68),I68*'Sheet1-指标体系'!$G$4,0)+IF(ISNUMBER(K68),K68*'Sheet1-指标体系'!$G$5,0)+IF(ISNUMBER(L68),L68*'Sheet1-指标体系'!$G$6,0)+IF(ISNUMBER(Q68),Q68*'Sheet1-指标体系'!$G$7*'Sheet1-指标体系'!$J$8,0)+IF(ISNUMBER(R68),R68*'Sheet1-指标体系'!$G$7*'Sheet1-指标体系'!$J$9,0)+IF(ISNUMBER(W68),W68*'Sheet1-指标体系'!$G$8*'Sheet1-指标体系'!$J$8,0)+IF(ISNUMBER(X68),X68*'Sheet1-指标体系'!$G$8*'Sheet1-指标体系'!$J$9,0)+IF(ISNUMBER(AC68),AC68*'Sheet1-指标体系'!$G$9,0)+IF(ISNUMBER(AG68),AG68*'Sheet1-指标体系'!$G$10*'Sheet1-指标体系'!$J$8,0)+IF(ISNUMBER(AH68),AH68*'Sheet1-指标体系'!$G$10*'Sheet1-指标体系'!$J$9,0)+IF(ISNUMBER(AK68),AK68*'Sheet1-指标体系'!$G$11,0))</x:f>
        <x:v>11.85</x:v>
      </x:c>
      <x:c r="AS68" s="52" t="n">
        <x:f>IF(AQ68=0,"",ROUND(AR68/AQ68,2))</x:f>
        <x:v>79</x:v>
      </x:c>
      <x:c r="AT68" s="49" t="n">
        <x:f>IF(OR(G68&lt;&gt;"入池",NOT(ISNUMBER(AS68))),"",COUNTIFS($G$17:$G$99,"入池",$AS$17:$AS$99,"&gt;"&amp;AS68)+COUNTIFS($G$17:$G$99,"入池",$AS$17:$AS$99,AS68,$AQ$17:$AQ$99,"&gt;"&amp;AQ68)+COUNTIFS($G$17:G68,"入池",$AS$17:AS68,AS68,$AQ$17:AQ68,AQ68))</x:f>
        <x:v>29</x:v>
      </x:c>
      <x:c r="AU68" s="53" t="str">
        <x:f>IF(NOT(ISNUMBER(I68)),"管理人规模；","")&amp;IF(NOT(ISNUMBER(K68)),"产品规模标识；","")&amp;IF(NOT(ISNUMBER(M68)),"近一年收益；","")&amp;IF(NOT(ISNUMBER(T68)),"近一年胜率；","")&amp;IF(NOT(ISNUMBER(N68)),"近三年收益；","")&amp;IF(NOT(ISNUMBER(U68)),"近三年胜率；","")&amp;IF(NOT(ISNUMBER(AA68)),"近三年回撤；","")&amp;IF(NOT(ISNUMBER(AD68)),"近一年卡玛；","")&amp;IF(ISNUMBER(F68),IF(AND(F68&lt;'Sheet1-指标体系'!$J$16,NOT(ISNUMBER(O68))),"成立以来年化；",""),"成立日期；")&amp;IF(ISNUMBER(V68),IF(OR(V68&lt;0,V68&gt;1),"胜率窗口口径不一致；",""),"")&amp;IF(ISNUMBER(P68),IF(NOT(ISNUMBER(AE68)),"DD_long不可识别；",""),"")</x:f>
        <x:v>近一年收益；近一年胜率；近三年收益；近三年胜率；近三年回撤；近一年卡玛；成立以来年化；</x:v>
      </x:c>
      <x:c r="AV68" s="52" t="str">
        <x:f>IF(ROUND(AQ68,10)=ROUND('Sheet1-指标体系'!$J$25,10),AR68,"")</x:f>
      </x:c>
      <x:c r="AW68" s="14" t="str">
        <x:f>IF(G68&lt;&gt;"入池",G68,IF(AQ68=0,"无有效评分数据",IF(ROUND(AQ68,10)=ROUND('Sheet1-指标体系'!$J$25,10),"完整赋分", "暂定分／数据不完整")))</x:f>
        <x:v>暂定分／数据不完整</x:v>
      </x:c>
      <x:c r="AX68" s="45" t="str">
        <x:f>IF('Sheet4-原始数据'!C53="","",'Sheet4-原始数据'!C53)</x:f>
        <x:v>套利策略</x:v>
      </x:c>
      <x:c r="AY68" s="45" t="str">
        <x:f>IF('Sheet4-原始数据'!D53="","",'Sheet4-原始数据'!D53)</x:f>
        <x:v>期货套利</x:v>
      </x:c>
      <x:c r="AZ68" s="45" t="str">
        <x:f>IF('Sheet5-查询核对'!S53="","",'Sheet5-查询核对'!S53)</x:f>
        <x:v>套利策略—期货套利</x:v>
      </x:c>
      <x:c r="BA68" s="51" t="n">
        <x:f>IF('Sheet5-查询核对'!A53="","",'Sheet5-查询核对'!A53)</x:f>
        <x:v>53</x:v>
      </x:c>
      <x:c r="BB68" s="45" t="str">
        <x:f>IF('Sheet5-查询核对'!F53="","",'Sheet5-查询核对'!F53)</x:f>
        <x:v>备案号匹配</x:v>
      </x:c>
      <x:c r="BC68" s="50" t="str">
        <x:f>IF('Sheet5-查询核对'!I53="","",'Sheet5-查询核对'!I53)</x:f>
        <x:v>https://mp.fof99.com/fund/view/a9c8655ec835e06f</x:v>
      </x:c>
      <x:c r="BD68" s="46" t="n">
        <x:f>IF('Sheet5-查询核对'!H53="","",'Sheet5-查询核对'!H53)</x:f>
        <x:v>46269</x:v>
      </x:c>
      <x:c r="BE68" s="50" t="str">
        <x:f>IF('Sheet5-查询核对'!L53="","",'Sheet5-查询核对'!L53)</x:f>
        <x:v>https://mp.fof99.com/fund/view/a9c8655ec835e06f</x:v>
      </x:c>
      <x:c r="BF68" s="46" t="n">
        <x:f>IF('Sheet5-查询核对'!M53="","",'Sheet5-查询核对'!M53)</x:f>
        <x:v>46275</x:v>
      </x:c>
      <x:c r="BG68" s="50" t="str">
        <x:f>IF('Sheet5-查询核对'!O53="","",'Sheet5-查询核对'!O53)</x:f>
        <x:v>https://gs.amac.org.cn/amac-infodisc/res/pof/fund/2411111031107269.html</x:v>
      </x:c>
      <x:c r="BH68" s="46" t="n">
        <x:f>IF('Sheet5-查询核对'!P53="","",'Sheet5-查询核对'!P53)</x:f>
        <x:v>46275</x:v>
      </x:c>
      <x:c r="BI68" s="45" t="str">
        <x:f>IF('Sheet5-查询核对'!D53="","",'Sheet5-查询核对'!D53)</x:f>
        <x:v>SAQD46</x:v>
      </x:c>
      <x:c r="BJ68" t="n">
        <x:f>IF(ISNUMBER(AT68),AT68,COUNT($AT$17:$AT$99)+ROWS($AT$17:AT68)-COUNT($AT$17:AT68))</x:f>
        <x:v>29</x:v>
      </x:c>
    </x:row>
    <x:row r="69" ht="44" customHeight="1">
      <x:c r="A69" s="49" t="n">
        <x:f>'Sheet5-查询核对'!A54-1</x:f>
        <x:v>53</x:v>
      </x:c>
      <x:c r="B69" s="50" t="str">
        <x:f>IF('Sheet4-原始数据'!A54="",'Sheet5-查询核对'!B54,'Sheet4-原始数据'!A54)</x:f>
        <x:v>杉阳云杉混合1号A类</x:v>
      </x:c>
      <x:c r="C69" s="45" t="str">
        <x:f>IF('Sheet4-原始数据'!B54="","",'Sheet4-原始数据'!B54)</x:f>
        <x:v>LA063A</x:v>
      </x:c>
      <x:c r="D69" s="45" t="str">
        <x:f>IF('Sheet4-原始数据'!E54="","",'Sheet4-原始数据'!E54)</x:f>
        <x:v>上海杉阳</x:v>
      </x:c>
      <x:c r="E69" s="46" t="n">
        <x:f>IF('Sheet4-原始数据'!F54="","",'Sheet4-原始数据'!F54)</x:f>
        <x:v>43980</x:v>
      </x:c>
      <x:c r="F69" s="52" t="n">
        <x:f>IF(ISNUMBER(E69),ROUND(('Sheet1-指标体系'!$J$12-E69)/'Sheet1-指标体系'!$J$14,4),"")</x:f>
        <x:v>6.2834</x:v>
      </x:c>
      <x:c r="G69" s="14" t="str">
        <x:f>IF(C69="","未匹配",IF(NOT(ISNUMBER(F69)),"缺成立日期",IF(F69&lt;'Sheet1-指标体系'!$J$15,"不入池","入池")))</x:f>
        <x:v>入池</x:v>
      </x:c>
      <x:c r="H69" s="45" t="str">
        <x:f>IF('Sheet5-查询核对'!K54="","",'Sheet5-查询核对'!K54)</x:f>
        <x:v>0-5亿元</x:v>
      </x:c>
      <x:c r="I69" s="52" t="n">
        <x:f>IF(H69="","",IF(COUNTIF('Sheet1-指标体系'!$P$4:$P$10,H69)=0,"",INDEX('Sheet1-指标体系'!$Q$4:$Q$10,MATCH(H69,'Sheet1-指标体系'!$P$4:$P$10,0))))</x:f>
        <x:v>60</x:v>
      </x:c>
      <x:c r="J69" s="54" t="str">
        <x:f>IF(NOT(ISNUMBER('Sheet5-查询核对'!N54)),"",IF('Sheet5-查询核对'!N54=1,"低于"&amp;'Sheet1-指标体系'!$J$4&amp;"万元",IF('Sheet5-查询核对'!N54=0,"无低于"&amp;'Sheet1-指标体系'!$J$4&amp;"万元标识","")))</x:f>
      </x:c>
      <x:c r="K69" s="52" t="str">
        <x:f>IF(NOT(ISNUMBER('Sheet5-查询核对'!N54)),"",IF('Sheet5-查询核对'!N54=1,'Sheet1-指标体系'!$J$21,IF('Sheet5-查询核对'!N54=0,'Sheet1-指标体系'!$J$18,"")))</x:f>
      </x:c>
      <x:c r="L69" s="52" t="n">
        <x:f>IF(NOT(ISNUMBER(F69)),"",IF(F69&lt;'Sheet1-指标体系'!$J$15,"",IF(F69&lt;'Sheet1-指标体系'!$J$16,'Sheet1-指标体系'!$J$17,'Sheet1-指标体系'!$J$18)))</x:f>
        <x:v>100</x:v>
      </x:c>
      <x:c r="M69" s="47" t="n">
        <x:f>IF(ISNUMBER('Sheet4-原始数据'!G54),'Sheet4-原始数据'!G54,"")</x:f>
        <x:v>0.0707</x:v>
      </x:c>
      <x:c r="N69" s="47" t="n">
        <x:f>IF(ISNUMBER('Sheet4-原始数据'!H54),'Sheet4-原始数据'!H54,"")</x:f>
        <x:v>0.038599999999999995</x:v>
      </x:c>
      <x:c r="O69" s="47" t="n">
        <x:f>IF(ISNUMBER('Sheet5-查询核对'!Q54),'Sheet5-查询核对'!Q54,"")</x:f>
        <x:v>0.06860000000000001</x:v>
      </x:c>
      <x:c r="P69" s="44" t="n">
        <x:f>IF($G69&lt;&gt;"入池","",IF($F69&gt;='Sheet1-指标体系'!$J$16,IF(COUNT(M69,N69)&lt;&gt;2,"",IF(OR(1+M69&lt;=0,1+N69&lt;0),"",((1+N69)^'Sheet1-指标体系'!$J$16/(1+M69))^(1/('Sheet1-指标体系'!$J$16-'Sheet1-指标体系'!$J$15))-1)),IF(COUNT(M69,O69)&lt;&gt;2,"",IF(OR(F69&lt;='Sheet1-指标体系'!$J$15,1+M69&lt;=0,1+O69&lt;0),"",((1+O69)^F69/(1+M69))^(1/(F69-'Sheet1-指标体系'!$J$15))-1))))</x:f>
        <x:v>0.022912712752060083</x:v>
      </x:c>
      <x:c r="Q69" s="52" t="n">
        <x:f>IF(OR($G69&lt;&gt;"入池",NOT(ISNUMBER(M69))),"",IF(COUNTIFS($G$17:$G$99,"入池",$M$17:$M$99,"&gt;=-1E+307",$M$17:$M$99,"&lt;=1E+307")&lt;=1,'Sheet1-指标体系'!$J$18,ROUND('Sheet1-指标体系'!$J$18*(COUNTIFS($G$17:$G$99,"入池",$M$17:$M$99,"&gt;=-1E+307",$M$17:$M$99,"&lt;"&amp;M69)+COUNTIFS($G$17:$G$99,"入池",$M$17:$M$99,"&gt;=-1E+307",$M$17:$M$99,"&lt;=1E+307",$M$17:$M$99,M69)/2-0.5)/(COUNTIFS($G$17:$G$99,"入池",$M$17:$M$99,"&gt;=-1E+307",$M$17:$M$99,"&lt;=1E+307")-1),2)))</x:f>
        <x:v>32.14</x:v>
      </x:c>
      <x:c r="R69" s="52" t="n">
        <x:f>IF(OR($G69&lt;&gt;"入池",NOT(ISNUMBER(P69))),"",IF(COUNTIFS($G$17:$G$99,"入池",$P$17:$P$99,"&gt;=-1E+307",$P$17:$P$99,"&lt;=1E+307")&lt;=1,'Sheet1-指标体系'!$J$18,ROUND('Sheet1-指标体系'!$J$18*(COUNTIFS($G$17:$G$99,"入池",$P$17:$P$99,"&gt;=-1E+307",$P$17:$P$99,"&lt;"&amp;P69)+COUNTIFS($G$17:$G$99,"入池",$P$17:$P$99,"&gt;=-1E+307",$P$17:$P$99,"&lt;=1E+307",$P$17:$P$99,P69)/2-0.5)/(COUNTIFS($G$17:$G$99,"入池",$P$17:$P$99,"&gt;=-1E+307",$P$17:$P$99,"&lt;=1E+307")-1),2)))</x:f>
        <x:v>1.85</x:v>
      </x:c>
      <x:c r="S69" s="52" t="n">
        <x:f>IF(COUNT(Q69,R69)=0,"",ROUND((IF(ISNUMBER(Q69),Q69*'Sheet1-指标体系'!$G$7*'Sheet1-指标体系'!$J$8,0)+IF(ISNUMBER(R69),R69*'Sheet1-指标体系'!$G$7*'Sheet1-指标体系'!$J$9,0))/(IF(ISNUMBER(Q69),'Sheet1-指标体系'!$G$7*'Sheet1-指标体系'!$J$8,0)+IF(ISNUMBER(R69),'Sheet1-指标体系'!$G$7*'Sheet1-指标体系'!$J$9,0)),2))</x:f>
        <x:v>20.02</x:v>
      </x:c>
      <x:c r="T69" s="47" t="n">
        <x:f>IF(ISNUMBER('Sheet4-原始数据'!J54),'Sheet4-原始数据'!J54,"")</x:f>
        <x:v>0.7692</x:v>
      </x:c>
      <x:c r="U69" s="47" t="n">
        <x:f>IF(ISNUMBER('Sheet4-原始数据'!I54),'Sheet4-原始数据'!I54,"")</x:f>
        <x:v>0.6757</x:v>
      </x:c>
      <x:c r="V69" s="44" t="n">
        <x:f>IF(COUNT(T69:U69)&lt;&gt;2,"",(U69*'Sheet1-指标体系'!$J$6-T69*'Sheet1-指标体系'!$J$5)/'Sheet1-指标体系'!$J$7)</x:f>
        <x:v>0.6250541666666666</x:v>
      </x:c>
      <x:c r="W69" s="52" t="n">
        <x:f>IF(NOT(ISNUMBER(T69)),"",T69*'Sheet1-指标体系'!$J$18)</x:f>
        <x:v>76.92</x:v>
      </x:c>
      <x:c r="X69" s="52" t="n">
        <x:f>IF(G69&lt;&gt;"入池","",IF(ISNUMBER(V69),IF(AND(V69&gt;=0,V69&lt;=1),V69*'Sheet1-指标体系'!$J$18,IF(MAX(0,(F69-'Sheet1-指标体系'!$J$15)*'Sheet1-指标体系'!$J$20)&lt;'Sheet1-指标体系'!$J$19,'Sheet1-指标体系'!$J$18,"")),IF(MAX(0,(F69-'Sheet1-指标体系'!$J$15)*'Sheet1-指标体系'!$J$20)&lt;'Sheet1-指标体系'!$J$19,'Sheet1-指标体系'!$J$18,"")))</x:f>
        <x:v>62.505416666666655</x:v>
      </x:c>
      <x:c r="Y69" s="52" t="n">
        <x:f>IF(NOT(ISNUMBER(W69)),"",IF(COUNT(W69,X69)=0,"",ROUND((IF(ISNUMBER(W69),W69*'Sheet1-指标体系'!$G$8*'Sheet1-指标体系'!$J$8,0)+IF(ISNUMBER(X69),X69*'Sheet1-指标体系'!$G$8*'Sheet1-指标体系'!$J$9,0))/(IF(ISNUMBER(W69),'Sheet1-指标体系'!$G$8*'Sheet1-指标体系'!$J$8,0)+IF(ISNUMBER(X69),'Sheet1-指标体系'!$G$8*'Sheet1-指标体系'!$J$9,0)),2)))</x:f>
        <x:v>71.15</x:v>
      </x:c>
      <x:c r="Z69" s="44" t="n">
        <x:f>IF(COUNT(M69,AD69)&lt;&gt;2,"",IF(AD69=0,"",ABS(M69/AD69)))</x:f>
        <x:v>0.005841575159672475</x:v>
      </x:c>
      <x:c r="AA69" s="47" t="n">
        <x:f>IF(ISNUMBER('Sheet4-原始数据'!K54),'Sheet4-原始数据'!K54,"")</x:f>
        <x:v>0.031</x:v>
      </x:c>
      <x:c r="AB69" s="44" t="n">
        <x:f>IF(COUNT(Z69:AA69)=0,"",MAX(Z69:AA69))</x:f>
        <x:v>0.031</x:v>
      </x:c>
      <x:c r="AC69" s="52" t="n">
        <x:f>IF(OR($G69&lt;&gt;"入池",NOT(ISNUMBER(AB69))),"",IF(COUNTIFS($G$17:$G$99,"入池",$AB$17:$AB$99,"&gt;=-1E+307",$AB$17:$AB$99,"&lt;=1E+307")&lt;=1,'Sheet1-指标体系'!$J$18,ROUND('Sheet1-指标体系'!$J$18*(COUNTIFS($G$17:$G$99,"入池",$AB$17:$AB$99,"&lt;=1E+307",$AB$17:$AB$99,"&gt;"&amp;AB69)+COUNTIFS($G$17:$G$99,"入池",$AB$17:$AB$99,"&gt;=-1E+307",$AB$17:$AB$99,"&lt;=1E+307",$AB$17:$AB$99,AB69)/2-0.5)/(COUNTIFS($G$17:$G$99,"入池",$AB$17:$AB$99,"&gt;=-1E+307",$AB$17:$AB$99,"&lt;=1E+307")-1),2)))</x:f>
        <x:v>37.93</x:v>
      </x:c>
      <x:c r="AD69" s="48" t="n">
        <x:f>IF(ISNUMBER('Sheet4-原始数据'!M54),'Sheet4-原始数据'!M54,"")</x:f>
        <x:v>12.1029</x:v>
      </x:c>
      <x:c r="AE69" s="44" t="n">
        <x:f>IF(COUNT(P69,AA69,Z69)&lt;&gt;3,"",IF(AA69&gt;Z69+'Sheet1-指标体系'!$J$11,AA69,""))</x:f>
        <x:v>0.031</x:v>
      </x:c>
      <x:c r="AF69" s="52" t="n">
        <x:f>IF(COUNT(P69,AE69)&lt;&gt;2,"",IF(AE69=0,"",P69/AE69))</x:f>
        <x:v>0.7391197661954866</x:v>
      </x:c>
      <x:c r="AG69" s="52" t="n">
        <x:f>IF(OR($G69&lt;&gt;"入池",NOT(ISNUMBER(AD69))),"",IF(COUNTIFS($G$17:$G$99,"入池",$AD$17:$AD$99,"&gt;=-1E+307",$AD$17:$AD$99,"&lt;=1E+307")&lt;=1,'Sheet1-指标体系'!$J$18,ROUND('Sheet1-指标体系'!$J$18*(COUNTIFS($G$17:$G$99,"入池",$AD$17:$AD$99,"&gt;=-1E+307",$AD$17:$AD$99,"&lt;"&amp;AD69)+COUNTIFS($G$17:$G$99,"入池",$AD$17:$AD$99,"&gt;=-1E+307",$AD$17:$AD$99,"&lt;=1E+307",$AD$17:$AD$99,AD69)/2-0.5)/(COUNTIFS($G$17:$G$99,"入池",$AD$17:$AD$99,"&gt;=-1E+307",$AD$17:$AD$99,"&lt;=1E+307")-1),2)))</x:f>
        <x:v>69.09</x:v>
      </x:c>
      <x:c r="AH69" s="52" t="n">
        <x:f>IF(OR($G69&lt;&gt;"入池",NOT(ISNUMBER(AF69))),"",IF(COUNTIFS($G$17:$G$99,"入池",$AF$17:$AF$99,"&gt;=-1E+307",$AF$17:$AF$99,"&lt;=1E+307")&lt;=1,'Sheet1-指标体系'!$J$18,ROUND('Sheet1-指标体系'!$J$18*(COUNTIFS($G$17:$G$99,"入池",$AF$17:$AF$99,"&gt;=-1E+307",$AF$17:$AF$99,"&lt;"&amp;AF69)+COUNTIFS($G$17:$G$99,"入池",$AF$17:$AF$99,"&gt;=-1E+307",$AF$17:$AF$99,"&lt;=1E+307",$AF$17:$AF$99,AF69)/2-0.5)/(COUNTIFS($G$17:$G$99,"入池",$AF$17:$AF$99,"&gt;=-1E+307",$AF$17:$AF$99,"&lt;=1E+307")-1),2)))</x:f>
        <x:v>3.57</x:v>
      </x:c>
      <x:c r="AI69" s="52" t="n">
        <x:f>IF(COUNT(AG69,AH69)=0,"",ROUND((IF(ISNUMBER(AG69),AG69*'Sheet1-指标体系'!$G$10*'Sheet1-指标体系'!$J$8,0)+IF(ISNUMBER(AH69),AH69*'Sheet1-指标体系'!$G$10*'Sheet1-指标体系'!$J$9,0))/(IF(ISNUMBER(AG69),'Sheet1-指标体系'!$G$10*'Sheet1-指标体系'!$J$8,0)+IF(ISNUMBER(AH69),'Sheet1-指标体系'!$G$10*'Sheet1-指标体系'!$J$9,0)),2))</x:f>
        <x:v>42.88</x:v>
      </x:c>
      <x:c r="AJ69" s="44" t="n">
        <x:f>IF(NOT(ISNUMBER(F69)),"",IF(F69&gt;='Sheet1-指标体系'!$J$16,IF(ISNUMBER(N69),N69,""),IF(ISNUMBER(O69),O69,"")))</x:f>
        <x:v>0.038599999999999995</x:v>
      </x:c>
      <x:c r="AK69" s="52" t="n">
        <x:f>IF(OR(G69&lt;&gt;"入池",COUNT(M69,AJ69)&lt;&gt;2),"",IF(M69&gt;=AJ69,'Sheet1-指标体系'!$J$18,IF(AJ69-M69&lt;'Sheet1-指标体系'!$J$10,'Sheet1-指标体系'!$J$22,'Sheet1-指标体系'!$J$23)))</x:f>
        <x:v>100</x:v>
      </x:c>
      <x:c r="AL69" s="52" t="n">
        <x:f>IF(COUNT(I69,K69,L69)=0,"",ROUND((IF(ISNUMBER(I69),I69*'Sheet1-指标体系'!$G$4,0)+IF(ISNUMBER(K69),K69*'Sheet1-指标体系'!$G$5,0)+IF(ISNUMBER(L69),L69*'Sheet1-指标体系'!$G$6,0))/(IF(ISNUMBER(I69),'Sheet1-指标体系'!$G$4,0)+IF(ISNUMBER(K69),'Sheet1-指标体系'!$G$5,0)+IF(ISNUMBER(L69),'Sheet1-指标体系'!$G$6,0)),2))</x:f>
        <x:v>77.14</x:v>
      </x:c>
      <x:c r="AM69" s="52" t="n">
        <x:f>IF(COUNT(Q69,R69,W69,X69)=0,"",ROUND((IF(ISNUMBER(Q69),Q69*'Sheet1-指标体系'!$G$7*'Sheet1-指标体系'!$J$8,0)+IF(ISNUMBER(R69),R69*'Sheet1-指标体系'!$G$7*'Sheet1-指标体系'!$J$9,0)+IF(ISNUMBER(W69),W69*'Sheet1-指标体系'!$G$8*'Sheet1-指标体系'!$J$8,0)+IF(ISNUMBER(X69),X69*'Sheet1-指标体系'!$G$8*'Sheet1-指标体系'!$J$9,0))/(IF(ISNUMBER(Q69),'Sheet1-指标体系'!$G$7*'Sheet1-指标体系'!$J$8,0)+IF(ISNUMBER(R69),'Sheet1-指标体系'!$G$7*'Sheet1-指标体系'!$J$9,0)+IF(ISNUMBER(W69),'Sheet1-指标体系'!$G$8*'Sheet1-指标体系'!$J$8,0)+IF(ISNUMBER(X69),'Sheet1-指标体系'!$G$8*'Sheet1-指标体系'!$J$9,0)),2))</x:f>
        <x:v>35.36</x:v>
      </x:c>
      <x:c r="AN69" s="52" t="n">
        <x:f>IF(ISNUMBER(AC69),AC69,"")</x:f>
        <x:v>37.93</x:v>
      </x:c>
      <x:c r="AO69" s="52" t="n">
        <x:f>IF(COUNT(AG69,AH69)=0,"",ROUND((IF(ISNUMBER(AG69),AG69*'Sheet1-指标体系'!$G$10*'Sheet1-指标体系'!$J$8,0)+IF(ISNUMBER(AH69),AH69*'Sheet1-指标体系'!$G$10*'Sheet1-指标体系'!$J$9,0))/(IF(ISNUMBER(AG69),'Sheet1-指标体系'!$G$10*'Sheet1-指标体系'!$J$8,0)+IF(ISNUMBER(AH69),'Sheet1-指标体系'!$G$10*'Sheet1-指标体系'!$J$9,0)),2))</x:f>
        <x:v>42.88</x:v>
      </x:c>
      <x:c r="AP69" s="52" t="n">
        <x:f>IF(ISNUMBER(AK69),AK69,"")</x:f>
        <x:v>100</x:v>
      </x:c>
      <x:c r="AQ69" s="27" t="n">
        <x:f>IF(G69&lt;&gt;"入池",0,IF(ISNUMBER(I69),'Sheet1-指标体系'!$G$4,0)+IF(ISNUMBER(K69),'Sheet1-指标体系'!$G$5,0)+IF(ISNUMBER(L69),'Sheet1-指标体系'!$G$6,0)+IF(ISNUMBER(Q69),'Sheet1-指标体系'!$G$7*'Sheet1-指标体系'!$J$8,0)+IF(ISNUMBER(R69),'Sheet1-指标体系'!$G$7*'Sheet1-指标体系'!$J$9,0)+IF(ISNUMBER(W69),'Sheet1-指标体系'!$G$8*'Sheet1-指标体系'!$J$8,0)+IF(ISNUMBER(X69),'Sheet1-指标体系'!$G$8*'Sheet1-指标体系'!$J$9,0)+IF(ISNUMBER(AC69),'Sheet1-指标体系'!$G$9,0)+IF(ISNUMBER(AG69),'Sheet1-指标体系'!$G$10*'Sheet1-指标体系'!$J$8,0)+IF(ISNUMBER(AH69),'Sheet1-指标体系'!$G$10*'Sheet1-指标体系'!$J$9,0)+IF(ISNUMBER(AK69),'Sheet1-指标体系'!$G$11,0))</x:f>
        <x:v>0.9549999999999998</x:v>
      </x:c>
      <x:c r="AR69" s="52" t="n">
        <x:f>IF(AQ69=0,"",IF(ISNUMBER(I69),I69*'Sheet1-指标体系'!$G$4,0)+IF(ISNUMBER(K69),K69*'Sheet1-指标体系'!$G$5,0)+IF(ISNUMBER(L69),L69*'Sheet1-指标体系'!$G$6,0)+IF(ISNUMBER(Q69),Q69*'Sheet1-指标体系'!$G$7*'Sheet1-指标体系'!$J$8,0)+IF(ISNUMBER(R69),R69*'Sheet1-指标体系'!$G$7*'Sheet1-指标体系'!$J$9,0)+IF(ISNUMBER(W69),W69*'Sheet1-指标体系'!$G$8*'Sheet1-指标体系'!$J$8,0)+IF(ISNUMBER(X69),X69*'Sheet1-指标体系'!$G$8*'Sheet1-指标体系'!$J$9,0)+IF(ISNUMBER(AC69),AC69*'Sheet1-指标体系'!$G$9,0)+IF(ISNUMBER(AG69),AG69*'Sheet1-指标体系'!$G$10*'Sheet1-指标体系'!$J$8,0)+IF(ISNUMBER(AH69),AH69*'Sheet1-指标体系'!$G$10*'Sheet1-指标体系'!$J$9,0)+IF(ISNUMBER(AK69),AK69*'Sheet1-指标体系'!$G$11,0))</x:f>
        <x:v>47.51971</x:v>
      </x:c>
      <x:c r="AS69" s="52" t="n">
        <x:f>IF(AQ69=0,"",ROUND(AR69/AQ69,2))</x:f>
        <x:v>49.76</x:v>
      </x:c>
      <x:c r="AT69" s="49" t="n">
        <x:f>IF(OR(G69&lt;&gt;"入池",NOT(ISNUMBER(AS69))),"",COUNTIFS($G$17:$G$99,"入池",$AS$17:$AS$99,"&gt;"&amp;AS69)+COUNTIFS($G$17:$G$99,"入池",$AS$17:$AS$99,AS69,$AQ$17:$AQ$99,"&gt;"&amp;AQ69)+COUNTIFS($G$17:G69,"入池",$AS$17:AS69,AS69,$AQ$17:AQ69,AQ69))</x:f>
        <x:v>63</x:v>
      </x:c>
      <x:c r="AU69" s="53" t="str">
        <x:f>IF(NOT(ISNUMBER(I69)),"管理人规模；","")&amp;IF(NOT(ISNUMBER(K69)),"产品规模标识；","")&amp;IF(NOT(ISNUMBER(M69)),"近一年收益；","")&amp;IF(NOT(ISNUMBER(T69)),"近一年胜率；","")&amp;IF(NOT(ISNUMBER(N69)),"近三年收益；","")&amp;IF(NOT(ISNUMBER(U69)),"近三年胜率；","")&amp;IF(NOT(ISNUMBER(AA69)),"近三年回撤；","")&amp;IF(NOT(ISNUMBER(AD69)),"近一年卡玛；","")&amp;IF(ISNUMBER(F69),IF(AND(F69&lt;'Sheet1-指标体系'!$J$16,NOT(ISNUMBER(O69))),"成立以来年化；",""),"成立日期；")&amp;IF(ISNUMBER(V69),IF(OR(V69&lt;0,V69&gt;1),"胜率窗口口径不一致；",""),"")&amp;IF(ISNUMBER(P69),IF(NOT(ISNUMBER(AE69)),"DD_long不可识别；",""),"")</x:f>
        <x:v>产品规模标识；</x:v>
      </x:c>
      <x:c r="AV69" s="52" t="str">
        <x:f>IF(ROUND(AQ69,10)=ROUND('Sheet1-指标体系'!$J$25,10),AR69,"")</x:f>
      </x:c>
      <x:c r="AW69" s="14" t="str">
        <x:f>IF(G69&lt;&gt;"入池",G69,IF(AQ69=0,"无有效评分数据",IF(ROUND(AQ69,10)=ROUND('Sheet1-指标体系'!$J$25,10),"完整赋分", "暂定分／数据不完整")))</x:f>
        <x:v>暂定分／数据不完整</x:v>
      </x:c>
      <x:c r="AX69" s="45" t="str">
        <x:f>IF('Sheet4-原始数据'!C54="","",'Sheet4-原始数据'!C54)</x:f>
        <x:v>套利策略</x:v>
      </x:c>
      <x:c r="AY69" s="45" t="str">
        <x:f>IF('Sheet4-原始数据'!D54="","",'Sheet4-原始数据'!D54)</x:f>
        <x:v>期货套利</x:v>
      </x:c>
      <x:c r="AZ69" s="45" t="str">
        <x:f>IF('Sheet5-查询核对'!S54="","",'Sheet5-查询核对'!S54)</x:f>
        <x:v>套利策略—期货套利</x:v>
      </x:c>
      <x:c r="BA69" s="51" t="n">
        <x:f>IF('Sheet5-查询核对'!A54="","",'Sheet5-查询核对'!A54)</x:f>
        <x:v>54</x:v>
      </x:c>
      <x:c r="BB69" s="45" t="str">
        <x:f>IF('Sheet5-查询核对'!F54="","",'Sheet5-查询核对'!F54)</x:f>
        <x:v>备案号匹配</x:v>
      </x:c>
      <x:c r="BC69" s="50" t="str">
        <x:f>IF('Sheet5-查询核对'!I54="","",'Sheet5-查询核对'!I54)</x:f>
        <x:v>https://mp.fof99.com/fund/view/da0c65e7ce600ec9</x:v>
      </x:c>
      <x:c r="BD69" s="46" t="n">
        <x:f>IF('Sheet5-查询核对'!H54="","",'Sheet5-查询核对'!H54)</x:f>
        <x:v>46269</x:v>
      </x:c>
      <x:c r="BE69" s="50" t="str">
        <x:f>IF('Sheet5-查询核对'!L54="","",'Sheet5-查询核对'!L54)</x:f>
        <x:v>https://mp.fof99.com/fund/view/da0c65e7ce600ec9</x:v>
      </x:c>
      <x:c r="BF69" s="46" t="n">
        <x:f>IF('Sheet5-查询核对'!M54="","",'Sheet5-查询核对'!M54)</x:f>
        <x:v>46275</x:v>
      </x:c>
      <x:c r="BG69" s="50" t="str">
        <x:f>IF('Sheet5-查询核对'!O54="","",'Sheet5-查询核对'!O54)</x:f>
      </x:c>
      <x:c r="BH69" s="46" t="str">
        <x:f>IF('Sheet5-查询核对'!P54="","",'Sheet5-查询核对'!P54)</x:f>
      </x:c>
      <x:c r="BI69" s="45" t="str">
        <x:f>IF('Sheet5-查询核对'!D54="","",'Sheet5-查询核对'!D54)</x:f>
        <x:v>LA063A</x:v>
      </x:c>
      <x:c r="BJ69" t="n">
        <x:f>IF(ISNUMBER(AT69),AT69,COUNT($AT$17:$AT$99)+ROWS($AT$17:AT69)-COUNT($AT$17:AT69))</x:f>
        <x:v>63</x:v>
      </x:c>
    </x:row>
    <x:row r="70" ht="44" customHeight="1">
      <x:c r="A70" s="49" t="n">
        <x:f>'Sheet5-查询核对'!A55-1</x:f>
        <x:v>54</x:v>
      </x:c>
      <x:c r="B70" s="50" t="str">
        <x:f>IF('Sheet4-原始数据'!A55="",'Sheet5-查询核对'!B55,'Sheet4-原始数据'!A55)</x:f>
        <x:v>尚湖期权套利安享1号</x:v>
      </x:c>
      <x:c r="C70" s="45" t="str">
        <x:f>IF('Sheet4-原始数据'!B55="","",'Sheet4-原始数据'!B55)</x:f>
        <x:v>SXZ850</x:v>
      </x:c>
      <x:c r="D70" s="45" t="str">
        <x:f>IF('Sheet4-原始数据'!E55="","",'Sheet4-原始数据'!E55)</x:f>
        <x:v>上海尚湖</x:v>
      </x:c>
      <x:c r="E70" s="46" t="n">
        <x:f>IF('Sheet4-原始数据'!F55="","",'Sheet4-原始数据'!F55)</x:f>
        <x:v>44915</x:v>
      </x:c>
      <x:c r="F70" s="52" t="n">
        <x:f>IF(ISNUMBER(E70),ROUND(('Sheet1-指标体系'!$J$12-E70)/'Sheet1-指标体系'!$J$14,4),"")</x:f>
        <x:v>3.7235</x:v>
      </x:c>
      <x:c r="G70" s="14" t="str">
        <x:f>IF(C70="","未匹配",IF(NOT(ISNUMBER(F70)),"缺成立日期",IF(F70&lt;'Sheet1-指标体系'!$J$15,"不入池","入池")))</x:f>
        <x:v>入池</x:v>
      </x:c>
      <x:c r="H70" s="45" t="str">
        <x:f>IF('Sheet5-查询核对'!K55="","",'Sheet5-查询核对'!K55)</x:f>
        <x:v>5-10亿元</x:v>
      </x:c>
      <x:c r="I70" s="52" t="n">
        <x:f>IF(H70="","",IF(COUNTIF('Sheet1-指标体系'!$P$4:$P$10,H70)=0,"",INDEX('Sheet1-指标体系'!$Q$4:$Q$10,MATCH(H70,'Sheet1-指标体系'!$P$4:$P$10,0))))</x:f>
        <x:v>70</x:v>
      </x:c>
      <x:c r="J70" s="54" t="str">
        <x:f>IF(NOT(ISNUMBER('Sheet5-查询核对'!N55)),"",IF('Sheet5-查询核对'!N55=1,"低于"&amp;'Sheet1-指标体系'!$J$4&amp;"万元",IF('Sheet5-查询核对'!N55=0,"无低于"&amp;'Sheet1-指标体系'!$J$4&amp;"万元标识","")))</x:f>
        <x:v>无低于1000万元标识</x:v>
      </x:c>
      <x:c r="K70" s="52" t="n">
        <x:f>IF(NOT(ISNUMBER('Sheet5-查询核对'!N55)),"",IF('Sheet5-查询核对'!N55=1,'Sheet1-指标体系'!$J$21,IF('Sheet5-查询核对'!N55=0,'Sheet1-指标体系'!$J$18,"")))</x:f>
        <x:v>100</x:v>
      </x:c>
      <x:c r="L70" s="52" t="n">
        <x:f>IF(NOT(ISNUMBER(F70)),"",IF(F70&lt;'Sheet1-指标体系'!$J$15,"",IF(F70&lt;'Sheet1-指标体系'!$J$16,'Sheet1-指标体系'!$J$17,'Sheet1-指标体系'!$J$18)))</x:f>
        <x:v>100</x:v>
      </x:c>
      <x:c r="M70" s="47" t="n">
        <x:f>IF(ISNUMBER('Sheet4-原始数据'!G55),'Sheet4-原始数据'!G55,"")</x:f>
        <x:v>0.025699999999999997</x:v>
      </x:c>
      <x:c r="N70" s="47" t="n">
        <x:f>IF(ISNUMBER('Sheet4-原始数据'!H55),'Sheet4-原始数据'!H55,"")</x:f>
        <x:v>0.049800000000000004</x:v>
      </x:c>
      <x:c r="O70" s="47" t="n">
        <x:f>IF(ISNUMBER('Sheet5-查询核对'!Q55),'Sheet5-查询核对'!Q55,"")</x:f>
        <x:v>0.050300000000000004</x:v>
      </x:c>
      <x:c r="P70" s="44" t="n">
        <x:f>IF($G70&lt;&gt;"入池","",IF($F70&gt;='Sheet1-指标体系'!$J$16,IF(COUNT(M70,N70)&lt;&gt;2,"",IF(OR(1+M70&lt;=0,1+N70&lt;0),"",((1+N70)^'Sheet1-指标体系'!$J$16/(1+M70))^(1/('Sheet1-指标体系'!$J$16-'Sheet1-指标体系'!$J$15))-1)),IF(COUNT(M70,O70)&lt;&gt;2,"",IF(OR(F70&lt;='Sheet1-指标体系'!$J$15,1+M70&lt;=0,1+O70&lt;0),"",((1+O70)^F70/(1+M70))^(1/(F70-'Sheet1-指标体系'!$J$15))-1))))</x:f>
        <x:v>0.062061522134327474</x:v>
      </x:c>
      <x:c r="Q70" s="52" t="n">
        <x:f>IF(OR($G70&lt;&gt;"入池",NOT(ISNUMBER(M70))),"",IF(COUNTIFS($G$17:$G$99,"入池",$M$17:$M$99,"&gt;=-1E+307",$M$17:$M$99,"&lt;=1E+307")&lt;=1,'Sheet1-指标体系'!$J$18,ROUND('Sheet1-指标体系'!$J$18*(COUNTIFS($G$17:$G$99,"入池",$M$17:$M$99,"&gt;=-1E+307",$M$17:$M$99,"&lt;"&amp;M70)+COUNTIFS($G$17:$G$99,"入池",$M$17:$M$99,"&gt;=-1E+307",$M$17:$M$99,"&lt;=1E+307",$M$17:$M$99,M70)/2-0.5)/(COUNTIFS($G$17:$G$99,"入池",$M$17:$M$99,"&gt;=-1E+307",$M$17:$M$99,"&lt;=1E+307")-1),2)))</x:f>
        <x:v>8.93</x:v>
      </x:c>
      <x:c r="R70" s="52" t="n">
        <x:f>IF(OR($G70&lt;&gt;"入池",NOT(ISNUMBER(P70))),"",IF(COUNTIFS($G$17:$G$99,"入池",$P$17:$P$99,"&gt;=-1E+307",$P$17:$P$99,"&lt;=1E+307")&lt;=1,'Sheet1-指标体系'!$J$18,ROUND('Sheet1-指标体系'!$J$18*(COUNTIFS($G$17:$G$99,"入池",$P$17:$P$99,"&gt;=-1E+307",$P$17:$P$99,"&lt;"&amp;P70)+COUNTIFS($G$17:$G$99,"入池",$P$17:$P$99,"&gt;=-1E+307",$P$17:$P$99,"&lt;=1E+307",$P$17:$P$99,P70)/2-0.5)/(COUNTIFS($G$17:$G$99,"入池",$P$17:$P$99,"&gt;=-1E+307",$P$17:$P$99,"&lt;=1E+307")-1),2)))</x:f>
        <x:v>40.74</x:v>
      </x:c>
      <x:c r="S70" s="52" t="n">
        <x:f>IF(COUNT(Q70,R70)=0,"",ROUND((IF(ISNUMBER(Q70),Q70*'Sheet1-指标体系'!$G$7*'Sheet1-指标体系'!$J$8,0)+IF(ISNUMBER(R70),R70*'Sheet1-指标体系'!$G$7*'Sheet1-指标体系'!$J$9,0))/(IF(ISNUMBER(Q70),'Sheet1-指标体系'!$G$7*'Sheet1-指标体系'!$J$8,0)+IF(ISNUMBER(R70),'Sheet1-指标体系'!$G$7*'Sheet1-指标体系'!$J$9,0)),2))</x:f>
        <x:v>21.65</x:v>
      </x:c>
      <x:c r="T70" s="47" t="n">
        <x:f>IF(ISNUMBER('Sheet4-原始数据'!J55),'Sheet4-原始数据'!J55,"")</x:f>
        <x:v>0.7692</x:v>
      </x:c>
      <x:c r="U70" s="47" t="n">
        <x:f>IF(ISNUMBER('Sheet4-原始数据'!I55),'Sheet4-原始数据'!I55,"")</x:f>
        <x:v>0.8378</x:v>
      </x:c>
      <x:c r="V70" s="44" t="n">
        <x:f>IF(COUNT(T70:U70)&lt;&gt;2,"",(U70*'Sheet1-指标体系'!$J$6-T70*'Sheet1-指标体系'!$J$5)/'Sheet1-指标体系'!$J$7)</x:f>
        <x:v>0.8749583333333334</x:v>
      </x:c>
      <x:c r="W70" s="52" t="n">
        <x:f>IF(NOT(ISNUMBER(T70)),"",T70*'Sheet1-指标体系'!$J$18)</x:f>
        <x:v>76.92</x:v>
      </x:c>
      <x:c r="X70" s="52" t="n">
        <x:f>IF(G70&lt;&gt;"入池","",IF(ISNUMBER(V70),IF(AND(V70&gt;=0,V70&lt;=1),V70*'Sheet1-指标体系'!$J$18,IF(MAX(0,(F70-'Sheet1-指标体系'!$J$15)*'Sheet1-指标体系'!$J$20)&lt;'Sheet1-指标体系'!$J$19,'Sheet1-指标体系'!$J$18,"")),IF(MAX(0,(F70-'Sheet1-指标体系'!$J$15)*'Sheet1-指标体系'!$J$20)&lt;'Sheet1-指标体系'!$J$19,'Sheet1-指标体系'!$J$18,"")))</x:f>
        <x:v>87.49583333333334</x:v>
      </x:c>
      <x:c r="Y70" s="52" t="n">
        <x:f>IF(NOT(ISNUMBER(W70)),"",IF(COUNT(W70,X70)=0,"",ROUND((IF(ISNUMBER(W70),W70*'Sheet1-指标体系'!$G$8*'Sheet1-指标体系'!$J$8,0)+IF(ISNUMBER(X70),X70*'Sheet1-指标体系'!$G$8*'Sheet1-指标体系'!$J$9,0))/(IF(ISNUMBER(W70),'Sheet1-指标体系'!$G$8*'Sheet1-指标体系'!$J$8,0)+IF(ISNUMBER(X70),'Sheet1-指标体系'!$G$8*'Sheet1-指标体系'!$J$9,0)),2)))</x:f>
        <x:v>81.15</x:v>
      </x:c>
      <x:c r="Z70" s="44" t="n">
        <x:f>IF(COUNT(M70,AD70)&lt;&gt;2,"",IF(AD70=0,"",ABS(M70/AD70)))</x:f>
        <x:v>0.01059881227317717</x:v>
      </x:c>
      <x:c r="AA70" s="47" t="n">
        <x:f>IF(ISNUMBER('Sheet4-原始数据'!K55),'Sheet4-原始数据'!K55,"")</x:f>
        <x:v>0.049800000000000004</x:v>
      </x:c>
      <x:c r="AB70" s="44" t="n">
        <x:f>IF(COUNT(Z70:AA70)=0,"",MAX(Z70:AA70))</x:f>
        <x:v>0.049800000000000004</x:v>
      </x:c>
      <x:c r="AC70" s="52" t="n">
        <x:f>IF(OR($G70&lt;&gt;"入池",NOT(ISNUMBER(AB70))),"",IF(COUNTIFS($G$17:$G$99,"入池",$AB$17:$AB$99,"&gt;=-1E+307",$AB$17:$AB$99,"&lt;=1E+307")&lt;=1,'Sheet1-指标体系'!$J$18,ROUND('Sheet1-指标体系'!$J$18*(COUNTIFS($G$17:$G$99,"入池",$AB$17:$AB$99,"&lt;=1E+307",$AB$17:$AB$99,"&gt;"&amp;AB70)+COUNTIFS($G$17:$G$99,"入池",$AB$17:$AB$99,"&gt;=-1E+307",$AB$17:$AB$99,"&lt;=1E+307",$AB$17:$AB$99,AB70)/2-0.5)/(COUNTIFS($G$17:$G$99,"入池",$AB$17:$AB$99,"&gt;=-1E+307",$AB$17:$AB$99,"&lt;=1E+307")-1),2)))</x:f>
        <x:v>18.97</x:v>
      </x:c>
      <x:c r="AD70" s="48" t="n">
        <x:f>IF(ISNUMBER('Sheet4-原始数据'!M55),'Sheet4-原始数据'!M55,"")</x:f>
        <x:v>2.4248</x:v>
      </x:c>
      <x:c r="AE70" s="44" t="n">
        <x:f>IF(COUNT(P70,AA70,Z70)&lt;&gt;3,"",IF(AA70&gt;Z70+'Sheet1-指标体系'!$J$11,AA70,""))</x:f>
        <x:v>0.049800000000000004</x:v>
      </x:c>
      <x:c r="AF70" s="52" t="n">
        <x:f>IF(COUNT(P70,AE70)&lt;&gt;2,"",IF(AE70=0,"",P70/AE70))</x:f>
        <x:v>1.246215303902158</x:v>
      </x:c>
      <x:c r="AG70" s="52" t="n">
        <x:f>IF(OR($G70&lt;&gt;"入池",NOT(ISNUMBER(AD70))),"",IF(COUNTIFS($G$17:$G$99,"入池",$AD$17:$AD$99,"&gt;=-1E+307",$AD$17:$AD$99,"&lt;=1E+307")&lt;=1,'Sheet1-指标体系'!$J$18,ROUND('Sheet1-指标体系'!$J$18*(COUNTIFS($G$17:$G$99,"入池",$AD$17:$AD$99,"&gt;=-1E+307",$AD$17:$AD$99,"&lt;"&amp;AD70)+COUNTIFS($G$17:$G$99,"入池",$AD$17:$AD$99,"&gt;=-1E+307",$AD$17:$AD$99,"&lt;=1E+307",$AD$17:$AD$99,AD70)/2-0.5)/(COUNTIFS($G$17:$G$99,"入池",$AD$17:$AD$99,"&gt;=-1E+307",$AD$17:$AD$99,"&lt;=1E+307")-1),2)))</x:f>
        <x:v>20</x:v>
      </x:c>
      <x:c r="AH70" s="52" t="n">
        <x:f>IF(OR($G70&lt;&gt;"入池",NOT(ISNUMBER(AF70))),"",IF(COUNTIFS($G$17:$G$99,"入池",$AF$17:$AF$99,"&gt;=-1E+307",$AF$17:$AF$99,"&lt;=1E+307")&lt;=1,'Sheet1-指标体系'!$J$18,ROUND('Sheet1-指标体系'!$J$18*(COUNTIFS($G$17:$G$99,"入池",$AF$17:$AF$99,"&gt;=-1E+307",$AF$17:$AF$99,"&lt;"&amp;AF70)+COUNTIFS($G$17:$G$99,"入池",$AF$17:$AF$99,"&gt;=-1E+307",$AF$17:$AF$99,"&lt;=1E+307",$AF$17:$AF$99,AF70)/2-0.5)/(COUNTIFS($G$17:$G$99,"入池",$AF$17:$AF$99,"&gt;=-1E+307",$AF$17:$AF$99,"&lt;=1E+307")-1),2)))</x:f>
        <x:v>14.29</x:v>
      </x:c>
      <x:c r="AI70" s="52" t="n">
        <x:f>IF(COUNT(AG70,AH70)=0,"",ROUND((IF(ISNUMBER(AG70),AG70*'Sheet1-指标体系'!$G$10*'Sheet1-指标体系'!$J$8,0)+IF(ISNUMBER(AH70),AH70*'Sheet1-指标体系'!$G$10*'Sheet1-指标体系'!$J$9,0))/(IF(ISNUMBER(AG70),'Sheet1-指标体系'!$G$10*'Sheet1-指标体系'!$J$8,0)+IF(ISNUMBER(AH70),'Sheet1-指标体系'!$G$10*'Sheet1-指标体系'!$J$9,0)),2))</x:f>
        <x:v>17.72</x:v>
      </x:c>
      <x:c r="AJ70" s="44" t="n">
        <x:f>IF(NOT(ISNUMBER(F70)),"",IF(F70&gt;='Sheet1-指标体系'!$J$16,IF(ISNUMBER(N70),N70,""),IF(ISNUMBER(O70),O70,"")))</x:f>
        <x:v>0.049800000000000004</x:v>
      </x:c>
      <x:c r="AK70" s="52" t="n">
        <x:f>IF(OR(G70&lt;&gt;"入池",COUNT(M70,AJ70)&lt;&gt;2),"",IF(M70&gt;=AJ70,'Sheet1-指标体系'!$J$18,IF(AJ70-M70&lt;'Sheet1-指标体系'!$J$10,'Sheet1-指标体系'!$J$22,'Sheet1-指标体系'!$J$23)))</x:f>
        <x:v>80</x:v>
      </x:c>
      <x:c r="AL70" s="52" t="n">
        <x:f>IF(COUNT(I70,K70,L70)=0,"",ROUND((IF(ISNUMBER(I70),I70*'Sheet1-指标体系'!$G$4,0)+IF(ISNUMBER(K70),K70*'Sheet1-指标体系'!$G$5,0)+IF(ISNUMBER(L70),L70*'Sheet1-指标体系'!$G$6,0))/(IF(ISNUMBER(I70),'Sheet1-指标体系'!$G$4,0)+IF(ISNUMBER(K70),'Sheet1-指标体系'!$G$5,0)+IF(ISNUMBER(L70),'Sheet1-指标体系'!$G$6,0)),2))</x:f>
        <x:v>88</x:v>
      </x:c>
      <x:c r="AM70" s="52" t="n">
        <x:f>IF(COUNT(Q70,R70,W70,X70)=0,"",ROUND((IF(ISNUMBER(Q70),Q70*'Sheet1-指标体系'!$G$7*'Sheet1-指标体系'!$J$8,0)+IF(ISNUMBER(R70),R70*'Sheet1-指标体系'!$G$7*'Sheet1-指标体系'!$J$9,0)+IF(ISNUMBER(W70),W70*'Sheet1-指标体系'!$G$8*'Sheet1-指标体系'!$J$8,0)+IF(ISNUMBER(X70),X70*'Sheet1-指标体系'!$G$8*'Sheet1-指标体系'!$J$9,0))/(IF(ISNUMBER(Q70),'Sheet1-指标体系'!$G$7*'Sheet1-指标体系'!$J$8,0)+IF(ISNUMBER(R70),'Sheet1-指标体系'!$G$7*'Sheet1-指标体系'!$J$9,0)+IF(ISNUMBER(W70),'Sheet1-指标体系'!$G$8*'Sheet1-指标体系'!$J$8,0)+IF(ISNUMBER(X70),'Sheet1-指标体系'!$G$8*'Sheet1-指标体系'!$J$9,0)),2))</x:f>
        <x:v>39.5</x:v>
      </x:c>
      <x:c r="AN70" s="52" t="n">
        <x:f>IF(ISNUMBER(AC70),AC70,"")</x:f>
        <x:v>18.97</x:v>
      </x:c>
      <x:c r="AO70" s="52" t="n">
        <x:f>IF(COUNT(AG70,AH70)=0,"",ROUND((IF(ISNUMBER(AG70),AG70*'Sheet1-指标体系'!$G$10*'Sheet1-指标体系'!$J$8,0)+IF(ISNUMBER(AH70),AH70*'Sheet1-指标体系'!$G$10*'Sheet1-指标体系'!$J$9,0))/(IF(ISNUMBER(AG70),'Sheet1-指标体系'!$G$10*'Sheet1-指标体系'!$J$8,0)+IF(ISNUMBER(AH70),'Sheet1-指标体系'!$G$10*'Sheet1-指标体系'!$J$9,0)),2))</x:f>
        <x:v>17.72</x:v>
      </x:c>
      <x:c r="AP70" s="52" t="n">
        <x:f>IF(ISNUMBER(AK70),AK70,"")</x:f>
        <x:v>80</x:v>
      </x:c>
      <x:c r="AQ70" s="27" t="n">
        <x:f>IF(G70&lt;&gt;"入池",0,IF(ISNUMBER(I70),'Sheet1-指标体系'!$G$4,0)+IF(ISNUMBER(K70),'Sheet1-指标体系'!$G$5,0)+IF(ISNUMBER(L70),'Sheet1-指标体系'!$G$6,0)+IF(ISNUMBER(Q70),'Sheet1-指标体系'!$G$7*'Sheet1-指标体系'!$J$8,0)+IF(ISNUMBER(R70),'Sheet1-指标体系'!$G$7*'Sheet1-指标体系'!$J$9,0)+IF(ISNUMBER(W70),'Sheet1-指标体系'!$G$8*'Sheet1-指标体系'!$J$8,0)+IF(ISNUMBER(X70),'Sheet1-指标体系'!$G$8*'Sheet1-指标体系'!$J$9,0)+IF(ISNUMBER(AC70),'Sheet1-指标体系'!$G$9,0)+IF(ISNUMBER(AG70),'Sheet1-指标体系'!$G$10*'Sheet1-指标体系'!$J$8,0)+IF(ISNUMBER(AH70),'Sheet1-指标体系'!$G$10*'Sheet1-指标体系'!$J$9,0)+IF(ISNUMBER(AK70),'Sheet1-指标体系'!$G$11,0))</x:f>
        <x:v>1</x:v>
      </x:c>
      <x:c r="AR70" s="52" t="n">
        <x:f>IF(AQ70=0,"",IF(ISNUMBER(I70),I70*'Sheet1-指标体系'!$G$4,0)+IF(ISNUMBER(K70),K70*'Sheet1-指标体系'!$G$5,0)+IF(ISNUMBER(L70),L70*'Sheet1-指标体系'!$G$6,0)+IF(ISNUMBER(Q70),Q70*'Sheet1-指标体系'!$G$7*'Sheet1-指标体系'!$J$8,0)+IF(ISNUMBER(R70),R70*'Sheet1-指标体系'!$G$7*'Sheet1-指标体系'!$J$9,0)+IF(ISNUMBER(W70),W70*'Sheet1-指标体系'!$G$8*'Sheet1-指标体系'!$J$8,0)+IF(ISNUMBER(X70),X70*'Sheet1-指标体系'!$G$8*'Sheet1-指标体系'!$J$9,0)+IF(ISNUMBER(AC70),AC70*'Sheet1-指标体系'!$G$9,0)+IF(ISNUMBER(AG70),AG70*'Sheet1-指标体系'!$G$10*'Sheet1-指标体系'!$J$8,0)+IF(ISNUMBER(AH70),AH70*'Sheet1-指标体系'!$G$10*'Sheet1-指标体系'!$J$9,0)+IF(ISNUMBER(AK70),AK70*'Sheet1-指标体系'!$G$11,0))</x:f>
        <x:v>39.157880000000006</x:v>
      </x:c>
      <x:c r="AS70" s="52" t="n">
        <x:f>IF(AQ70=0,"",ROUND(AR70/AQ70,2))</x:f>
        <x:v>39.16</x:v>
      </x:c>
      <x:c r="AT70" s="49" t="n">
        <x:f>IF(OR(G70&lt;&gt;"入池",NOT(ISNUMBER(AS70))),"",COUNTIFS($G$17:$G$99,"入池",$AS$17:$AS$99,"&gt;"&amp;AS70)+COUNTIFS($G$17:$G$99,"入池",$AS$17:$AS$99,AS70,$AQ$17:$AQ$99,"&gt;"&amp;AQ70)+COUNTIFS($G$17:G70,"入池",$AS$17:AS70,AS70,$AQ$17:AQ70,AQ70))</x:f>
        <x:v>73</x:v>
      </x:c>
      <x:c r="AU70" s="53" t="str">
        <x:f>IF(NOT(ISNUMBER(I70)),"管理人规模；","")&amp;IF(NOT(ISNUMBER(K70)),"产品规模标识；","")&amp;IF(NOT(ISNUMBER(M70)),"近一年收益；","")&amp;IF(NOT(ISNUMBER(T70)),"近一年胜率；","")&amp;IF(NOT(ISNUMBER(N70)),"近三年收益；","")&amp;IF(NOT(ISNUMBER(U70)),"近三年胜率；","")&amp;IF(NOT(ISNUMBER(AA70)),"近三年回撤；","")&amp;IF(NOT(ISNUMBER(AD70)),"近一年卡玛；","")&amp;IF(ISNUMBER(F70),IF(AND(F70&lt;'Sheet1-指标体系'!$J$16,NOT(ISNUMBER(O70))),"成立以来年化；",""),"成立日期；")&amp;IF(ISNUMBER(V70),IF(OR(V70&lt;0,V70&gt;1),"胜率窗口口径不一致；",""),"")&amp;IF(ISNUMBER(P70),IF(NOT(ISNUMBER(AE70)),"DD_long不可识别；",""),"")</x:f>
      </x:c>
      <x:c r="AV70" s="52" t="n">
        <x:f>IF(ROUND(AQ70,10)=ROUND('Sheet1-指标体系'!$J$25,10),AR70,"")</x:f>
        <x:v>39.157880000000006</x:v>
      </x:c>
      <x:c r="AW70" s="14" t="str">
        <x:f>IF(G70&lt;&gt;"入池",G70,IF(AQ70=0,"无有效评分数据",IF(ROUND(AQ70,10)=ROUND('Sheet1-指标体系'!$J$25,10),"完整赋分", "暂定分／数据不完整")))</x:f>
        <x:v>完整赋分</x:v>
      </x:c>
      <x:c r="AX70" s="45" t="str">
        <x:f>IF('Sheet4-原始数据'!C55="","",'Sheet4-原始数据'!C55)</x:f>
        <x:v>期权策略</x:v>
      </x:c>
      <x:c r="AY70" s="45" t="str">
        <x:f>IF('Sheet4-原始数据'!D55="","",'Sheet4-原始数据'!D55)</x:f>
        <x:v>场内期权</x:v>
      </x:c>
      <x:c r="AZ70" s="45" t="str">
        <x:f>IF('Sheet5-查询核对'!S55="","",'Sheet5-查询核对'!S55)</x:f>
        <x:v>期权策略</x:v>
      </x:c>
      <x:c r="BA70" s="51" t="n">
        <x:f>IF('Sheet5-查询核对'!A55="","",'Sheet5-查询核对'!A55)</x:f>
        <x:v>55</x:v>
      </x:c>
      <x:c r="BB70" s="45" t="str">
        <x:f>IF('Sheet5-查询核对'!F55="","",'Sheet5-查询核对'!F55)</x:f>
        <x:v>备案号匹配</x:v>
      </x:c>
      <x:c r="BC70" s="50" t="str">
        <x:f>IF('Sheet5-查询核对'!I55="","",'Sheet5-查询核对'!I55)</x:f>
        <x:v>https://mp.fof99.com/fund/view/6522b5ad5dcbdcbd</x:v>
      </x:c>
      <x:c r="BD70" s="46" t="n">
        <x:f>IF('Sheet5-查询核对'!H55="","",'Sheet5-查询核对'!H55)</x:f>
        <x:v>46269</x:v>
      </x:c>
      <x:c r="BE70" s="50" t="str">
        <x:f>IF('Sheet5-查询核对'!L55="","",'Sheet5-查询核对'!L55)</x:f>
        <x:v>https://mp.fof99.com/fund/view/6522b5ad5dcbdcbd</x:v>
      </x:c>
      <x:c r="BF70" s="46" t="n">
        <x:f>IF('Sheet5-查询核对'!M55="","",'Sheet5-查询核对'!M55)</x:f>
        <x:v>46275</x:v>
      </x:c>
      <x:c r="BG70" s="50" t="str">
        <x:f>IF('Sheet5-查询核对'!O55="","",'Sheet5-查询核对'!O55)</x:f>
        <x:v>https://gs.amac.org.cn/amac-infodisc/res/pof/fund/2212281000105421.html</x:v>
      </x:c>
      <x:c r="BH70" s="46" t="n">
        <x:f>IF('Sheet5-查询核对'!P55="","",'Sheet5-查询核对'!P55)</x:f>
        <x:v>46275</x:v>
      </x:c>
      <x:c r="BI70" s="45" t="str">
        <x:f>IF('Sheet5-查询核对'!D55="","",'Sheet5-查询核对'!D55)</x:f>
        <x:v>SXZ850</x:v>
      </x:c>
      <x:c r="BJ70" t="n">
        <x:f>IF(ISNUMBER(AT70),AT70,COUNT($AT$17:$AT$99)+ROWS($AT$17:AT70)-COUNT($AT$17:AT70))</x:f>
        <x:v>73</x:v>
      </x:c>
    </x:row>
    <x:row r="71" ht="44" customHeight="1">
      <x:c r="A71" s="49" t="n">
        <x:f>'Sheet5-查询核对'!A56-1</x:f>
        <x:v>55</x:v>
      </x:c>
      <x:c r="B71" s="50" t="str">
        <x:f>IF('Sheet4-原始数据'!A56="",'Sheet5-查询核对'!B56,'Sheet4-原始数据'!A56)</x:f>
        <x:v>深度梦扬量化1号</x:v>
      </x:c>
      <x:c r="C71" s="45" t="str">
        <x:f>IF('Sheet4-原始数据'!B56="","",'Sheet4-原始数据'!B56)</x:f>
        <x:v>SZM348</x:v>
      </x:c>
      <x:c r="D71" s="45" t="str">
        <x:f>IF('Sheet4-原始数据'!E56="","",'Sheet4-原始数据'!E56)</x:f>
        <x:v>杭州深度资管</x:v>
      </x:c>
      <x:c r="E71" s="46" t="n">
        <x:f>IF('Sheet4-原始数据'!F56="","",'Sheet4-原始数据'!F56)</x:f>
        <x:v>44985</x:v>
      </x:c>
      <x:c r="F71" s="52" t="n">
        <x:f>IF(ISNUMBER(E71),ROUND(('Sheet1-指标体系'!$J$12-E71)/'Sheet1-指标体系'!$J$14,4),"")</x:f>
        <x:v>3.5318</x:v>
      </x:c>
      <x:c r="G71" s="14" t="str">
        <x:f>IF(C71="","未匹配",IF(NOT(ISNUMBER(F71)),"缺成立日期",IF(F71&lt;'Sheet1-指标体系'!$J$15,"不入池","入池")))</x:f>
        <x:v>入池</x:v>
      </x:c>
      <x:c r="H71" s="45" t="str">
        <x:f>IF('Sheet5-查询核对'!K56="","",'Sheet5-查询核对'!K56)</x:f>
        <x:v>10-20亿元</x:v>
      </x:c>
      <x:c r="I71" s="52" t="n">
        <x:f>IF(H71="","",IF(COUNTIF('Sheet1-指标体系'!$P$4:$P$10,H71)=0,"",INDEX('Sheet1-指标体系'!$Q$4:$Q$10,MATCH(H71,'Sheet1-指标体系'!$P$4:$P$10,0))))</x:f>
        <x:v>80</x:v>
      </x:c>
      <x:c r="J71" s="54" t="str">
        <x:f>IF(NOT(ISNUMBER('Sheet5-查询核对'!N56)),"",IF('Sheet5-查询核对'!N56=1,"低于"&amp;'Sheet1-指标体系'!$J$4&amp;"万元",IF('Sheet5-查询核对'!N56=0,"无低于"&amp;'Sheet1-指标体系'!$J$4&amp;"万元标识","")))</x:f>
        <x:v>无低于1000万元标识</x:v>
      </x:c>
      <x:c r="K71" s="52" t="n">
        <x:f>IF(NOT(ISNUMBER('Sheet5-查询核对'!N56)),"",IF('Sheet5-查询核对'!N56=1,'Sheet1-指标体系'!$J$21,IF('Sheet5-查询核对'!N56=0,'Sheet1-指标体系'!$J$18,"")))</x:f>
        <x:v>100</x:v>
      </x:c>
      <x:c r="L71" s="52" t="n">
        <x:f>IF(NOT(ISNUMBER(F71)),"",IF(F71&lt;'Sheet1-指标体系'!$J$15,"",IF(F71&lt;'Sheet1-指标体系'!$J$16,'Sheet1-指标体系'!$J$17,'Sheet1-指标体系'!$J$18)))</x:f>
        <x:v>100</x:v>
      </x:c>
      <x:c r="M71" s="47" t="n">
        <x:f>IF(ISNUMBER('Sheet4-原始数据'!G56),'Sheet4-原始数据'!G56,"")</x:f>
        <x:v>0.0924</x:v>
      </x:c>
      <x:c r="N71" s="47" t="n">
        <x:f>IF(ISNUMBER('Sheet4-原始数据'!H56),'Sheet4-原始数据'!H56,"")</x:f>
        <x:v>0.061900000000000004</x:v>
      </x:c>
      <x:c r="O71" s="47" t="n">
        <x:f>IF(ISNUMBER('Sheet5-查询核对'!Q56),'Sheet5-查询核对'!Q56,"")</x:f>
        <x:v>0.054400000000000004</x:v>
      </x:c>
      <x:c r="P71" s="44" t="n">
        <x:f>IF($G71&lt;&gt;"入池","",IF($F71&gt;='Sheet1-指标体系'!$J$16,IF(COUNT(M71,N71)&lt;&gt;2,"",IF(OR(1+M71&lt;=0,1+N71&lt;0),"",((1+N71)^'Sheet1-指标体系'!$J$16/(1+M71))^(1/('Sheet1-指标体系'!$J$16-'Sheet1-指标体系'!$J$15))-1)),IF(COUNT(M71,O71)&lt;&gt;2,"",IF(OR(F71&lt;='Sheet1-指标体系'!$J$15,1+M71&lt;=0,1+O71&lt;0),"",((1+O71)^F71/(1+M71))^(1/(F71-'Sheet1-指标体系'!$J$15))-1))))</x:f>
        <x:v>0.04697083878038355</x:v>
      </x:c>
      <x:c r="Q71" s="52" t="n">
        <x:f>IF(OR($G71&lt;&gt;"入池",NOT(ISNUMBER(M71))),"",IF(COUNTIFS($G$17:$G$99,"入池",$M$17:$M$99,"&gt;=-1E+307",$M$17:$M$99,"&lt;=1E+307")&lt;=1,'Sheet1-指标体系'!$J$18,ROUND('Sheet1-指标体系'!$J$18*(COUNTIFS($G$17:$G$99,"入池",$M$17:$M$99,"&gt;=-1E+307",$M$17:$M$99,"&lt;"&amp;M71)+COUNTIFS($G$17:$G$99,"入池",$M$17:$M$99,"&gt;=-1E+307",$M$17:$M$99,"&lt;=1E+307",$M$17:$M$99,M71)/2-0.5)/(COUNTIFS($G$17:$G$99,"入池",$M$17:$M$99,"&gt;=-1E+307",$M$17:$M$99,"&lt;=1E+307")-1),2)))</x:f>
        <x:v>58.93</x:v>
      </x:c>
      <x:c r="R71" s="52" t="n">
        <x:f>IF(OR($G71&lt;&gt;"入池",NOT(ISNUMBER(P71))),"",IF(COUNTIFS($G$17:$G$99,"入池",$P$17:$P$99,"&gt;=-1E+307",$P$17:$P$99,"&lt;=1E+307")&lt;=1,'Sheet1-指标体系'!$J$18,ROUND('Sheet1-指标体系'!$J$18*(COUNTIFS($G$17:$G$99,"入池",$P$17:$P$99,"&gt;=-1E+307",$P$17:$P$99,"&lt;"&amp;P71)+COUNTIFS($G$17:$G$99,"入池",$P$17:$P$99,"&gt;=-1E+307",$P$17:$P$99,"&lt;=1E+307",$P$17:$P$99,P71)/2-0.5)/(COUNTIFS($G$17:$G$99,"入池",$P$17:$P$99,"&gt;=-1E+307",$P$17:$P$99,"&lt;=1E+307")-1),2)))</x:f>
        <x:v>16.67</x:v>
      </x:c>
      <x:c r="S71" s="52" t="n">
        <x:f>IF(COUNT(Q71,R71)=0,"",ROUND((IF(ISNUMBER(Q71),Q71*'Sheet1-指标体系'!$G$7*'Sheet1-指标体系'!$J$8,0)+IF(ISNUMBER(R71),R71*'Sheet1-指标体系'!$G$7*'Sheet1-指标体系'!$J$9,0))/(IF(ISNUMBER(Q71),'Sheet1-指标体系'!$G$7*'Sheet1-指标体系'!$J$8,0)+IF(ISNUMBER(R71),'Sheet1-指标体系'!$G$7*'Sheet1-指标体系'!$J$9,0)),2))</x:f>
        <x:v>42.03</x:v>
      </x:c>
      <x:c r="T71" s="47" t="n">
        <x:f>IF(ISNUMBER('Sheet4-原始数据'!J56),'Sheet4-原始数据'!J56,"")</x:f>
        <x:v>0.6923</x:v>
      </x:c>
      <x:c r="U71" s="47" t="n">
        <x:f>IF(ISNUMBER('Sheet4-原始数据'!I56),'Sheet4-原始数据'!I56,"")</x:f>
        <x:v>0.7568</x:v>
      </x:c>
      <x:c r="V71" s="44" t="n">
        <x:f>IF(COUNT(T71:U71)&lt;&gt;2,"",(U71*'Sheet1-指标体系'!$J$6-T71*'Sheet1-指标体系'!$J$5)/'Sheet1-指标体系'!$J$7)</x:f>
        <x:v>0.7917375</x:v>
      </x:c>
      <x:c r="W71" s="52" t="n">
        <x:f>IF(NOT(ISNUMBER(T71)),"",T71*'Sheet1-指标体系'!$J$18)</x:f>
        <x:v>69.23</x:v>
      </x:c>
      <x:c r="X71" s="52" t="n">
        <x:f>IF(G71&lt;&gt;"入池","",IF(ISNUMBER(V71),IF(AND(V71&gt;=0,V71&lt;=1),V71*'Sheet1-指标体系'!$J$18,IF(MAX(0,(F71-'Sheet1-指标体系'!$J$15)*'Sheet1-指标体系'!$J$20)&lt;'Sheet1-指标体系'!$J$19,'Sheet1-指标体系'!$J$18,"")),IF(MAX(0,(F71-'Sheet1-指标体系'!$J$15)*'Sheet1-指标体系'!$J$20)&lt;'Sheet1-指标体系'!$J$19,'Sheet1-指标体系'!$J$18,"")))</x:f>
        <x:v>79.17375</x:v>
      </x:c>
      <x:c r="Y71" s="52" t="n">
        <x:f>IF(NOT(ISNUMBER(W71)),"",IF(COUNT(W71,X71)=0,"",ROUND((IF(ISNUMBER(W71),W71*'Sheet1-指标体系'!$G$8*'Sheet1-指标体系'!$J$8,0)+IF(ISNUMBER(X71),X71*'Sheet1-指标体系'!$G$8*'Sheet1-指标体系'!$J$9,0))/(IF(ISNUMBER(W71),'Sheet1-指标体系'!$G$8*'Sheet1-指标体系'!$J$8,0)+IF(ISNUMBER(X71),'Sheet1-指标体系'!$G$8*'Sheet1-指标体系'!$J$9,0)),2)))</x:f>
        <x:v>73.21</x:v>
      </x:c>
      <x:c r="Z71" s="44" t="n">
        <x:f>IF(COUNT(M71,AD71)&lt;&gt;2,"",IF(AD71=0,"",ABS(M71/AD71)))</x:f>
        <x:v>0.03652029564048852</x:v>
      </x:c>
      <x:c r="AA71" s="47" t="n">
        <x:f>IF(ISNUMBER('Sheet4-原始数据'!K56),'Sheet4-原始数据'!K56,"")</x:f>
        <x:v>0.0365</x:v>
      </x:c>
      <x:c r="AB71" s="44" t="n">
        <x:f>IF(COUNT(Z71:AA71)=0,"",MAX(Z71:AA71))</x:f>
        <x:v>0.03652029564048852</x:v>
      </x:c>
      <x:c r="AC71" s="52" t="n">
        <x:f>IF(OR($G71&lt;&gt;"入池",NOT(ISNUMBER(AB71))),"",IF(COUNTIFS($G$17:$G$99,"入池",$AB$17:$AB$99,"&gt;=-1E+307",$AB$17:$AB$99,"&lt;=1E+307")&lt;=1,'Sheet1-指标体系'!$J$18,ROUND('Sheet1-指标体系'!$J$18*(COUNTIFS($G$17:$G$99,"入池",$AB$17:$AB$99,"&lt;=1E+307",$AB$17:$AB$99,"&gt;"&amp;AB71)+COUNTIFS($G$17:$G$99,"入池",$AB$17:$AB$99,"&gt;=-1E+307",$AB$17:$AB$99,"&lt;=1E+307",$AB$17:$AB$99,AB71)/2-0.5)/(COUNTIFS($G$17:$G$99,"入池",$AB$17:$AB$99,"&gt;=-1E+307",$AB$17:$AB$99,"&lt;=1E+307")-1),2)))</x:f>
        <x:v>32.76</x:v>
      </x:c>
      <x:c r="AD71" s="48" t="n">
        <x:f>IF(ISNUMBER('Sheet4-原始数据'!M56),'Sheet4-原始数据'!M56,"")</x:f>
        <x:v>2.5301</x:v>
      </x:c>
      <x:c r="AE71" s="44" t="str">
        <x:f>IF(COUNT(P71,AA71,Z71)&lt;&gt;3,"",IF(AA71&gt;Z71+'Sheet1-指标体系'!$J$11,AA71,""))</x:f>
      </x:c>
      <x:c r="AF71" s="52" t="str">
        <x:f>IF(COUNT(P71,AE71)&lt;&gt;2,"",IF(AE71=0,"",P71/AE71))</x:f>
      </x:c>
      <x:c r="AG71" s="52" t="n">
        <x:f>IF(OR($G71&lt;&gt;"入池",NOT(ISNUMBER(AD71))),"",IF(COUNTIFS($G$17:$G$99,"入池",$AD$17:$AD$99,"&gt;=-1E+307",$AD$17:$AD$99,"&lt;=1E+307")&lt;=1,'Sheet1-指标体系'!$J$18,ROUND('Sheet1-指标体系'!$J$18*(COUNTIFS($G$17:$G$99,"入池",$AD$17:$AD$99,"&gt;=-1E+307",$AD$17:$AD$99,"&lt;"&amp;AD71)+COUNTIFS($G$17:$G$99,"入池",$AD$17:$AD$99,"&gt;=-1E+307",$AD$17:$AD$99,"&lt;=1E+307",$AD$17:$AD$99,AD71)/2-0.5)/(COUNTIFS($G$17:$G$99,"入池",$AD$17:$AD$99,"&gt;=-1E+307",$AD$17:$AD$99,"&lt;=1E+307")-1),2)))</x:f>
        <x:v>21.82</x:v>
      </x:c>
      <x:c r="AH71" s="52" t="str">
        <x:f>IF(OR($G71&lt;&gt;"入池",NOT(ISNUMBER(AF71))),"",IF(COUNTIFS($G$17:$G$99,"入池",$AF$17:$AF$99,"&gt;=-1E+307",$AF$17:$AF$99,"&lt;=1E+307")&lt;=1,'Sheet1-指标体系'!$J$18,ROUND('Sheet1-指标体系'!$J$18*(COUNTIFS($G$17:$G$99,"入池",$AF$17:$AF$99,"&gt;=-1E+307",$AF$17:$AF$99,"&lt;"&amp;AF71)+COUNTIFS($G$17:$G$99,"入池",$AF$17:$AF$99,"&gt;=-1E+307",$AF$17:$AF$99,"&lt;=1E+307",$AF$17:$AF$99,AF71)/2-0.5)/(COUNTIFS($G$17:$G$99,"入池",$AF$17:$AF$99,"&gt;=-1E+307",$AF$17:$AF$99,"&lt;=1E+307")-1),2)))</x:f>
      </x:c>
      <x:c r="AI71" s="52" t="n">
        <x:f>IF(COUNT(AG71,AH71)=0,"",ROUND((IF(ISNUMBER(AG71),AG71*'Sheet1-指标体系'!$G$10*'Sheet1-指标体系'!$J$8,0)+IF(ISNUMBER(AH71),AH71*'Sheet1-指标体系'!$G$10*'Sheet1-指标体系'!$J$9,0))/(IF(ISNUMBER(AG71),'Sheet1-指标体系'!$G$10*'Sheet1-指标体系'!$J$8,0)+IF(ISNUMBER(AH71),'Sheet1-指标体系'!$G$10*'Sheet1-指标体系'!$J$9,0)),2))</x:f>
        <x:v>21.82</x:v>
      </x:c>
      <x:c r="AJ71" s="44" t="n">
        <x:f>IF(NOT(ISNUMBER(F71)),"",IF(F71&gt;='Sheet1-指标体系'!$J$16,IF(ISNUMBER(N71),N71,""),IF(ISNUMBER(O71),O71,"")))</x:f>
        <x:v>0.061900000000000004</x:v>
      </x:c>
      <x:c r="AK71" s="52" t="n">
        <x:f>IF(OR(G71&lt;&gt;"入池",COUNT(M71,AJ71)&lt;&gt;2),"",IF(M71&gt;=AJ71,'Sheet1-指标体系'!$J$18,IF(AJ71-M71&lt;'Sheet1-指标体系'!$J$10,'Sheet1-指标体系'!$J$22,'Sheet1-指标体系'!$J$23)))</x:f>
        <x:v>100</x:v>
      </x:c>
      <x:c r="AL71" s="52" t="n">
        <x:f>IF(COUNT(I71,K71,L71)=0,"",ROUND((IF(ISNUMBER(I71),I71*'Sheet1-指标体系'!$G$4,0)+IF(ISNUMBER(K71),K71*'Sheet1-指标体系'!$G$5,0)+IF(ISNUMBER(L71),L71*'Sheet1-指标体系'!$G$6,0))/(IF(ISNUMBER(I71),'Sheet1-指标体系'!$G$4,0)+IF(ISNUMBER(K71),'Sheet1-指标体系'!$G$5,0)+IF(ISNUMBER(L71),'Sheet1-指标体系'!$G$6,0)),2))</x:f>
        <x:v>92</x:v>
      </x:c>
      <x:c r="AM71" s="52" t="n">
        <x:f>IF(COUNT(Q71,R71,W71,X71)=0,"",ROUND((IF(ISNUMBER(Q71),Q71*'Sheet1-指标体系'!$G$7*'Sheet1-指标体系'!$J$8,0)+IF(ISNUMBER(R71),R71*'Sheet1-指标体系'!$G$7*'Sheet1-指标体系'!$J$9,0)+IF(ISNUMBER(W71),W71*'Sheet1-指标体系'!$G$8*'Sheet1-指标体系'!$J$8,0)+IF(ISNUMBER(X71),X71*'Sheet1-指标体系'!$G$8*'Sheet1-指标体系'!$J$9,0))/(IF(ISNUMBER(Q71),'Sheet1-指标体系'!$G$7*'Sheet1-指标体系'!$J$8,0)+IF(ISNUMBER(R71),'Sheet1-指标体系'!$G$7*'Sheet1-指标体系'!$J$9,0)+IF(ISNUMBER(W71),'Sheet1-指标体系'!$G$8*'Sheet1-指标体系'!$J$8,0)+IF(ISNUMBER(X71),'Sheet1-指标体系'!$G$8*'Sheet1-指标体系'!$J$9,0)),2))</x:f>
        <x:v>51.38</x:v>
      </x:c>
      <x:c r="AN71" s="52" t="n">
        <x:f>IF(ISNUMBER(AC71),AC71,"")</x:f>
        <x:v>32.76</x:v>
      </x:c>
      <x:c r="AO71" s="52" t="n">
        <x:f>IF(COUNT(AG71,AH71)=0,"",ROUND((IF(ISNUMBER(AG71),AG71*'Sheet1-指标体系'!$G$10*'Sheet1-指标体系'!$J$8,0)+IF(ISNUMBER(AH71),AH71*'Sheet1-指标体系'!$G$10*'Sheet1-指标体系'!$J$9,0))/(IF(ISNUMBER(AG71),'Sheet1-指标体系'!$G$10*'Sheet1-指标体系'!$J$8,0)+IF(ISNUMBER(AH71),'Sheet1-指标体系'!$G$10*'Sheet1-指标体系'!$J$9,0)),2))</x:f>
        <x:v>21.82</x:v>
      </x:c>
      <x:c r="AP71" s="52" t="n">
        <x:f>IF(ISNUMBER(AK71),AK71,"")</x:f>
        <x:v>100</x:v>
      </x:c>
      <x:c r="AQ71" s="27" t="n">
        <x:f>IF(G71&lt;&gt;"入池",0,IF(ISNUMBER(I71),'Sheet1-指标体系'!$G$4,0)+IF(ISNUMBER(K71),'Sheet1-指标体系'!$G$5,0)+IF(ISNUMBER(L71),'Sheet1-指标体系'!$G$6,0)+IF(ISNUMBER(Q71),'Sheet1-指标体系'!$G$7*'Sheet1-指标体系'!$J$8,0)+IF(ISNUMBER(R71),'Sheet1-指标体系'!$G$7*'Sheet1-指标体系'!$J$9,0)+IF(ISNUMBER(W71),'Sheet1-指标体系'!$G$8*'Sheet1-指标体系'!$J$8,0)+IF(ISNUMBER(X71),'Sheet1-指标体系'!$G$8*'Sheet1-指标体系'!$J$9,0)+IF(ISNUMBER(AC71),'Sheet1-指标体系'!$G$9,0)+IF(ISNUMBER(AG71),'Sheet1-指标体系'!$G$10*'Sheet1-指标体系'!$J$8,0)+IF(ISNUMBER(AH71),'Sheet1-指标体系'!$G$10*'Sheet1-指标体系'!$J$9,0)+IF(ISNUMBER(AK71),'Sheet1-指标体系'!$G$11,0))</x:f>
        <x:v>0.88</x:v>
      </x:c>
      <x:c r="AR71" s="52" t="n">
        <x:f>IF(AQ71=0,"",IF(ISNUMBER(I71),I71*'Sheet1-指标体系'!$G$4,0)+IF(ISNUMBER(K71),K71*'Sheet1-指标体系'!$G$5,0)+IF(ISNUMBER(L71),L71*'Sheet1-指标体系'!$G$6,0)+IF(ISNUMBER(Q71),Q71*'Sheet1-指标体系'!$G$7*'Sheet1-指标体系'!$J$8,0)+IF(ISNUMBER(R71),R71*'Sheet1-指标体系'!$G$7*'Sheet1-指标体系'!$J$9,0)+IF(ISNUMBER(W71),W71*'Sheet1-指标体系'!$G$8*'Sheet1-指标体系'!$J$8,0)+IF(ISNUMBER(X71),X71*'Sheet1-指标体系'!$G$8*'Sheet1-指标体系'!$J$9,0)+IF(ISNUMBER(AC71),AC71*'Sheet1-指标体系'!$G$9,0)+IF(ISNUMBER(AG71),AG71*'Sheet1-指标体系'!$G$10*'Sheet1-指标体系'!$J$8,0)+IF(ISNUMBER(AH71),AH71*'Sheet1-指标体系'!$G$10*'Sheet1-指标体系'!$J$9,0)+IF(ISNUMBER(AK71),AK71*'Sheet1-指标体系'!$G$11,0))</x:f>
        <x:v>46.19369</x:v>
      </x:c>
      <x:c r="AS71" s="52" t="n">
        <x:f>IF(AQ71=0,"",ROUND(AR71/AQ71,2))</x:f>
        <x:v>52.49</x:v>
      </x:c>
      <x:c r="AT71" s="49" t="n">
        <x:f>IF(OR(G71&lt;&gt;"入池",NOT(ISNUMBER(AS71))),"",COUNTIFS($G$17:$G$99,"入池",$AS$17:$AS$99,"&gt;"&amp;AS71)+COUNTIFS($G$17:$G$99,"入池",$AS$17:$AS$99,AS71,$AQ$17:$AQ$99,"&gt;"&amp;AQ71)+COUNTIFS($G$17:G71,"入池",$AS$17:AS71,AS71,$AQ$17:AQ71,AQ71))</x:f>
        <x:v>61</x:v>
      </x:c>
      <x:c r="AU71" s="53" t="str">
        <x:f>IF(NOT(ISNUMBER(I71)),"管理人规模；","")&amp;IF(NOT(ISNUMBER(K71)),"产品规模标识；","")&amp;IF(NOT(ISNUMBER(M71)),"近一年收益；","")&amp;IF(NOT(ISNUMBER(T71)),"近一年胜率；","")&amp;IF(NOT(ISNUMBER(N71)),"近三年收益；","")&amp;IF(NOT(ISNUMBER(U71)),"近三年胜率；","")&amp;IF(NOT(ISNUMBER(AA71)),"近三年回撤；","")&amp;IF(NOT(ISNUMBER(AD71)),"近一年卡玛；","")&amp;IF(ISNUMBER(F71),IF(AND(F71&lt;'Sheet1-指标体系'!$J$16,NOT(ISNUMBER(O71))),"成立以来年化；",""),"成立日期；")&amp;IF(ISNUMBER(V71),IF(OR(V71&lt;0,V71&gt;1),"胜率窗口口径不一致；",""),"")&amp;IF(ISNUMBER(P71),IF(NOT(ISNUMBER(AE71)),"DD_long不可识别；",""),"")</x:f>
        <x:v>DD_long不可识别；</x:v>
      </x:c>
      <x:c r="AV71" s="52" t="str">
        <x:f>IF(ROUND(AQ71,10)=ROUND('Sheet1-指标体系'!$J$25,10),AR71,"")</x:f>
      </x:c>
      <x:c r="AW71" s="14" t="str">
        <x:f>IF(G71&lt;&gt;"入池",G71,IF(AQ71=0,"无有效评分数据",IF(ROUND(AQ71,10)=ROUND('Sheet1-指标体系'!$J$25,10),"完整赋分", "暂定分／数据不完整")))</x:f>
        <x:v>暂定分／数据不完整</x:v>
      </x:c>
      <x:c r="AX71" s="45" t="str">
        <x:f>IF('Sheet4-原始数据'!C56="","",'Sheet4-原始数据'!C56)</x:f>
        <x:v>期权策略</x:v>
      </x:c>
      <x:c r="AY71" s="45" t="str">
        <x:f>IF('Sheet4-原始数据'!D56="","",'Sheet4-原始数据'!D56)</x:f>
        <x:v>场内期权</x:v>
      </x:c>
      <x:c r="AZ71" s="45" t="str">
        <x:f>IF('Sheet5-查询核对'!S56="","",'Sheet5-查询核对'!S56)</x:f>
        <x:v>期权策略</x:v>
      </x:c>
      <x:c r="BA71" s="51" t="n">
        <x:f>IF('Sheet5-查询核对'!A56="","",'Sheet5-查询核对'!A56)</x:f>
        <x:v>56</x:v>
      </x:c>
      <x:c r="BB71" s="45" t="str">
        <x:f>IF('Sheet5-查询核对'!F56="","",'Sheet5-查询核对'!F56)</x:f>
        <x:v>备案号匹配</x:v>
      </x:c>
      <x:c r="BC71" s="50" t="str">
        <x:f>IF('Sheet5-查询核对'!I56="","",'Sheet5-查询核对'!I56)</x:f>
        <x:v>https://mp.fof99.com/fund/view/d84950ffb7571587</x:v>
      </x:c>
      <x:c r="BD71" s="46" t="n">
        <x:f>IF('Sheet5-查询核对'!H56="","",'Sheet5-查询核对'!H56)</x:f>
        <x:v>46269</x:v>
      </x:c>
      <x:c r="BE71" s="50" t="str">
        <x:f>IF('Sheet5-查询核对'!L56="","",'Sheet5-查询核对'!L56)</x:f>
        <x:v>https://mp.fof99.com/fund/view/d84950ffb7571587</x:v>
      </x:c>
      <x:c r="BF71" s="46" t="n">
        <x:f>IF('Sheet5-查询核对'!M56="","",'Sheet5-查询核对'!M56)</x:f>
        <x:v>46275</x:v>
      </x:c>
      <x:c r="BG71" s="50" t="str">
        <x:f>IF('Sheet5-查询核对'!O56="","",'Sheet5-查询核对'!O56)</x:f>
        <x:v>https://gs.amac.org.cn/amac-infodisc/res/pof/fund/2303031716101421.html</x:v>
      </x:c>
      <x:c r="BH71" s="46" t="n">
        <x:f>IF('Sheet5-查询核对'!P56="","",'Sheet5-查询核对'!P56)</x:f>
        <x:v>46275</x:v>
      </x:c>
      <x:c r="BI71" s="45" t="str">
        <x:f>IF('Sheet5-查询核对'!D56="","",'Sheet5-查询核对'!D56)</x:f>
        <x:v>SZM348</x:v>
      </x:c>
      <x:c r="BJ71" t="n">
        <x:f>IF(ISNUMBER(AT71),AT71,COUNT($AT$17:$AT$99)+ROWS($AT$17:AT71)-COUNT($AT$17:AT71))</x:f>
        <x:v>61</x:v>
      </x:c>
    </x:row>
    <x:row r="72" ht="44" customHeight="1">
      <x:c r="A72" s="49" t="n">
        <x:f>'Sheet5-查询核对'!A57-1</x:f>
        <x:v>56</x:v>
      </x:c>
      <x:c r="B72" s="50" t="str">
        <x:f>IF('Sheet4-原始数据'!A57="",'Sheet5-查询核对'!B57,'Sheet4-原始数据'!A57)</x:f>
        <x:v>深度梦扬量化套利0号</x:v>
      </x:c>
      <x:c r="C72" s="45" t="str">
        <x:f>IF('Sheet4-原始数据'!B57="","",'Sheet4-原始数据'!B57)</x:f>
        <x:v>SQD620</x:v>
      </x:c>
      <x:c r="D72" s="45" t="str">
        <x:f>IF('Sheet4-原始数据'!E57="","",'Sheet4-原始数据'!E57)</x:f>
        <x:v>杭州深度资管</x:v>
      </x:c>
      <x:c r="E72" s="46" t="n">
        <x:f>IF('Sheet4-原始数据'!F57="","",'Sheet4-原始数据'!F57)</x:f>
        <x:v>44305</x:v>
      </x:c>
      <x:c r="F72" s="52" t="n">
        <x:f>IF(ISNUMBER(E72),ROUND(('Sheet1-指标体系'!$J$12-E72)/'Sheet1-指标体系'!$J$14,4),"")</x:f>
        <x:v>5.3936</x:v>
      </x:c>
      <x:c r="G72" s="14" t="str">
        <x:f>IF(C72="","未匹配",IF(NOT(ISNUMBER(F72)),"缺成立日期",IF(F72&lt;'Sheet1-指标体系'!$J$15,"不入池","入池")))</x:f>
        <x:v>入池</x:v>
      </x:c>
      <x:c r="H72" s="45" t="str">
        <x:f>IF('Sheet5-查询核对'!K57="","",'Sheet5-查询核对'!K57)</x:f>
        <x:v>10-20亿元</x:v>
      </x:c>
      <x:c r="I72" s="52" t="n">
        <x:f>IF(H72="","",IF(COUNTIF('Sheet1-指标体系'!$P$4:$P$10,H72)=0,"",INDEX('Sheet1-指标体系'!$Q$4:$Q$10,MATCH(H72,'Sheet1-指标体系'!$P$4:$P$10,0))))</x:f>
        <x:v>80</x:v>
      </x:c>
      <x:c r="J72" s="54" t="str">
        <x:f>IF(NOT(ISNUMBER('Sheet5-查询核对'!N57)),"",IF('Sheet5-查询核对'!N57=1,"低于"&amp;'Sheet1-指标体系'!$J$4&amp;"万元",IF('Sheet5-查询核对'!N57=0,"无低于"&amp;'Sheet1-指标体系'!$J$4&amp;"万元标识","")))</x:f>
        <x:v>无低于1000万元标识</x:v>
      </x:c>
      <x:c r="K72" s="52" t="n">
        <x:f>IF(NOT(ISNUMBER('Sheet5-查询核对'!N57)),"",IF('Sheet5-查询核对'!N57=1,'Sheet1-指标体系'!$J$21,IF('Sheet5-查询核对'!N57=0,'Sheet1-指标体系'!$J$18,"")))</x:f>
        <x:v>100</x:v>
      </x:c>
      <x:c r="L72" s="52" t="n">
        <x:f>IF(NOT(ISNUMBER(F72)),"",IF(F72&lt;'Sheet1-指标体系'!$J$15,"",IF(F72&lt;'Sheet1-指标体系'!$J$16,'Sheet1-指标体系'!$J$17,'Sheet1-指标体系'!$J$18)))</x:f>
        <x:v>100</x:v>
      </x:c>
      <x:c r="M72" s="47" t="str">
        <x:f>IF(ISNUMBER('Sheet4-原始数据'!G57),'Sheet4-原始数据'!G57,"")</x:f>
      </x:c>
      <x:c r="N72" s="47" t="str">
        <x:f>IF(ISNUMBER('Sheet4-原始数据'!H57),'Sheet4-原始数据'!H57,"")</x:f>
      </x:c>
      <x:c r="O72" s="47" t="str">
        <x:f>IF(ISNUMBER('Sheet5-查询核对'!Q57),'Sheet5-查询核对'!Q57,"")</x:f>
      </x:c>
      <x:c r="P72" s="44" t="str">
        <x:f>IF($G72&lt;&gt;"入池","",IF($F72&gt;='Sheet1-指标体系'!$J$16,IF(COUNT(M72,N72)&lt;&gt;2,"",IF(OR(1+M72&lt;=0,1+N72&lt;0),"",((1+N72)^'Sheet1-指标体系'!$J$16/(1+M72))^(1/('Sheet1-指标体系'!$J$16-'Sheet1-指标体系'!$J$15))-1)),IF(COUNT(M72,O72)&lt;&gt;2,"",IF(OR(F72&lt;='Sheet1-指标体系'!$J$15,1+M72&lt;=0,1+O72&lt;0),"",((1+O72)^F72/(1+M72))^(1/(F72-'Sheet1-指标体系'!$J$15))-1))))</x:f>
      </x:c>
      <x:c r="Q72" s="52" t="str">
        <x:f>IF(OR($G72&lt;&gt;"入池",NOT(ISNUMBER(M72))),"",IF(COUNTIFS($G$17:$G$99,"入池",$M$17:$M$99,"&gt;=-1E+307",$M$17:$M$99,"&lt;=1E+307")&lt;=1,'Sheet1-指标体系'!$J$18,ROUND('Sheet1-指标体系'!$J$18*(COUNTIFS($G$17:$G$99,"入池",$M$17:$M$99,"&gt;=-1E+307",$M$17:$M$99,"&lt;"&amp;M72)+COUNTIFS($G$17:$G$99,"入池",$M$17:$M$99,"&gt;=-1E+307",$M$17:$M$99,"&lt;=1E+307",$M$17:$M$99,M72)/2-0.5)/(COUNTIFS($G$17:$G$99,"入池",$M$17:$M$99,"&gt;=-1E+307",$M$17:$M$99,"&lt;=1E+307")-1),2)))</x:f>
      </x:c>
      <x:c r="R72" s="52" t="str">
        <x:f>IF(OR($G72&lt;&gt;"入池",NOT(ISNUMBER(P72))),"",IF(COUNTIFS($G$17:$G$99,"入池",$P$17:$P$99,"&gt;=-1E+307",$P$17:$P$99,"&lt;=1E+307")&lt;=1,'Sheet1-指标体系'!$J$18,ROUND('Sheet1-指标体系'!$J$18*(COUNTIFS($G$17:$G$99,"入池",$P$17:$P$99,"&gt;=-1E+307",$P$17:$P$99,"&lt;"&amp;P72)+COUNTIFS($G$17:$G$99,"入池",$P$17:$P$99,"&gt;=-1E+307",$P$17:$P$99,"&lt;=1E+307",$P$17:$P$99,P72)/2-0.5)/(COUNTIFS($G$17:$G$99,"入池",$P$17:$P$99,"&gt;=-1E+307",$P$17:$P$99,"&lt;=1E+307")-1),2)))</x:f>
      </x:c>
      <x:c r="S72" s="52" t="str">
        <x:f>IF(COUNT(Q72,R72)=0,"",ROUND((IF(ISNUMBER(Q72),Q72*'Sheet1-指标体系'!$G$7*'Sheet1-指标体系'!$J$8,0)+IF(ISNUMBER(R72),R72*'Sheet1-指标体系'!$G$7*'Sheet1-指标体系'!$J$9,0))/(IF(ISNUMBER(Q72),'Sheet1-指标体系'!$G$7*'Sheet1-指标体系'!$J$8,0)+IF(ISNUMBER(R72),'Sheet1-指标体系'!$G$7*'Sheet1-指标体系'!$J$9,0)),2))</x:f>
      </x:c>
      <x:c r="T72" s="47" t="str">
        <x:f>IF(ISNUMBER('Sheet4-原始数据'!J57),'Sheet4-原始数据'!J57,"")</x:f>
      </x:c>
      <x:c r="U72" s="47" t="str">
        <x:f>IF(ISNUMBER('Sheet4-原始数据'!I57),'Sheet4-原始数据'!I57,"")</x:f>
      </x:c>
      <x:c r="V72" s="44" t="str">
        <x:f>IF(COUNT(T72:U72)&lt;&gt;2,"",(U72*'Sheet1-指标体系'!$J$6-T72*'Sheet1-指标体系'!$J$5)/'Sheet1-指标体系'!$J$7)</x:f>
      </x:c>
      <x:c r="W72" s="52" t="str">
        <x:f>IF(NOT(ISNUMBER(T72)),"",T72*'Sheet1-指标体系'!$J$18)</x:f>
      </x:c>
      <x:c r="X72" s="52" t="str">
        <x:f>IF(G72&lt;&gt;"入池","",IF(ISNUMBER(V72),IF(AND(V72&gt;=0,V72&lt;=1),V72*'Sheet1-指标体系'!$J$18,IF(MAX(0,(F72-'Sheet1-指标体系'!$J$15)*'Sheet1-指标体系'!$J$20)&lt;'Sheet1-指标体系'!$J$19,'Sheet1-指标体系'!$J$18,"")),IF(MAX(0,(F72-'Sheet1-指标体系'!$J$15)*'Sheet1-指标体系'!$J$20)&lt;'Sheet1-指标体系'!$J$19,'Sheet1-指标体系'!$J$18,"")))</x:f>
      </x:c>
      <x:c r="Y72" s="52" t="str">
        <x:f>IF(NOT(ISNUMBER(W72)),"",IF(COUNT(W72,X72)=0,"",ROUND((IF(ISNUMBER(W72),W72*'Sheet1-指标体系'!$G$8*'Sheet1-指标体系'!$J$8,0)+IF(ISNUMBER(X72),X72*'Sheet1-指标体系'!$G$8*'Sheet1-指标体系'!$J$9,0))/(IF(ISNUMBER(W72),'Sheet1-指标体系'!$G$8*'Sheet1-指标体系'!$J$8,0)+IF(ISNUMBER(X72),'Sheet1-指标体系'!$G$8*'Sheet1-指标体系'!$J$9,0)),2)))</x:f>
      </x:c>
      <x:c r="Z72" s="44" t="str">
        <x:f>IF(COUNT(M72,AD72)&lt;&gt;2,"",IF(AD72=0,"",ABS(M72/AD72)))</x:f>
      </x:c>
      <x:c r="AA72" s="47" t="str">
        <x:f>IF(ISNUMBER('Sheet4-原始数据'!K57),'Sheet4-原始数据'!K57,"")</x:f>
      </x:c>
      <x:c r="AB72" s="44" t="str">
        <x:f>IF(COUNT(Z72:AA72)=0,"",MAX(Z72:AA72))</x:f>
      </x:c>
      <x:c r="AC72" s="52" t="str">
        <x:f>IF(OR($G72&lt;&gt;"入池",NOT(ISNUMBER(AB72))),"",IF(COUNTIFS($G$17:$G$99,"入池",$AB$17:$AB$99,"&gt;=-1E+307",$AB$17:$AB$99,"&lt;=1E+307")&lt;=1,'Sheet1-指标体系'!$J$18,ROUND('Sheet1-指标体系'!$J$18*(COUNTIFS($G$17:$G$99,"入池",$AB$17:$AB$99,"&lt;=1E+307",$AB$17:$AB$99,"&gt;"&amp;AB72)+COUNTIFS($G$17:$G$99,"入池",$AB$17:$AB$99,"&gt;=-1E+307",$AB$17:$AB$99,"&lt;=1E+307",$AB$17:$AB$99,AB72)/2-0.5)/(COUNTIFS($G$17:$G$99,"入池",$AB$17:$AB$99,"&gt;=-1E+307",$AB$17:$AB$99,"&lt;=1E+307")-1),2)))</x:f>
      </x:c>
      <x:c r="AD72" s="48" t="str">
        <x:f>IF(ISNUMBER('Sheet4-原始数据'!M57),'Sheet4-原始数据'!M57,"")</x:f>
      </x:c>
      <x:c r="AE72" s="44" t="str">
        <x:f>IF(COUNT(P72,AA72,Z72)&lt;&gt;3,"",IF(AA72&gt;Z72+'Sheet1-指标体系'!$J$11,AA72,""))</x:f>
      </x:c>
      <x:c r="AF72" s="52" t="str">
        <x:f>IF(COUNT(P72,AE72)&lt;&gt;2,"",IF(AE72=0,"",P72/AE72))</x:f>
      </x:c>
      <x:c r="AG72" s="52" t="str">
        <x:f>IF(OR($G72&lt;&gt;"入池",NOT(ISNUMBER(AD72))),"",IF(COUNTIFS($G$17:$G$99,"入池",$AD$17:$AD$99,"&gt;=-1E+307",$AD$17:$AD$99,"&lt;=1E+307")&lt;=1,'Sheet1-指标体系'!$J$18,ROUND('Sheet1-指标体系'!$J$18*(COUNTIFS($G$17:$G$99,"入池",$AD$17:$AD$99,"&gt;=-1E+307",$AD$17:$AD$99,"&lt;"&amp;AD72)+COUNTIFS($G$17:$G$99,"入池",$AD$17:$AD$99,"&gt;=-1E+307",$AD$17:$AD$99,"&lt;=1E+307",$AD$17:$AD$99,AD72)/2-0.5)/(COUNTIFS($G$17:$G$99,"入池",$AD$17:$AD$99,"&gt;=-1E+307",$AD$17:$AD$99,"&lt;=1E+307")-1),2)))</x:f>
      </x:c>
      <x:c r="AH72" s="52" t="str">
        <x:f>IF(OR($G72&lt;&gt;"入池",NOT(ISNUMBER(AF72))),"",IF(COUNTIFS($G$17:$G$99,"入池",$AF$17:$AF$99,"&gt;=-1E+307",$AF$17:$AF$99,"&lt;=1E+307")&lt;=1,'Sheet1-指标体系'!$J$18,ROUND('Sheet1-指标体系'!$J$18*(COUNTIFS($G$17:$G$99,"入池",$AF$17:$AF$99,"&gt;=-1E+307",$AF$17:$AF$99,"&lt;"&amp;AF72)+COUNTIFS($G$17:$G$99,"入池",$AF$17:$AF$99,"&gt;=-1E+307",$AF$17:$AF$99,"&lt;=1E+307",$AF$17:$AF$99,AF72)/2-0.5)/(COUNTIFS($G$17:$G$99,"入池",$AF$17:$AF$99,"&gt;=-1E+307",$AF$17:$AF$99,"&lt;=1E+307")-1),2)))</x:f>
      </x:c>
      <x:c r="AI72" s="52" t="str">
        <x:f>IF(COUNT(AG72,AH72)=0,"",ROUND((IF(ISNUMBER(AG72),AG72*'Sheet1-指标体系'!$G$10*'Sheet1-指标体系'!$J$8,0)+IF(ISNUMBER(AH72),AH72*'Sheet1-指标体系'!$G$10*'Sheet1-指标体系'!$J$9,0))/(IF(ISNUMBER(AG72),'Sheet1-指标体系'!$G$10*'Sheet1-指标体系'!$J$8,0)+IF(ISNUMBER(AH72),'Sheet1-指标体系'!$G$10*'Sheet1-指标体系'!$J$9,0)),2))</x:f>
      </x:c>
      <x:c r="AJ72" s="44" t="str">
        <x:f>IF(NOT(ISNUMBER(F72)),"",IF(F72&gt;='Sheet1-指标体系'!$J$16,IF(ISNUMBER(N72),N72,""),IF(ISNUMBER(O72),O72,"")))</x:f>
      </x:c>
      <x:c r="AK72" s="52" t="str">
        <x:f>IF(OR(G72&lt;&gt;"入池",COUNT(M72,AJ72)&lt;&gt;2),"",IF(M72&gt;=AJ72,'Sheet1-指标体系'!$J$18,IF(AJ72-M72&lt;'Sheet1-指标体系'!$J$10,'Sheet1-指标体系'!$J$22,'Sheet1-指标体系'!$J$23)))</x:f>
      </x:c>
      <x:c r="AL72" s="52" t="n">
        <x:f>IF(COUNT(I72,K72,L72)=0,"",ROUND((IF(ISNUMBER(I72),I72*'Sheet1-指标体系'!$G$4,0)+IF(ISNUMBER(K72),K72*'Sheet1-指标体系'!$G$5,0)+IF(ISNUMBER(L72),L72*'Sheet1-指标体系'!$G$6,0))/(IF(ISNUMBER(I72),'Sheet1-指标体系'!$G$4,0)+IF(ISNUMBER(K72),'Sheet1-指标体系'!$G$5,0)+IF(ISNUMBER(L72),'Sheet1-指标体系'!$G$6,0)),2))</x:f>
        <x:v>92</x:v>
      </x:c>
      <x:c r="AM72" s="52" t="str">
        <x:f>IF(COUNT(Q72,R72,W72,X72)=0,"",ROUND((IF(ISNUMBER(Q72),Q72*'Sheet1-指标体系'!$G$7*'Sheet1-指标体系'!$J$8,0)+IF(ISNUMBER(R72),R72*'Sheet1-指标体系'!$G$7*'Sheet1-指标体系'!$J$9,0)+IF(ISNUMBER(W72),W72*'Sheet1-指标体系'!$G$8*'Sheet1-指标体系'!$J$8,0)+IF(ISNUMBER(X72),X72*'Sheet1-指标体系'!$G$8*'Sheet1-指标体系'!$J$9,0))/(IF(ISNUMBER(Q72),'Sheet1-指标体系'!$G$7*'Sheet1-指标体系'!$J$8,0)+IF(ISNUMBER(R72),'Sheet1-指标体系'!$G$7*'Sheet1-指标体系'!$J$9,0)+IF(ISNUMBER(W72),'Sheet1-指标体系'!$G$8*'Sheet1-指标体系'!$J$8,0)+IF(ISNUMBER(X72),'Sheet1-指标体系'!$G$8*'Sheet1-指标体系'!$J$9,0)),2))</x:f>
      </x:c>
      <x:c r="AN72" s="52" t="str">
        <x:f>IF(ISNUMBER(AC72),AC72,"")</x:f>
      </x:c>
      <x:c r="AO72" s="52" t="str">
        <x:f>IF(COUNT(AG72,AH72)=0,"",ROUND((IF(ISNUMBER(AG72),AG72*'Sheet1-指标体系'!$G$10*'Sheet1-指标体系'!$J$8,0)+IF(ISNUMBER(AH72),AH72*'Sheet1-指标体系'!$G$10*'Sheet1-指标体系'!$J$9,0))/(IF(ISNUMBER(AG72),'Sheet1-指标体系'!$G$10*'Sheet1-指标体系'!$J$8,0)+IF(ISNUMBER(AH72),'Sheet1-指标体系'!$G$10*'Sheet1-指标体系'!$J$9,0)),2))</x:f>
      </x:c>
      <x:c r="AP72" s="52" t="str">
        <x:f>IF(ISNUMBER(AK72),AK72,"")</x:f>
      </x:c>
      <x:c r="AQ72" s="27" t="n">
        <x:f>IF(G72&lt;&gt;"入池",0,IF(ISNUMBER(I72),'Sheet1-指标体系'!$G$4,0)+IF(ISNUMBER(K72),'Sheet1-指标体系'!$G$5,0)+IF(ISNUMBER(L72),'Sheet1-指标体系'!$G$6,0)+IF(ISNUMBER(Q72),'Sheet1-指标体系'!$G$7*'Sheet1-指标体系'!$J$8,0)+IF(ISNUMBER(R72),'Sheet1-指标体系'!$G$7*'Sheet1-指标体系'!$J$9,0)+IF(ISNUMBER(W72),'Sheet1-指标体系'!$G$8*'Sheet1-指标体系'!$J$8,0)+IF(ISNUMBER(X72),'Sheet1-指标体系'!$G$8*'Sheet1-指标体系'!$J$9,0)+IF(ISNUMBER(AC72),'Sheet1-指标体系'!$G$9,0)+IF(ISNUMBER(AG72),'Sheet1-指标体系'!$G$10*'Sheet1-指标体系'!$J$8,0)+IF(ISNUMBER(AH72),'Sheet1-指标体系'!$G$10*'Sheet1-指标体系'!$J$9,0)+IF(ISNUMBER(AK72),'Sheet1-指标体系'!$G$11,0))</x:f>
        <x:v>0.15</x:v>
      </x:c>
      <x:c r="AR72" s="52" t="n">
        <x:f>IF(AQ72=0,"",IF(ISNUMBER(I72),I72*'Sheet1-指标体系'!$G$4,0)+IF(ISNUMBER(K72),K72*'Sheet1-指标体系'!$G$5,0)+IF(ISNUMBER(L72),L72*'Sheet1-指标体系'!$G$6,0)+IF(ISNUMBER(Q72),Q72*'Sheet1-指标体系'!$G$7*'Sheet1-指标体系'!$J$8,0)+IF(ISNUMBER(R72),R72*'Sheet1-指标体系'!$G$7*'Sheet1-指标体系'!$J$9,0)+IF(ISNUMBER(W72),W72*'Sheet1-指标体系'!$G$8*'Sheet1-指标体系'!$J$8,0)+IF(ISNUMBER(X72),X72*'Sheet1-指标体系'!$G$8*'Sheet1-指标体系'!$J$9,0)+IF(ISNUMBER(AC72),AC72*'Sheet1-指标体系'!$G$9,0)+IF(ISNUMBER(AG72),AG72*'Sheet1-指标体系'!$G$10*'Sheet1-指标体系'!$J$8,0)+IF(ISNUMBER(AH72),AH72*'Sheet1-指标体系'!$G$10*'Sheet1-指标体系'!$J$9,0)+IF(ISNUMBER(AK72),AK72*'Sheet1-指标体系'!$G$11,0))</x:f>
        <x:v>13.8</x:v>
      </x:c>
      <x:c r="AS72" s="52" t="n">
        <x:f>IF(AQ72=0,"",ROUND(AR72/AQ72,2))</x:f>
        <x:v>92</x:v>
      </x:c>
      <x:c r="AT72" s="49" t="n">
        <x:f>IF(OR(G72&lt;&gt;"入池",NOT(ISNUMBER(AS72))),"",COUNTIFS($G$17:$G$99,"入池",$AS$17:$AS$99,"&gt;"&amp;AS72)+COUNTIFS($G$17:$G$99,"入池",$AS$17:$AS$99,AS72,$AQ$17:$AQ$99,"&gt;"&amp;AQ72)+COUNTIFS($G$17:G72,"入池",$AS$17:AS72,AS72,$AQ$17:AQ72,AQ72))</x:f>
        <x:v>5</x:v>
      </x:c>
      <x:c r="AU72" s="53" t="str">
        <x:f>IF(NOT(ISNUMBER(I72)),"管理人规模；","")&amp;IF(NOT(ISNUMBER(K72)),"产品规模标识；","")&amp;IF(NOT(ISNUMBER(M72)),"近一年收益；","")&amp;IF(NOT(ISNUMBER(T72)),"近一年胜率；","")&amp;IF(NOT(ISNUMBER(N72)),"近三年收益；","")&amp;IF(NOT(ISNUMBER(U72)),"近三年胜率；","")&amp;IF(NOT(ISNUMBER(AA72)),"近三年回撤；","")&amp;IF(NOT(ISNUMBER(AD72)),"近一年卡玛；","")&amp;IF(ISNUMBER(F72),IF(AND(F72&lt;'Sheet1-指标体系'!$J$16,NOT(ISNUMBER(O72))),"成立以来年化；",""),"成立日期；")&amp;IF(ISNUMBER(V72),IF(OR(V72&lt;0,V72&gt;1),"胜率窗口口径不一致；",""),"")&amp;IF(ISNUMBER(P72),IF(NOT(ISNUMBER(AE72)),"DD_long不可识别；",""),"")</x:f>
        <x:v>近一年收益；近一年胜率；近三年收益；近三年胜率；近三年回撤；近一年卡玛；</x:v>
      </x:c>
      <x:c r="AV72" s="52" t="str">
        <x:f>IF(ROUND(AQ72,10)=ROUND('Sheet1-指标体系'!$J$25,10),AR72,"")</x:f>
      </x:c>
      <x:c r="AW72" s="14" t="str">
        <x:f>IF(G72&lt;&gt;"入池",G72,IF(AQ72=0,"无有效评分数据",IF(ROUND(AQ72,10)=ROUND('Sheet1-指标体系'!$J$25,10),"完整赋分", "暂定分／数据不完整")))</x:f>
        <x:v>暂定分／数据不完整</x:v>
      </x:c>
      <x:c r="AX72" s="45" t="str">
        <x:f>IF('Sheet4-原始数据'!C57="","",'Sheet4-原始数据'!C57)</x:f>
        <x:v>期权策略</x:v>
      </x:c>
      <x:c r="AY72" s="45" t="str">
        <x:f>IF('Sheet4-原始数据'!D57="","",'Sheet4-原始数据'!D57)</x:f>
        <x:v>场内期权</x:v>
      </x:c>
      <x:c r="AZ72" s="45" t="str">
        <x:f>IF('Sheet5-查询核对'!S57="","",'Sheet5-查询核对'!S57)</x:f>
        <x:v>期权策略</x:v>
      </x:c>
      <x:c r="BA72" s="51" t="n">
        <x:f>IF('Sheet5-查询核对'!A57="","",'Sheet5-查询核对'!A57)</x:f>
        <x:v>57</x:v>
      </x:c>
      <x:c r="BB72" s="45" t="str">
        <x:f>IF('Sheet5-查询核对'!F57="","",'Sheet5-查询核对'!F57)</x:f>
        <x:v>备案号匹配</x:v>
      </x:c>
      <x:c r="BC72" s="50" t="str">
        <x:f>IF('Sheet5-查询核对'!I57="","",'Sheet5-查询核对'!I57)</x:f>
        <x:v>https://mp.fof99.com/fund/view/56199c339d1a20c7</x:v>
      </x:c>
      <x:c r="BD72" s="46" t="n">
        <x:f>IF('Sheet5-查询核对'!H57="","",'Sheet5-查询核对'!H57)</x:f>
        <x:v>46269</x:v>
      </x:c>
      <x:c r="BE72" s="50" t="str">
        <x:f>IF('Sheet5-查询核对'!L57="","",'Sheet5-查询核对'!L57)</x:f>
        <x:v>https://mp.fof99.com/fund/view/56199c339d1a20c7</x:v>
      </x:c>
      <x:c r="BF72" s="46" t="n">
        <x:f>IF('Sheet5-查询核对'!M57="","",'Sheet5-查询核对'!M57)</x:f>
        <x:v>46275</x:v>
      </x:c>
      <x:c r="BG72" s="50" t="str">
        <x:f>IF('Sheet5-查询核对'!O57="","",'Sheet5-查询核对'!O57)</x:f>
        <x:v>https://gs.amac.org.cn/amac-infodisc/res/pof/fund/2104230845102170.html</x:v>
      </x:c>
      <x:c r="BH72" s="46" t="n">
        <x:f>IF('Sheet5-查询核对'!P57="","",'Sheet5-查询核对'!P57)</x:f>
        <x:v>46275</x:v>
      </x:c>
      <x:c r="BI72" s="45" t="str">
        <x:f>IF('Sheet5-查询核对'!D57="","",'Sheet5-查询核对'!D57)</x:f>
        <x:v>SQD620</x:v>
      </x:c>
      <x:c r="BJ72" t="n">
        <x:f>IF(ISNUMBER(AT72),AT72,COUNT($AT$17:$AT$99)+ROWS($AT$17:AT72)-COUNT($AT$17:AT72))</x:f>
        <x:v>5</x:v>
      </x:c>
    </x:row>
    <x:row r="73" ht="44" customHeight="1">
      <x:c r="A73" s="49" t="n">
        <x:f>'Sheet5-查询核对'!A58-1</x:f>
        <x:v>57</x:v>
      </x:c>
      <x:c r="B73" s="50" t="str">
        <x:f>IF('Sheet4-原始数据'!A58="",'Sheet5-查询核对'!B58,'Sheet4-原始数据'!A58)</x:f>
        <x:v>盛冠达试金石3号</x:v>
      </x:c>
      <x:c r="C73" s="45" t="str">
        <x:f>IF('Sheet4-原始数据'!B58="","",'Sheet4-原始数据'!B58)</x:f>
        <x:v>SW1709</x:v>
      </x:c>
      <x:c r="D73" s="45" t="str">
        <x:f>IF('Sheet4-原始数据'!E58="","",'Sheet4-原始数据'!E58)</x:f>
        <x:v>海南盛冠达</x:v>
      </x:c>
      <x:c r="E73" s="46" t="n">
        <x:f>IF('Sheet4-原始数据'!F58="","",'Sheet4-原始数据'!F58)</x:f>
        <x:v>43041</x:v>
      </x:c>
      <x:c r="F73" s="52" t="n">
        <x:f>IF(ISNUMBER(E73),ROUND(('Sheet1-指标体系'!$J$12-E73)/'Sheet1-指标体系'!$J$14,4),"")</x:f>
        <x:v>8.8542</x:v>
      </x:c>
      <x:c r="G73" s="14" t="str">
        <x:f>IF(C73="","未匹配",IF(NOT(ISNUMBER(F73)),"缺成立日期",IF(F73&lt;'Sheet1-指标体系'!$J$15,"不入池","入池")))</x:f>
        <x:v>入池</x:v>
      </x:c>
      <x:c r="H73" s="45" t="str">
        <x:f>IF('Sheet5-查询核对'!K58="","",'Sheet5-查询核对'!K58)</x:f>
        <x:v>20-50亿元</x:v>
      </x:c>
      <x:c r="I73" s="52" t="n">
        <x:f>IF(H73="","",IF(COUNTIF('Sheet1-指标体系'!$P$4:$P$10,H73)=0,"",INDEX('Sheet1-指标体系'!$Q$4:$Q$10,MATCH(H73,'Sheet1-指标体系'!$P$4:$P$10,0))))</x:f>
        <x:v>90</x:v>
      </x:c>
      <x:c r="J73" s="54" t="str">
        <x:f>IF(NOT(ISNUMBER('Sheet5-查询核对'!N58)),"",IF('Sheet5-查询核对'!N58=1,"低于"&amp;'Sheet1-指标体系'!$J$4&amp;"万元",IF('Sheet5-查询核对'!N58=0,"无低于"&amp;'Sheet1-指标体系'!$J$4&amp;"万元标识","")))</x:f>
        <x:v>无低于1000万元标识</x:v>
      </x:c>
      <x:c r="K73" s="52" t="n">
        <x:f>IF(NOT(ISNUMBER('Sheet5-查询核对'!N58)),"",IF('Sheet5-查询核对'!N58=1,'Sheet1-指标体系'!$J$21,IF('Sheet5-查询核对'!N58=0,'Sheet1-指标体系'!$J$18,"")))</x:f>
        <x:v>100</x:v>
      </x:c>
      <x:c r="L73" s="52" t="n">
        <x:f>IF(NOT(ISNUMBER(F73)),"",IF(F73&lt;'Sheet1-指标体系'!$J$15,"",IF(F73&lt;'Sheet1-指标体系'!$J$16,'Sheet1-指标体系'!$J$17,'Sheet1-指标体系'!$J$18)))</x:f>
        <x:v>100</x:v>
      </x:c>
      <x:c r="M73" s="47" t="n">
        <x:f>IF(ISNUMBER('Sheet4-原始数据'!G58),'Sheet4-原始数据'!G58,"")</x:f>
        <x:v>0.0255</x:v>
      </x:c>
      <x:c r="N73" s="47" t="n">
        <x:f>IF(ISNUMBER('Sheet4-原始数据'!H58),'Sheet4-原始数据'!H58,"")</x:f>
        <x:v>0.0484</x:v>
      </x:c>
      <x:c r="O73" s="47" t="n">
        <x:f>IF(ISNUMBER('Sheet5-查询核对'!Q58),'Sheet5-查询核对'!Q58,"")</x:f>
        <x:v>0.0753</x:v>
      </x:c>
      <x:c r="P73" s="44" t="n">
        <x:f>IF($G73&lt;&gt;"入池","",IF($F73&gt;='Sheet1-指标体系'!$J$16,IF(COUNT(M73,N73)&lt;&gt;2,"",IF(OR(1+M73&lt;=0,1+N73&lt;0),"",((1+N73)^'Sheet1-指标体系'!$J$16/(1+M73))^(1/('Sheet1-指标体系'!$J$16-'Sheet1-指标体系'!$J$15))-1)),IF(COUNT(M73,O73)&lt;&gt;2,"",IF(OR(F73&lt;='Sheet1-指标体系'!$J$15,1+M73&lt;=0,1+O73&lt;0),"",((1+O73)^F73/(1+M73))^(1/(F73-'Sheet1-指标体系'!$J$15))-1))))</x:f>
        <x:v>0.06004105598531018</x:v>
      </x:c>
      <x:c r="Q73" s="52" t="n">
        <x:f>IF(OR($G73&lt;&gt;"入池",NOT(ISNUMBER(M73))),"",IF(COUNTIFS($G$17:$G$99,"入池",$M$17:$M$99,"&gt;=-1E+307",$M$17:$M$99,"&lt;=1E+307")&lt;=1,'Sheet1-指标体系'!$J$18,ROUND('Sheet1-指标体系'!$J$18*(COUNTIFS($G$17:$G$99,"入池",$M$17:$M$99,"&gt;=-1E+307",$M$17:$M$99,"&lt;"&amp;M73)+COUNTIFS($G$17:$G$99,"入池",$M$17:$M$99,"&gt;=-1E+307",$M$17:$M$99,"&lt;=1E+307",$M$17:$M$99,M73)/2-0.5)/(COUNTIFS($G$17:$G$99,"入池",$M$17:$M$99,"&gt;=-1E+307",$M$17:$M$99,"&lt;=1E+307")-1),2)))</x:f>
        <x:v>7.14</x:v>
      </x:c>
      <x:c r="R73" s="52" t="n">
        <x:f>IF(OR($G73&lt;&gt;"入池",NOT(ISNUMBER(P73))),"",IF(COUNTIFS($G$17:$G$99,"入池",$P$17:$P$99,"&gt;=-1E+307",$P$17:$P$99,"&lt;=1E+307")&lt;=1,'Sheet1-指标体系'!$J$18,ROUND('Sheet1-指标体系'!$J$18*(COUNTIFS($G$17:$G$99,"入池",$P$17:$P$99,"&gt;=-1E+307",$P$17:$P$99,"&lt;"&amp;P73)+COUNTIFS($G$17:$G$99,"入池",$P$17:$P$99,"&gt;=-1E+307",$P$17:$P$99,"&lt;=1E+307",$P$17:$P$99,P73)/2-0.5)/(COUNTIFS($G$17:$G$99,"入池",$P$17:$P$99,"&gt;=-1E+307",$P$17:$P$99,"&lt;=1E+307")-1),2)))</x:f>
        <x:v>37.04</x:v>
      </x:c>
      <x:c r="S73" s="52" t="n">
        <x:f>IF(COUNT(Q73,R73)=0,"",ROUND((IF(ISNUMBER(Q73),Q73*'Sheet1-指标体系'!$G$7*'Sheet1-指标体系'!$J$8,0)+IF(ISNUMBER(R73),R73*'Sheet1-指标体系'!$G$7*'Sheet1-指标体系'!$J$9,0))/(IF(ISNUMBER(Q73),'Sheet1-指标体系'!$G$7*'Sheet1-指标体系'!$J$8,0)+IF(ISNUMBER(R73),'Sheet1-指标体系'!$G$7*'Sheet1-指标体系'!$J$9,0)),2))</x:f>
        <x:v>19.1</x:v>
      </x:c>
      <x:c r="T73" s="47" t="n">
        <x:f>IF(ISNUMBER('Sheet4-原始数据'!J58),'Sheet4-原始数据'!J58,"")</x:f>
        <x:v>0.6923</x:v>
      </x:c>
      <x:c r="U73" s="47" t="n">
        <x:f>IF(ISNUMBER('Sheet4-原始数据'!I58),'Sheet4-原始数据'!I58,"")</x:f>
        <x:v>0.6757</x:v>
      </x:c>
      <x:c r="V73" s="44" t="n">
        <x:f>IF(COUNT(T73:U73)&lt;&gt;2,"",(U73*'Sheet1-指标体系'!$J$6-T73*'Sheet1-指标体系'!$J$5)/'Sheet1-指标体系'!$J$7)</x:f>
        <x:v>0.6667083333333332</x:v>
      </x:c>
      <x:c r="W73" s="52" t="n">
        <x:f>IF(NOT(ISNUMBER(T73)),"",T73*'Sheet1-指标体系'!$J$18)</x:f>
        <x:v>69.23</x:v>
      </x:c>
      <x:c r="X73" s="52" t="n">
        <x:f>IF(G73&lt;&gt;"入池","",IF(ISNUMBER(V73),IF(AND(V73&gt;=0,V73&lt;=1),V73*'Sheet1-指标体系'!$J$18,IF(MAX(0,(F73-'Sheet1-指标体系'!$J$15)*'Sheet1-指标体系'!$J$20)&lt;'Sheet1-指标体系'!$J$19,'Sheet1-指标体系'!$J$18,"")),IF(MAX(0,(F73-'Sheet1-指标体系'!$J$15)*'Sheet1-指标体系'!$J$20)&lt;'Sheet1-指标体系'!$J$19,'Sheet1-指标体系'!$J$18,"")))</x:f>
        <x:v>66.67083333333332</x:v>
      </x:c>
      <x:c r="Y73" s="52" t="n">
        <x:f>IF(NOT(ISNUMBER(W73)),"",IF(COUNT(W73,X73)=0,"",ROUND((IF(ISNUMBER(W73),W73*'Sheet1-指标体系'!$G$8*'Sheet1-指标体系'!$J$8,0)+IF(ISNUMBER(X73),X73*'Sheet1-指标体系'!$G$8*'Sheet1-指标体系'!$J$9,0))/(IF(ISNUMBER(W73),'Sheet1-指标体系'!$G$8*'Sheet1-指标体系'!$J$8,0)+IF(ISNUMBER(X73),'Sheet1-指标体系'!$G$8*'Sheet1-指标体系'!$J$9,0)),2)))</x:f>
        <x:v>68.21</x:v>
      </x:c>
      <x:c r="Z73" s="44" t="n">
        <x:f>IF(COUNT(M73,AD73)&lt;&gt;2,"",IF(AD73=0,"",ABS(M73/AD73)))</x:f>
        <x:v>0.020785784153896317</x:v>
      </x:c>
      <x:c r="AA73" s="47" t="n">
        <x:f>IF(ISNUMBER('Sheet4-原始数据'!K58),'Sheet4-原始数据'!K58,"")</x:f>
        <x:v>0.0393</x:v>
      </x:c>
      <x:c r="AB73" s="44" t="n">
        <x:f>IF(COUNT(Z73:AA73)=0,"",MAX(Z73:AA73))</x:f>
        <x:v>0.0393</x:v>
      </x:c>
      <x:c r="AC73" s="52" t="n">
        <x:f>IF(OR($G73&lt;&gt;"入池",NOT(ISNUMBER(AB73))),"",IF(COUNTIFS($G$17:$G$99,"入池",$AB$17:$AB$99,"&gt;=-1E+307",$AB$17:$AB$99,"&lt;=1E+307")&lt;=1,'Sheet1-指标体系'!$J$18,ROUND('Sheet1-指标体系'!$J$18*(COUNTIFS($G$17:$G$99,"入池",$AB$17:$AB$99,"&lt;=1E+307",$AB$17:$AB$99,"&gt;"&amp;AB73)+COUNTIFS($G$17:$G$99,"入池",$AB$17:$AB$99,"&gt;=-1E+307",$AB$17:$AB$99,"&lt;=1E+307",$AB$17:$AB$99,AB73)/2-0.5)/(COUNTIFS($G$17:$G$99,"入池",$AB$17:$AB$99,"&gt;=-1E+307",$AB$17:$AB$99,"&lt;=1E+307")-1),2)))</x:f>
        <x:v>27.59</x:v>
      </x:c>
      <x:c r="AD73" s="48" t="n">
        <x:f>IF(ISNUMBER('Sheet4-原始数据'!M58),'Sheet4-原始数据'!M58,"")</x:f>
        <x:v>1.2268</x:v>
      </x:c>
      <x:c r="AE73" s="44" t="n">
        <x:f>IF(COUNT(P73,AA73,Z73)&lt;&gt;3,"",IF(AA73&gt;Z73+'Sheet1-指标体系'!$J$11,AA73,""))</x:f>
        <x:v>0.0393</x:v>
      </x:c>
      <x:c r="AF73" s="52" t="n">
        <x:f>IF(COUNT(P73,AE73)&lt;&gt;2,"",IF(AE73=0,"",P73/AE73))</x:f>
        <x:v>1.5277622388119638</x:v>
      </x:c>
      <x:c r="AG73" s="52" t="n">
        <x:f>IF(OR($G73&lt;&gt;"入池",NOT(ISNUMBER(AD73))),"",IF(COUNTIFS($G$17:$G$99,"入池",$AD$17:$AD$99,"&gt;=-1E+307",$AD$17:$AD$99,"&lt;=1E+307")&lt;=1,'Sheet1-指标体系'!$J$18,ROUND('Sheet1-指标体系'!$J$18*(COUNTIFS($G$17:$G$99,"入池",$AD$17:$AD$99,"&gt;=-1E+307",$AD$17:$AD$99,"&lt;"&amp;AD73)+COUNTIFS($G$17:$G$99,"入池",$AD$17:$AD$99,"&gt;=-1E+307",$AD$17:$AD$99,"&lt;=1E+307",$AD$17:$AD$99,AD73)/2-0.5)/(COUNTIFS($G$17:$G$99,"入池",$AD$17:$AD$99,"&gt;=-1E+307",$AD$17:$AD$99,"&lt;=1E+307")-1),2)))</x:f>
        <x:v>7.27</x:v>
      </x:c>
      <x:c r="AH73" s="52" t="n">
        <x:f>IF(OR($G73&lt;&gt;"入池",NOT(ISNUMBER(AF73))),"",IF(COUNTIFS($G$17:$G$99,"入池",$AF$17:$AF$99,"&gt;=-1E+307",$AF$17:$AF$99,"&lt;=1E+307")&lt;=1,'Sheet1-指标体系'!$J$18,ROUND('Sheet1-指标体系'!$J$18*(COUNTIFS($G$17:$G$99,"入池",$AF$17:$AF$99,"&gt;=-1E+307",$AF$17:$AF$99,"&lt;"&amp;AF73)+COUNTIFS($G$17:$G$99,"入池",$AF$17:$AF$99,"&gt;=-1E+307",$AF$17:$AF$99,"&lt;=1E+307",$AF$17:$AF$99,AF73)/2-0.5)/(COUNTIFS($G$17:$G$99,"入池",$AF$17:$AF$99,"&gt;=-1E+307",$AF$17:$AF$99,"&lt;=1E+307")-1),2)))</x:f>
        <x:v>25</x:v>
      </x:c>
      <x:c r="AI73" s="52" t="n">
        <x:f>IF(COUNT(AG73,AH73)=0,"",ROUND((IF(ISNUMBER(AG73),AG73*'Sheet1-指标体系'!$G$10*'Sheet1-指标体系'!$J$8,0)+IF(ISNUMBER(AH73),AH73*'Sheet1-指标体系'!$G$10*'Sheet1-指标体系'!$J$9,0))/(IF(ISNUMBER(AG73),'Sheet1-指标体系'!$G$10*'Sheet1-指标体系'!$J$8,0)+IF(ISNUMBER(AH73),'Sheet1-指标体系'!$G$10*'Sheet1-指标体系'!$J$9,0)),2))</x:f>
        <x:v>14.36</x:v>
      </x:c>
      <x:c r="AJ73" s="44" t="n">
        <x:f>IF(NOT(ISNUMBER(F73)),"",IF(F73&gt;='Sheet1-指标体系'!$J$16,IF(ISNUMBER(N73),N73,""),IF(ISNUMBER(O73),O73,"")))</x:f>
        <x:v>0.0484</x:v>
      </x:c>
      <x:c r="AK73" s="52" t="n">
        <x:f>IF(OR(G73&lt;&gt;"入池",COUNT(M73,AJ73)&lt;&gt;2),"",IF(M73&gt;=AJ73,'Sheet1-指标体系'!$J$18,IF(AJ73-M73&lt;'Sheet1-指标体系'!$J$10,'Sheet1-指标体系'!$J$22,'Sheet1-指标体系'!$J$23)))</x:f>
        <x:v>80</x:v>
      </x:c>
      <x:c r="AL73" s="52" t="n">
        <x:f>IF(COUNT(I73,K73,L73)=0,"",ROUND((IF(ISNUMBER(I73),I73*'Sheet1-指标体系'!$G$4,0)+IF(ISNUMBER(K73),K73*'Sheet1-指标体系'!$G$5,0)+IF(ISNUMBER(L73),L73*'Sheet1-指标体系'!$G$6,0))/(IF(ISNUMBER(I73),'Sheet1-指标体系'!$G$4,0)+IF(ISNUMBER(K73),'Sheet1-指标体系'!$G$5,0)+IF(ISNUMBER(L73),'Sheet1-指标体系'!$G$6,0)),2))</x:f>
        <x:v>96</x:v>
      </x:c>
      <x:c r="AM73" s="52" t="n">
        <x:f>IF(COUNT(Q73,R73,W73,X73)=0,"",ROUND((IF(ISNUMBER(Q73),Q73*'Sheet1-指标体系'!$G$7*'Sheet1-指标体系'!$J$8,0)+IF(ISNUMBER(R73),R73*'Sheet1-指标体系'!$G$7*'Sheet1-指标体系'!$J$9,0)+IF(ISNUMBER(W73),W73*'Sheet1-指标体系'!$G$8*'Sheet1-指标体系'!$J$8,0)+IF(ISNUMBER(X73),X73*'Sheet1-指标体系'!$G$8*'Sheet1-指标体系'!$J$9,0))/(IF(ISNUMBER(Q73),'Sheet1-指标体系'!$G$7*'Sheet1-指标体系'!$J$8,0)+IF(ISNUMBER(R73),'Sheet1-指标体系'!$G$7*'Sheet1-指标体系'!$J$9,0)+IF(ISNUMBER(W73),'Sheet1-指标体系'!$G$8*'Sheet1-指标体系'!$J$8,0)+IF(ISNUMBER(X73),'Sheet1-指标体系'!$G$8*'Sheet1-指标体系'!$J$9,0)),2))</x:f>
        <x:v>33.83</x:v>
      </x:c>
      <x:c r="AN73" s="52" t="n">
        <x:f>IF(ISNUMBER(AC73),AC73,"")</x:f>
        <x:v>27.59</x:v>
      </x:c>
      <x:c r="AO73" s="52" t="n">
        <x:f>IF(COUNT(AG73,AH73)=0,"",ROUND((IF(ISNUMBER(AG73),AG73*'Sheet1-指标体系'!$G$10*'Sheet1-指标体系'!$J$8,0)+IF(ISNUMBER(AH73),AH73*'Sheet1-指标体系'!$G$10*'Sheet1-指标体系'!$J$9,0))/(IF(ISNUMBER(AG73),'Sheet1-指标体系'!$G$10*'Sheet1-指标体系'!$J$8,0)+IF(ISNUMBER(AH73),'Sheet1-指标体系'!$G$10*'Sheet1-指标体系'!$J$9,0)),2))</x:f>
        <x:v>14.36</x:v>
      </x:c>
      <x:c r="AP73" s="52" t="n">
        <x:f>IF(ISNUMBER(AK73),AK73,"")</x:f>
        <x:v>80</x:v>
      </x:c>
      <x:c r="AQ73" s="27" t="n">
        <x:f>IF(G73&lt;&gt;"入池",0,IF(ISNUMBER(I73),'Sheet1-指标体系'!$G$4,0)+IF(ISNUMBER(K73),'Sheet1-指标体系'!$G$5,0)+IF(ISNUMBER(L73),'Sheet1-指标体系'!$G$6,0)+IF(ISNUMBER(Q73),'Sheet1-指标体系'!$G$7*'Sheet1-指标体系'!$J$8,0)+IF(ISNUMBER(R73),'Sheet1-指标体系'!$G$7*'Sheet1-指标体系'!$J$9,0)+IF(ISNUMBER(W73),'Sheet1-指标体系'!$G$8*'Sheet1-指标体系'!$J$8,0)+IF(ISNUMBER(X73),'Sheet1-指标体系'!$G$8*'Sheet1-指标体系'!$J$9,0)+IF(ISNUMBER(AC73),'Sheet1-指标体系'!$G$9,0)+IF(ISNUMBER(AG73),'Sheet1-指标体系'!$G$10*'Sheet1-指标体系'!$J$8,0)+IF(ISNUMBER(AH73),'Sheet1-指标体系'!$G$10*'Sheet1-指标体系'!$J$9,0)+IF(ISNUMBER(AK73),'Sheet1-指标体系'!$G$11,0))</x:f>
        <x:v>1</x:v>
      </x:c>
      <x:c r="AR73" s="52" t="n">
        <x:f>IF(AQ73=0,"",IF(ISNUMBER(I73),I73*'Sheet1-指标体系'!$G$4,0)+IF(ISNUMBER(K73),K73*'Sheet1-指标体系'!$G$5,0)+IF(ISNUMBER(L73),L73*'Sheet1-指标体系'!$G$6,0)+IF(ISNUMBER(Q73),Q73*'Sheet1-指标体系'!$G$7*'Sheet1-指标体系'!$J$8,0)+IF(ISNUMBER(R73),R73*'Sheet1-指标体系'!$G$7*'Sheet1-指标体系'!$J$9,0)+IF(ISNUMBER(W73),W73*'Sheet1-指标体系'!$G$8*'Sheet1-指标体系'!$J$8,0)+IF(ISNUMBER(X73),X73*'Sheet1-指标体系'!$G$8*'Sheet1-指标体系'!$J$9,0)+IF(ISNUMBER(AC73),AC73*'Sheet1-指标体系'!$G$9,0)+IF(ISNUMBER(AG73),AG73*'Sheet1-指标体系'!$G$10*'Sheet1-指标体系'!$J$8,0)+IF(ISNUMBER(AH73),AH73*'Sheet1-指标体系'!$G$10*'Sheet1-指标体系'!$J$9,0)+IF(ISNUMBER(AK73),AK73*'Sheet1-指标体系'!$G$11,0))</x:f>
        <x:v>40.372479999999996</x:v>
      </x:c>
      <x:c r="AS73" s="52" t="n">
        <x:f>IF(AQ73=0,"",ROUND(AR73/AQ73,2))</x:f>
        <x:v>40.37</x:v>
      </x:c>
      <x:c r="AT73" s="49" t="n">
        <x:f>IF(OR(G73&lt;&gt;"入池",NOT(ISNUMBER(AS73))),"",COUNTIFS($G$17:$G$99,"入池",$AS$17:$AS$99,"&gt;"&amp;AS73)+COUNTIFS($G$17:$G$99,"入池",$AS$17:$AS$99,AS73,$AQ$17:$AQ$99,"&gt;"&amp;AQ73)+COUNTIFS($G$17:G73,"入池",$AS$17:AS73,AS73,$AQ$17:AQ73,AQ73))</x:f>
        <x:v>72</x:v>
      </x:c>
      <x:c r="AU73" s="53" t="str">
        <x:f>IF(NOT(ISNUMBER(I73)),"管理人规模；","")&amp;IF(NOT(ISNUMBER(K73)),"产品规模标识；","")&amp;IF(NOT(ISNUMBER(M73)),"近一年收益；","")&amp;IF(NOT(ISNUMBER(T73)),"近一年胜率；","")&amp;IF(NOT(ISNUMBER(N73)),"近三年收益；","")&amp;IF(NOT(ISNUMBER(U73)),"近三年胜率；","")&amp;IF(NOT(ISNUMBER(AA73)),"近三年回撤；","")&amp;IF(NOT(ISNUMBER(AD73)),"近一年卡玛；","")&amp;IF(ISNUMBER(F73),IF(AND(F73&lt;'Sheet1-指标体系'!$J$16,NOT(ISNUMBER(O73))),"成立以来年化；",""),"成立日期；")&amp;IF(ISNUMBER(V73),IF(OR(V73&lt;0,V73&gt;1),"胜率窗口口径不一致；",""),"")&amp;IF(ISNUMBER(P73),IF(NOT(ISNUMBER(AE73)),"DD_long不可识别；",""),"")</x:f>
      </x:c>
      <x:c r="AV73" s="52" t="n">
        <x:f>IF(ROUND(AQ73,10)=ROUND('Sheet1-指标体系'!$J$25,10),AR73,"")</x:f>
        <x:v>40.372479999999996</x:v>
      </x:c>
      <x:c r="AW73" s="14" t="str">
        <x:f>IF(G73&lt;&gt;"入池",G73,IF(AQ73=0,"无有效评分数据",IF(ROUND(AQ73,10)=ROUND('Sheet1-指标体系'!$J$25,10),"完整赋分", "暂定分／数据不完整")))</x:f>
        <x:v>完整赋分</x:v>
      </x:c>
      <x:c r="AX73" s="45" t="str">
        <x:f>IF('Sheet4-原始数据'!C58="","",'Sheet4-原始数据'!C58)</x:f>
        <x:v>套利策略</x:v>
      </x:c>
      <x:c r="AY73" s="45" t="str">
        <x:f>IF('Sheet4-原始数据'!D58="","",'Sheet4-原始数据'!D58)</x:f>
        <x:v>期货套利</x:v>
      </x:c>
      <x:c r="AZ73" s="45" t="str">
        <x:f>IF('Sheet5-查询核对'!S58="","",'Sheet5-查询核对'!S58)</x:f>
        <x:v>套利策略—期货套利</x:v>
      </x:c>
      <x:c r="BA73" s="51" t="n">
        <x:f>IF('Sheet5-查询核对'!A58="","",'Sheet5-查询核对'!A58)</x:f>
        <x:v>58</x:v>
      </x:c>
      <x:c r="BB73" s="45" t="str">
        <x:f>IF('Sheet5-查询核对'!F58="","",'Sheet5-查询核对'!F58)</x:f>
        <x:v>备案号匹配</x:v>
      </x:c>
      <x:c r="BC73" s="50" t="str">
        <x:f>IF('Sheet5-查询核对'!I58="","",'Sheet5-查询核对'!I58)</x:f>
        <x:v>https://mp.fof99.com/fund/view/592f730fcd5623e4</x:v>
      </x:c>
      <x:c r="BD73" s="46" t="n">
        <x:f>IF('Sheet5-查询核对'!H58="","",'Sheet5-查询核对'!H58)</x:f>
        <x:v>46269</x:v>
      </x:c>
      <x:c r="BE73" s="50" t="str">
        <x:f>IF('Sheet5-查询核对'!L58="","",'Sheet5-查询核对'!L58)</x:f>
        <x:v>https://mp.fof99.com/fund/view/592f730fcd5623e4</x:v>
      </x:c>
      <x:c r="BF73" s="46" t="n">
        <x:f>IF('Sheet5-查询核对'!M58="","",'Sheet5-查询核对'!M58)</x:f>
        <x:v>46275</x:v>
      </x:c>
      <x:c r="BG73" s="50" t="str">
        <x:f>IF('Sheet5-查询核对'!O58="","",'Sheet5-查询核对'!O58)</x:f>
        <x:v>https://gs.amac.org.cn/amac-infodisc/res/pof/fund/1711131228105655.html</x:v>
      </x:c>
      <x:c r="BH73" s="46" t="n">
        <x:f>IF('Sheet5-查询核对'!P58="","",'Sheet5-查询核对'!P58)</x:f>
        <x:v>46275</x:v>
      </x:c>
      <x:c r="BI73" s="45" t="str">
        <x:f>IF('Sheet5-查询核对'!D58="","",'Sheet5-查询核对'!D58)</x:f>
        <x:v>SW1709</x:v>
      </x:c>
      <x:c r="BJ73" t="n">
        <x:f>IF(ISNUMBER(AT73),AT73,COUNT($AT$17:$AT$99)+ROWS($AT$17:AT73)-COUNT($AT$17:AT73))</x:f>
        <x:v>72</x:v>
      </x:c>
    </x:row>
    <x:row r="74" ht="44" customHeight="1">
      <x:c r="A74" s="49" t="n">
        <x:f>'Sheet5-查询核对'!A59-1</x:f>
        <x:v>58</x:v>
      </x:c>
      <x:c r="B74" s="50" t="str">
        <x:f>IF('Sheet4-原始数据'!A59="",'Sheet5-查询核对'!B59,'Sheet4-原始数据'!A59)</x:f>
        <x:v>世宽若水尘心2号B类</x:v>
      </x:c>
      <x:c r="C74" s="45" t="str">
        <x:f>IF('Sheet4-原始数据'!B59="","",'Sheet4-原始数据'!B59)</x:f>
        <x:v>XX769B</x:v>
      </x:c>
      <x:c r="D74" s="45" t="str">
        <x:f>IF('Sheet4-原始数据'!E59="","",'Sheet4-原始数据'!E59)</x:f>
        <x:v>厦门世宽</x:v>
      </x:c>
      <x:c r="E74" s="46" t="n">
        <x:f>IF('Sheet4-原始数据'!F59="","",'Sheet4-原始数据'!F59)</x:f>
        <x:v>44904</x:v>
      </x:c>
      <x:c r="F74" s="52" t="n">
        <x:f>IF(ISNUMBER(E74),ROUND(('Sheet1-指标体系'!$J$12-E74)/'Sheet1-指标体系'!$J$14,4),"")</x:f>
        <x:v>3.7536</x:v>
      </x:c>
      <x:c r="G74" s="14" t="str">
        <x:f>IF(C74="","未匹配",IF(NOT(ISNUMBER(F74)),"缺成立日期",IF(F74&lt;'Sheet1-指标体系'!$J$15,"不入池","入池")))</x:f>
        <x:v>入池</x:v>
      </x:c>
      <x:c r="H74" s="45" t="str">
        <x:f>IF('Sheet5-查询核对'!K59="","",'Sheet5-查询核对'!K59)</x:f>
        <x:v>0-5亿元</x:v>
      </x:c>
      <x:c r="I74" s="52" t="n">
        <x:f>IF(H74="","",IF(COUNTIF('Sheet1-指标体系'!$P$4:$P$10,H74)=0,"",INDEX('Sheet1-指标体系'!$Q$4:$Q$10,MATCH(H74,'Sheet1-指标体系'!$P$4:$P$10,0))))</x:f>
        <x:v>60</x:v>
      </x:c>
      <x:c r="J74" s="54" t="str">
        <x:f>IF(NOT(ISNUMBER('Sheet5-查询核对'!N59)),"",IF('Sheet5-查询核对'!N59=1,"低于"&amp;'Sheet1-指标体系'!$J$4&amp;"万元",IF('Sheet5-查询核对'!N59=0,"无低于"&amp;'Sheet1-指标体系'!$J$4&amp;"万元标识","")))</x:f>
      </x:c>
      <x:c r="K74" s="52" t="str">
        <x:f>IF(NOT(ISNUMBER('Sheet5-查询核对'!N59)),"",IF('Sheet5-查询核对'!N59=1,'Sheet1-指标体系'!$J$21,IF('Sheet5-查询核对'!N59=0,'Sheet1-指标体系'!$J$18,"")))</x:f>
      </x:c>
      <x:c r="L74" s="52" t="n">
        <x:f>IF(NOT(ISNUMBER(F74)),"",IF(F74&lt;'Sheet1-指标体系'!$J$15,"",IF(F74&lt;'Sheet1-指标体系'!$J$16,'Sheet1-指标体系'!$J$17,'Sheet1-指标体系'!$J$18)))</x:f>
        <x:v>100</x:v>
      </x:c>
      <x:c r="M74" s="47" t="n">
        <x:f>IF(ISNUMBER('Sheet4-原始数据'!G59),'Sheet4-原始数据'!G59,"")</x:f>
        <x:v>0.1582</x:v>
      </x:c>
      <x:c r="N74" s="47" t="str">
        <x:f>IF(ISNUMBER('Sheet4-原始数据'!H59),'Sheet4-原始数据'!H59,"")</x:f>
      </x:c>
      <x:c r="O74" s="47" t="n">
        <x:f>IF(ISNUMBER('Sheet5-查询核对'!Q59),'Sheet5-查询核对'!Q59,"")</x:f>
        <x:v>0.1782</x:v>
      </x:c>
      <x:c r="P74" s="44" t="str">
        <x:f>IF($G74&lt;&gt;"入池","",IF($F74&gt;='Sheet1-指标体系'!$J$16,IF(COUNT(M74,N74)&lt;&gt;2,"",IF(OR(1+M74&lt;=0,1+N74&lt;0),"",((1+N74)^'Sheet1-指标体系'!$J$16/(1+M74))^(1/('Sheet1-指标体系'!$J$16-'Sheet1-指标体系'!$J$15))-1)),IF(COUNT(M74,O74)&lt;&gt;2,"",IF(OR(F74&lt;='Sheet1-指标体系'!$J$15,1+M74&lt;=0,1+O74&lt;0),"",((1+O74)^F74/(1+M74))^(1/(F74-'Sheet1-指标体系'!$J$15))-1))))</x:f>
      </x:c>
      <x:c r="Q74" s="52" t="n">
        <x:f>IF(OR($G74&lt;&gt;"入池",NOT(ISNUMBER(M74))),"",IF(COUNTIFS($G$17:$G$99,"入池",$M$17:$M$99,"&gt;=-1E+307",$M$17:$M$99,"&lt;=1E+307")&lt;=1,'Sheet1-指标体系'!$J$18,ROUND('Sheet1-指标体系'!$J$18*(COUNTIFS($G$17:$G$99,"入池",$M$17:$M$99,"&gt;=-1E+307",$M$17:$M$99,"&lt;"&amp;M74)+COUNTIFS($G$17:$G$99,"入池",$M$17:$M$99,"&gt;=-1E+307",$M$17:$M$99,"&lt;=1E+307",$M$17:$M$99,M74)/2-0.5)/(COUNTIFS($G$17:$G$99,"入池",$M$17:$M$99,"&gt;=-1E+307",$M$17:$M$99,"&lt;=1E+307")-1),2)))</x:f>
        <x:v>83.93</x:v>
      </x:c>
      <x:c r="R74" s="52" t="str">
        <x:f>IF(OR($G74&lt;&gt;"入池",NOT(ISNUMBER(P74))),"",IF(COUNTIFS($G$17:$G$99,"入池",$P$17:$P$99,"&gt;=-1E+307",$P$17:$P$99,"&lt;=1E+307")&lt;=1,'Sheet1-指标体系'!$J$18,ROUND('Sheet1-指标体系'!$J$18*(COUNTIFS($G$17:$G$99,"入池",$P$17:$P$99,"&gt;=-1E+307",$P$17:$P$99,"&lt;"&amp;P74)+COUNTIFS($G$17:$G$99,"入池",$P$17:$P$99,"&gt;=-1E+307",$P$17:$P$99,"&lt;=1E+307",$P$17:$P$99,P74)/2-0.5)/(COUNTIFS($G$17:$G$99,"入池",$P$17:$P$99,"&gt;=-1E+307",$P$17:$P$99,"&lt;=1E+307")-1),2)))</x:f>
      </x:c>
      <x:c r="S74" s="52" t="n">
        <x:f>IF(COUNT(Q74,R74)=0,"",ROUND((IF(ISNUMBER(Q74),Q74*'Sheet1-指标体系'!$G$7*'Sheet1-指标体系'!$J$8,0)+IF(ISNUMBER(R74),R74*'Sheet1-指标体系'!$G$7*'Sheet1-指标体系'!$J$9,0))/(IF(ISNUMBER(Q74),'Sheet1-指标体系'!$G$7*'Sheet1-指标体系'!$J$8,0)+IF(ISNUMBER(R74),'Sheet1-指标体系'!$G$7*'Sheet1-指标体系'!$J$9,0)),2))</x:f>
        <x:v>83.93</x:v>
      </x:c>
      <x:c r="T74" s="47" t="n">
        <x:f>IF(ISNUMBER('Sheet4-原始数据'!J59),'Sheet4-原始数据'!J59,"")</x:f>
        <x:v>0.6923</x:v>
      </x:c>
      <x:c r="U74" s="47" t="str">
        <x:f>IF(ISNUMBER('Sheet4-原始数据'!I59),'Sheet4-原始数据'!I59,"")</x:f>
      </x:c>
      <x:c r="V74" s="44" t="str">
        <x:f>IF(COUNT(T74:U74)&lt;&gt;2,"",(U74*'Sheet1-指标体系'!$J$6-T74*'Sheet1-指标体系'!$J$5)/'Sheet1-指标体系'!$J$7)</x:f>
      </x:c>
      <x:c r="W74" s="52" t="n">
        <x:f>IF(NOT(ISNUMBER(T74)),"",T74*'Sheet1-指标体系'!$J$18)</x:f>
        <x:v>69.23</x:v>
      </x:c>
      <x:c r="X74" s="52" t="str">
        <x:f>IF(G74&lt;&gt;"入池","",IF(ISNUMBER(V74),IF(AND(V74&gt;=0,V74&lt;=1),V74*'Sheet1-指标体系'!$J$18,IF(MAX(0,(F74-'Sheet1-指标体系'!$J$15)*'Sheet1-指标体系'!$J$20)&lt;'Sheet1-指标体系'!$J$19,'Sheet1-指标体系'!$J$18,"")),IF(MAX(0,(F74-'Sheet1-指标体系'!$J$15)*'Sheet1-指标体系'!$J$20)&lt;'Sheet1-指标体系'!$J$19,'Sheet1-指标体系'!$J$18,"")))</x:f>
      </x:c>
      <x:c r="Y74" s="52" t="n">
        <x:f>IF(NOT(ISNUMBER(W74)),"",IF(COUNT(W74,X74)=0,"",ROUND((IF(ISNUMBER(W74),W74*'Sheet1-指标体系'!$G$8*'Sheet1-指标体系'!$J$8,0)+IF(ISNUMBER(X74),X74*'Sheet1-指标体系'!$G$8*'Sheet1-指标体系'!$J$9,0))/(IF(ISNUMBER(W74),'Sheet1-指标体系'!$G$8*'Sheet1-指标体系'!$J$8,0)+IF(ISNUMBER(X74),'Sheet1-指标体系'!$G$8*'Sheet1-指标体系'!$J$9,0)),2)))</x:f>
        <x:v>69.23</x:v>
      </x:c>
      <x:c r="Z74" s="44" t="n">
        <x:f>IF(COUNT(M74,AD74)&lt;&gt;2,"",IF(AD74=0,"",ABS(M74/AD74)))</x:f>
        <x:v>0.014530424799081516</x:v>
      </x:c>
      <x:c r="AA74" s="47" t="str">
        <x:f>IF(ISNUMBER('Sheet4-原始数据'!K59),'Sheet4-原始数据'!K59,"")</x:f>
      </x:c>
      <x:c r="AB74" s="44" t="n">
        <x:f>IF(COUNT(Z74:AA74)=0,"",MAX(Z74:AA74))</x:f>
        <x:v>0.014530424799081516</x:v>
      </x:c>
      <x:c r="AC74" s="52" t="n">
        <x:f>IF(OR($G74&lt;&gt;"入池",NOT(ISNUMBER(AB74))),"",IF(COUNTIFS($G$17:$G$99,"入池",$AB$17:$AB$99,"&gt;=-1E+307",$AB$17:$AB$99,"&lt;=1E+307")&lt;=1,'Sheet1-指标体系'!$J$18,ROUND('Sheet1-指标体系'!$J$18*(COUNTIFS($G$17:$G$99,"入池",$AB$17:$AB$99,"&lt;=1E+307",$AB$17:$AB$99,"&gt;"&amp;AB74)+COUNTIFS($G$17:$G$99,"入池",$AB$17:$AB$99,"&gt;=-1E+307",$AB$17:$AB$99,"&lt;=1E+307",$AB$17:$AB$99,AB74)/2-0.5)/(COUNTIFS($G$17:$G$99,"入池",$AB$17:$AB$99,"&gt;=-1E+307",$AB$17:$AB$99,"&lt;=1E+307")-1),2)))</x:f>
        <x:v>63.79</x:v>
      </x:c>
      <x:c r="AD74" s="48" t="n">
        <x:f>IF(ISNUMBER('Sheet4-原始数据'!M59),'Sheet4-原始数据'!M59,"")</x:f>
        <x:v>10.8875</x:v>
      </x:c>
      <x:c r="AE74" s="44" t="str">
        <x:f>IF(COUNT(P74,AA74,Z74)&lt;&gt;3,"",IF(AA74&gt;Z74+'Sheet1-指标体系'!$J$11,AA74,""))</x:f>
      </x:c>
      <x:c r="AF74" s="52" t="str">
        <x:f>IF(COUNT(P74,AE74)&lt;&gt;2,"",IF(AE74=0,"",P74/AE74))</x:f>
      </x:c>
      <x:c r="AG74" s="52" t="n">
        <x:f>IF(OR($G74&lt;&gt;"入池",NOT(ISNUMBER(AD74))),"",IF(COUNTIFS($G$17:$G$99,"入池",$AD$17:$AD$99,"&gt;=-1E+307",$AD$17:$AD$99,"&lt;=1E+307")&lt;=1,'Sheet1-指标体系'!$J$18,ROUND('Sheet1-指标体系'!$J$18*(COUNTIFS($G$17:$G$99,"入池",$AD$17:$AD$99,"&gt;=-1E+307",$AD$17:$AD$99,"&lt;"&amp;AD74)+COUNTIFS($G$17:$G$99,"入池",$AD$17:$AD$99,"&gt;=-1E+307",$AD$17:$AD$99,"&lt;=1E+307",$AD$17:$AD$99,AD74)/2-0.5)/(COUNTIFS($G$17:$G$99,"入池",$AD$17:$AD$99,"&gt;=-1E+307",$AD$17:$AD$99,"&lt;=1E+307")-1),2)))</x:f>
        <x:v>65.45</x:v>
      </x:c>
      <x:c r="AH74" s="52" t="str">
        <x:f>IF(OR($G74&lt;&gt;"入池",NOT(ISNUMBER(AF74))),"",IF(COUNTIFS($G$17:$G$99,"入池",$AF$17:$AF$99,"&gt;=-1E+307",$AF$17:$AF$99,"&lt;=1E+307")&lt;=1,'Sheet1-指标体系'!$J$18,ROUND('Sheet1-指标体系'!$J$18*(COUNTIFS($G$17:$G$99,"入池",$AF$17:$AF$99,"&gt;=-1E+307",$AF$17:$AF$99,"&lt;"&amp;AF74)+COUNTIFS($G$17:$G$99,"入池",$AF$17:$AF$99,"&gt;=-1E+307",$AF$17:$AF$99,"&lt;=1E+307",$AF$17:$AF$99,AF74)/2-0.5)/(COUNTIFS($G$17:$G$99,"入池",$AF$17:$AF$99,"&gt;=-1E+307",$AF$17:$AF$99,"&lt;=1E+307")-1),2)))</x:f>
      </x:c>
      <x:c r="AI74" s="52" t="n">
        <x:f>IF(COUNT(AG74,AH74)=0,"",ROUND((IF(ISNUMBER(AG74),AG74*'Sheet1-指标体系'!$G$10*'Sheet1-指标体系'!$J$8,0)+IF(ISNUMBER(AH74),AH74*'Sheet1-指标体系'!$G$10*'Sheet1-指标体系'!$J$9,0))/(IF(ISNUMBER(AG74),'Sheet1-指标体系'!$G$10*'Sheet1-指标体系'!$J$8,0)+IF(ISNUMBER(AH74),'Sheet1-指标体系'!$G$10*'Sheet1-指标体系'!$J$9,0)),2))</x:f>
        <x:v>65.45</x:v>
      </x:c>
      <x:c r="AJ74" s="44" t="str">
        <x:f>IF(NOT(ISNUMBER(F74)),"",IF(F74&gt;='Sheet1-指标体系'!$J$16,IF(ISNUMBER(N74),N74,""),IF(ISNUMBER(O74),O74,"")))</x:f>
      </x:c>
      <x:c r="AK74" s="52" t="str">
        <x:f>IF(OR(G74&lt;&gt;"入池",COUNT(M74,AJ74)&lt;&gt;2),"",IF(M74&gt;=AJ74,'Sheet1-指标体系'!$J$18,IF(AJ74-M74&lt;'Sheet1-指标体系'!$J$10,'Sheet1-指标体系'!$J$22,'Sheet1-指标体系'!$J$23)))</x:f>
      </x:c>
      <x:c r="AL74" s="52" t="n">
        <x:f>IF(COUNT(I74,K74,L74)=0,"",ROUND((IF(ISNUMBER(I74),I74*'Sheet1-指标体系'!$G$4,0)+IF(ISNUMBER(K74),K74*'Sheet1-指标体系'!$G$5,0)+IF(ISNUMBER(L74),L74*'Sheet1-指标体系'!$G$6,0))/(IF(ISNUMBER(I74),'Sheet1-指标体系'!$G$4,0)+IF(ISNUMBER(K74),'Sheet1-指标体系'!$G$5,0)+IF(ISNUMBER(L74),'Sheet1-指标体系'!$G$6,0)),2))</x:f>
        <x:v>77.14</x:v>
      </x:c>
      <x:c r="AM74" s="52" t="n">
        <x:f>IF(COUNT(Q74,R74,W74,X74)=0,"",ROUND((IF(ISNUMBER(Q74),Q74*'Sheet1-指标体系'!$G$7*'Sheet1-指标体系'!$J$8,0)+IF(ISNUMBER(R74),R74*'Sheet1-指标体系'!$G$7*'Sheet1-指标体系'!$J$9,0)+IF(ISNUMBER(W74),W74*'Sheet1-指标体系'!$G$8*'Sheet1-指标体系'!$J$8,0)+IF(ISNUMBER(X74),X74*'Sheet1-指标体系'!$G$8*'Sheet1-指标体系'!$J$9,0))/(IF(ISNUMBER(Q74),'Sheet1-指标体系'!$G$7*'Sheet1-指标体系'!$J$8,0)+IF(ISNUMBER(R74),'Sheet1-指标体系'!$G$7*'Sheet1-指标体系'!$J$9,0)+IF(ISNUMBER(W74),'Sheet1-指标体系'!$G$8*'Sheet1-指标体系'!$J$8,0)+IF(ISNUMBER(X74),'Sheet1-指标体系'!$G$8*'Sheet1-指标体系'!$J$9,0)),2))</x:f>
        <x:v>79.52</x:v>
      </x:c>
      <x:c r="AN74" s="52" t="n">
        <x:f>IF(ISNUMBER(AC74),AC74,"")</x:f>
        <x:v>63.79</x:v>
      </x:c>
      <x:c r="AO74" s="52" t="n">
        <x:f>IF(COUNT(AG74,AH74)=0,"",ROUND((IF(ISNUMBER(AG74),AG74*'Sheet1-指标体系'!$G$10*'Sheet1-指标体系'!$J$8,0)+IF(ISNUMBER(AH74),AH74*'Sheet1-指标体系'!$G$10*'Sheet1-指标体系'!$J$9,0))/(IF(ISNUMBER(AG74),'Sheet1-指标体系'!$G$10*'Sheet1-指标体系'!$J$8,0)+IF(ISNUMBER(AH74),'Sheet1-指标体系'!$G$10*'Sheet1-指标体系'!$J$9,0)),2))</x:f>
        <x:v>65.45</x:v>
      </x:c>
      <x:c r="AP74" s="52" t="str">
        <x:f>IF(ISNUMBER(AK74),AK74,"")</x:f>
      </x:c>
      <x:c r="AQ74" s="27" t="n">
        <x:f>IF(G74&lt;&gt;"入池",0,IF(ISNUMBER(I74),'Sheet1-指标体系'!$G$4,0)+IF(ISNUMBER(K74),'Sheet1-指标体系'!$G$5,0)+IF(ISNUMBER(L74),'Sheet1-指标体系'!$G$6,0)+IF(ISNUMBER(Q74),'Sheet1-指标体系'!$G$7*'Sheet1-指标体系'!$J$8,0)+IF(ISNUMBER(R74),'Sheet1-指标体系'!$G$7*'Sheet1-指标体系'!$J$9,0)+IF(ISNUMBER(W74),'Sheet1-指标体系'!$G$8*'Sheet1-指标体系'!$J$8,0)+IF(ISNUMBER(X74),'Sheet1-指标体系'!$G$8*'Sheet1-指标体系'!$J$9,0)+IF(ISNUMBER(AC74),'Sheet1-指标体系'!$G$9,0)+IF(ISNUMBER(AG74),'Sheet1-指标体系'!$G$10*'Sheet1-指标体系'!$J$8,0)+IF(ISNUMBER(AH74),'Sheet1-指标体系'!$G$10*'Sheet1-指标体系'!$J$9,0)+IF(ISNUMBER(AK74),'Sheet1-指标体系'!$G$11,0))</x:f>
        <x:v>0.655</x:v>
      </x:c>
      <x:c r="AR74" s="52" t="n">
        <x:f>IF(AQ74=0,"",IF(ISNUMBER(I74),I74*'Sheet1-指标体系'!$G$4,0)+IF(ISNUMBER(K74),K74*'Sheet1-指标体系'!$G$5,0)+IF(ISNUMBER(L74),L74*'Sheet1-指标体系'!$G$6,0)+IF(ISNUMBER(Q74),Q74*'Sheet1-指标体系'!$G$7*'Sheet1-指标体系'!$J$8,0)+IF(ISNUMBER(R74),R74*'Sheet1-指标体系'!$G$7*'Sheet1-指标体系'!$J$9,0)+IF(ISNUMBER(W74),W74*'Sheet1-指标体系'!$G$8*'Sheet1-指标体系'!$J$8,0)+IF(ISNUMBER(X74),X74*'Sheet1-指标体系'!$G$8*'Sheet1-指标体系'!$J$9,0)+IF(ISNUMBER(AC74),AC74*'Sheet1-指标体系'!$G$9,0)+IF(ISNUMBER(AG74),AG74*'Sheet1-指标体系'!$G$10*'Sheet1-指标体系'!$J$8,0)+IF(ISNUMBER(AH74),AH74*'Sheet1-指标体系'!$G$10*'Sheet1-指标体系'!$J$9,0)+IF(ISNUMBER(AK74),AK74*'Sheet1-指标体系'!$G$11,0))</x:f>
        <x:v>45.3709</x:v>
      </x:c>
      <x:c r="AS74" s="52" t="n">
        <x:f>IF(AQ74=0,"",ROUND(AR74/AQ74,2))</x:f>
        <x:v>69.27</x:v>
      </x:c>
      <x:c r="AT74" s="49" t="n">
        <x:f>IF(OR(G74&lt;&gt;"入池",NOT(ISNUMBER(AS74))),"",COUNTIFS($G$17:$G$99,"入池",$AS$17:$AS$99,"&gt;"&amp;AS74)+COUNTIFS($G$17:$G$99,"入池",$AS$17:$AS$99,AS74,$AQ$17:$AQ$99,"&gt;"&amp;AQ74)+COUNTIFS($G$17:G74,"入池",$AS$17:AS74,AS74,$AQ$17:AQ74,AQ74))</x:f>
        <x:v>42</x:v>
      </x:c>
      <x:c r="AU74" s="53" t="str">
        <x:f>IF(NOT(ISNUMBER(I74)),"管理人规模；","")&amp;IF(NOT(ISNUMBER(K74)),"产品规模标识；","")&amp;IF(NOT(ISNUMBER(M74)),"近一年收益；","")&amp;IF(NOT(ISNUMBER(T74)),"近一年胜率；","")&amp;IF(NOT(ISNUMBER(N74)),"近三年收益；","")&amp;IF(NOT(ISNUMBER(U74)),"近三年胜率；","")&amp;IF(NOT(ISNUMBER(AA74)),"近三年回撤；","")&amp;IF(NOT(ISNUMBER(AD74)),"近一年卡玛；","")&amp;IF(ISNUMBER(F74),IF(AND(F74&lt;'Sheet1-指标体系'!$J$16,NOT(ISNUMBER(O74))),"成立以来年化；",""),"成立日期；")&amp;IF(ISNUMBER(V74),IF(OR(V74&lt;0,V74&gt;1),"胜率窗口口径不一致；",""),"")&amp;IF(ISNUMBER(P74),IF(NOT(ISNUMBER(AE74)),"DD_long不可识别；",""),"")</x:f>
        <x:v>产品规模标识；近三年收益；近三年胜率；近三年回撤；</x:v>
      </x:c>
      <x:c r="AV74" s="52" t="str">
        <x:f>IF(ROUND(AQ74,10)=ROUND('Sheet1-指标体系'!$J$25,10),AR74,"")</x:f>
      </x:c>
      <x:c r="AW74" s="14" t="str">
        <x:f>IF(G74&lt;&gt;"入池",G74,IF(AQ74=0,"无有效评分数据",IF(ROUND(AQ74,10)=ROUND('Sheet1-指标体系'!$J$25,10),"完整赋分", "暂定分／数据不完整")))</x:f>
        <x:v>暂定分／数据不完整</x:v>
      </x:c>
      <x:c r="AX74" s="45" t="str">
        <x:f>IF('Sheet4-原始数据'!C59="","",'Sheet4-原始数据'!C59)</x:f>
        <x:v>套利策略</x:v>
      </x:c>
      <x:c r="AY74" s="45" t="str">
        <x:f>IF('Sheet4-原始数据'!D59="","",'Sheet4-原始数据'!D59)</x:f>
        <x:v>期货套利</x:v>
      </x:c>
      <x:c r="AZ74" s="45" t="str">
        <x:f>IF('Sheet5-查询核对'!S59="","",'Sheet5-查询核对'!S59)</x:f>
        <x:v>套利策略—期货套利</x:v>
      </x:c>
      <x:c r="BA74" s="51" t="n">
        <x:f>IF('Sheet5-查询核对'!A59="","",'Sheet5-查询核对'!A59)</x:f>
        <x:v>59</x:v>
      </x:c>
      <x:c r="BB74" s="45" t="str">
        <x:f>IF('Sheet5-查询核对'!F59="","",'Sheet5-查询核对'!F59)</x:f>
        <x:v>备案号匹配</x:v>
      </x:c>
      <x:c r="BC74" s="50" t="str">
        <x:f>IF('Sheet5-查询核对'!I59="","",'Sheet5-查询核对'!I59)</x:f>
        <x:v>https://mp.fof99.com/fund/view/317110f339421a93</x:v>
      </x:c>
      <x:c r="BD74" s="46" t="n">
        <x:f>IF('Sheet5-查询核对'!H59="","",'Sheet5-查询核对'!H59)</x:f>
        <x:v>46269</x:v>
      </x:c>
      <x:c r="BE74" s="50" t="str">
        <x:f>IF('Sheet5-查询核对'!L59="","",'Sheet5-查询核对'!L59)</x:f>
        <x:v>https://mp.fof99.com/fund/view/317110f339421a93</x:v>
      </x:c>
      <x:c r="BF74" s="46" t="n">
        <x:f>IF('Sheet5-查询核对'!M59="","",'Sheet5-查询核对'!M59)</x:f>
        <x:v>46275</x:v>
      </x:c>
      <x:c r="BG74" s="50" t="str">
        <x:f>IF('Sheet5-查询核对'!O59="","",'Sheet5-查询核对'!O59)</x:f>
      </x:c>
      <x:c r="BH74" s="46" t="str">
        <x:f>IF('Sheet5-查询核对'!P59="","",'Sheet5-查询核对'!P59)</x:f>
      </x:c>
      <x:c r="BI74" s="45" t="str">
        <x:f>IF('Sheet5-查询核对'!D59="","",'Sheet5-查询核对'!D59)</x:f>
        <x:v>XX769B</x:v>
      </x:c>
      <x:c r="BJ74" t="n">
        <x:f>IF(ISNUMBER(AT74),AT74,COUNT($AT$17:$AT$99)+ROWS($AT$17:AT74)-COUNT($AT$17:AT74))</x:f>
        <x:v>42</x:v>
      </x:c>
    </x:row>
    <x:row r="75" ht="44" customHeight="1">
      <x:c r="A75" s="49" t="n">
        <x:f>'Sheet5-查询核对'!A60-1</x:f>
        <x:v>59</x:v>
      </x:c>
      <x:c r="B75" s="50" t="str">
        <x:f>IF('Sheet4-原始数据'!A60="",'Sheet5-查询核对'!B60,'Sheet4-原始数据'!A60)</x:f>
        <x:v>世宽若水尘心3号</x:v>
      </x:c>
      <x:c r="C75" s="45" t="str">
        <x:f>IF('Sheet4-原始数据'!B60="","",'Sheet4-原始数据'!B60)</x:f>
        <x:v>SXT730</x:v>
      </x:c>
      <x:c r="D75" s="45" t="str">
        <x:f>IF('Sheet4-原始数据'!E60="","",'Sheet4-原始数据'!E60)</x:f>
        <x:v>厦门世宽</x:v>
      </x:c>
      <x:c r="E75" s="46" t="n">
        <x:f>IF('Sheet4-原始数据'!F60="","",'Sheet4-原始数据'!F60)</x:f>
        <x:v>44883</x:v>
      </x:c>
      <x:c r="F75" s="52" t="n">
        <x:f>IF(ISNUMBER(E75),ROUND(('Sheet1-指标体系'!$J$12-E75)/'Sheet1-指标体系'!$J$14,4),"")</x:f>
        <x:v>3.8111</x:v>
      </x:c>
      <x:c r="G75" s="14" t="str">
        <x:f>IF(C75="","未匹配",IF(NOT(ISNUMBER(F75)),"缺成立日期",IF(F75&lt;'Sheet1-指标体系'!$J$15,"不入池","入池")))</x:f>
        <x:v>入池</x:v>
      </x:c>
      <x:c r="H75" s="45" t="str">
        <x:f>IF('Sheet5-查询核对'!K60="","",'Sheet5-查询核对'!K60)</x:f>
        <x:v>0-5亿元</x:v>
      </x:c>
      <x:c r="I75" s="52" t="n">
        <x:f>IF(H75="","",IF(COUNTIF('Sheet1-指标体系'!$P$4:$P$10,H75)=0,"",INDEX('Sheet1-指标体系'!$Q$4:$Q$10,MATCH(H75,'Sheet1-指标体系'!$P$4:$P$10,0))))</x:f>
        <x:v>60</x:v>
      </x:c>
      <x:c r="J75" s="54" t="str">
        <x:f>IF(NOT(ISNUMBER('Sheet5-查询核对'!N60)),"",IF('Sheet5-查询核对'!N60=1,"低于"&amp;'Sheet1-指标体系'!$J$4&amp;"万元",IF('Sheet5-查询核对'!N60=0,"无低于"&amp;'Sheet1-指标体系'!$J$4&amp;"万元标识","")))</x:f>
        <x:v>无低于1000万元标识</x:v>
      </x:c>
      <x:c r="K75" s="52" t="n">
        <x:f>IF(NOT(ISNUMBER('Sheet5-查询核对'!N60)),"",IF('Sheet5-查询核对'!N60=1,'Sheet1-指标体系'!$J$21,IF('Sheet5-查询核对'!N60=0,'Sheet1-指标体系'!$J$18,"")))</x:f>
        <x:v>100</x:v>
      </x:c>
      <x:c r="L75" s="52" t="n">
        <x:f>IF(NOT(ISNUMBER(F75)),"",IF(F75&lt;'Sheet1-指标体系'!$J$15,"",IF(F75&lt;'Sheet1-指标体系'!$J$16,'Sheet1-指标体系'!$J$17,'Sheet1-指标体系'!$J$18)))</x:f>
        <x:v>100</x:v>
      </x:c>
      <x:c r="M75" s="47" t="str">
        <x:f>IF(ISNUMBER('Sheet4-原始数据'!G60),'Sheet4-原始数据'!G60,"")</x:f>
      </x:c>
      <x:c r="N75" s="47" t="str">
        <x:f>IF(ISNUMBER('Sheet4-原始数据'!H60),'Sheet4-原始数据'!H60,"")</x:f>
      </x:c>
      <x:c r="O75" s="47" t="str">
        <x:f>IF(ISNUMBER('Sheet5-查询核对'!Q60),'Sheet5-查询核对'!Q60,"")</x:f>
      </x:c>
      <x:c r="P75" s="44" t="str">
        <x:f>IF($G75&lt;&gt;"入池","",IF($F75&gt;='Sheet1-指标体系'!$J$16,IF(COUNT(M75,N75)&lt;&gt;2,"",IF(OR(1+M75&lt;=0,1+N75&lt;0),"",((1+N75)^'Sheet1-指标体系'!$J$16/(1+M75))^(1/('Sheet1-指标体系'!$J$16-'Sheet1-指标体系'!$J$15))-1)),IF(COUNT(M75,O75)&lt;&gt;2,"",IF(OR(F75&lt;='Sheet1-指标体系'!$J$15,1+M75&lt;=0,1+O75&lt;0),"",((1+O75)^F75/(1+M75))^(1/(F75-'Sheet1-指标体系'!$J$15))-1))))</x:f>
      </x:c>
      <x:c r="Q75" s="52" t="str">
        <x:f>IF(OR($G75&lt;&gt;"入池",NOT(ISNUMBER(M75))),"",IF(COUNTIFS($G$17:$G$99,"入池",$M$17:$M$99,"&gt;=-1E+307",$M$17:$M$99,"&lt;=1E+307")&lt;=1,'Sheet1-指标体系'!$J$18,ROUND('Sheet1-指标体系'!$J$18*(COUNTIFS($G$17:$G$99,"入池",$M$17:$M$99,"&gt;=-1E+307",$M$17:$M$99,"&lt;"&amp;M75)+COUNTIFS($G$17:$G$99,"入池",$M$17:$M$99,"&gt;=-1E+307",$M$17:$M$99,"&lt;=1E+307",$M$17:$M$99,M75)/2-0.5)/(COUNTIFS($G$17:$G$99,"入池",$M$17:$M$99,"&gt;=-1E+307",$M$17:$M$99,"&lt;=1E+307")-1),2)))</x:f>
      </x:c>
      <x:c r="R75" s="52" t="str">
        <x:f>IF(OR($G75&lt;&gt;"入池",NOT(ISNUMBER(P75))),"",IF(COUNTIFS($G$17:$G$99,"入池",$P$17:$P$99,"&gt;=-1E+307",$P$17:$P$99,"&lt;=1E+307")&lt;=1,'Sheet1-指标体系'!$J$18,ROUND('Sheet1-指标体系'!$J$18*(COUNTIFS($G$17:$G$99,"入池",$P$17:$P$99,"&gt;=-1E+307",$P$17:$P$99,"&lt;"&amp;P75)+COUNTIFS($G$17:$G$99,"入池",$P$17:$P$99,"&gt;=-1E+307",$P$17:$P$99,"&lt;=1E+307",$P$17:$P$99,P75)/2-0.5)/(COUNTIFS($G$17:$G$99,"入池",$P$17:$P$99,"&gt;=-1E+307",$P$17:$P$99,"&lt;=1E+307")-1),2)))</x:f>
      </x:c>
      <x:c r="S75" s="52" t="str">
        <x:f>IF(COUNT(Q75,R75)=0,"",ROUND((IF(ISNUMBER(Q75),Q75*'Sheet1-指标体系'!$G$7*'Sheet1-指标体系'!$J$8,0)+IF(ISNUMBER(R75),R75*'Sheet1-指标体系'!$G$7*'Sheet1-指标体系'!$J$9,0))/(IF(ISNUMBER(Q75),'Sheet1-指标体系'!$G$7*'Sheet1-指标体系'!$J$8,0)+IF(ISNUMBER(R75),'Sheet1-指标体系'!$G$7*'Sheet1-指标体系'!$J$9,0)),2))</x:f>
      </x:c>
      <x:c r="T75" s="47" t="str">
        <x:f>IF(ISNUMBER('Sheet4-原始数据'!J60),'Sheet4-原始数据'!J60,"")</x:f>
      </x:c>
      <x:c r="U75" s="47" t="str">
        <x:f>IF(ISNUMBER('Sheet4-原始数据'!I60),'Sheet4-原始数据'!I60,"")</x:f>
      </x:c>
      <x:c r="V75" s="44" t="str">
        <x:f>IF(COUNT(T75:U75)&lt;&gt;2,"",(U75*'Sheet1-指标体系'!$J$6-T75*'Sheet1-指标体系'!$J$5)/'Sheet1-指标体系'!$J$7)</x:f>
      </x:c>
      <x:c r="W75" s="52" t="str">
        <x:f>IF(NOT(ISNUMBER(T75)),"",T75*'Sheet1-指标体系'!$J$18)</x:f>
      </x:c>
      <x:c r="X75" s="52" t="str">
        <x:f>IF(G75&lt;&gt;"入池","",IF(ISNUMBER(V75),IF(AND(V75&gt;=0,V75&lt;=1),V75*'Sheet1-指标体系'!$J$18,IF(MAX(0,(F75-'Sheet1-指标体系'!$J$15)*'Sheet1-指标体系'!$J$20)&lt;'Sheet1-指标体系'!$J$19,'Sheet1-指标体系'!$J$18,"")),IF(MAX(0,(F75-'Sheet1-指标体系'!$J$15)*'Sheet1-指标体系'!$J$20)&lt;'Sheet1-指标体系'!$J$19,'Sheet1-指标体系'!$J$18,"")))</x:f>
      </x:c>
      <x:c r="Y75" s="52" t="str">
        <x:f>IF(NOT(ISNUMBER(W75)),"",IF(COUNT(W75,X75)=0,"",ROUND((IF(ISNUMBER(W75),W75*'Sheet1-指标体系'!$G$8*'Sheet1-指标体系'!$J$8,0)+IF(ISNUMBER(X75),X75*'Sheet1-指标体系'!$G$8*'Sheet1-指标体系'!$J$9,0))/(IF(ISNUMBER(W75),'Sheet1-指标体系'!$G$8*'Sheet1-指标体系'!$J$8,0)+IF(ISNUMBER(X75),'Sheet1-指标体系'!$G$8*'Sheet1-指标体系'!$J$9,0)),2)))</x:f>
      </x:c>
      <x:c r="Z75" s="44" t="str">
        <x:f>IF(COUNT(M75,AD75)&lt;&gt;2,"",IF(AD75=0,"",ABS(M75/AD75)))</x:f>
      </x:c>
      <x:c r="AA75" s="47" t="str">
        <x:f>IF(ISNUMBER('Sheet4-原始数据'!K60),'Sheet4-原始数据'!K60,"")</x:f>
      </x:c>
      <x:c r="AB75" s="44" t="str">
        <x:f>IF(COUNT(Z75:AA75)=0,"",MAX(Z75:AA75))</x:f>
      </x:c>
      <x:c r="AC75" s="52" t="str">
        <x:f>IF(OR($G75&lt;&gt;"入池",NOT(ISNUMBER(AB75))),"",IF(COUNTIFS($G$17:$G$99,"入池",$AB$17:$AB$99,"&gt;=-1E+307",$AB$17:$AB$99,"&lt;=1E+307")&lt;=1,'Sheet1-指标体系'!$J$18,ROUND('Sheet1-指标体系'!$J$18*(COUNTIFS($G$17:$G$99,"入池",$AB$17:$AB$99,"&lt;=1E+307",$AB$17:$AB$99,"&gt;"&amp;AB75)+COUNTIFS($G$17:$G$99,"入池",$AB$17:$AB$99,"&gt;=-1E+307",$AB$17:$AB$99,"&lt;=1E+307",$AB$17:$AB$99,AB75)/2-0.5)/(COUNTIFS($G$17:$G$99,"入池",$AB$17:$AB$99,"&gt;=-1E+307",$AB$17:$AB$99,"&lt;=1E+307")-1),2)))</x:f>
      </x:c>
      <x:c r="AD75" s="48" t="str">
        <x:f>IF(ISNUMBER('Sheet4-原始数据'!M60),'Sheet4-原始数据'!M60,"")</x:f>
      </x:c>
      <x:c r="AE75" s="44" t="str">
        <x:f>IF(COUNT(P75,AA75,Z75)&lt;&gt;3,"",IF(AA75&gt;Z75+'Sheet1-指标体系'!$J$11,AA75,""))</x:f>
      </x:c>
      <x:c r="AF75" s="52" t="str">
        <x:f>IF(COUNT(P75,AE75)&lt;&gt;2,"",IF(AE75=0,"",P75/AE75))</x:f>
      </x:c>
      <x:c r="AG75" s="52" t="str">
        <x:f>IF(OR($G75&lt;&gt;"入池",NOT(ISNUMBER(AD75))),"",IF(COUNTIFS($G$17:$G$99,"入池",$AD$17:$AD$99,"&gt;=-1E+307",$AD$17:$AD$99,"&lt;=1E+307")&lt;=1,'Sheet1-指标体系'!$J$18,ROUND('Sheet1-指标体系'!$J$18*(COUNTIFS($G$17:$G$99,"入池",$AD$17:$AD$99,"&gt;=-1E+307",$AD$17:$AD$99,"&lt;"&amp;AD75)+COUNTIFS($G$17:$G$99,"入池",$AD$17:$AD$99,"&gt;=-1E+307",$AD$17:$AD$99,"&lt;=1E+307",$AD$17:$AD$99,AD75)/2-0.5)/(COUNTIFS($G$17:$G$99,"入池",$AD$17:$AD$99,"&gt;=-1E+307",$AD$17:$AD$99,"&lt;=1E+307")-1),2)))</x:f>
      </x:c>
      <x:c r="AH75" s="52" t="str">
        <x:f>IF(OR($G75&lt;&gt;"入池",NOT(ISNUMBER(AF75))),"",IF(COUNTIFS($G$17:$G$99,"入池",$AF$17:$AF$99,"&gt;=-1E+307",$AF$17:$AF$99,"&lt;=1E+307")&lt;=1,'Sheet1-指标体系'!$J$18,ROUND('Sheet1-指标体系'!$J$18*(COUNTIFS($G$17:$G$99,"入池",$AF$17:$AF$99,"&gt;=-1E+307",$AF$17:$AF$99,"&lt;"&amp;AF75)+COUNTIFS($G$17:$G$99,"入池",$AF$17:$AF$99,"&gt;=-1E+307",$AF$17:$AF$99,"&lt;=1E+307",$AF$17:$AF$99,AF75)/2-0.5)/(COUNTIFS($G$17:$G$99,"入池",$AF$17:$AF$99,"&gt;=-1E+307",$AF$17:$AF$99,"&lt;=1E+307")-1),2)))</x:f>
      </x:c>
      <x:c r="AI75" s="52" t="str">
        <x:f>IF(COUNT(AG75,AH75)=0,"",ROUND((IF(ISNUMBER(AG75),AG75*'Sheet1-指标体系'!$G$10*'Sheet1-指标体系'!$J$8,0)+IF(ISNUMBER(AH75),AH75*'Sheet1-指标体系'!$G$10*'Sheet1-指标体系'!$J$9,0))/(IF(ISNUMBER(AG75),'Sheet1-指标体系'!$G$10*'Sheet1-指标体系'!$J$8,0)+IF(ISNUMBER(AH75),'Sheet1-指标体系'!$G$10*'Sheet1-指标体系'!$J$9,0)),2))</x:f>
      </x:c>
      <x:c r="AJ75" s="44" t="str">
        <x:f>IF(NOT(ISNUMBER(F75)),"",IF(F75&gt;='Sheet1-指标体系'!$J$16,IF(ISNUMBER(N75),N75,""),IF(ISNUMBER(O75),O75,"")))</x:f>
      </x:c>
      <x:c r="AK75" s="52" t="str">
        <x:f>IF(OR(G75&lt;&gt;"入池",COUNT(M75,AJ75)&lt;&gt;2),"",IF(M75&gt;=AJ75,'Sheet1-指标体系'!$J$18,IF(AJ75-M75&lt;'Sheet1-指标体系'!$J$10,'Sheet1-指标体系'!$J$22,'Sheet1-指标体系'!$J$23)))</x:f>
      </x:c>
      <x:c r="AL75" s="52" t="n">
        <x:f>IF(COUNT(I75,K75,L75)=0,"",ROUND((IF(ISNUMBER(I75),I75*'Sheet1-指标体系'!$G$4,0)+IF(ISNUMBER(K75),K75*'Sheet1-指标体系'!$G$5,0)+IF(ISNUMBER(L75),L75*'Sheet1-指标体系'!$G$6,0))/(IF(ISNUMBER(I75),'Sheet1-指标体系'!$G$4,0)+IF(ISNUMBER(K75),'Sheet1-指标体系'!$G$5,0)+IF(ISNUMBER(L75),'Sheet1-指标体系'!$G$6,0)),2))</x:f>
        <x:v>84</x:v>
      </x:c>
      <x:c r="AM75" s="52" t="str">
        <x:f>IF(COUNT(Q75,R75,W75,X75)=0,"",ROUND((IF(ISNUMBER(Q75),Q75*'Sheet1-指标体系'!$G$7*'Sheet1-指标体系'!$J$8,0)+IF(ISNUMBER(R75),R75*'Sheet1-指标体系'!$G$7*'Sheet1-指标体系'!$J$9,0)+IF(ISNUMBER(W75),W75*'Sheet1-指标体系'!$G$8*'Sheet1-指标体系'!$J$8,0)+IF(ISNUMBER(X75),X75*'Sheet1-指标体系'!$G$8*'Sheet1-指标体系'!$J$9,0))/(IF(ISNUMBER(Q75),'Sheet1-指标体系'!$G$7*'Sheet1-指标体系'!$J$8,0)+IF(ISNUMBER(R75),'Sheet1-指标体系'!$G$7*'Sheet1-指标体系'!$J$9,0)+IF(ISNUMBER(W75),'Sheet1-指标体系'!$G$8*'Sheet1-指标体系'!$J$8,0)+IF(ISNUMBER(X75),'Sheet1-指标体系'!$G$8*'Sheet1-指标体系'!$J$9,0)),2))</x:f>
      </x:c>
      <x:c r="AN75" s="52" t="str">
        <x:f>IF(ISNUMBER(AC75),AC75,"")</x:f>
      </x:c>
      <x:c r="AO75" s="52" t="str">
        <x:f>IF(COUNT(AG75,AH75)=0,"",ROUND((IF(ISNUMBER(AG75),AG75*'Sheet1-指标体系'!$G$10*'Sheet1-指标体系'!$J$8,0)+IF(ISNUMBER(AH75),AH75*'Sheet1-指标体系'!$G$10*'Sheet1-指标体系'!$J$9,0))/(IF(ISNUMBER(AG75),'Sheet1-指标体系'!$G$10*'Sheet1-指标体系'!$J$8,0)+IF(ISNUMBER(AH75),'Sheet1-指标体系'!$G$10*'Sheet1-指标体系'!$J$9,0)),2))</x:f>
      </x:c>
      <x:c r="AP75" s="52" t="str">
        <x:f>IF(ISNUMBER(AK75),AK75,"")</x:f>
      </x:c>
      <x:c r="AQ75" s="27" t="n">
        <x:f>IF(G75&lt;&gt;"入池",0,IF(ISNUMBER(I75),'Sheet1-指标体系'!$G$4,0)+IF(ISNUMBER(K75),'Sheet1-指标体系'!$G$5,0)+IF(ISNUMBER(L75),'Sheet1-指标体系'!$G$6,0)+IF(ISNUMBER(Q75),'Sheet1-指标体系'!$G$7*'Sheet1-指标体系'!$J$8,0)+IF(ISNUMBER(R75),'Sheet1-指标体系'!$G$7*'Sheet1-指标体系'!$J$9,0)+IF(ISNUMBER(W75),'Sheet1-指标体系'!$G$8*'Sheet1-指标体系'!$J$8,0)+IF(ISNUMBER(X75),'Sheet1-指标体系'!$G$8*'Sheet1-指标体系'!$J$9,0)+IF(ISNUMBER(AC75),'Sheet1-指标体系'!$G$9,0)+IF(ISNUMBER(AG75),'Sheet1-指标体系'!$G$10*'Sheet1-指标体系'!$J$8,0)+IF(ISNUMBER(AH75),'Sheet1-指标体系'!$G$10*'Sheet1-指标体系'!$J$9,0)+IF(ISNUMBER(AK75),'Sheet1-指标体系'!$G$11,0))</x:f>
        <x:v>0.15</x:v>
      </x:c>
      <x:c r="AR75" s="52" t="n">
        <x:f>IF(AQ75=0,"",IF(ISNUMBER(I75),I75*'Sheet1-指标体系'!$G$4,0)+IF(ISNUMBER(K75),K75*'Sheet1-指标体系'!$G$5,0)+IF(ISNUMBER(L75),L75*'Sheet1-指标体系'!$G$6,0)+IF(ISNUMBER(Q75),Q75*'Sheet1-指标体系'!$G$7*'Sheet1-指标体系'!$J$8,0)+IF(ISNUMBER(R75),R75*'Sheet1-指标体系'!$G$7*'Sheet1-指标体系'!$J$9,0)+IF(ISNUMBER(W75),W75*'Sheet1-指标体系'!$G$8*'Sheet1-指标体系'!$J$8,0)+IF(ISNUMBER(X75),X75*'Sheet1-指标体系'!$G$8*'Sheet1-指标体系'!$J$9,0)+IF(ISNUMBER(AC75),AC75*'Sheet1-指标体系'!$G$9,0)+IF(ISNUMBER(AG75),AG75*'Sheet1-指标体系'!$G$10*'Sheet1-指标体系'!$J$8,0)+IF(ISNUMBER(AH75),AH75*'Sheet1-指标体系'!$G$10*'Sheet1-指标体系'!$J$9,0)+IF(ISNUMBER(AK75),AK75*'Sheet1-指标体系'!$G$11,0))</x:f>
        <x:v>12.6</x:v>
      </x:c>
      <x:c r="AS75" s="52" t="n">
        <x:f>IF(AQ75=0,"",ROUND(AR75/AQ75,2))</x:f>
        <x:v>84</x:v>
      </x:c>
      <x:c r="AT75" s="49" t="n">
        <x:f>IF(OR(G75&lt;&gt;"入池",NOT(ISNUMBER(AS75))),"",COUNTIFS($G$17:$G$99,"入池",$AS$17:$AS$99,"&gt;"&amp;AS75)+COUNTIFS($G$17:$G$99,"入池",$AS$17:$AS$99,AS75,$AQ$17:$AQ$99,"&gt;"&amp;AQ75)+COUNTIFS($G$17:G75,"入池",$AS$17:AS75,AS75,$AQ$17:AQ75,AQ75))</x:f>
        <x:v>20</x:v>
      </x:c>
      <x:c r="AU75" s="53" t="str">
        <x:f>IF(NOT(ISNUMBER(I75)),"管理人规模；","")&amp;IF(NOT(ISNUMBER(K75)),"产品规模标识；","")&amp;IF(NOT(ISNUMBER(M75)),"近一年收益；","")&amp;IF(NOT(ISNUMBER(T75)),"近一年胜率；","")&amp;IF(NOT(ISNUMBER(N75)),"近三年收益；","")&amp;IF(NOT(ISNUMBER(U75)),"近三年胜率；","")&amp;IF(NOT(ISNUMBER(AA75)),"近三年回撤；","")&amp;IF(NOT(ISNUMBER(AD75)),"近一年卡玛；","")&amp;IF(ISNUMBER(F75),IF(AND(F75&lt;'Sheet1-指标体系'!$J$16,NOT(ISNUMBER(O75))),"成立以来年化；",""),"成立日期；")&amp;IF(ISNUMBER(V75),IF(OR(V75&lt;0,V75&gt;1),"胜率窗口口径不一致；",""),"")&amp;IF(ISNUMBER(P75),IF(NOT(ISNUMBER(AE75)),"DD_long不可识别；",""),"")</x:f>
        <x:v>近一年收益；近一年胜率；近三年收益；近三年胜率；近三年回撤；近一年卡玛；</x:v>
      </x:c>
      <x:c r="AV75" s="52" t="str">
        <x:f>IF(ROUND(AQ75,10)=ROUND('Sheet1-指标体系'!$J$25,10),AR75,"")</x:f>
      </x:c>
      <x:c r="AW75" s="14" t="str">
        <x:f>IF(G75&lt;&gt;"入池",G75,IF(AQ75=0,"无有效评分数据",IF(ROUND(AQ75,10)=ROUND('Sheet1-指标体系'!$J$25,10),"完整赋分", "暂定分／数据不完整")))</x:f>
        <x:v>暂定分／数据不完整</x:v>
      </x:c>
      <x:c r="AX75" s="45" t="str">
        <x:f>IF('Sheet4-原始数据'!C60="","",'Sheet4-原始数据'!C60)</x:f>
        <x:v>套利策略</x:v>
      </x:c>
      <x:c r="AY75" s="45" t="str">
        <x:f>IF('Sheet4-原始数据'!D60="","",'Sheet4-原始数据'!D60)</x:f>
        <x:v>期货套利</x:v>
      </x:c>
      <x:c r="AZ75" s="45" t="str">
        <x:f>IF('Sheet5-查询核对'!S60="","",'Sheet5-查询核对'!S60)</x:f>
        <x:v>套利策略—期货套利</x:v>
      </x:c>
      <x:c r="BA75" s="51" t="n">
        <x:f>IF('Sheet5-查询核对'!A60="","",'Sheet5-查询核对'!A60)</x:f>
        <x:v>60</x:v>
      </x:c>
      <x:c r="BB75" s="45" t="str">
        <x:f>IF('Sheet5-查询核对'!F60="","",'Sheet5-查询核对'!F60)</x:f>
        <x:v>备案号匹配</x:v>
      </x:c>
      <x:c r="BC75" s="50" t="str">
        <x:f>IF('Sheet5-查询核对'!I60="","",'Sheet5-查询核对'!I60)</x:f>
        <x:v>https://mp.fof99.com/fund/view/de992f1098047fe1</x:v>
      </x:c>
      <x:c r="BD75" s="46" t="n">
        <x:f>IF('Sheet5-查询核对'!H60="","",'Sheet5-查询核对'!H60)</x:f>
        <x:v>46269</x:v>
      </x:c>
      <x:c r="BE75" s="50" t="str">
        <x:f>IF('Sheet5-查询核对'!L60="","",'Sheet5-查询核对'!L60)</x:f>
        <x:v>https://mp.fof99.com/fund/view/de992f1098047fe1</x:v>
      </x:c>
      <x:c r="BF75" s="46" t="n">
        <x:f>IF('Sheet5-查询核对'!M60="","",'Sheet5-查询核对'!M60)</x:f>
        <x:v>46275</x:v>
      </x:c>
      <x:c r="BG75" s="50" t="str">
        <x:f>IF('Sheet5-查询核对'!O60="","",'Sheet5-查询核对'!O60)</x:f>
        <x:v>https://gs.amac.org.cn/amac-infodisc/res/pof/fund/2211252020100971.html</x:v>
      </x:c>
      <x:c r="BH75" s="46" t="n">
        <x:f>IF('Sheet5-查询核对'!P60="","",'Sheet5-查询核对'!P60)</x:f>
        <x:v>46275</x:v>
      </x:c>
      <x:c r="BI75" s="45" t="str">
        <x:f>IF('Sheet5-查询核对'!D60="","",'Sheet5-查询核对'!D60)</x:f>
        <x:v>SXT730</x:v>
      </x:c>
      <x:c r="BJ75" t="n">
        <x:f>IF(ISNUMBER(AT75),AT75,COUNT($AT$17:$AT$99)+ROWS($AT$17:AT75)-COUNT($AT$17:AT75))</x:f>
        <x:v>20</x:v>
      </x:c>
    </x:row>
    <x:row r="76" ht="44" customHeight="1">
      <x:c r="A76" s="49" t="n">
        <x:f>'Sheet5-查询核对'!A61-1</x:f>
        <x:v>60</x:v>
      </x:c>
      <x:c r="B76" s="50" t="str">
        <x:f>IF('Sheet4-原始数据'!A61="",'Sheet5-查询核对'!B61,'Sheet4-原始数据'!A61)</x:f>
        <x:v>殊馥馥源套利1号</x:v>
      </x:c>
      <x:c r="C76" s="45" t="str">
        <x:f>IF('Sheet4-原始数据'!B61="","",'Sheet4-原始数据'!B61)</x:f>
        <x:v>SGM512</x:v>
      </x:c>
      <x:c r="D76" s="45" t="str">
        <x:f>IF('Sheet4-原始数据'!E61="","",'Sheet4-原始数据'!E61)</x:f>
        <x:v>上海殊馥投资</x:v>
      </x:c>
      <x:c r="E76" s="46" t="n">
        <x:f>IF('Sheet4-原始数据'!F61="","",'Sheet4-原始数据'!F61)</x:f>
        <x:v>43585</x:v>
      </x:c>
      <x:c r="F76" s="52" t="n">
        <x:f>IF(ISNUMBER(E76),ROUND(('Sheet1-指标体系'!$J$12-E76)/'Sheet1-指标体系'!$J$14,4),"")</x:f>
        <x:v>7.3648</x:v>
      </x:c>
      <x:c r="G76" s="14" t="str">
        <x:f>IF(C76="","未匹配",IF(NOT(ISNUMBER(F76)),"缺成立日期",IF(F76&lt;'Sheet1-指标体系'!$J$15,"不入池","入池")))</x:f>
        <x:v>入池</x:v>
      </x:c>
      <x:c r="H76" s="45" t="str">
        <x:f>IF('Sheet5-查询核对'!K61="","",'Sheet5-查询核对'!K61)</x:f>
        <x:v>10-20亿元</x:v>
      </x:c>
      <x:c r="I76" s="52" t="n">
        <x:f>IF(H76="","",IF(COUNTIF('Sheet1-指标体系'!$P$4:$P$10,H76)=0,"",INDEX('Sheet1-指标体系'!$Q$4:$Q$10,MATCH(H76,'Sheet1-指标体系'!$P$4:$P$10,0))))</x:f>
        <x:v>80</x:v>
      </x:c>
      <x:c r="J76" s="54" t="str">
        <x:f>IF(NOT(ISNUMBER('Sheet5-查询核对'!N61)),"",IF('Sheet5-查询核对'!N61=1,"低于"&amp;'Sheet1-指标体系'!$J$4&amp;"万元",IF('Sheet5-查询核对'!N61=0,"无低于"&amp;'Sheet1-指标体系'!$J$4&amp;"万元标识","")))</x:f>
        <x:v>无低于1000万元标识</x:v>
      </x:c>
      <x:c r="K76" s="52" t="n">
        <x:f>IF(NOT(ISNUMBER('Sheet5-查询核对'!N61)),"",IF('Sheet5-查询核对'!N61=1,'Sheet1-指标体系'!$J$21,IF('Sheet5-查询核对'!N61=0,'Sheet1-指标体系'!$J$18,"")))</x:f>
        <x:v>100</x:v>
      </x:c>
      <x:c r="L76" s="52" t="n">
        <x:f>IF(NOT(ISNUMBER(F76)),"",IF(F76&lt;'Sheet1-指标体系'!$J$15,"",IF(F76&lt;'Sheet1-指标体系'!$J$16,'Sheet1-指标体系'!$J$17,'Sheet1-指标体系'!$J$18)))</x:f>
        <x:v>100</x:v>
      </x:c>
      <x:c r="M76" s="47" t="n">
        <x:f>IF(ISNUMBER('Sheet4-原始数据'!G61),'Sheet4-原始数据'!G61,"")</x:f>
        <x:v>0.0944</x:v>
      </x:c>
      <x:c r="N76" s="47" t="n">
        <x:f>IF(ISNUMBER('Sheet4-原始数据'!H61),'Sheet4-原始数据'!H61,"")</x:f>
        <x:v>0.0669</x:v>
      </x:c>
      <x:c r="O76" s="47" t="n">
        <x:f>IF(ISNUMBER('Sheet5-查询核对'!Q61),'Sheet5-查询核对'!Q61,"")</x:f>
        <x:v>0.0751</x:v>
      </x:c>
      <x:c r="P76" s="44" t="n">
        <x:f>IF($G76&lt;&gt;"入池","",IF($F76&gt;='Sheet1-指标体系'!$J$16,IF(COUNT(M76,N76)&lt;&gt;2,"",IF(OR(1+M76&lt;=0,1+N76&lt;0),"",((1+N76)^'Sheet1-指标体系'!$J$16/(1+M76))^(1/('Sheet1-指标体系'!$J$16-'Sheet1-指标体系'!$J$15))-1)),IF(COUNT(M76,O76)&lt;&gt;2,"",IF(OR(F76&lt;='Sheet1-指标体系'!$J$15,1+M76&lt;=0,1+O76&lt;0),"",((1+O76)^F76/(1+M76))^(1/(F76-'Sheet1-指标体系'!$J$15))-1))))</x:f>
        <x:v>0.05341022731293643</x:v>
      </x:c>
      <x:c r="Q76" s="52" t="n">
        <x:f>IF(OR($G76&lt;&gt;"入池",NOT(ISNUMBER(M76))),"",IF(COUNTIFS($G$17:$G$99,"入池",$M$17:$M$99,"&gt;=-1E+307",$M$17:$M$99,"&lt;=1E+307")&lt;=1,'Sheet1-指标体系'!$J$18,ROUND('Sheet1-指标体系'!$J$18*(COUNTIFS($G$17:$G$99,"入池",$M$17:$M$99,"&gt;=-1E+307",$M$17:$M$99,"&lt;"&amp;M76)+COUNTIFS($G$17:$G$99,"入池",$M$17:$M$99,"&gt;=-1E+307",$M$17:$M$99,"&lt;=1E+307",$M$17:$M$99,M76)/2-0.5)/(COUNTIFS($G$17:$G$99,"入池",$M$17:$M$99,"&gt;=-1E+307",$M$17:$M$99,"&lt;=1E+307")-1),2)))</x:f>
        <x:v>61.61</x:v>
      </x:c>
      <x:c r="R76" s="52" t="n">
        <x:f>IF(OR($G76&lt;&gt;"入池",NOT(ISNUMBER(P76))),"",IF(COUNTIFS($G$17:$G$99,"入池",$P$17:$P$99,"&gt;=-1E+307",$P$17:$P$99,"&lt;=1E+307")&lt;=1,'Sheet1-指标体系'!$J$18,ROUND('Sheet1-指标体系'!$J$18*(COUNTIFS($G$17:$G$99,"入池",$P$17:$P$99,"&gt;=-1E+307",$P$17:$P$99,"&lt;"&amp;P76)+COUNTIFS($G$17:$G$99,"入池",$P$17:$P$99,"&gt;=-1E+307",$P$17:$P$99,"&lt;=1E+307",$P$17:$P$99,P76)/2-0.5)/(COUNTIFS($G$17:$G$99,"入池",$P$17:$P$99,"&gt;=-1E+307",$P$17:$P$99,"&lt;=1E+307")-1),2)))</x:f>
        <x:v>25.93</x:v>
      </x:c>
      <x:c r="S76" s="52" t="n">
        <x:f>IF(COUNT(Q76,R76)=0,"",ROUND((IF(ISNUMBER(Q76),Q76*'Sheet1-指标体系'!$G$7*'Sheet1-指标体系'!$J$8,0)+IF(ISNUMBER(R76),R76*'Sheet1-指标体系'!$G$7*'Sheet1-指标体系'!$J$9,0))/(IF(ISNUMBER(Q76),'Sheet1-指标体系'!$G$7*'Sheet1-指标体系'!$J$8,0)+IF(ISNUMBER(R76),'Sheet1-指标体系'!$G$7*'Sheet1-指标体系'!$J$9,0)),2))</x:f>
        <x:v>47.34</x:v>
      </x:c>
      <x:c r="T76" s="47" t="n">
        <x:f>IF(ISNUMBER('Sheet4-原始数据'!J61),'Sheet4-原始数据'!J61,"")</x:f>
        <x:v>1</x:v>
      </x:c>
      <x:c r="U76" s="47" t="n">
        <x:f>IF(ISNUMBER('Sheet4-原始数据'!I61),'Sheet4-原始数据'!I61,"")</x:f>
        <x:v>0.8108</x:v>
      </x:c>
      <x:c r="V76" s="44" t="n">
        <x:f>IF(COUNT(T76:U76)&lt;&gt;2,"",(U76*'Sheet1-指标体系'!$J$6-T76*'Sheet1-指标体系'!$J$5)/'Sheet1-指标体系'!$J$7)</x:f>
        <x:v>0.7083166666666666</x:v>
      </x:c>
      <x:c r="W76" s="52" t="n">
        <x:f>IF(NOT(ISNUMBER(T76)),"",T76*'Sheet1-指标体系'!$J$18)</x:f>
        <x:v>100</x:v>
      </x:c>
      <x:c r="X76" s="52" t="n">
        <x:f>IF(G76&lt;&gt;"入池","",IF(ISNUMBER(V76),IF(AND(V76&gt;=0,V76&lt;=1),V76*'Sheet1-指标体系'!$J$18,IF(MAX(0,(F76-'Sheet1-指标体系'!$J$15)*'Sheet1-指标体系'!$J$20)&lt;'Sheet1-指标体系'!$J$19,'Sheet1-指标体系'!$J$18,"")),IF(MAX(0,(F76-'Sheet1-指标体系'!$J$15)*'Sheet1-指标体系'!$J$20)&lt;'Sheet1-指标体系'!$J$19,'Sheet1-指标体系'!$J$18,"")))</x:f>
        <x:v>70.83166666666666</x:v>
      </x:c>
      <x:c r="Y76" s="52" t="n">
        <x:f>IF(NOT(ISNUMBER(W76)),"",IF(COUNT(W76,X76)=0,"",ROUND((IF(ISNUMBER(W76),W76*'Sheet1-指标体系'!$G$8*'Sheet1-指标体系'!$J$8,0)+IF(ISNUMBER(X76),X76*'Sheet1-指标体系'!$G$8*'Sheet1-指标体系'!$J$9,0))/(IF(ISNUMBER(W76),'Sheet1-指标体系'!$G$8*'Sheet1-指标体系'!$J$8,0)+IF(ISNUMBER(X76),'Sheet1-指标体系'!$G$8*'Sheet1-指标体系'!$J$9,0)),2)))</x:f>
        <x:v>88.33</x:v>
      </x:c>
      <x:c r="Z76" s="44" t="n">
        <x:f>IF(COUNT(M76,AD76)&lt;&gt;2,"",IF(AD76=0,"",ABS(M76/AD76)))</x:f>
        <x:v>0.008731604894878507</x:v>
      </x:c>
      <x:c r="AA76" s="47" t="n">
        <x:f>IF(ISNUMBER('Sheet4-原始数据'!K61),'Sheet4-原始数据'!K61,"")</x:f>
        <x:v>0.050199999999999995</x:v>
      </x:c>
      <x:c r="AB76" s="44" t="n">
        <x:f>IF(COUNT(Z76:AA76)=0,"",MAX(Z76:AA76))</x:f>
        <x:v>0.050199999999999995</x:v>
      </x:c>
      <x:c r="AC76" s="52" t="n">
        <x:f>IF(OR($G76&lt;&gt;"入池",NOT(ISNUMBER(AB76))),"",IF(COUNTIFS($G$17:$G$99,"入池",$AB$17:$AB$99,"&gt;=-1E+307",$AB$17:$AB$99,"&lt;=1E+307")&lt;=1,'Sheet1-指标体系'!$J$18,ROUND('Sheet1-指标体系'!$J$18*(COUNTIFS($G$17:$G$99,"入池",$AB$17:$AB$99,"&lt;=1E+307",$AB$17:$AB$99,"&gt;"&amp;AB76)+COUNTIFS($G$17:$G$99,"入池",$AB$17:$AB$99,"&gt;=-1E+307",$AB$17:$AB$99,"&lt;=1E+307",$AB$17:$AB$99,AB76)/2-0.5)/(COUNTIFS($G$17:$G$99,"入池",$AB$17:$AB$99,"&gt;=-1E+307",$AB$17:$AB$99,"&lt;=1E+307")-1),2)))</x:f>
        <x:v>17.24</x:v>
      </x:c>
      <x:c r="AD76" s="48" t="n">
        <x:f>IF(ISNUMBER('Sheet4-原始数据'!M61),'Sheet4-原始数据'!M61,"")</x:f>
        <x:v>10.8113</x:v>
      </x:c>
      <x:c r="AE76" s="44" t="n">
        <x:f>IF(COUNT(P76,AA76,Z76)&lt;&gt;3,"",IF(AA76&gt;Z76+'Sheet1-指标体系'!$J$11,AA76,""))</x:f>
        <x:v>0.050199999999999995</x:v>
      </x:c>
      <x:c r="AF76" s="52" t="n">
        <x:f>IF(COUNT(P76,AE76)&lt;&gt;2,"",IF(AE76=0,"",P76/AE76))</x:f>
        <x:v>1.0639487512537138</x:v>
      </x:c>
      <x:c r="AG76" s="52" t="n">
        <x:f>IF(OR($G76&lt;&gt;"入池",NOT(ISNUMBER(AD76))),"",IF(COUNTIFS($G$17:$G$99,"入池",$AD$17:$AD$99,"&gt;=-1E+307",$AD$17:$AD$99,"&lt;=1E+307")&lt;=1,'Sheet1-指标体系'!$J$18,ROUND('Sheet1-指标体系'!$J$18*(COUNTIFS($G$17:$G$99,"入池",$AD$17:$AD$99,"&gt;=-1E+307",$AD$17:$AD$99,"&lt;"&amp;AD76)+COUNTIFS($G$17:$G$99,"入池",$AD$17:$AD$99,"&gt;=-1E+307",$AD$17:$AD$99,"&lt;=1E+307",$AD$17:$AD$99,AD76)/2-0.5)/(COUNTIFS($G$17:$G$99,"入池",$AD$17:$AD$99,"&gt;=-1E+307",$AD$17:$AD$99,"&lt;=1E+307")-1),2)))</x:f>
        <x:v>63.64</x:v>
      </x:c>
      <x:c r="AH76" s="52" t="n">
        <x:f>IF(OR($G76&lt;&gt;"入池",NOT(ISNUMBER(AF76))),"",IF(COUNTIFS($G$17:$G$99,"入池",$AF$17:$AF$99,"&gt;=-1E+307",$AF$17:$AF$99,"&lt;=1E+307")&lt;=1,'Sheet1-指标体系'!$J$18,ROUND('Sheet1-指标体系'!$J$18*(COUNTIFS($G$17:$G$99,"入池",$AF$17:$AF$99,"&gt;=-1E+307",$AF$17:$AF$99,"&lt;"&amp;AF76)+COUNTIFS($G$17:$G$99,"入池",$AF$17:$AF$99,"&gt;=-1E+307",$AF$17:$AF$99,"&lt;=1E+307",$AF$17:$AF$99,AF76)/2-0.5)/(COUNTIFS($G$17:$G$99,"入池",$AF$17:$AF$99,"&gt;=-1E+307",$AF$17:$AF$99,"&lt;=1E+307")-1),2)))</x:f>
        <x:v>10.71</x:v>
      </x:c>
      <x:c r="AI76" s="52" t="n">
        <x:f>IF(COUNT(AG76,AH76)=0,"",ROUND((IF(ISNUMBER(AG76),AG76*'Sheet1-指标体系'!$G$10*'Sheet1-指标体系'!$J$8,0)+IF(ISNUMBER(AH76),AH76*'Sheet1-指标体系'!$G$10*'Sheet1-指标体系'!$J$9,0))/(IF(ISNUMBER(AG76),'Sheet1-指标体系'!$G$10*'Sheet1-指标体系'!$J$8,0)+IF(ISNUMBER(AH76),'Sheet1-指标体系'!$G$10*'Sheet1-指标体系'!$J$9,0)),2))</x:f>
        <x:v>42.47</x:v>
      </x:c>
      <x:c r="AJ76" s="44" t="n">
        <x:f>IF(NOT(ISNUMBER(F76)),"",IF(F76&gt;='Sheet1-指标体系'!$J$16,IF(ISNUMBER(N76),N76,""),IF(ISNUMBER(O76),O76,"")))</x:f>
        <x:v>0.0669</x:v>
      </x:c>
      <x:c r="AK76" s="52" t="n">
        <x:f>IF(OR(G76&lt;&gt;"入池",COUNT(M76,AJ76)&lt;&gt;2),"",IF(M76&gt;=AJ76,'Sheet1-指标体系'!$J$18,IF(AJ76-M76&lt;'Sheet1-指标体系'!$J$10,'Sheet1-指标体系'!$J$22,'Sheet1-指标体系'!$J$23)))</x:f>
        <x:v>100</x:v>
      </x:c>
      <x:c r="AL76" s="52" t="n">
        <x:f>IF(COUNT(I76,K76,L76)=0,"",ROUND((IF(ISNUMBER(I76),I76*'Sheet1-指标体系'!$G$4,0)+IF(ISNUMBER(K76),K76*'Sheet1-指标体系'!$G$5,0)+IF(ISNUMBER(L76),L76*'Sheet1-指标体系'!$G$6,0))/(IF(ISNUMBER(I76),'Sheet1-指标体系'!$G$4,0)+IF(ISNUMBER(K76),'Sheet1-指标体系'!$G$5,0)+IF(ISNUMBER(L76),'Sheet1-指标体系'!$G$6,0)),2))</x:f>
        <x:v>92</x:v>
      </x:c>
      <x:c r="AM76" s="52" t="n">
        <x:f>IF(COUNT(Q76,R76,W76,X76)=0,"",ROUND((IF(ISNUMBER(Q76),Q76*'Sheet1-指标体系'!$G$7*'Sheet1-指标体系'!$J$8,0)+IF(ISNUMBER(R76),R76*'Sheet1-指标体系'!$G$7*'Sheet1-指标体系'!$J$9,0)+IF(ISNUMBER(W76),W76*'Sheet1-指标体系'!$G$8*'Sheet1-指标体系'!$J$8,0)+IF(ISNUMBER(X76),X76*'Sheet1-指标体系'!$G$8*'Sheet1-指标体系'!$J$9,0))/(IF(ISNUMBER(Q76),'Sheet1-指标体系'!$G$7*'Sheet1-指标体系'!$J$8,0)+IF(ISNUMBER(R76),'Sheet1-指标体系'!$G$7*'Sheet1-指标体系'!$J$9,0)+IF(ISNUMBER(W76),'Sheet1-指标体系'!$G$8*'Sheet1-指标体系'!$J$8,0)+IF(ISNUMBER(X76),'Sheet1-指标体系'!$G$8*'Sheet1-指标体系'!$J$9,0)),2))</x:f>
        <x:v>59.64</x:v>
      </x:c>
      <x:c r="AN76" s="52" t="n">
        <x:f>IF(ISNUMBER(AC76),AC76,"")</x:f>
        <x:v>17.24</x:v>
      </x:c>
      <x:c r="AO76" s="52" t="n">
        <x:f>IF(COUNT(AG76,AH76)=0,"",ROUND((IF(ISNUMBER(AG76),AG76*'Sheet1-指标体系'!$G$10*'Sheet1-指标体系'!$J$8,0)+IF(ISNUMBER(AH76),AH76*'Sheet1-指标体系'!$G$10*'Sheet1-指标体系'!$J$9,0))/(IF(ISNUMBER(AG76),'Sheet1-指标体系'!$G$10*'Sheet1-指标体系'!$J$8,0)+IF(ISNUMBER(AH76),'Sheet1-指标体系'!$G$10*'Sheet1-指标体系'!$J$9,0)),2))</x:f>
        <x:v>42.47</x:v>
      </x:c>
      <x:c r="AP76" s="52" t="n">
        <x:f>IF(ISNUMBER(AK76),AK76,"")</x:f>
        <x:v>100</x:v>
      </x:c>
      <x:c r="AQ76" s="27" t="n">
        <x:f>IF(G76&lt;&gt;"入池",0,IF(ISNUMBER(I76),'Sheet1-指标体系'!$G$4,0)+IF(ISNUMBER(K76),'Sheet1-指标体系'!$G$5,0)+IF(ISNUMBER(L76),'Sheet1-指标体系'!$G$6,0)+IF(ISNUMBER(Q76),'Sheet1-指标体系'!$G$7*'Sheet1-指标体系'!$J$8,0)+IF(ISNUMBER(R76),'Sheet1-指标体系'!$G$7*'Sheet1-指标体系'!$J$9,0)+IF(ISNUMBER(W76),'Sheet1-指标体系'!$G$8*'Sheet1-指标体系'!$J$8,0)+IF(ISNUMBER(X76),'Sheet1-指标体系'!$G$8*'Sheet1-指标体系'!$J$9,0)+IF(ISNUMBER(AC76),'Sheet1-指标体系'!$G$9,0)+IF(ISNUMBER(AG76),'Sheet1-指标体系'!$G$10*'Sheet1-指标体系'!$J$8,0)+IF(ISNUMBER(AH76),'Sheet1-指标体系'!$G$10*'Sheet1-指标体系'!$J$9,0)+IF(ISNUMBER(AK76),'Sheet1-指标体系'!$G$11,0))</x:f>
        <x:v>1</x:v>
      </x:c>
      <x:c r="AR76" s="52" t="n">
        <x:f>IF(AQ76=0,"",IF(ISNUMBER(I76),I76*'Sheet1-指标体系'!$G$4,0)+IF(ISNUMBER(K76),K76*'Sheet1-指标体系'!$G$5,0)+IF(ISNUMBER(L76),L76*'Sheet1-指标体系'!$G$6,0)+IF(ISNUMBER(Q76),Q76*'Sheet1-指标体系'!$G$7*'Sheet1-指标体系'!$J$8,0)+IF(ISNUMBER(R76),R76*'Sheet1-指标体系'!$G$7*'Sheet1-指标体系'!$J$9,0)+IF(ISNUMBER(W76),W76*'Sheet1-指标体系'!$G$8*'Sheet1-指标体系'!$J$8,0)+IF(ISNUMBER(X76),X76*'Sheet1-指标体系'!$G$8*'Sheet1-指标体系'!$J$9,0)+IF(ISNUMBER(AC76),AC76*'Sheet1-指标体系'!$G$9,0)+IF(ISNUMBER(AG76),AG76*'Sheet1-指标体系'!$G$10*'Sheet1-指标体系'!$J$8,0)+IF(ISNUMBER(AH76),AH76*'Sheet1-指标体系'!$G$10*'Sheet1-指标体系'!$J$9,0)+IF(ISNUMBER(AK76),AK76*'Sheet1-指标体系'!$G$11,0))</x:f>
        <x:v>52.77768</x:v>
      </x:c>
      <x:c r="AS76" s="52" t="n">
        <x:f>IF(AQ76=0,"",ROUND(AR76/AQ76,2))</x:f>
        <x:v>52.78</x:v>
      </x:c>
      <x:c r="AT76" s="49" t="n">
        <x:f>IF(OR(G76&lt;&gt;"入池",NOT(ISNUMBER(AS76))),"",COUNTIFS($G$17:$G$99,"入池",$AS$17:$AS$99,"&gt;"&amp;AS76)+COUNTIFS($G$17:$G$99,"入池",$AS$17:$AS$99,AS76,$AQ$17:$AQ$99,"&gt;"&amp;AQ76)+COUNTIFS($G$17:G76,"入池",$AS$17:AS76,AS76,$AQ$17:AQ76,AQ76))</x:f>
        <x:v>60</x:v>
      </x:c>
      <x:c r="AU76" s="53" t="str">
        <x:f>IF(NOT(ISNUMBER(I76)),"管理人规模；","")&amp;IF(NOT(ISNUMBER(K76)),"产品规模标识；","")&amp;IF(NOT(ISNUMBER(M76)),"近一年收益；","")&amp;IF(NOT(ISNUMBER(T76)),"近一年胜率；","")&amp;IF(NOT(ISNUMBER(N76)),"近三年收益；","")&amp;IF(NOT(ISNUMBER(U76)),"近三年胜率；","")&amp;IF(NOT(ISNUMBER(AA76)),"近三年回撤；","")&amp;IF(NOT(ISNUMBER(AD76)),"近一年卡玛；","")&amp;IF(ISNUMBER(F76),IF(AND(F76&lt;'Sheet1-指标体系'!$J$16,NOT(ISNUMBER(O76))),"成立以来年化；",""),"成立日期；")&amp;IF(ISNUMBER(V76),IF(OR(V76&lt;0,V76&gt;1),"胜率窗口口径不一致；",""),"")&amp;IF(ISNUMBER(P76),IF(NOT(ISNUMBER(AE76)),"DD_long不可识别；",""),"")</x:f>
      </x:c>
      <x:c r="AV76" s="52" t="n">
        <x:f>IF(ROUND(AQ76,10)=ROUND('Sheet1-指标体系'!$J$25,10),AR76,"")</x:f>
        <x:v>52.77768</x:v>
      </x:c>
      <x:c r="AW76" s="14" t="str">
        <x:f>IF(G76&lt;&gt;"入池",G76,IF(AQ76=0,"无有效评分数据",IF(ROUND(AQ76,10)=ROUND('Sheet1-指标体系'!$J$25,10),"完整赋分", "暂定分／数据不完整")))</x:f>
        <x:v>完整赋分</x:v>
      </x:c>
      <x:c r="AX76" s="45" t="str">
        <x:f>IF('Sheet4-原始数据'!C61="","",'Sheet4-原始数据'!C61)</x:f>
        <x:v>套利策略</x:v>
      </x:c>
      <x:c r="AY76" s="45" t="str">
        <x:f>IF('Sheet4-原始数据'!D61="","",'Sheet4-原始数据'!D61)</x:f>
        <x:v>基金套利</x:v>
      </x:c>
      <x:c r="AZ76" s="45" t="str">
        <x:f>IF('Sheet5-查询核对'!S61="","",'Sheet5-查询核对'!S61)</x:f>
        <x:v>套利策略—基金套利</x:v>
      </x:c>
      <x:c r="BA76" s="51" t="n">
        <x:f>IF('Sheet5-查询核对'!A61="","",'Sheet5-查询核对'!A61)</x:f>
        <x:v>61</x:v>
      </x:c>
      <x:c r="BB76" s="45" t="str">
        <x:f>IF('Sheet5-查询核对'!F61="","",'Sheet5-查询核对'!F61)</x:f>
        <x:v>备案号匹配</x:v>
      </x:c>
      <x:c r="BC76" s="50" t="str">
        <x:f>IF('Sheet5-查询核对'!I61="","",'Sheet5-查询核对'!I61)</x:f>
        <x:v>https://mp.fof99.com/fund/view/7d1044d0dd00c1bd</x:v>
      </x:c>
      <x:c r="BD76" s="46" t="n">
        <x:f>IF('Sheet5-查询核对'!H61="","",'Sheet5-查询核对'!H61)</x:f>
        <x:v>46269</x:v>
      </x:c>
      <x:c r="BE76" s="50" t="str">
        <x:f>IF('Sheet5-查询核对'!L61="","",'Sheet5-查询核对'!L61)</x:f>
        <x:v>https://mp.fof99.com/fund/view/7d1044d0dd00c1bd</x:v>
      </x:c>
      <x:c r="BF76" s="46" t="n">
        <x:f>IF('Sheet5-查询核对'!M61="","",'Sheet5-查询核对'!M61)</x:f>
        <x:v>46275</x:v>
      </x:c>
      <x:c r="BG76" s="50" t="str">
        <x:f>IF('Sheet5-查询核对'!O61="","",'Sheet5-查询核对'!O61)</x:f>
        <x:v>https://gs.amac.org.cn/amac-infodisc/res/pof/fund/1905151920101338.html</x:v>
      </x:c>
      <x:c r="BH76" s="46" t="n">
        <x:f>IF('Sheet5-查询核对'!P61="","",'Sheet5-查询核对'!P61)</x:f>
        <x:v>46275</x:v>
      </x:c>
      <x:c r="BI76" s="45" t="str">
        <x:f>IF('Sheet5-查询核对'!D61="","",'Sheet5-查询核对'!D61)</x:f>
        <x:v>SGM512</x:v>
      </x:c>
      <x:c r="BJ76" t="n">
        <x:f>IF(ISNUMBER(AT76),AT76,COUNT($AT$17:$AT$99)+ROWS($AT$17:AT76)-COUNT($AT$17:AT76))</x:f>
        <x:v>60</x:v>
      </x:c>
    </x:row>
    <x:row r="77" ht="44" customHeight="1">
      <x:c r="A77" s="49" t="n">
        <x:f>'Sheet5-查询核对'!A62-1</x:f>
        <x:v>61</x:v>
      </x:c>
      <x:c r="B77" s="50" t="str">
        <x:f>IF('Sheet4-原始数据'!A62="",'Sheet5-查询核对'!B62,'Sheet4-原始数据'!A62)</x:f>
        <x:v>殊馥兴义6号</x:v>
      </x:c>
      <x:c r="C77" s="45" t="str">
        <x:f>IF('Sheet4-原始数据'!B62="","",'Sheet4-原始数据'!B62)</x:f>
        <x:v>SXQ267</x:v>
      </x:c>
      <x:c r="D77" s="45" t="str">
        <x:f>IF('Sheet4-原始数据'!E62="","",'Sheet4-原始数据'!E62)</x:f>
        <x:v>上海殊馥投资</x:v>
      </x:c>
      <x:c r="E77" s="46" t="n">
        <x:f>IF('Sheet4-原始数据'!F62="","",'Sheet4-原始数据'!F62)</x:f>
        <x:v>44867</x:v>
      </x:c>
      <x:c r="F77" s="52" t="n">
        <x:f>IF(ISNUMBER(E77),ROUND(('Sheet1-指标体系'!$J$12-E77)/'Sheet1-指标体系'!$J$14,4),"")</x:f>
        <x:v>3.8549</x:v>
      </x:c>
      <x:c r="G77" s="14" t="str">
        <x:f>IF(C77="","未匹配",IF(NOT(ISNUMBER(F77)),"缺成立日期",IF(F77&lt;'Sheet1-指标体系'!$J$15,"不入池","入池")))</x:f>
        <x:v>入池</x:v>
      </x:c>
      <x:c r="H77" s="45" t="str">
        <x:f>IF('Sheet5-查询核对'!K62="","",'Sheet5-查询核对'!K62)</x:f>
        <x:v>10-20亿元</x:v>
      </x:c>
      <x:c r="I77" s="52" t="n">
        <x:f>IF(H77="","",IF(COUNTIF('Sheet1-指标体系'!$P$4:$P$10,H77)=0,"",INDEX('Sheet1-指标体系'!$Q$4:$Q$10,MATCH(H77,'Sheet1-指标体系'!$P$4:$P$10,0))))</x:f>
        <x:v>80</x:v>
      </x:c>
      <x:c r="J77" s="54" t="str">
        <x:f>IF(NOT(ISNUMBER('Sheet5-查询核对'!N62)),"",IF('Sheet5-查询核对'!N62=1,"低于"&amp;'Sheet1-指标体系'!$J$4&amp;"万元",IF('Sheet5-查询核对'!N62=0,"无低于"&amp;'Sheet1-指标体系'!$J$4&amp;"万元标识","")))</x:f>
        <x:v>无低于1000万元标识</x:v>
      </x:c>
      <x:c r="K77" s="52" t="n">
        <x:f>IF(NOT(ISNUMBER('Sheet5-查询核对'!N62)),"",IF('Sheet5-查询核对'!N62=1,'Sheet1-指标体系'!$J$21,IF('Sheet5-查询核对'!N62=0,'Sheet1-指标体系'!$J$18,"")))</x:f>
        <x:v>100</x:v>
      </x:c>
      <x:c r="L77" s="52" t="n">
        <x:f>IF(NOT(ISNUMBER(F77)),"",IF(F77&lt;'Sheet1-指标体系'!$J$15,"",IF(F77&lt;'Sheet1-指标体系'!$J$16,'Sheet1-指标体系'!$J$17,'Sheet1-指标体系'!$J$18)))</x:f>
        <x:v>100</x:v>
      </x:c>
      <x:c r="M77" s="47" t="n">
        <x:f>IF(ISNUMBER('Sheet4-原始数据'!G62),'Sheet4-原始数据'!G62,"")</x:f>
        <x:v>0.0779</x:v>
      </x:c>
      <x:c r="N77" s="47" t="n">
        <x:f>IF(ISNUMBER('Sheet4-原始数据'!H62),'Sheet4-原始数据'!H62,"")</x:f>
        <x:v>0.06509999999999999</x:v>
      </x:c>
      <x:c r="O77" s="47" t="n">
        <x:f>IF(ISNUMBER('Sheet5-查询核对'!Q62),'Sheet5-查询核对'!Q62,"")</x:f>
        <x:v>0.1025</x:v>
      </x:c>
      <x:c r="P77" s="44" t="n">
        <x:f>IF($G77&lt;&gt;"入池","",IF($F77&gt;='Sheet1-指标体系'!$J$16,IF(COUNT(M77,N77)&lt;&gt;2,"",IF(OR(1+M77&lt;=0,1+N77&lt;0),"",((1+N77)^'Sheet1-指标体系'!$J$16/(1+M77))^(1/('Sheet1-指标体系'!$J$16-'Sheet1-指标体系'!$J$15))-1)),IF(COUNT(M77,O77)&lt;&gt;2,"",IF(OR(F77&lt;='Sheet1-指标体系'!$J$15,1+M77&lt;=0,1+O77&lt;0),"",((1+O77)^F77/(1+M77))^(1/(F77-'Sheet1-指标体系'!$J$15))-1))))</x:f>
        <x:v>0.058757113038443665</x:v>
      </x:c>
      <x:c r="Q77" s="52" t="n">
        <x:f>IF(OR($G77&lt;&gt;"入池",NOT(ISNUMBER(M77))),"",IF(COUNTIFS($G$17:$G$99,"入池",$M$17:$M$99,"&gt;=-1E+307",$M$17:$M$99,"&lt;=1E+307")&lt;=1,'Sheet1-指标体系'!$J$18,ROUND('Sheet1-指标体系'!$J$18*(COUNTIFS($G$17:$G$99,"入池",$M$17:$M$99,"&gt;=-1E+307",$M$17:$M$99,"&lt;"&amp;M77)+COUNTIFS($G$17:$G$99,"入池",$M$17:$M$99,"&gt;=-1E+307",$M$17:$M$99,"&lt;=1E+307",$M$17:$M$99,M77)/2-0.5)/(COUNTIFS($G$17:$G$99,"入池",$M$17:$M$99,"&gt;=-1E+307",$M$17:$M$99,"&lt;=1E+307")-1),2)))</x:f>
        <x:v>41.07</x:v>
      </x:c>
      <x:c r="R77" s="52" t="n">
        <x:f>IF(OR($G77&lt;&gt;"入池",NOT(ISNUMBER(P77))),"",IF(COUNTIFS($G$17:$G$99,"入池",$P$17:$P$99,"&gt;=-1E+307",$P$17:$P$99,"&lt;=1E+307")&lt;=1,'Sheet1-指标体系'!$J$18,ROUND('Sheet1-指标体系'!$J$18*(COUNTIFS($G$17:$G$99,"入池",$P$17:$P$99,"&gt;=-1E+307",$P$17:$P$99,"&lt;"&amp;P77)+COUNTIFS($G$17:$G$99,"入池",$P$17:$P$99,"&gt;=-1E+307",$P$17:$P$99,"&lt;=1E+307",$P$17:$P$99,P77)/2-0.5)/(COUNTIFS($G$17:$G$99,"入池",$P$17:$P$99,"&gt;=-1E+307",$P$17:$P$99,"&lt;=1E+307")-1),2)))</x:f>
        <x:v>31.48</x:v>
      </x:c>
      <x:c r="S77" s="52" t="n">
        <x:f>IF(COUNT(Q77,R77)=0,"",ROUND((IF(ISNUMBER(Q77),Q77*'Sheet1-指标体系'!$G$7*'Sheet1-指标体系'!$J$8,0)+IF(ISNUMBER(R77),R77*'Sheet1-指标体系'!$G$7*'Sheet1-指标体系'!$J$9,0))/(IF(ISNUMBER(Q77),'Sheet1-指标体系'!$G$7*'Sheet1-指标体系'!$J$8,0)+IF(ISNUMBER(R77),'Sheet1-指标体系'!$G$7*'Sheet1-指标体系'!$J$9,0)),2))</x:f>
        <x:v>37.23</x:v>
      </x:c>
      <x:c r="T77" s="47" t="n">
        <x:f>IF(ISNUMBER('Sheet4-原始数据'!J62),'Sheet4-原始数据'!J62,"")</x:f>
        <x:v>0.7692</x:v>
      </x:c>
      <x:c r="U77" s="47" t="n">
        <x:f>IF(ISNUMBER('Sheet4-原始数据'!I62),'Sheet4-原始数据'!I62,"")</x:f>
        <x:v>0.8108</x:v>
      </x:c>
      <x:c r="V77" s="44" t="n">
        <x:f>IF(COUNT(T77:U77)&lt;&gt;2,"",(U77*'Sheet1-指标体系'!$J$6-T77*'Sheet1-指标体系'!$J$5)/'Sheet1-指标体系'!$J$7)</x:f>
        <x:v>0.8333333333333334</x:v>
      </x:c>
      <x:c r="W77" s="52" t="n">
        <x:f>IF(NOT(ISNUMBER(T77)),"",T77*'Sheet1-指标体系'!$J$18)</x:f>
        <x:v>76.92</x:v>
      </x:c>
      <x:c r="X77" s="52" t="n">
        <x:f>IF(G77&lt;&gt;"入池","",IF(ISNUMBER(V77),IF(AND(V77&gt;=0,V77&lt;=1),V77*'Sheet1-指标体系'!$J$18,IF(MAX(0,(F77-'Sheet1-指标体系'!$J$15)*'Sheet1-指标体系'!$J$20)&lt;'Sheet1-指标体系'!$J$19,'Sheet1-指标体系'!$J$18,"")),IF(MAX(0,(F77-'Sheet1-指标体系'!$J$15)*'Sheet1-指标体系'!$J$20)&lt;'Sheet1-指标体系'!$J$19,'Sheet1-指标体系'!$J$18,"")))</x:f>
        <x:v>83.33333333333334</x:v>
      </x:c>
      <x:c r="Y77" s="52" t="n">
        <x:f>IF(NOT(ISNUMBER(W77)),"",IF(COUNT(W77,X77)=0,"",ROUND((IF(ISNUMBER(W77),W77*'Sheet1-指标体系'!$G$8*'Sheet1-指标体系'!$J$8,0)+IF(ISNUMBER(X77),X77*'Sheet1-指标体系'!$G$8*'Sheet1-指标体系'!$J$9,0))/(IF(ISNUMBER(W77),'Sheet1-指标体系'!$G$8*'Sheet1-指标体系'!$J$8,0)+IF(ISNUMBER(X77),'Sheet1-指标体系'!$G$8*'Sheet1-指标体系'!$J$9,0)),2)))</x:f>
        <x:v>79.49</x:v>
      </x:c>
      <x:c r="Z77" s="44" t="n">
        <x:f>IF(COUNT(M77,AD77)&lt;&gt;2,"",IF(AD77=0,"",ABS(M77/AD77)))</x:f>
        <x:v>0.016938464883670363</x:v>
      </x:c>
      <x:c r="AA77" s="47" t="n">
        <x:f>IF(ISNUMBER('Sheet4-原始数据'!K62),'Sheet4-原始数据'!K62,"")</x:f>
        <x:v>0.0169</x:v>
      </x:c>
      <x:c r="AB77" s="44" t="n">
        <x:f>IF(COUNT(Z77:AA77)=0,"",MAX(Z77:AA77))</x:f>
        <x:v>0.016938464883670363</x:v>
      </x:c>
      <x:c r="AC77" s="52" t="n">
        <x:f>IF(OR($G77&lt;&gt;"入池",NOT(ISNUMBER(AB77))),"",IF(COUNTIFS($G$17:$G$99,"入池",$AB$17:$AB$99,"&gt;=-1E+307",$AB$17:$AB$99,"&lt;=1E+307")&lt;=1,'Sheet1-指标体系'!$J$18,ROUND('Sheet1-指标体系'!$J$18*(COUNTIFS($G$17:$G$99,"入池",$AB$17:$AB$99,"&lt;=1E+307",$AB$17:$AB$99,"&gt;"&amp;AB77)+COUNTIFS($G$17:$G$99,"入池",$AB$17:$AB$99,"&gt;=-1E+307",$AB$17:$AB$99,"&lt;=1E+307",$AB$17:$AB$99,AB77)/2-0.5)/(COUNTIFS($G$17:$G$99,"入池",$AB$17:$AB$99,"&gt;=-1E+307",$AB$17:$AB$99,"&lt;=1E+307")-1),2)))</x:f>
        <x:v>62.07</x:v>
      </x:c>
      <x:c r="AD77" s="48" t="n">
        <x:f>IF(ISNUMBER('Sheet4-原始数据'!M62),'Sheet4-原始数据'!M62,"")</x:f>
        <x:v>4.599</x:v>
      </x:c>
      <x:c r="AE77" s="44" t="str">
        <x:f>IF(COUNT(P77,AA77,Z77)&lt;&gt;3,"",IF(AA77&gt;Z77+'Sheet1-指标体系'!$J$11,AA77,""))</x:f>
      </x:c>
      <x:c r="AF77" s="52" t="str">
        <x:f>IF(COUNT(P77,AE77)&lt;&gt;2,"",IF(AE77=0,"",P77/AE77))</x:f>
      </x:c>
      <x:c r="AG77" s="52" t="n">
        <x:f>IF(OR($G77&lt;&gt;"入池",NOT(ISNUMBER(AD77))),"",IF(COUNTIFS($G$17:$G$99,"入池",$AD$17:$AD$99,"&gt;=-1E+307",$AD$17:$AD$99,"&lt;=1E+307")&lt;=1,'Sheet1-指标体系'!$J$18,ROUND('Sheet1-指标体系'!$J$18*(COUNTIFS($G$17:$G$99,"入池",$AD$17:$AD$99,"&gt;=-1E+307",$AD$17:$AD$99,"&lt;"&amp;AD77)+COUNTIFS($G$17:$G$99,"入池",$AD$17:$AD$99,"&gt;=-1E+307",$AD$17:$AD$99,"&lt;=1E+307",$AD$17:$AD$99,AD77)/2-0.5)/(COUNTIFS($G$17:$G$99,"入池",$AD$17:$AD$99,"&gt;=-1E+307",$AD$17:$AD$99,"&lt;=1E+307")-1),2)))</x:f>
        <x:v>30.91</x:v>
      </x:c>
      <x:c r="AH77" s="52" t="str">
        <x:f>IF(OR($G77&lt;&gt;"入池",NOT(ISNUMBER(AF77))),"",IF(COUNTIFS($G$17:$G$99,"入池",$AF$17:$AF$99,"&gt;=-1E+307",$AF$17:$AF$99,"&lt;=1E+307")&lt;=1,'Sheet1-指标体系'!$J$18,ROUND('Sheet1-指标体系'!$J$18*(COUNTIFS($G$17:$G$99,"入池",$AF$17:$AF$99,"&gt;=-1E+307",$AF$17:$AF$99,"&lt;"&amp;AF77)+COUNTIFS($G$17:$G$99,"入池",$AF$17:$AF$99,"&gt;=-1E+307",$AF$17:$AF$99,"&lt;=1E+307",$AF$17:$AF$99,AF77)/2-0.5)/(COUNTIFS($G$17:$G$99,"入池",$AF$17:$AF$99,"&gt;=-1E+307",$AF$17:$AF$99,"&lt;=1E+307")-1),2)))</x:f>
      </x:c>
      <x:c r="AI77" s="52" t="n">
        <x:f>IF(COUNT(AG77,AH77)=0,"",ROUND((IF(ISNUMBER(AG77),AG77*'Sheet1-指标体系'!$G$10*'Sheet1-指标体系'!$J$8,0)+IF(ISNUMBER(AH77),AH77*'Sheet1-指标体系'!$G$10*'Sheet1-指标体系'!$J$9,0))/(IF(ISNUMBER(AG77),'Sheet1-指标体系'!$G$10*'Sheet1-指标体系'!$J$8,0)+IF(ISNUMBER(AH77),'Sheet1-指标体系'!$G$10*'Sheet1-指标体系'!$J$9,0)),2))</x:f>
        <x:v>30.91</x:v>
      </x:c>
      <x:c r="AJ77" s="44" t="n">
        <x:f>IF(NOT(ISNUMBER(F77)),"",IF(F77&gt;='Sheet1-指标体系'!$J$16,IF(ISNUMBER(N77),N77,""),IF(ISNUMBER(O77),O77,"")))</x:f>
        <x:v>0.06509999999999999</x:v>
      </x:c>
      <x:c r="AK77" s="52" t="n">
        <x:f>IF(OR(G77&lt;&gt;"入池",COUNT(M77,AJ77)&lt;&gt;2),"",IF(M77&gt;=AJ77,'Sheet1-指标体系'!$J$18,IF(AJ77-M77&lt;'Sheet1-指标体系'!$J$10,'Sheet1-指标体系'!$J$22,'Sheet1-指标体系'!$J$23)))</x:f>
        <x:v>100</x:v>
      </x:c>
      <x:c r="AL77" s="52" t="n">
        <x:f>IF(COUNT(I77,K77,L77)=0,"",ROUND((IF(ISNUMBER(I77),I77*'Sheet1-指标体系'!$G$4,0)+IF(ISNUMBER(K77),K77*'Sheet1-指标体系'!$G$5,0)+IF(ISNUMBER(L77),L77*'Sheet1-指标体系'!$G$6,0))/(IF(ISNUMBER(I77),'Sheet1-指标体系'!$G$4,0)+IF(ISNUMBER(K77),'Sheet1-指标体系'!$G$5,0)+IF(ISNUMBER(L77),'Sheet1-指标体系'!$G$6,0)),2))</x:f>
        <x:v>92</x:v>
      </x:c>
      <x:c r="AM77" s="52" t="n">
        <x:f>IF(COUNT(Q77,R77,W77,X77)=0,"",ROUND((IF(ISNUMBER(Q77),Q77*'Sheet1-指标体系'!$G$7*'Sheet1-指标体系'!$J$8,0)+IF(ISNUMBER(R77),R77*'Sheet1-指标体系'!$G$7*'Sheet1-指标体系'!$J$9,0)+IF(ISNUMBER(W77),W77*'Sheet1-指标体系'!$G$8*'Sheet1-指标体系'!$J$8,0)+IF(ISNUMBER(X77),X77*'Sheet1-指标体系'!$G$8*'Sheet1-指标体系'!$J$9,0))/(IF(ISNUMBER(Q77),'Sheet1-指标体系'!$G$7*'Sheet1-指标体系'!$J$8,0)+IF(ISNUMBER(R77),'Sheet1-指标体系'!$G$7*'Sheet1-指标体系'!$J$9,0)+IF(ISNUMBER(W77),'Sheet1-指标体系'!$G$8*'Sheet1-指标体系'!$J$8,0)+IF(ISNUMBER(X77),'Sheet1-指标体系'!$G$8*'Sheet1-指标体系'!$J$9,0)),2))</x:f>
        <x:v>49.91</x:v>
      </x:c>
      <x:c r="AN77" s="52" t="n">
        <x:f>IF(ISNUMBER(AC77),AC77,"")</x:f>
        <x:v>62.07</x:v>
      </x:c>
      <x:c r="AO77" s="52" t="n">
        <x:f>IF(COUNT(AG77,AH77)=0,"",ROUND((IF(ISNUMBER(AG77),AG77*'Sheet1-指标体系'!$G$10*'Sheet1-指标体系'!$J$8,0)+IF(ISNUMBER(AH77),AH77*'Sheet1-指标体系'!$G$10*'Sheet1-指标体系'!$J$9,0))/(IF(ISNUMBER(AG77),'Sheet1-指标体系'!$G$10*'Sheet1-指标体系'!$J$8,0)+IF(ISNUMBER(AH77),'Sheet1-指标体系'!$G$10*'Sheet1-指标体系'!$J$9,0)),2))</x:f>
        <x:v>30.91</x:v>
      </x:c>
      <x:c r="AP77" s="52" t="n">
        <x:f>IF(ISNUMBER(AK77),AK77,"")</x:f>
        <x:v>100</x:v>
      </x:c>
      <x:c r="AQ77" s="27" t="n">
        <x:f>IF(G77&lt;&gt;"入池",0,IF(ISNUMBER(I77),'Sheet1-指标体系'!$G$4,0)+IF(ISNUMBER(K77),'Sheet1-指标体系'!$G$5,0)+IF(ISNUMBER(L77),'Sheet1-指标体系'!$G$6,0)+IF(ISNUMBER(Q77),'Sheet1-指标体系'!$G$7*'Sheet1-指标体系'!$J$8,0)+IF(ISNUMBER(R77),'Sheet1-指标体系'!$G$7*'Sheet1-指标体系'!$J$9,0)+IF(ISNUMBER(W77),'Sheet1-指标体系'!$G$8*'Sheet1-指标体系'!$J$8,0)+IF(ISNUMBER(X77),'Sheet1-指标体系'!$G$8*'Sheet1-指标体系'!$J$9,0)+IF(ISNUMBER(AC77),'Sheet1-指标体系'!$G$9,0)+IF(ISNUMBER(AG77),'Sheet1-指标体系'!$G$10*'Sheet1-指标体系'!$J$8,0)+IF(ISNUMBER(AH77),'Sheet1-指标体系'!$G$10*'Sheet1-指标体系'!$J$9,0)+IF(ISNUMBER(AK77),'Sheet1-指标体系'!$G$11,0))</x:f>
        <x:v>0.88</x:v>
      </x:c>
      <x:c r="AR77" s="52" t="n">
        <x:f>IF(AQ77=0,"",IF(ISNUMBER(I77),I77*'Sheet1-指标体系'!$G$4,0)+IF(ISNUMBER(K77),K77*'Sheet1-指标体系'!$G$5,0)+IF(ISNUMBER(L77),L77*'Sheet1-指标体系'!$G$6,0)+IF(ISNUMBER(Q77),Q77*'Sheet1-指标体系'!$G$7*'Sheet1-指标体系'!$J$8,0)+IF(ISNUMBER(R77),R77*'Sheet1-指标体系'!$G$7*'Sheet1-指标体系'!$J$9,0)+IF(ISNUMBER(W77),W77*'Sheet1-指标体系'!$G$8*'Sheet1-指标体系'!$J$8,0)+IF(ISNUMBER(X77),X77*'Sheet1-指标体系'!$G$8*'Sheet1-指标体系'!$J$9,0)+IF(ISNUMBER(AC77),AC77*'Sheet1-指标体系'!$G$9,0)+IF(ISNUMBER(AG77),AG77*'Sheet1-指标体系'!$G$10*'Sheet1-指标体系'!$J$8,0)+IF(ISNUMBER(AH77),AH77*'Sheet1-指标体系'!$G$10*'Sheet1-指标体系'!$J$9,0)+IF(ISNUMBER(AK77),AK77*'Sheet1-指标体系'!$G$11,0))</x:f>
        <x:v>54.86318</x:v>
      </x:c>
      <x:c r="AS77" s="52" t="n">
        <x:f>IF(AQ77=0,"",ROUND(AR77/AQ77,2))</x:f>
        <x:v>62.34</x:v>
      </x:c>
      <x:c r="AT77" s="49" t="n">
        <x:f>IF(OR(G77&lt;&gt;"入池",NOT(ISNUMBER(AS77))),"",COUNTIFS($G$17:$G$99,"入池",$AS$17:$AS$99,"&gt;"&amp;AS77)+COUNTIFS($G$17:$G$99,"入池",$AS$17:$AS$99,AS77,$AQ$17:$AQ$99,"&gt;"&amp;AQ77)+COUNTIFS($G$17:G77,"入池",$AS$17:AS77,AS77,$AQ$17:AQ77,AQ77))</x:f>
        <x:v>48</x:v>
      </x:c>
      <x:c r="AU77" s="53" t="str">
        <x:f>IF(NOT(ISNUMBER(I77)),"管理人规模；","")&amp;IF(NOT(ISNUMBER(K77)),"产品规模标识；","")&amp;IF(NOT(ISNUMBER(M77)),"近一年收益；","")&amp;IF(NOT(ISNUMBER(T77)),"近一年胜率；","")&amp;IF(NOT(ISNUMBER(N77)),"近三年收益；","")&amp;IF(NOT(ISNUMBER(U77)),"近三年胜率；","")&amp;IF(NOT(ISNUMBER(AA77)),"近三年回撤；","")&amp;IF(NOT(ISNUMBER(AD77)),"近一年卡玛；","")&amp;IF(ISNUMBER(F77),IF(AND(F77&lt;'Sheet1-指标体系'!$J$16,NOT(ISNUMBER(O77))),"成立以来年化；",""),"成立日期；")&amp;IF(ISNUMBER(V77),IF(OR(V77&lt;0,V77&gt;1),"胜率窗口口径不一致；",""),"")&amp;IF(ISNUMBER(P77),IF(NOT(ISNUMBER(AE77)),"DD_long不可识别；",""),"")</x:f>
        <x:v>DD_long不可识别；</x:v>
      </x:c>
      <x:c r="AV77" s="52" t="str">
        <x:f>IF(ROUND(AQ77,10)=ROUND('Sheet1-指标体系'!$J$25,10),AR77,"")</x:f>
      </x:c>
      <x:c r="AW77" s="14" t="str">
        <x:f>IF(G77&lt;&gt;"入池",G77,IF(AQ77=0,"无有效评分数据",IF(ROUND(AQ77,10)=ROUND('Sheet1-指标体系'!$J$25,10),"完整赋分", "暂定分／数据不完整")))</x:f>
        <x:v>暂定分／数据不完整</x:v>
      </x:c>
      <x:c r="AX77" s="45" t="str">
        <x:f>IF('Sheet4-原始数据'!C62="","",'Sheet4-原始数据'!C62)</x:f>
        <x:v>套利策略</x:v>
      </x:c>
      <x:c r="AY77" s="45" t="str">
        <x:f>IF('Sheet4-原始数据'!D62="","",'Sheet4-原始数据'!D62)</x:f>
        <x:v>期货套利</x:v>
      </x:c>
      <x:c r="AZ77" s="45" t="str">
        <x:f>IF('Sheet5-查询核对'!S62="","",'Sheet5-查询核对'!S62)</x:f>
        <x:v>套利策略—期货套利</x:v>
      </x:c>
      <x:c r="BA77" s="51" t="n">
        <x:f>IF('Sheet5-查询核对'!A62="","",'Sheet5-查询核对'!A62)</x:f>
        <x:v>62</x:v>
      </x:c>
      <x:c r="BB77" s="45" t="str">
        <x:f>IF('Sheet5-查询核对'!F62="","",'Sheet5-查询核对'!F62)</x:f>
        <x:v>备案号匹配</x:v>
      </x:c>
      <x:c r="BC77" s="50" t="str">
        <x:f>IF('Sheet5-查询核对'!I62="","",'Sheet5-查询核对'!I62)</x:f>
        <x:v>https://mp.fof99.com/fund/view/7c4ebba3db529d5e</x:v>
      </x:c>
      <x:c r="BD77" s="46" t="n">
        <x:f>IF('Sheet5-查询核对'!H62="","",'Sheet5-查询核对'!H62)</x:f>
        <x:v>46269</x:v>
      </x:c>
      <x:c r="BE77" s="50" t="str">
        <x:f>IF('Sheet5-查询核对'!L62="","",'Sheet5-查询核对'!L62)</x:f>
        <x:v>https://mp.fof99.com/fund/view/7c4ebba3db529d5e</x:v>
      </x:c>
      <x:c r="BF77" s="46" t="n">
        <x:f>IF('Sheet5-查询核对'!M62="","",'Sheet5-查询核对'!M62)</x:f>
        <x:v>46275</x:v>
      </x:c>
      <x:c r="BG77" s="50" t="str">
        <x:f>IF('Sheet5-查询核对'!O62="","",'Sheet5-查询核对'!O62)</x:f>
        <x:v>https://gs.amac.org.cn/amac-infodisc/res/pof/fund/2211021355100496.html</x:v>
      </x:c>
      <x:c r="BH77" s="46" t="n">
        <x:f>IF('Sheet5-查询核对'!P62="","",'Sheet5-查询核对'!P62)</x:f>
        <x:v>46275</x:v>
      </x:c>
      <x:c r="BI77" s="45" t="str">
        <x:f>IF('Sheet5-查询核对'!D62="","",'Sheet5-查询核对'!D62)</x:f>
        <x:v>SXQ267</x:v>
      </x:c>
      <x:c r="BJ77" t="n">
        <x:f>IF(ISNUMBER(AT77),AT77,COUNT($AT$17:$AT$99)+ROWS($AT$17:AT77)-COUNT($AT$17:AT77))</x:f>
        <x:v>48</x:v>
      </x:c>
    </x:row>
    <x:row r="78" ht="44" customHeight="1">
      <x:c r="A78" s="49" t="n">
        <x:f>'Sheet5-查询核对'!A63-1</x:f>
        <x:v>62</x:v>
      </x:c>
      <x:c r="B78" s="50" t="str">
        <x:f>IF('Sheet4-原始数据'!A63="",'Sheet5-查询核对'!B63,'Sheet4-原始数据'!A63)</x:f>
        <x:v>殊馥兴义7号</x:v>
      </x:c>
      <x:c r="C78" s="45" t="str">
        <x:f>IF('Sheet4-原始数据'!B63="","",'Sheet4-原始数据'!B63)</x:f>
        <x:v>SXT610</x:v>
      </x:c>
      <x:c r="D78" s="45" t="str">
        <x:f>IF('Sheet4-原始数据'!E63="","",'Sheet4-原始数据'!E63)</x:f>
        <x:v>上海殊馥投资</x:v>
      </x:c>
      <x:c r="E78" s="46" t="n">
        <x:f>IF('Sheet4-原始数据'!F63="","",'Sheet4-原始数据'!F63)</x:f>
        <x:v>44894</x:v>
      </x:c>
      <x:c r="F78" s="52" t="n">
        <x:f>IF(ISNUMBER(E78),ROUND(('Sheet1-指标体系'!$J$12-E78)/'Sheet1-指标体系'!$J$14,4),"")</x:f>
        <x:v>3.781</x:v>
      </x:c>
      <x:c r="G78" s="14" t="str">
        <x:f>IF(C78="","未匹配",IF(NOT(ISNUMBER(F78)),"缺成立日期",IF(F78&lt;'Sheet1-指标体系'!$J$15,"不入池","入池")))</x:f>
        <x:v>入池</x:v>
      </x:c>
      <x:c r="H78" s="45" t="str">
        <x:f>IF('Sheet5-查询核对'!K63="","",'Sheet5-查询核对'!K63)</x:f>
        <x:v>10-20亿元</x:v>
      </x:c>
      <x:c r="I78" s="52" t="n">
        <x:f>IF(H78="","",IF(COUNTIF('Sheet1-指标体系'!$P$4:$P$10,H78)=0,"",INDEX('Sheet1-指标体系'!$Q$4:$Q$10,MATCH(H78,'Sheet1-指标体系'!$P$4:$P$10,0))))</x:f>
        <x:v>80</x:v>
      </x:c>
      <x:c r="J78" s="54" t="str">
        <x:f>IF(NOT(ISNUMBER('Sheet5-查询核对'!N63)),"",IF('Sheet5-查询核对'!N63=1,"低于"&amp;'Sheet1-指标体系'!$J$4&amp;"万元",IF('Sheet5-查询核对'!N63=0,"无低于"&amp;'Sheet1-指标体系'!$J$4&amp;"万元标识","")))</x:f>
        <x:v>无低于1000万元标识</x:v>
      </x:c>
      <x:c r="K78" s="52" t="n">
        <x:f>IF(NOT(ISNUMBER('Sheet5-查询核对'!N63)),"",IF('Sheet5-查询核对'!N63=1,'Sheet1-指标体系'!$J$21,IF('Sheet5-查询核对'!N63=0,'Sheet1-指标体系'!$J$18,"")))</x:f>
        <x:v>100</x:v>
      </x:c>
      <x:c r="L78" s="52" t="n">
        <x:f>IF(NOT(ISNUMBER(F78)),"",IF(F78&lt;'Sheet1-指标体系'!$J$15,"",IF(F78&lt;'Sheet1-指标体系'!$J$16,'Sheet1-指标体系'!$J$17,'Sheet1-指标体系'!$J$18)))</x:f>
        <x:v>100</x:v>
      </x:c>
      <x:c r="M78" s="47" t="n">
        <x:f>IF(ISNUMBER('Sheet4-原始数据'!G63),'Sheet4-原始数据'!G63,"")</x:f>
        <x:v>0.07150000000000001</x:v>
      </x:c>
      <x:c r="N78" s="47" t="n">
        <x:f>IF(ISNUMBER('Sheet4-原始数据'!H63),'Sheet4-原始数据'!H63,"")</x:f>
        <x:v>0.0784</x:v>
      </x:c>
      <x:c r="O78" s="47" t="n">
        <x:f>IF(ISNUMBER('Sheet5-查询核对'!Q63),'Sheet5-查询核对'!Q63,"")</x:f>
        <x:v>0.08839999999999999</x:v>
      </x:c>
      <x:c r="P78" s="44" t="n">
        <x:f>IF($G78&lt;&gt;"入池","",IF($F78&gt;='Sheet1-指标体系'!$J$16,IF(COUNT(M78,N78)&lt;&gt;2,"",IF(OR(1+M78&lt;=0,1+N78&lt;0),"",((1+N78)^'Sheet1-指标体系'!$J$16/(1+M78))^(1/('Sheet1-指标体系'!$J$16-'Sheet1-指标体系'!$J$15))-1)),IF(COUNT(M78,O78)&lt;&gt;2,"",IF(OR(F78&lt;='Sheet1-指标体系'!$J$15,1+M78&lt;=0,1+O78&lt;0),"",((1+O78)^F78/(1+M78))^(1/(F78-'Sheet1-指标体系'!$J$15))-1))))</x:f>
        <x:v>0.08186664454911496</x:v>
      </x:c>
      <x:c r="Q78" s="52" t="n">
        <x:f>IF(OR($G78&lt;&gt;"入池",NOT(ISNUMBER(M78))),"",IF(COUNTIFS($G$17:$G$99,"入池",$M$17:$M$99,"&gt;=-1E+307",$M$17:$M$99,"&lt;=1E+307")&lt;=1,'Sheet1-指标体系'!$J$18,ROUND('Sheet1-指标体系'!$J$18*(COUNTIFS($G$17:$G$99,"入池",$M$17:$M$99,"&gt;=-1E+307",$M$17:$M$99,"&lt;"&amp;M78)+COUNTIFS($G$17:$G$99,"入池",$M$17:$M$99,"&gt;=-1E+307",$M$17:$M$99,"&lt;=1E+307",$M$17:$M$99,M78)/2-0.5)/(COUNTIFS($G$17:$G$99,"入池",$M$17:$M$99,"&gt;=-1E+307",$M$17:$M$99,"&lt;=1E+307")-1),2)))</x:f>
        <x:v>33.93</x:v>
      </x:c>
      <x:c r="R78" s="52" t="n">
        <x:f>IF(OR($G78&lt;&gt;"入池",NOT(ISNUMBER(P78))),"",IF(COUNTIFS($G$17:$G$99,"入池",$P$17:$P$99,"&gt;=-1E+307",$P$17:$P$99,"&lt;=1E+307")&lt;=1,'Sheet1-指标体系'!$J$18,ROUND('Sheet1-指标体系'!$J$18*(COUNTIFS($G$17:$G$99,"入池",$P$17:$P$99,"&gt;=-1E+307",$P$17:$P$99,"&lt;"&amp;P78)+COUNTIFS($G$17:$G$99,"入池",$P$17:$P$99,"&gt;=-1E+307",$P$17:$P$99,"&lt;=1E+307",$P$17:$P$99,P78)/2-0.5)/(COUNTIFS($G$17:$G$99,"入池",$P$17:$P$99,"&gt;=-1E+307",$P$17:$P$99,"&lt;=1E+307")-1),2)))</x:f>
        <x:v>59.26</x:v>
      </x:c>
      <x:c r="S78" s="52" t="n">
        <x:f>IF(COUNT(Q78,R78)=0,"",ROUND((IF(ISNUMBER(Q78),Q78*'Sheet1-指标体系'!$G$7*'Sheet1-指标体系'!$J$8,0)+IF(ISNUMBER(R78),R78*'Sheet1-指标体系'!$G$7*'Sheet1-指标体系'!$J$9,0))/(IF(ISNUMBER(Q78),'Sheet1-指标体系'!$G$7*'Sheet1-指标体系'!$J$8,0)+IF(ISNUMBER(R78),'Sheet1-指标体系'!$G$7*'Sheet1-指标体系'!$J$9,0)),2))</x:f>
        <x:v>44.06</x:v>
      </x:c>
      <x:c r="T78" s="47" t="n">
        <x:f>IF(ISNUMBER('Sheet4-原始数据'!J63),'Sheet4-原始数据'!J63,"")</x:f>
        <x:v>0.8462000000000001</x:v>
      </x:c>
      <x:c r="U78" s="47" t="n">
        <x:f>IF(ISNUMBER('Sheet4-原始数据'!I63),'Sheet4-原始数据'!I63,"")</x:f>
        <x:v>0.8378</x:v>
      </x:c>
      <x:c r="V78" s="44" t="n">
        <x:f>IF(COUNT(T78:U78)&lt;&gt;2,"",(U78*'Sheet1-指标体系'!$J$6-T78*'Sheet1-指标体系'!$J$5)/'Sheet1-指标体系'!$J$7)</x:f>
        <x:v>0.8332499999999999</x:v>
      </x:c>
      <x:c r="W78" s="52" t="n">
        <x:f>IF(NOT(ISNUMBER(T78)),"",T78*'Sheet1-指标体系'!$J$18)</x:f>
        <x:v>84.62</x:v>
      </x:c>
      <x:c r="X78" s="52" t="n">
        <x:f>IF(G78&lt;&gt;"入池","",IF(ISNUMBER(V78),IF(AND(V78&gt;=0,V78&lt;=1),V78*'Sheet1-指标体系'!$J$18,IF(MAX(0,(F78-'Sheet1-指标体系'!$J$15)*'Sheet1-指标体系'!$J$20)&lt;'Sheet1-指标体系'!$J$19,'Sheet1-指标体系'!$J$18,"")),IF(MAX(0,(F78-'Sheet1-指标体系'!$J$15)*'Sheet1-指标体系'!$J$20)&lt;'Sheet1-指标体系'!$J$19,'Sheet1-指标体系'!$J$18,"")))</x:f>
        <x:v>83.32499999999999</x:v>
      </x:c>
      <x:c r="Y78" s="52" t="n">
        <x:f>IF(NOT(ISNUMBER(W78)),"",IF(COUNT(W78,X78)=0,"",ROUND((IF(ISNUMBER(W78),W78*'Sheet1-指标体系'!$G$8*'Sheet1-指标体系'!$J$8,0)+IF(ISNUMBER(X78),X78*'Sheet1-指标体系'!$G$8*'Sheet1-指标体系'!$J$9,0))/(IF(ISNUMBER(W78),'Sheet1-指标体系'!$G$8*'Sheet1-指标体系'!$J$8,0)+IF(ISNUMBER(X78),'Sheet1-指标体系'!$G$8*'Sheet1-指标体系'!$J$9,0)),2)))</x:f>
        <x:v>84.1</x:v>
      </x:c>
      <x:c r="Z78" s="44" t="n">
        <x:f>IF(COUNT(M78,AD78)&lt;&gt;2,"",IF(AD78=0,"",ABS(M78/AD78)))</x:f>
        <x:v>0.007870722014904836</x:v>
      </x:c>
      <x:c r="AA78" s="47" t="n">
        <x:f>IF(ISNUMBER('Sheet4-原始数据'!K63),'Sheet4-原始数据'!K63,"")</x:f>
        <x:v>0.0079</x:v>
      </x:c>
      <x:c r="AB78" s="44" t="n">
        <x:f>IF(COUNT(Z78:AA78)=0,"",MAX(Z78:AA78))</x:f>
        <x:v>0.0079</x:v>
      </x:c>
      <x:c r="AC78" s="52" t="n">
        <x:f>IF(OR($G78&lt;&gt;"入池",NOT(ISNUMBER(AB78))),"",IF(COUNTIFS($G$17:$G$99,"入池",$AB$17:$AB$99,"&gt;=-1E+307",$AB$17:$AB$99,"&lt;=1E+307")&lt;=1,'Sheet1-指标体系'!$J$18,ROUND('Sheet1-指标体系'!$J$18*(COUNTIFS($G$17:$G$99,"入池",$AB$17:$AB$99,"&lt;=1E+307",$AB$17:$AB$99,"&gt;"&amp;AB78)+COUNTIFS($G$17:$G$99,"入池",$AB$17:$AB$99,"&gt;=-1E+307",$AB$17:$AB$99,"&lt;=1E+307",$AB$17:$AB$99,AB78)/2-0.5)/(COUNTIFS($G$17:$G$99,"入池",$AB$17:$AB$99,"&gt;=-1E+307",$AB$17:$AB$99,"&lt;=1E+307")-1),2)))</x:f>
        <x:v>82.76</x:v>
      </x:c>
      <x:c r="AD78" s="48" t="n">
        <x:f>IF(ISNUMBER('Sheet4-原始数据'!M63),'Sheet4-原始数据'!M63,"")</x:f>
        <x:v>9.0843</x:v>
      </x:c>
      <x:c r="AE78" s="44" t="str">
        <x:f>IF(COUNT(P78,AA78,Z78)&lt;&gt;3,"",IF(AA78&gt;Z78+'Sheet1-指标体系'!$J$11,AA78,""))</x:f>
      </x:c>
      <x:c r="AF78" s="52" t="str">
        <x:f>IF(COUNT(P78,AE78)&lt;&gt;2,"",IF(AE78=0,"",P78/AE78))</x:f>
      </x:c>
      <x:c r="AG78" s="52" t="n">
        <x:f>IF(OR($G78&lt;&gt;"入池",NOT(ISNUMBER(AD78))),"",IF(COUNTIFS($G$17:$G$99,"入池",$AD$17:$AD$99,"&gt;=-1E+307",$AD$17:$AD$99,"&lt;=1E+307")&lt;=1,'Sheet1-指标体系'!$J$18,ROUND('Sheet1-指标体系'!$J$18*(COUNTIFS($G$17:$G$99,"入池",$AD$17:$AD$99,"&gt;=-1E+307",$AD$17:$AD$99,"&lt;"&amp;AD78)+COUNTIFS($G$17:$G$99,"入池",$AD$17:$AD$99,"&gt;=-1E+307",$AD$17:$AD$99,"&lt;=1E+307",$AD$17:$AD$99,AD78)/2-0.5)/(COUNTIFS($G$17:$G$99,"入池",$AD$17:$AD$99,"&gt;=-1E+307",$AD$17:$AD$99,"&lt;=1E+307")-1),2)))</x:f>
        <x:v>58.18</x:v>
      </x:c>
      <x:c r="AH78" s="52" t="str">
        <x:f>IF(OR($G78&lt;&gt;"入池",NOT(ISNUMBER(AF78))),"",IF(COUNTIFS($G$17:$G$99,"入池",$AF$17:$AF$99,"&gt;=-1E+307",$AF$17:$AF$99,"&lt;=1E+307")&lt;=1,'Sheet1-指标体系'!$J$18,ROUND('Sheet1-指标体系'!$J$18*(COUNTIFS($G$17:$G$99,"入池",$AF$17:$AF$99,"&gt;=-1E+307",$AF$17:$AF$99,"&lt;"&amp;AF78)+COUNTIFS($G$17:$G$99,"入池",$AF$17:$AF$99,"&gt;=-1E+307",$AF$17:$AF$99,"&lt;=1E+307",$AF$17:$AF$99,AF78)/2-0.5)/(COUNTIFS($G$17:$G$99,"入池",$AF$17:$AF$99,"&gt;=-1E+307",$AF$17:$AF$99,"&lt;=1E+307")-1),2)))</x:f>
      </x:c>
      <x:c r="AI78" s="52" t="n">
        <x:f>IF(COUNT(AG78,AH78)=0,"",ROUND((IF(ISNUMBER(AG78),AG78*'Sheet1-指标体系'!$G$10*'Sheet1-指标体系'!$J$8,0)+IF(ISNUMBER(AH78),AH78*'Sheet1-指标体系'!$G$10*'Sheet1-指标体系'!$J$9,0))/(IF(ISNUMBER(AG78),'Sheet1-指标体系'!$G$10*'Sheet1-指标体系'!$J$8,0)+IF(ISNUMBER(AH78),'Sheet1-指标体系'!$G$10*'Sheet1-指标体系'!$J$9,0)),2))</x:f>
        <x:v>58.18</x:v>
      </x:c>
      <x:c r="AJ78" s="44" t="n">
        <x:f>IF(NOT(ISNUMBER(F78)),"",IF(F78&gt;='Sheet1-指标体系'!$J$16,IF(ISNUMBER(N78),N78,""),IF(ISNUMBER(O78),O78,"")))</x:f>
        <x:v>0.0784</x:v>
      </x:c>
      <x:c r="AK78" s="52" t="n">
        <x:f>IF(OR(G78&lt;&gt;"入池",COUNT(M78,AJ78)&lt;&gt;2),"",IF(M78&gt;=AJ78,'Sheet1-指标体系'!$J$18,IF(AJ78-M78&lt;'Sheet1-指标体系'!$J$10,'Sheet1-指标体系'!$J$22,'Sheet1-指标体系'!$J$23)))</x:f>
        <x:v>80</x:v>
      </x:c>
      <x:c r="AL78" s="52" t="n">
        <x:f>IF(COUNT(I78,K78,L78)=0,"",ROUND((IF(ISNUMBER(I78),I78*'Sheet1-指标体系'!$G$4,0)+IF(ISNUMBER(K78),K78*'Sheet1-指标体系'!$G$5,0)+IF(ISNUMBER(L78),L78*'Sheet1-指标体系'!$G$6,0))/(IF(ISNUMBER(I78),'Sheet1-指标体系'!$G$4,0)+IF(ISNUMBER(K78),'Sheet1-指标体系'!$G$5,0)+IF(ISNUMBER(L78),'Sheet1-指标体系'!$G$6,0)),2))</x:f>
        <x:v>92</x:v>
      </x:c>
      <x:c r="AM78" s="52" t="n">
        <x:f>IF(COUNT(Q78,R78,W78,X78)=0,"",ROUND((IF(ISNUMBER(Q78),Q78*'Sheet1-指标体系'!$G$7*'Sheet1-指标体系'!$J$8,0)+IF(ISNUMBER(R78),R78*'Sheet1-指标体系'!$G$7*'Sheet1-指标体系'!$J$9,0)+IF(ISNUMBER(W78),W78*'Sheet1-指标体系'!$G$8*'Sheet1-指标体系'!$J$8,0)+IF(ISNUMBER(X78),X78*'Sheet1-指标体系'!$G$8*'Sheet1-指标体系'!$J$9,0))/(IF(ISNUMBER(Q78),'Sheet1-指标体系'!$G$7*'Sheet1-指标体系'!$J$8,0)+IF(ISNUMBER(R78),'Sheet1-指标体系'!$G$7*'Sheet1-指标体系'!$J$9,0)+IF(ISNUMBER(W78),'Sheet1-指标体系'!$G$8*'Sheet1-指标体系'!$J$8,0)+IF(ISNUMBER(X78),'Sheet1-指标体系'!$G$8*'Sheet1-指标体系'!$J$9,0)),2))</x:f>
        <x:v>56.07</x:v>
      </x:c>
      <x:c r="AN78" s="52" t="n">
        <x:f>IF(ISNUMBER(AC78),AC78,"")</x:f>
        <x:v>82.76</x:v>
      </x:c>
      <x:c r="AO78" s="52" t="n">
        <x:f>IF(COUNT(AG78,AH78)=0,"",ROUND((IF(ISNUMBER(AG78),AG78*'Sheet1-指标体系'!$G$10*'Sheet1-指标体系'!$J$8,0)+IF(ISNUMBER(AH78),AH78*'Sheet1-指标体系'!$G$10*'Sheet1-指标体系'!$J$9,0))/(IF(ISNUMBER(AG78),'Sheet1-指标体系'!$G$10*'Sheet1-指标体系'!$J$8,0)+IF(ISNUMBER(AH78),'Sheet1-指标体系'!$G$10*'Sheet1-指标体系'!$J$9,0)),2))</x:f>
        <x:v>58.18</x:v>
      </x:c>
      <x:c r="AP78" s="52" t="n">
        <x:f>IF(ISNUMBER(AK78),AK78,"")</x:f>
        <x:v>80</x:v>
      </x:c>
      <x:c r="AQ78" s="27" t="n">
        <x:f>IF(G78&lt;&gt;"入池",0,IF(ISNUMBER(I78),'Sheet1-指标体系'!$G$4,0)+IF(ISNUMBER(K78),'Sheet1-指标体系'!$G$5,0)+IF(ISNUMBER(L78),'Sheet1-指标体系'!$G$6,0)+IF(ISNUMBER(Q78),'Sheet1-指标体系'!$G$7*'Sheet1-指标体系'!$J$8,0)+IF(ISNUMBER(R78),'Sheet1-指标体系'!$G$7*'Sheet1-指标体系'!$J$9,0)+IF(ISNUMBER(W78),'Sheet1-指标体系'!$G$8*'Sheet1-指标体系'!$J$8,0)+IF(ISNUMBER(X78),'Sheet1-指标体系'!$G$8*'Sheet1-指标体系'!$J$9,0)+IF(ISNUMBER(AC78),'Sheet1-指标体系'!$G$9,0)+IF(ISNUMBER(AG78),'Sheet1-指标体系'!$G$10*'Sheet1-指标体系'!$J$8,0)+IF(ISNUMBER(AH78),'Sheet1-指标体系'!$G$10*'Sheet1-指标体系'!$J$9,0)+IF(ISNUMBER(AK78),'Sheet1-指标体系'!$G$11,0))</x:f>
        <x:v>0.88</x:v>
      </x:c>
      <x:c r="AR78" s="52" t="n">
        <x:f>IF(AQ78=0,"",IF(ISNUMBER(I78),I78*'Sheet1-指标体系'!$G$4,0)+IF(ISNUMBER(K78),K78*'Sheet1-指标体系'!$G$5,0)+IF(ISNUMBER(L78),L78*'Sheet1-指标体系'!$G$6,0)+IF(ISNUMBER(Q78),Q78*'Sheet1-指标体系'!$G$7*'Sheet1-指标体系'!$J$8,0)+IF(ISNUMBER(R78),R78*'Sheet1-指标体系'!$G$7*'Sheet1-指标体系'!$J$9,0)+IF(ISNUMBER(W78),W78*'Sheet1-指标体系'!$G$8*'Sheet1-指标体系'!$J$8,0)+IF(ISNUMBER(X78),X78*'Sheet1-指标体系'!$G$8*'Sheet1-指标体系'!$J$9,0)+IF(ISNUMBER(AC78),AC78*'Sheet1-指标体系'!$G$9,0)+IF(ISNUMBER(AG78),AG78*'Sheet1-指标体系'!$G$10*'Sheet1-指标体系'!$J$8,0)+IF(ISNUMBER(AH78),AH78*'Sheet1-指标体系'!$G$10*'Sheet1-指标体系'!$J$9,0)+IF(ISNUMBER(AK78),AK78*'Sheet1-指标体系'!$G$11,0))</x:f>
        <x:v>64.1772</x:v>
      </x:c>
      <x:c r="AS78" s="52" t="n">
        <x:f>IF(AQ78=0,"",ROUND(AR78/AQ78,2))</x:f>
        <x:v>72.93</x:v>
      </x:c>
      <x:c r="AT78" s="49" t="n">
        <x:f>IF(OR(G78&lt;&gt;"入池",NOT(ISNUMBER(AS78))),"",COUNTIFS($G$17:$G$99,"入池",$AS$17:$AS$99,"&gt;"&amp;AS78)+COUNTIFS($G$17:$G$99,"入池",$AS$17:$AS$99,AS78,$AQ$17:$AQ$99,"&gt;"&amp;AQ78)+COUNTIFS($G$17:G78,"入池",$AS$17:AS78,AS78,$AQ$17:AQ78,AQ78))</x:f>
        <x:v>37</x:v>
      </x:c>
      <x:c r="AU78" s="53" t="str">
        <x:f>IF(NOT(ISNUMBER(I78)),"管理人规模；","")&amp;IF(NOT(ISNUMBER(K78)),"产品规模标识；","")&amp;IF(NOT(ISNUMBER(M78)),"近一年收益；","")&amp;IF(NOT(ISNUMBER(T78)),"近一年胜率；","")&amp;IF(NOT(ISNUMBER(N78)),"近三年收益；","")&amp;IF(NOT(ISNUMBER(U78)),"近三年胜率；","")&amp;IF(NOT(ISNUMBER(AA78)),"近三年回撤；","")&amp;IF(NOT(ISNUMBER(AD78)),"近一年卡玛；","")&amp;IF(ISNUMBER(F78),IF(AND(F78&lt;'Sheet1-指标体系'!$J$16,NOT(ISNUMBER(O78))),"成立以来年化；",""),"成立日期；")&amp;IF(ISNUMBER(V78),IF(OR(V78&lt;0,V78&gt;1),"胜率窗口口径不一致；",""),"")&amp;IF(ISNUMBER(P78),IF(NOT(ISNUMBER(AE78)),"DD_long不可识别；",""),"")</x:f>
        <x:v>DD_long不可识别；</x:v>
      </x:c>
      <x:c r="AV78" s="52" t="str">
        <x:f>IF(ROUND(AQ78,10)=ROUND('Sheet1-指标体系'!$J$25,10),AR78,"")</x:f>
      </x:c>
      <x:c r="AW78" s="14" t="str">
        <x:f>IF(G78&lt;&gt;"入池",G78,IF(AQ78=0,"无有效评分数据",IF(ROUND(AQ78,10)=ROUND('Sheet1-指标体系'!$J$25,10),"完整赋分", "暂定分／数据不完整")))</x:f>
        <x:v>暂定分／数据不完整</x:v>
      </x:c>
      <x:c r="AX78" s="45" t="str">
        <x:f>IF('Sheet4-原始数据'!C63="","",'Sheet4-原始数据'!C63)</x:f>
        <x:v>套利策略</x:v>
      </x:c>
      <x:c r="AY78" s="45" t="str">
        <x:f>IF('Sheet4-原始数据'!D63="","",'Sheet4-原始数据'!D63)</x:f>
        <x:v>期货套利</x:v>
      </x:c>
      <x:c r="AZ78" s="45" t="str">
        <x:f>IF('Sheet5-查询核对'!S63="","",'Sheet5-查询核对'!S63)</x:f>
        <x:v>套利策略—期货套利</x:v>
      </x:c>
      <x:c r="BA78" s="51" t="n">
        <x:f>IF('Sheet5-查询核对'!A63="","",'Sheet5-查询核对'!A63)</x:f>
        <x:v>63</x:v>
      </x:c>
      <x:c r="BB78" s="45" t="str">
        <x:f>IF('Sheet5-查询核对'!F63="","",'Sheet5-查询核对'!F63)</x:f>
        <x:v>备案号匹配</x:v>
      </x:c>
      <x:c r="BC78" s="50" t="str">
        <x:f>IF('Sheet5-查询核对'!I63="","",'Sheet5-查询核对'!I63)</x:f>
        <x:v>https://mp.fof99.com/fund/view/f26adec295039db6</x:v>
      </x:c>
      <x:c r="BD78" s="46" t="n">
        <x:f>IF('Sheet5-查询核对'!H63="","",'Sheet5-查询核对'!H63)</x:f>
        <x:v>46269</x:v>
      </x:c>
      <x:c r="BE78" s="50" t="str">
        <x:f>IF('Sheet5-查询核对'!L63="","",'Sheet5-查询核对'!L63)</x:f>
        <x:v>https://mp.fof99.com/fund/view/f26adec295039db6</x:v>
      </x:c>
      <x:c r="BF78" s="46" t="n">
        <x:f>IF('Sheet5-查询核对'!M63="","",'Sheet5-查询核对'!M63)</x:f>
        <x:v>46275</x:v>
      </x:c>
      <x:c r="BG78" s="50" t="str">
        <x:f>IF('Sheet5-查询核对'!O63="","",'Sheet5-查询核对'!O63)</x:f>
        <x:v>https://gs.amac.org.cn/amac-infodisc/res/pof/fund/2211291421100191.html</x:v>
      </x:c>
      <x:c r="BH78" s="46" t="n">
        <x:f>IF('Sheet5-查询核对'!P63="","",'Sheet5-查询核对'!P63)</x:f>
        <x:v>46275</x:v>
      </x:c>
      <x:c r="BI78" s="45" t="str">
        <x:f>IF('Sheet5-查询核对'!D63="","",'Sheet5-查询核对'!D63)</x:f>
        <x:v>SXT610</x:v>
      </x:c>
      <x:c r="BJ78" t="n">
        <x:f>IF(ISNUMBER(AT78),AT78,COUNT($AT$17:$AT$99)+ROWS($AT$17:AT78)-COUNT($AT$17:AT78))</x:f>
        <x:v>37</x:v>
      </x:c>
    </x:row>
    <x:row r="79" ht="44" customHeight="1">
      <x:c r="A79" s="49" t="n">
        <x:f>'Sheet5-查询核对'!A64-1</x:f>
        <x:v>63</x:v>
      </x:c>
      <x:c r="B79" s="50" t="str">
        <x:f>IF('Sheet4-原始数据'!A64="",'Sheet5-查询核对'!B64,'Sheet4-原始数据'!A64)</x:f>
        <x:v>数为道策套利一号</x:v>
      </x:c>
      <x:c r="C79" s="45" t="str">
        <x:f>IF('Sheet4-原始数据'!B64="","",'Sheet4-原始数据'!B64)</x:f>
        <x:v>SNA956</x:v>
      </x:c>
      <x:c r="D79" s="45" t="str">
        <x:f>IF('Sheet4-原始数据'!E64="","",'Sheet4-原始数据'!E64)</x:f>
        <x:v>福州数为</x:v>
      </x:c>
      <x:c r="E79" s="46" t="n">
        <x:f>IF('Sheet4-原始数据'!F64="","",'Sheet4-原始数据'!F64)</x:f>
        <x:v>44123</x:v>
      </x:c>
      <x:c r="F79" s="52" t="n">
        <x:f>IF(ISNUMBER(E79),ROUND(('Sheet1-指标体系'!$J$12-E79)/'Sheet1-指标体系'!$J$14,4),"")</x:f>
        <x:v>5.8919</x:v>
      </x:c>
      <x:c r="G79" s="14" t="str">
        <x:f>IF(C79="","未匹配",IF(NOT(ISNUMBER(F79)),"缺成立日期",IF(F79&lt;'Sheet1-指标体系'!$J$15,"不入池","入池")))</x:f>
        <x:v>入池</x:v>
      </x:c>
      <x:c r="H79" s="45" t="str">
        <x:f>IF('Sheet5-查询核对'!K64="","",'Sheet5-查询核对'!K64)</x:f>
        <x:v>0-5亿元</x:v>
      </x:c>
      <x:c r="I79" s="52" t="n">
        <x:f>IF(H79="","",IF(COUNTIF('Sheet1-指标体系'!$P$4:$P$10,H79)=0,"",INDEX('Sheet1-指标体系'!$Q$4:$Q$10,MATCH(H79,'Sheet1-指标体系'!$P$4:$P$10,0))))</x:f>
        <x:v>60</x:v>
      </x:c>
      <x:c r="J79" s="54" t="str">
        <x:f>IF(NOT(ISNUMBER('Sheet5-查询核对'!N64)),"",IF('Sheet5-查询核对'!N64=1,"低于"&amp;'Sheet1-指标体系'!$J$4&amp;"万元",IF('Sheet5-查询核对'!N64=0,"无低于"&amp;'Sheet1-指标体系'!$J$4&amp;"万元标识","")))</x:f>
        <x:v>无低于1000万元标识</x:v>
      </x:c>
      <x:c r="K79" s="52" t="n">
        <x:f>IF(NOT(ISNUMBER('Sheet5-查询核对'!N64)),"",IF('Sheet5-查询核对'!N64=1,'Sheet1-指标体系'!$J$21,IF('Sheet5-查询核对'!N64=0,'Sheet1-指标体系'!$J$18,"")))</x:f>
        <x:v>100</x:v>
      </x:c>
      <x:c r="L79" s="52" t="n">
        <x:f>IF(NOT(ISNUMBER(F79)),"",IF(F79&lt;'Sheet1-指标体系'!$J$15,"",IF(F79&lt;'Sheet1-指标体系'!$J$16,'Sheet1-指标体系'!$J$17,'Sheet1-指标体系'!$J$18)))</x:f>
        <x:v>100</x:v>
      </x:c>
      <x:c r="M79" s="47" t="str">
        <x:f>IF(ISNUMBER('Sheet4-原始数据'!G64),'Sheet4-原始数据'!G64,"")</x:f>
      </x:c>
      <x:c r="N79" s="47" t="n">
        <x:f>IF(ISNUMBER('Sheet4-原始数据'!H64),'Sheet4-原始数据'!H64,"")</x:f>
        <x:v>-0.11449999999999999</x:v>
      </x:c>
      <x:c r="O79" s="47" t="n">
        <x:f>IF(ISNUMBER('Sheet5-查询核对'!Q64),'Sheet5-查询核对'!Q64,"")</x:f>
        <x:v>-0.0366</x:v>
      </x:c>
      <x:c r="P79" s="44" t="str">
        <x:f>IF($G79&lt;&gt;"入池","",IF($F79&gt;='Sheet1-指标体系'!$J$16,IF(COUNT(M79,N79)&lt;&gt;2,"",IF(OR(1+M79&lt;=0,1+N79&lt;0),"",((1+N79)^'Sheet1-指标体系'!$J$16/(1+M79))^(1/('Sheet1-指标体系'!$J$16-'Sheet1-指标体系'!$J$15))-1)),IF(COUNT(M79,O79)&lt;&gt;2,"",IF(OR(F79&lt;='Sheet1-指标体系'!$J$15,1+M79&lt;=0,1+O79&lt;0),"",((1+O79)^F79/(1+M79))^(1/(F79-'Sheet1-指标体系'!$J$15))-1))))</x:f>
      </x:c>
      <x:c r="Q79" s="52" t="str">
        <x:f>IF(OR($G79&lt;&gt;"入池",NOT(ISNUMBER(M79))),"",IF(COUNTIFS($G$17:$G$99,"入池",$M$17:$M$99,"&gt;=-1E+307",$M$17:$M$99,"&lt;=1E+307")&lt;=1,'Sheet1-指标体系'!$J$18,ROUND('Sheet1-指标体系'!$J$18*(COUNTIFS($G$17:$G$99,"入池",$M$17:$M$99,"&gt;=-1E+307",$M$17:$M$99,"&lt;"&amp;M79)+COUNTIFS($G$17:$G$99,"入池",$M$17:$M$99,"&gt;=-1E+307",$M$17:$M$99,"&lt;=1E+307",$M$17:$M$99,M79)/2-0.5)/(COUNTIFS($G$17:$G$99,"入池",$M$17:$M$99,"&gt;=-1E+307",$M$17:$M$99,"&lt;=1E+307")-1),2)))</x:f>
      </x:c>
      <x:c r="R79" s="52" t="str">
        <x:f>IF(OR($G79&lt;&gt;"入池",NOT(ISNUMBER(P79))),"",IF(COUNTIFS($G$17:$G$99,"入池",$P$17:$P$99,"&gt;=-1E+307",$P$17:$P$99,"&lt;=1E+307")&lt;=1,'Sheet1-指标体系'!$J$18,ROUND('Sheet1-指标体系'!$J$18*(COUNTIFS($G$17:$G$99,"入池",$P$17:$P$99,"&gt;=-1E+307",$P$17:$P$99,"&lt;"&amp;P79)+COUNTIFS($G$17:$G$99,"入池",$P$17:$P$99,"&gt;=-1E+307",$P$17:$P$99,"&lt;=1E+307",$P$17:$P$99,P79)/2-0.5)/(COUNTIFS($G$17:$G$99,"入池",$P$17:$P$99,"&gt;=-1E+307",$P$17:$P$99,"&lt;=1E+307")-1),2)))</x:f>
      </x:c>
      <x:c r="S79" s="52" t="str">
        <x:f>IF(COUNT(Q79,R79)=0,"",ROUND((IF(ISNUMBER(Q79),Q79*'Sheet1-指标体系'!$G$7*'Sheet1-指标体系'!$J$8,0)+IF(ISNUMBER(R79),R79*'Sheet1-指标体系'!$G$7*'Sheet1-指标体系'!$J$9,0))/(IF(ISNUMBER(Q79),'Sheet1-指标体系'!$G$7*'Sheet1-指标体系'!$J$8,0)+IF(ISNUMBER(R79),'Sheet1-指标体系'!$G$7*'Sheet1-指标体系'!$J$9,0)),2))</x:f>
      </x:c>
      <x:c r="T79" s="47" t="str">
        <x:f>IF(ISNUMBER('Sheet4-原始数据'!J64),'Sheet4-原始数据'!J64,"")</x:f>
      </x:c>
      <x:c r="U79" s="47" t="n">
        <x:f>IF(ISNUMBER('Sheet4-原始数据'!I64),'Sheet4-原始数据'!I64,"")</x:f>
        <x:v>0.3784</x:v>
      </x:c>
      <x:c r="V79" s="44" t="str">
        <x:f>IF(COUNT(T79:U79)&lt;&gt;2,"",(U79*'Sheet1-指标体系'!$J$6-T79*'Sheet1-指标体系'!$J$5)/'Sheet1-指标体系'!$J$7)</x:f>
      </x:c>
      <x:c r="W79" s="52" t="str">
        <x:f>IF(NOT(ISNUMBER(T79)),"",T79*'Sheet1-指标体系'!$J$18)</x:f>
      </x:c>
      <x:c r="X79" s="52" t="str">
        <x:f>IF(G79&lt;&gt;"入池","",IF(ISNUMBER(V79),IF(AND(V79&gt;=0,V79&lt;=1),V79*'Sheet1-指标体系'!$J$18,IF(MAX(0,(F79-'Sheet1-指标体系'!$J$15)*'Sheet1-指标体系'!$J$20)&lt;'Sheet1-指标体系'!$J$19,'Sheet1-指标体系'!$J$18,"")),IF(MAX(0,(F79-'Sheet1-指标体系'!$J$15)*'Sheet1-指标体系'!$J$20)&lt;'Sheet1-指标体系'!$J$19,'Sheet1-指标体系'!$J$18,"")))</x:f>
      </x:c>
      <x:c r="Y79" s="52" t="str">
        <x:f>IF(NOT(ISNUMBER(W79)),"",IF(COUNT(W79,X79)=0,"",ROUND((IF(ISNUMBER(W79),W79*'Sheet1-指标体系'!$G$8*'Sheet1-指标体系'!$J$8,0)+IF(ISNUMBER(X79),X79*'Sheet1-指标体系'!$G$8*'Sheet1-指标体系'!$J$9,0))/(IF(ISNUMBER(W79),'Sheet1-指标体系'!$G$8*'Sheet1-指标体系'!$J$8,0)+IF(ISNUMBER(X79),'Sheet1-指标体系'!$G$8*'Sheet1-指标体系'!$J$9,0)),2)))</x:f>
      </x:c>
      <x:c r="Z79" s="44" t="str">
        <x:f>IF(COUNT(M79,AD79)&lt;&gt;2,"",IF(AD79=0,"",ABS(M79/AD79)))</x:f>
      </x:c>
      <x:c r="AA79" s="47" t="n">
        <x:f>IF(ISNUMBER('Sheet4-原始数据'!K64),'Sheet4-原始数据'!K64,"")</x:f>
        <x:v>0.3667</x:v>
      </x:c>
      <x:c r="AB79" s="44" t="n">
        <x:f>IF(COUNT(Z79:AA79)=0,"",MAX(Z79:AA79))</x:f>
        <x:v>0.3667</x:v>
      </x:c>
      <x:c r="AC79" s="52" t="n">
        <x:f>IF(OR($G79&lt;&gt;"入池",NOT(ISNUMBER(AB79))),"",IF(COUNTIFS($G$17:$G$99,"入池",$AB$17:$AB$99,"&gt;=-1E+307",$AB$17:$AB$99,"&lt;=1E+307")&lt;=1,'Sheet1-指标体系'!$J$18,ROUND('Sheet1-指标体系'!$J$18*(COUNTIFS($G$17:$G$99,"入池",$AB$17:$AB$99,"&lt;=1E+307",$AB$17:$AB$99,"&gt;"&amp;AB79)+COUNTIFS($G$17:$G$99,"入池",$AB$17:$AB$99,"&gt;=-1E+307",$AB$17:$AB$99,"&lt;=1E+307",$AB$17:$AB$99,AB79)/2-0.5)/(COUNTIFS($G$17:$G$99,"入池",$AB$17:$AB$99,"&gt;=-1E+307",$AB$17:$AB$99,"&lt;=1E+307")-1),2)))</x:f>
        <x:v>0</x:v>
      </x:c>
      <x:c r="AD79" s="48" t="str">
        <x:f>IF(ISNUMBER('Sheet4-原始数据'!M64),'Sheet4-原始数据'!M64,"")</x:f>
      </x:c>
      <x:c r="AE79" s="44" t="str">
        <x:f>IF(COUNT(P79,AA79,Z79)&lt;&gt;3,"",IF(AA79&gt;Z79+'Sheet1-指标体系'!$J$11,AA79,""))</x:f>
      </x:c>
      <x:c r="AF79" s="52" t="str">
        <x:f>IF(COUNT(P79,AE79)&lt;&gt;2,"",IF(AE79=0,"",P79/AE79))</x:f>
      </x:c>
      <x:c r="AG79" s="52" t="str">
        <x:f>IF(OR($G79&lt;&gt;"入池",NOT(ISNUMBER(AD79))),"",IF(COUNTIFS($G$17:$G$99,"入池",$AD$17:$AD$99,"&gt;=-1E+307",$AD$17:$AD$99,"&lt;=1E+307")&lt;=1,'Sheet1-指标体系'!$J$18,ROUND('Sheet1-指标体系'!$J$18*(COUNTIFS($G$17:$G$99,"入池",$AD$17:$AD$99,"&gt;=-1E+307",$AD$17:$AD$99,"&lt;"&amp;AD79)+COUNTIFS($G$17:$G$99,"入池",$AD$17:$AD$99,"&gt;=-1E+307",$AD$17:$AD$99,"&lt;=1E+307",$AD$17:$AD$99,AD79)/2-0.5)/(COUNTIFS($G$17:$G$99,"入池",$AD$17:$AD$99,"&gt;=-1E+307",$AD$17:$AD$99,"&lt;=1E+307")-1),2)))</x:f>
      </x:c>
      <x:c r="AH79" s="52" t="str">
        <x:f>IF(OR($G79&lt;&gt;"入池",NOT(ISNUMBER(AF79))),"",IF(COUNTIFS($G$17:$G$99,"入池",$AF$17:$AF$99,"&gt;=-1E+307",$AF$17:$AF$99,"&lt;=1E+307")&lt;=1,'Sheet1-指标体系'!$J$18,ROUND('Sheet1-指标体系'!$J$18*(COUNTIFS($G$17:$G$99,"入池",$AF$17:$AF$99,"&gt;=-1E+307",$AF$17:$AF$99,"&lt;"&amp;AF79)+COUNTIFS($G$17:$G$99,"入池",$AF$17:$AF$99,"&gt;=-1E+307",$AF$17:$AF$99,"&lt;=1E+307",$AF$17:$AF$99,AF79)/2-0.5)/(COUNTIFS($G$17:$G$99,"入池",$AF$17:$AF$99,"&gt;=-1E+307",$AF$17:$AF$99,"&lt;=1E+307")-1),2)))</x:f>
      </x:c>
      <x:c r="AI79" s="52" t="str">
        <x:f>IF(COUNT(AG79,AH79)=0,"",ROUND((IF(ISNUMBER(AG79),AG79*'Sheet1-指标体系'!$G$10*'Sheet1-指标体系'!$J$8,0)+IF(ISNUMBER(AH79),AH79*'Sheet1-指标体系'!$G$10*'Sheet1-指标体系'!$J$9,0))/(IF(ISNUMBER(AG79),'Sheet1-指标体系'!$G$10*'Sheet1-指标体系'!$J$8,0)+IF(ISNUMBER(AH79),'Sheet1-指标体系'!$G$10*'Sheet1-指标体系'!$J$9,0)),2))</x:f>
      </x:c>
      <x:c r="AJ79" s="44" t="n">
        <x:f>IF(NOT(ISNUMBER(F79)),"",IF(F79&gt;='Sheet1-指标体系'!$J$16,IF(ISNUMBER(N79),N79,""),IF(ISNUMBER(O79),O79,"")))</x:f>
        <x:v>-0.11449999999999999</x:v>
      </x:c>
      <x:c r="AK79" s="52" t="str">
        <x:f>IF(OR(G79&lt;&gt;"入池",COUNT(M79,AJ79)&lt;&gt;2),"",IF(M79&gt;=AJ79,'Sheet1-指标体系'!$J$18,IF(AJ79-M79&lt;'Sheet1-指标体系'!$J$10,'Sheet1-指标体系'!$J$22,'Sheet1-指标体系'!$J$23)))</x:f>
      </x:c>
      <x:c r="AL79" s="52" t="n">
        <x:f>IF(COUNT(I79,K79,L79)=0,"",ROUND((IF(ISNUMBER(I79),I79*'Sheet1-指标体系'!$G$4,0)+IF(ISNUMBER(K79),K79*'Sheet1-指标体系'!$G$5,0)+IF(ISNUMBER(L79),L79*'Sheet1-指标体系'!$G$6,0))/(IF(ISNUMBER(I79),'Sheet1-指标体系'!$G$4,0)+IF(ISNUMBER(K79),'Sheet1-指标体系'!$G$5,0)+IF(ISNUMBER(L79),'Sheet1-指标体系'!$G$6,0)),2))</x:f>
        <x:v>84</x:v>
      </x:c>
      <x:c r="AM79" s="52" t="str">
        <x:f>IF(COUNT(Q79,R79,W79,X79)=0,"",ROUND((IF(ISNUMBER(Q79),Q79*'Sheet1-指标体系'!$G$7*'Sheet1-指标体系'!$J$8,0)+IF(ISNUMBER(R79),R79*'Sheet1-指标体系'!$G$7*'Sheet1-指标体系'!$J$9,0)+IF(ISNUMBER(W79),W79*'Sheet1-指标体系'!$G$8*'Sheet1-指标体系'!$J$8,0)+IF(ISNUMBER(X79),X79*'Sheet1-指标体系'!$G$8*'Sheet1-指标体系'!$J$9,0))/(IF(ISNUMBER(Q79),'Sheet1-指标体系'!$G$7*'Sheet1-指标体系'!$J$8,0)+IF(ISNUMBER(R79),'Sheet1-指标体系'!$G$7*'Sheet1-指标体系'!$J$9,0)+IF(ISNUMBER(W79),'Sheet1-指标体系'!$G$8*'Sheet1-指标体系'!$J$8,0)+IF(ISNUMBER(X79),'Sheet1-指标体系'!$G$8*'Sheet1-指标体系'!$J$9,0)),2))</x:f>
      </x:c>
      <x:c r="AN79" s="52" t="n">
        <x:f>IF(ISNUMBER(AC79),AC79,"")</x:f>
        <x:v>0</x:v>
      </x:c>
      <x:c r="AO79" s="52" t="str">
        <x:f>IF(COUNT(AG79,AH79)=0,"",ROUND((IF(ISNUMBER(AG79),AG79*'Sheet1-指标体系'!$G$10*'Sheet1-指标体系'!$J$8,0)+IF(ISNUMBER(AH79),AH79*'Sheet1-指标体系'!$G$10*'Sheet1-指标体系'!$J$9,0))/(IF(ISNUMBER(AG79),'Sheet1-指标体系'!$G$10*'Sheet1-指标体系'!$J$8,0)+IF(ISNUMBER(AH79),'Sheet1-指标体系'!$G$10*'Sheet1-指标体系'!$J$9,0)),2))</x:f>
      </x:c>
      <x:c r="AP79" s="52" t="str">
        <x:f>IF(ISNUMBER(AK79),AK79,"")</x:f>
      </x:c>
      <x:c r="AQ79" s="27" t="n">
        <x:f>IF(G79&lt;&gt;"入池",0,IF(ISNUMBER(I79),'Sheet1-指标体系'!$G$4,0)+IF(ISNUMBER(K79),'Sheet1-指标体系'!$G$5,0)+IF(ISNUMBER(L79),'Sheet1-指标体系'!$G$6,0)+IF(ISNUMBER(Q79),'Sheet1-指标体系'!$G$7*'Sheet1-指标体系'!$J$8,0)+IF(ISNUMBER(R79),'Sheet1-指标体系'!$G$7*'Sheet1-指标体系'!$J$9,0)+IF(ISNUMBER(W79),'Sheet1-指标体系'!$G$8*'Sheet1-指标体系'!$J$8,0)+IF(ISNUMBER(X79),'Sheet1-指标体系'!$G$8*'Sheet1-指标体系'!$J$9,0)+IF(ISNUMBER(AC79),'Sheet1-指标体系'!$G$9,0)+IF(ISNUMBER(AG79),'Sheet1-指标体系'!$G$10*'Sheet1-指标体系'!$J$8,0)+IF(ISNUMBER(AH79),'Sheet1-指标体系'!$G$10*'Sheet1-指标体系'!$J$9,0)+IF(ISNUMBER(AK79),'Sheet1-指标体系'!$G$11,0))</x:f>
        <x:v>0.4</x:v>
      </x:c>
      <x:c r="AR79" s="52" t="n">
        <x:f>IF(AQ79=0,"",IF(ISNUMBER(I79),I79*'Sheet1-指标体系'!$G$4,0)+IF(ISNUMBER(K79),K79*'Sheet1-指标体系'!$G$5,0)+IF(ISNUMBER(L79),L79*'Sheet1-指标体系'!$G$6,0)+IF(ISNUMBER(Q79),Q79*'Sheet1-指标体系'!$G$7*'Sheet1-指标体系'!$J$8,0)+IF(ISNUMBER(R79),R79*'Sheet1-指标体系'!$G$7*'Sheet1-指标体系'!$J$9,0)+IF(ISNUMBER(W79),W79*'Sheet1-指标体系'!$G$8*'Sheet1-指标体系'!$J$8,0)+IF(ISNUMBER(X79),X79*'Sheet1-指标体系'!$G$8*'Sheet1-指标体系'!$J$9,0)+IF(ISNUMBER(AC79),AC79*'Sheet1-指标体系'!$G$9,0)+IF(ISNUMBER(AG79),AG79*'Sheet1-指标体系'!$G$10*'Sheet1-指标体系'!$J$8,0)+IF(ISNUMBER(AH79),AH79*'Sheet1-指标体系'!$G$10*'Sheet1-指标体系'!$J$9,0)+IF(ISNUMBER(AK79),AK79*'Sheet1-指标体系'!$G$11,0))</x:f>
        <x:v>12.6</x:v>
      </x:c>
      <x:c r="AS79" s="52" t="n">
        <x:f>IF(AQ79=0,"",ROUND(AR79/AQ79,2))</x:f>
        <x:v>31.5</x:v>
      </x:c>
      <x:c r="AT79" s="49" t="n">
        <x:f>IF(OR(G79&lt;&gt;"入池",NOT(ISNUMBER(AS79))),"",COUNTIFS($G$17:$G$99,"入池",$AS$17:$AS$99,"&gt;"&amp;AS79)+COUNTIFS($G$17:$G$99,"入池",$AS$17:$AS$99,AS79,$AQ$17:$AQ$99,"&gt;"&amp;AQ79)+COUNTIFS($G$17:G79,"入池",$AS$17:AS79,AS79,$AQ$17:AQ79,AQ79))</x:f>
        <x:v>78</x:v>
      </x:c>
      <x:c r="AU79" s="53" t="str">
        <x:f>IF(NOT(ISNUMBER(I79)),"管理人规模；","")&amp;IF(NOT(ISNUMBER(K79)),"产品规模标识；","")&amp;IF(NOT(ISNUMBER(M79)),"近一年收益；","")&amp;IF(NOT(ISNUMBER(T79)),"近一年胜率；","")&amp;IF(NOT(ISNUMBER(N79)),"近三年收益；","")&amp;IF(NOT(ISNUMBER(U79)),"近三年胜率；","")&amp;IF(NOT(ISNUMBER(AA79)),"近三年回撤；","")&amp;IF(NOT(ISNUMBER(AD79)),"近一年卡玛；","")&amp;IF(ISNUMBER(F79),IF(AND(F79&lt;'Sheet1-指标体系'!$J$16,NOT(ISNUMBER(O79))),"成立以来年化；",""),"成立日期；")&amp;IF(ISNUMBER(V79),IF(OR(V79&lt;0,V79&gt;1),"胜率窗口口径不一致；",""),"")&amp;IF(ISNUMBER(P79),IF(NOT(ISNUMBER(AE79)),"DD_long不可识别；",""),"")</x:f>
        <x:v>近一年收益；近一年胜率；近一年卡玛；</x:v>
      </x:c>
      <x:c r="AV79" s="52" t="str">
        <x:f>IF(ROUND(AQ79,10)=ROUND('Sheet1-指标体系'!$J$25,10),AR79,"")</x:f>
      </x:c>
      <x:c r="AW79" s="14" t="str">
        <x:f>IF(G79&lt;&gt;"入池",G79,IF(AQ79=0,"无有效评分数据",IF(ROUND(AQ79,10)=ROUND('Sheet1-指标体系'!$J$25,10),"完整赋分", "暂定分／数据不完整")))</x:f>
        <x:v>暂定分／数据不完整</x:v>
      </x:c>
      <x:c r="AX79" s="45" t="str">
        <x:f>IF('Sheet4-原始数据'!C64="","",'Sheet4-原始数据'!C64)</x:f>
        <x:v>套利策略</x:v>
      </x:c>
      <x:c r="AY79" s="45" t="str">
        <x:f>IF('Sheet4-原始数据'!D64="","",'Sheet4-原始数据'!D64)</x:f>
        <x:v>基金套利</x:v>
      </x:c>
      <x:c r="AZ79" s="45" t="str">
        <x:f>IF('Sheet5-查询核对'!S64="","",'Sheet5-查询核对'!S64)</x:f>
        <x:v>套利策略—基金套利</x:v>
      </x:c>
      <x:c r="BA79" s="51" t="n">
        <x:f>IF('Sheet5-查询核对'!A64="","",'Sheet5-查询核对'!A64)</x:f>
        <x:v>64</x:v>
      </x:c>
      <x:c r="BB79" s="45" t="str">
        <x:f>IF('Sheet5-查询核对'!F64="","",'Sheet5-查询核对'!F64)</x:f>
        <x:v>备案号匹配</x:v>
      </x:c>
      <x:c r="BC79" s="50" t="str">
        <x:f>IF('Sheet5-查询核对'!I64="","",'Sheet5-查询核对'!I64)</x:f>
        <x:v>https://mp.fof99.com/fund/view/2a7eea7355174458</x:v>
      </x:c>
      <x:c r="BD79" s="46" t="n">
        <x:f>IF('Sheet5-查询核对'!H64="","",'Sheet5-查询核对'!H64)</x:f>
        <x:v>46269</x:v>
      </x:c>
      <x:c r="BE79" s="50" t="str">
        <x:f>IF('Sheet5-查询核对'!L64="","",'Sheet5-查询核对'!L64)</x:f>
        <x:v>https://mp.fof99.com/fund/view/2a7eea7355174458</x:v>
      </x:c>
      <x:c r="BF79" s="46" t="n">
        <x:f>IF('Sheet5-查询核对'!M64="","",'Sheet5-查询核对'!M64)</x:f>
        <x:v>46275</x:v>
      </x:c>
      <x:c r="BG79" s="50" t="str">
        <x:f>IF('Sheet5-查询核对'!O64="","",'Sheet5-查询核对'!O64)</x:f>
        <x:v>https://gs.amac.org.cn/amac-infodisc/res/pof/fund/2010271707103406.html</x:v>
      </x:c>
      <x:c r="BH79" s="46" t="n">
        <x:f>IF('Sheet5-查询核对'!P64="","",'Sheet5-查询核对'!P64)</x:f>
        <x:v>46275</x:v>
      </x:c>
      <x:c r="BI79" s="45" t="str">
        <x:f>IF('Sheet5-查询核对'!D64="","",'Sheet5-查询核对'!D64)</x:f>
        <x:v>SNA956</x:v>
      </x:c>
      <x:c r="BJ79" t="n">
        <x:f>IF(ISNUMBER(AT79),AT79,COUNT($AT$17:$AT$99)+ROWS($AT$17:AT79)-COUNT($AT$17:AT79))</x:f>
        <x:v>78</x:v>
      </x:c>
    </x:row>
    <x:row r="80" ht="44" customHeight="1">
      <x:c r="A80" s="49" t="n">
        <x:f>'Sheet5-查询核对'!A65-1</x:f>
        <x:v>64</x:v>
      </x:c>
      <x:c r="B80" s="50" t="str">
        <x:f>IF('Sheet4-原始数据'!A65="",'Sheet5-查询核对'!B65,'Sheet4-原始数据'!A65)</x:f>
        <x:v>唐德幽兰量化套利一号</x:v>
      </x:c>
      <x:c r="C80" s="45" t="str">
        <x:f>IF('Sheet4-原始数据'!B65="","",'Sheet4-原始数据'!B65)</x:f>
        <x:v>SAHM04</x:v>
      </x:c>
      <x:c r="D80" s="45" t="str">
        <x:f>IF('Sheet4-原始数据'!E65="","",'Sheet4-原始数据'!E65)</x:f>
        <x:v>深圳唐德</x:v>
      </x:c>
      <x:c r="E80" s="46" t="n">
        <x:f>IF('Sheet4-原始数据'!F65="","",'Sheet4-原始数据'!F65)</x:f>
        <x:v>45408</x:v>
      </x:c>
      <x:c r="F80" s="52" t="n">
        <x:f>IF(ISNUMBER(E80),ROUND(('Sheet1-指标体系'!$J$12-E80)/'Sheet1-指标体系'!$J$14,4),"")</x:f>
        <x:v>2.3737</x:v>
      </x:c>
      <x:c r="G80" s="14" t="str">
        <x:f>IF(C80="","未匹配",IF(NOT(ISNUMBER(F80)),"缺成立日期",IF(F80&lt;'Sheet1-指标体系'!$J$15,"不入池","入池")))</x:f>
        <x:v>入池</x:v>
      </x:c>
      <x:c r="H80" s="45" t="str">
        <x:f>IF('Sheet5-查询核对'!K65="","",'Sheet5-查询核对'!K65)</x:f>
        <x:v>0-5亿元</x:v>
      </x:c>
      <x:c r="I80" s="52" t="n">
        <x:f>IF(H80="","",IF(COUNTIF('Sheet1-指标体系'!$P$4:$P$10,H80)=0,"",INDEX('Sheet1-指标体系'!$Q$4:$Q$10,MATCH(H80,'Sheet1-指标体系'!$P$4:$P$10,0))))</x:f>
        <x:v>60</x:v>
      </x:c>
      <x:c r="J80" s="54" t="str">
        <x:f>IF(NOT(ISNUMBER('Sheet5-查询核对'!N65)),"",IF('Sheet5-查询核对'!N65=1,"低于"&amp;'Sheet1-指标体系'!$J$4&amp;"万元",IF('Sheet5-查询核对'!N65=0,"无低于"&amp;'Sheet1-指标体系'!$J$4&amp;"万元标识","")))</x:f>
        <x:v>无低于1000万元标识</x:v>
      </x:c>
      <x:c r="K80" s="52" t="n">
        <x:f>IF(NOT(ISNUMBER('Sheet5-查询核对'!N65)),"",IF('Sheet5-查询核对'!N65=1,'Sheet1-指标体系'!$J$21,IF('Sheet5-查询核对'!N65=0,'Sheet1-指标体系'!$J$18,"")))</x:f>
        <x:v>100</x:v>
      </x:c>
      <x:c r="L80" s="52" t="n">
        <x:f>IF(NOT(ISNUMBER(F80)),"",IF(F80&lt;'Sheet1-指标体系'!$J$15,"",IF(F80&lt;'Sheet1-指标体系'!$J$16,'Sheet1-指标体系'!$J$17,'Sheet1-指标体系'!$J$18)))</x:f>
        <x:v>70</x:v>
      </x:c>
      <x:c r="M80" s="47" t="n">
        <x:f>IF(ISNUMBER('Sheet4-原始数据'!G65),'Sheet4-原始数据'!G65,"")</x:f>
        <x:v>0.0858</x:v>
      </x:c>
      <x:c r="N80" s="47" t="str">
        <x:f>IF(ISNUMBER('Sheet4-原始数据'!H65),'Sheet4-原始数据'!H65,"")</x:f>
      </x:c>
      <x:c r="O80" s="47" t="n">
        <x:f>IF(ISNUMBER('Sheet5-查询核对'!Q65),'Sheet5-查询核对'!Q65,"")</x:f>
        <x:v>0.079</x:v>
      </x:c>
      <x:c r="P80" s="44" t="n">
        <x:f>IF($G80&lt;&gt;"入池","",IF($F80&gt;='Sheet1-指标体系'!$J$16,IF(COUNT(M80,N80)&lt;&gt;2,"",IF(OR(1+M80&lt;=0,1+N80&lt;0),"",((1+N80)^'Sheet1-指标体系'!$J$16/(1+M80))^(1/('Sheet1-指标体系'!$J$16-'Sheet1-指标体系'!$J$15))-1)),IF(COUNT(M80,O80)&lt;&gt;2,"",IF(OR(F80&lt;='Sheet1-指标体系'!$J$15,1+M80&lt;=0,1+O80&lt;0),"",((1+O80)^F80/(1+M80))^(1/(F80-'Sheet1-指标体系'!$J$15))-1))))</x:f>
        <x:v>0.07407666485133446</x:v>
      </x:c>
      <x:c r="Q80" s="52" t="n">
        <x:f>IF(OR($G80&lt;&gt;"入池",NOT(ISNUMBER(M80))),"",IF(COUNTIFS($G$17:$G$99,"入池",$M$17:$M$99,"&gt;=-1E+307",$M$17:$M$99,"&lt;=1E+307")&lt;=1,'Sheet1-指标体系'!$J$18,ROUND('Sheet1-指标体系'!$J$18*(COUNTIFS($G$17:$G$99,"入池",$M$17:$M$99,"&gt;=-1E+307",$M$17:$M$99,"&lt;"&amp;M80)+COUNTIFS($G$17:$G$99,"入池",$M$17:$M$99,"&gt;=-1E+307",$M$17:$M$99,"&lt;=1E+307",$M$17:$M$99,M80)/2-0.5)/(COUNTIFS($G$17:$G$99,"入池",$M$17:$M$99,"&gt;=-1E+307",$M$17:$M$99,"&lt;=1E+307")-1),2)))</x:f>
        <x:v>48.21</x:v>
      </x:c>
      <x:c r="R80" s="52" t="n">
        <x:f>IF(OR($G80&lt;&gt;"入池",NOT(ISNUMBER(P80))),"",IF(COUNTIFS($G$17:$G$99,"入池",$P$17:$P$99,"&gt;=-1E+307",$P$17:$P$99,"&lt;=1E+307")&lt;=1,'Sheet1-指标体系'!$J$18,ROUND('Sheet1-指标体系'!$J$18*(COUNTIFS($G$17:$G$99,"入池",$P$17:$P$99,"&gt;=-1E+307",$P$17:$P$99,"&lt;"&amp;P80)+COUNTIFS($G$17:$G$99,"入池",$P$17:$P$99,"&gt;=-1E+307",$P$17:$P$99,"&lt;=1E+307",$P$17:$P$99,P80)/2-0.5)/(COUNTIFS($G$17:$G$99,"入池",$P$17:$P$99,"&gt;=-1E+307",$P$17:$P$99,"&lt;=1E+307")-1),2)))</x:f>
        <x:v>48.15</x:v>
      </x:c>
      <x:c r="S80" s="52" t="n">
        <x:f>IF(COUNT(Q80,R80)=0,"",ROUND((IF(ISNUMBER(Q80),Q80*'Sheet1-指标体系'!$G$7*'Sheet1-指标体系'!$J$8,0)+IF(ISNUMBER(R80),R80*'Sheet1-指标体系'!$G$7*'Sheet1-指标体系'!$J$9,0))/(IF(ISNUMBER(Q80),'Sheet1-指标体系'!$G$7*'Sheet1-指标体系'!$J$8,0)+IF(ISNUMBER(R80),'Sheet1-指标体系'!$G$7*'Sheet1-指标体系'!$J$9,0)),2))</x:f>
        <x:v>48.19</x:v>
      </x:c>
      <x:c r="T80" s="47" t="n">
        <x:f>IF(ISNUMBER('Sheet4-原始数据'!J65),'Sheet4-原始数据'!J65,"")</x:f>
        <x:v>0.8462000000000001</x:v>
      </x:c>
      <x:c r="U80" s="47" t="str">
        <x:f>IF(ISNUMBER('Sheet4-原始数据'!I65),'Sheet4-原始数据'!I65,"")</x:f>
      </x:c>
      <x:c r="V80" s="44" t="str">
        <x:f>IF(COUNT(T80:U80)&lt;&gt;2,"",(U80*'Sheet1-指标体系'!$J$6-T80*'Sheet1-指标体系'!$J$5)/'Sheet1-指标体系'!$J$7)</x:f>
      </x:c>
      <x:c r="W80" s="52" t="n">
        <x:f>IF(NOT(ISNUMBER(T80)),"",T80*'Sheet1-指标体系'!$J$18)</x:f>
        <x:v>84.62</x:v>
      </x:c>
      <x:c r="X80" s="52" t="str">
        <x:f>IF(G80&lt;&gt;"入池","",IF(ISNUMBER(V80),IF(AND(V80&gt;=0,V80&lt;=1),V80*'Sheet1-指标体系'!$J$18,IF(MAX(0,(F80-'Sheet1-指标体系'!$J$15)*'Sheet1-指标体系'!$J$20)&lt;'Sheet1-指标体系'!$J$19,'Sheet1-指标体系'!$J$18,"")),IF(MAX(0,(F80-'Sheet1-指标体系'!$J$15)*'Sheet1-指标体系'!$J$20)&lt;'Sheet1-指标体系'!$J$19,'Sheet1-指标体系'!$J$18,"")))</x:f>
      </x:c>
      <x:c r="Y80" s="52" t="n">
        <x:f>IF(NOT(ISNUMBER(W80)),"",IF(COUNT(W80,X80)=0,"",ROUND((IF(ISNUMBER(W80),W80*'Sheet1-指标体系'!$G$8*'Sheet1-指标体系'!$J$8,0)+IF(ISNUMBER(X80),X80*'Sheet1-指标体系'!$G$8*'Sheet1-指标体系'!$J$9,0))/(IF(ISNUMBER(W80),'Sheet1-指标体系'!$G$8*'Sheet1-指标体系'!$J$8,0)+IF(ISNUMBER(X80),'Sheet1-指标体系'!$G$8*'Sheet1-指标体系'!$J$9,0)),2)))</x:f>
        <x:v>84.62</x:v>
      </x:c>
      <x:c r="Z80" s="44" t="n">
        <x:f>IF(COUNT(M80,AD80)&lt;&gt;2,"",IF(AD80=0,"",ABS(M80/AD80)))</x:f>
        <x:v>0.02530376312374661</x:v>
      </x:c>
      <x:c r="AA80" s="47" t="str">
        <x:f>IF(ISNUMBER('Sheet4-原始数据'!K65),'Sheet4-原始数据'!K65,"")</x:f>
      </x:c>
      <x:c r="AB80" s="44" t="n">
        <x:f>IF(COUNT(Z80:AA80)=0,"",MAX(Z80:AA80))</x:f>
        <x:v>0.02530376312374661</x:v>
      </x:c>
      <x:c r="AC80" s="52" t="n">
        <x:f>IF(OR($G80&lt;&gt;"入池",NOT(ISNUMBER(AB80))),"",IF(COUNTIFS($G$17:$G$99,"入池",$AB$17:$AB$99,"&gt;=-1E+307",$AB$17:$AB$99,"&lt;=1E+307")&lt;=1,'Sheet1-指标体系'!$J$18,ROUND('Sheet1-指标体系'!$J$18*(COUNTIFS($G$17:$G$99,"入池",$AB$17:$AB$99,"&lt;=1E+307",$AB$17:$AB$99,"&gt;"&amp;AB80)+COUNTIFS($G$17:$G$99,"入池",$AB$17:$AB$99,"&gt;=-1E+307",$AB$17:$AB$99,"&lt;=1E+307",$AB$17:$AB$99,AB80)/2-0.5)/(COUNTIFS($G$17:$G$99,"入池",$AB$17:$AB$99,"&gt;=-1E+307",$AB$17:$AB$99,"&lt;=1E+307")-1),2)))</x:f>
        <x:v>44.83</x:v>
      </x:c>
      <x:c r="AD80" s="48" t="n">
        <x:f>IF(ISNUMBER('Sheet4-原始数据'!M65),'Sheet4-原始数据'!M65,"")</x:f>
        <x:v>3.3908</x:v>
      </x:c>
      <x:c r="AE80" s="44" t="str">
        <x:f>IF(COUNT(P80,AA80,Z80)&lt;&gt;3,"",IF(AA80&gt;Z80+'Sheet1-指标体系'!$J$11,AA80,""))</x:f>
      </x:c>
      <x:c r="AF80" s="52" t="str">
        <x:f>IF(COUNT(P80,AE80)&lt;&gt;2,"",IF(AE80=0,"",P80/AE80))</x:f>
      </x:c>
      <x:c r="AG80" s="52" t="n">
        <x:f>IF(OR($G80&lt;&gt;"入池",NOT(ISNUMBER(AD80))),"",IF(COUNTIFS($G$17:$G$99,"入池",$AD$17:$AD$99,"&gt;=-1E+307",$AD$17:$AD$99,"&lt;=1E+307")&lt;=1,'Sheet1-指标体系'!$J$18,ROUND('Sheet1-指标体系'!$J$18*(COUNTIFS($G$17:$G$99,"入池",$AD$17:$AD$99,"&gt;=-1E+307",$AD$17:$AD$99,"&lt;"&amp;AD80)+COUNTIFS($G$17:$G$99,"入池",$AD$17:$AD$99,"&gt;=-1E+307",$AD$17:$AD$99,"&lt;=1E+307",$AD$17:$AD$99,AD80)/2-0.5)/(COUNTIFS($G$17:$G$99,"入池",$AD$17:$AD$99,"&gt;=-1E+307",$AD$17:$AD$99,"&lt;=1E+307")-1),2)))</x:f>
        <x:v>29.09</x:v>
      </x:c>
      <x:c r="AH80" s="52" t="str">
        <x:f>IF(OR($G80&lt;&gt;"入池",NOT(ISNUMBER(AF80))),"",IF(COUNTIFS($G$17:$G$99,"入池",$AF$17:$AF$99,"&gt;=-1E+307",$AF$17:$AF$99,"&lt;=1E+307")&lt;=1,'Sheet1-指标体系'!$J$18,ROUND('Sheet1-指标体系'!$J$18*(COUNTIFS($G$17:$G$99,"入池",$AF$17:$AF$99,"&gt;=-1E+307",$AF$17:$AF$99,"&lt;"&amp;AF80)+COUNTIFS($G$17:$G$99,"入池",$AF$17:$AF$99,"&gt;=-1E+307",$AF$17:$AF$99,"&lt;=1E+307",$AF$17:$AF$99,AF80)/2-0.5)/(COUNTIFS($G$17:$G$99,"入池",$AF$17:$AF$99,"&gt;=-1E+307",$AF$17:$AF$99,"&lt;=1E+307")-1),2)))</x:f>
      </x:c>
      <x:c r="AI80" s="52" t="n">
        <x:f>IF(COUNT(AG80,AH80)=0,"",ROUND((IF(ISNUMBER(AG80),AG80*'Sheet1-指标体系'!$G$10*'Sheet1-指标体系'!$J$8,0)+IF(ISNUMBER(AH80),AH80*'Sheet1-指标体系'!$G$10*'Sheet1-指标体系'!$J$9,0))/(IF(ISNUMBER(AG80),'Sheet1-指标体系'!$G$10*'Sheet1-指标体系'!$J$8,0)+IF(ISNUMBER(AH80),'Sheet1-指标体系'!$G$10*'Sheet1-指标体系'!$J$9,0)),2))</x:f>
        <x:v>29.09</x:v>
      </x:c>
      <x:c r="AJ80" s="44" t="n">
        <x:f>IF(NOT(ISNUMBER(F80)),"",IF(F80&gt;='Sheet1-指标体系'!$J$16,IF(ISNUMBER(N80),N80,""),IF(ISNUMBER(O80),O80,"")))</x:f>
        <x:v>0.079</x:v>
      </x:c>
      <x:c r="AK80" s="52" t="n">
        <x:f>IF(OR(G80&lt;&gt;"入池",COUNT(M80,AJ80)&lt;&gt;2),"",IF(M80&gt;=AJ80,'Sheet1-指标体系'!$J$18,IF(AJ80-M80&lt;'Sheet1-指标体系'!$J$10,'Sheet1-指标体系'!$J$22,'Sheet1-指标体系'!$J$23)))</x:f>
        <x:v>100</x:v>
      </x:c>
      <x:c r="AL80" s="52" t="n">
        <x:f>IF(COUNT(I80,K80,L80)=0,"",ROUND((IF(ISNUMBER(I80),I80*'Sheet1-指标体系'!$G$4,0)+IF(ISNUMBER(K80),K80*'Sheet1-指标体系'!$G$5,0)+IF(ISNUMBER(L80),L80*'Sheet1-指标体系'!$G$6,0))/(IF(ISNUMBER(I80),'Sheet1-指标体系'!$G$4,0)+IF(ISNUMBER(K80),'Sheet1-指标体系'!$G$5,0)+IF(ISNUMBER(L80),'Sheet1-指标体系'!$G$6,0)),2))</x:f>
        <x:v>75</x:v>
      </x:c>
      <x:c r="AM80" s="52" t="n">
        <x:f>IF(COUNT(Q80,R80,W80,X80)=0,"",ROUND((IF(ISNUMBER(Q80),Q80*'Sheet1-指标体系'!$G$7*'Sheet1-指标体系'!$J$8,0)+IF(ISNUMBER(R80),R80*'Sheet1-指标体系'!$G$7*'Sheet1-指标体系'!$J$9,0)+IF(ISNUMBER(W80),W80*'Sheet1-指标体系'!$G$8*'Sheet1-指标体系'!$J$8,0)+IF(ISNUMBER(X80),X80*'Sheet1-指标体系'!$G$8*'Sheet1-指标体系'!$J$9,0))/(IF(ISNUMBER(Q80),'Sheet1-指标体系'!$G$7*'Sheet1-指标体系'!$J$8,0)+IF(ISNUMBER(R80),'Sheet1-指标体系'!$G$7*'Sheet1-指标体系'!$J$9,0)+IF(ISNUMBER(W80),'Sheet1-指标体系'!$G$8*'Sheet1-指标体系'!$J$8,0)+IF(ISNUMBER(X80),'Sheet1-指标体系'!$G$8*'Sheet1-指标体系'!$J$9,0)),2))</x:f>
        <x:v>55.64</x:v>
      </x:c>
      <x:c r="AN80" s="52" t="n">
        <x:f>IF(ISNUMBER(AC80),AC80,"")</x:f>
        <x:v>44.83</x:v>
      </x:c>
      <x:c r="AO80" s="52" t="n">
        <x:f>IF(COUNT(AG80,AH80)=0,"",ROUND((IF(ISNUMBER(AG80),AG80*'Sheet1-指标体系'!$G$10*'Sheet1-指标体系'!$J$8,0)+IF(ISNUMBER(AH80),AH80*'Sheet1-指标体系'!$G$10*'Sheet1-指标体系'!$J$9,0))/(IF(ISNUMBER(AG80),'Sheet1-指标体系'!$G$10*'Sheet1-指标体系'!$J$8,0)+IF(ISNUMBER(AH80),'Sheet1-指标体系'!$G$10*'Sheet1-指标体系'!$J$9,0)),2))</x:f>
        <x:v>29.09</x:v>
      </x:c>
      <x:c r="AP80" s="52" t="n">
        <x:f>IF(ISNUMBER(AK80),AK80,"")</x:f>
        <x:v>100</x:v>
      </x:c>
      <x:c r="AQ80" s="27" t="n">
        <x:f>IF(G80&lt;&gt;"入池",0,IF(ISNUMBER(I80),'Sheet1-指标体系'!$G$4,0)+IF(ISNUMBER(K80),'Sheet1-指标体系'!$G$5,0)+IF(ISNUMBER(L80),'Sheet1-指标体系'!$G$6,0)+IF(ISNUMBER(Q80),'Sheet1-指标体系'!$G$7*'Sheet1-指标体系'!$J$8,0)+IF(ISNUMBER(R80),'Sheet1-指标体系'!$G$7*'Sheet1-指标体系'!$J$9,0)+IF(ISNUMBER(W80),'Sheet1-指标体系'!$G$8*'Sheet1-指标体系'!$J$8,0)+IF(ISNUMBER(X80),'Sheet1-指标体系'!$G$8*'Sheet1-指标体系'!$J$9,0)+IF(ISNUMBER(AC80),'Sheet1-指标体系'!$G$9,0)+IF(ISNUMBER(AG80),'Sheet1-指标体系'!$G$10*'Sheet1-指标体系'!$J$8,0)+IF(ISNUMBER(AH80),'Sheet1-指标体系'!$G$10*'Sheet1-指标体系'!$J$9,0)+IF(ISNUMBER(AK80),'Sheet1-指标体系'!$G$11,0))</x:f>
        <x:v>0.856</x:v>
      </x:c>
      <x:c r="AR80" s="52" t="n">
        <x:f>IF(AQ80=0,"",IF(ISNUMBER(I80),I80*'Sheet1-指标体系'!$G$4,0)+IF(ISNUMBER(K80),K80*'Sheet1-指标体系'!$G$5,0)+IF(ISNUMBER(L80),L80*'Sheet1-指标体系'!$G$6,0)+IF(ISNUMBER(Q80),Q80*'Sheet1-指标体系'!$G$7*'Sheet1-指标体系'!$J$8,0)+IF(ISNUMBER(R80),R80*'Sheet1-指标体系'!$G$7*'Sheet1-指标体系'!$J$9,0)+IF(ISNUMBER(W80),W80*'Sheet1-指标体系'!$G$8*'Sheet1-指标体系'!$J$8,0)+IF(ISNUMBER(X80),X80*'Sheet1-指标体系'!$G$8*'Sheet1-指标体系'!$J$9,0)+IF(ISNUMBER(AC80),AC80*'Sheet1-指标体系'!$G$9,0)+IF(ISNUMBER(AG80),AG80*'Sheet1-指标体系'!$G$10*'Sheet1-指标体系'!$J$8,0)+IF(ISNUMBER(AH80),AH80*'Sheet1-指标体系'!$G$10*'Sheet1-指标体系'!$J$9,0)+IF(ISNUMBER(AK80),AK80*'Sheet1-指标体系'!$G$11,0))</x:f>
        <x:v>47.486059999999995</x:v>
      </x:c>
      <x:c r="AS80" s="52" t="n">
        <x:f>IF(AQ80=0,"",ROUND(AR80/AQ80,2))</x:f>
        <x:v>55.47</x:v>
      </x:c>
      <x:c r="AT80" s="49" t="n">
        <x:f>IF(OR(G80&lt;&gt;"入池",NOT(ISNUMBER(AS80))),"",COUNTIFS($G$17:$G$99,"入池",$AS$17:$AS$99,"&gt;"&amp;AS80)+COUNTIFS($G$17:$G$99,"入池",$AS$17:$AS$99,AS80,$AQ$17:$AQ$99,"&gt;"&amp;AQ80)+COUNTIFS($G$17:G80,"入池",$AS$17:AS80,AS80,$AQ$17:AQ80,AQ80))</x:f>
        <x:v>57</x:v>
      </x:c>
      <x:c r="AU80" s="53" t="str">
        <x:f>IF(NOT(ISNUMBER(I80)),"管理人规模；","")&amp;IF(NOT(ISNUMBER(K80)),"产品规模标识；","")&amp;IF(NOT(ISNUMBER(M80)),"近一年收益；","")&amp;IF(NOT(ISNUMBER(T80)),"近一年胜率；","")&amp;IF(NOT(ISNUMBER(N80)),"近三年收益；","")&amp;IF(NOT(ISNUMBER(U80)),"近三年胜率；","")&amp;IF(NOT(ISNUMBER(AA80)),"近三年回撤；","")&amp;IF(NOT(ISNUMBER(AD80)),"近一年卡玛；","")&amp;IF(ISNUMBER(F80),IF(AND(F80&lt;'Sheet1-指标体系'!$J$16,NOT(ISNUMBER(O80))),"成立以来年化；",""),"成立日期；")&amp;IF(ISNUMBER(V80),IF(OR(V80&lt;0,V80&gt;1),"胜率窗口口径不一致；",""),"")&amp;IF(ISNUMBER(P80),IF(NOT(ISNUMBER(AE80)),"DD_long不可识别；",""),"")</x:f>
        <x:v>近三年收益；近三年胜率；近三年回撤；DD_long不可识别；</x:v>
      </x:c>
      <x:c r="AV80" s="52" t="str">
        <x:f>IF(ROUND(AQ80,10)=ROUND('Sheet1-指标体系'!$J$25,10),AR80,"")</x:f>
      </x:c>
      <x:c r="AW80" s="14" t="str">
        <x:f>IF(G80&lt;&gt;"入池",G80,IF(AQ80=0,"无有效评分数据",IF(ROUND(AQ80,10)=ROUND('Sheet1-指标体系'!$J$25,10),"完整赋分", "暂定分／数据不完整")))</x:f>
        <x:v>暂定分／数据不完整</x:v>
      </x:c>
      <x:c r="AX80" s="45" t="str">
        <x:f>IF('Sheet4-原始数据'!C65="","",'Sheet4-原始数据'!C65)</x:f>
        <x:v>套利策略</x:v>
      </x:c>
      <x:c r="AY80" s="45" t="str">
        <x:f>IF('Sheet4-原始数据'!D65="","",'Sheet4-原始数据'!D65)</x:f>
        <x:v>期货套利</x:v>
      </x:c>
      <x:c r="AZ80" s="45" t="str">
        <x:f>IF('Sheet5-查询核对'!S65="","",'Sheet5-查询核对'!S65)</x:f>
        <x:v>套利策略—期货套利</x:v>
      </x:c>
      <x:c r="BA80" s="51" t="n">
        <x:f>IF('Sheet5-查询核对'!A65="","",'Sheet5-查询核对'!A65)</x:f>
        <x:v>65</x:v>
      </x:c>
      <x:c r="BB80" s="45" t="str">
        <x:f>IF('Sheet5-查询核对'!F65="","",'Sheet5-查询核对'!F65)</x:f>
        <x:v>备案号匹配</x:v>
      </x:c>
      <x:c r="BC80" s="50" t="str">
        <x:f>IF('Sheet5-查询核对'!I65="","",'Sheet5-查询核对'!I65)</x:f>
        <x:v>https://mp.fof99.com/fund/view/440208e7421f6896</x:v>
      </x:c>
      <x:c r="BD80" s="46" t="n">
        <x:f>IF('Sheet5-查询核对'!H65="","",'Sheet5-查询核对'!H65)</x:f>
        <x:v>46269</x:v>
      </x:c>
      <x:c r="BE80" s="50" t="str">
        <x:f>IF('Sheet5-查询核对'!L65="","",'Sheet5-查询核对'!L65)</x:f>
        <x:v>https://mp.fof99.com/fund/view/440208e7421f6896</x:v>
      </x:c>
      <x:c r="BF80" s="46" t="n">
        <x:f>IF('Sheet5-查询核对'!M65="","",'Sheet5-查询核对'!M65)</x:f>
        <x:v>46275</x:v>
      </x:c>
      <x:c r="BG80" s="50" t="str">
        <x:f>IF('Sheet5-查询核对'!O65="","",'Sheet5-查询核对'!O65)</x:f>
        <x:v>https://gs.amac.org.cn/amac-infodisc/res/pof/fund/2404301325106956.html</x:v>
      </x:c>
      <x:c r="BH80" s="46" t="n">
        <x:f>IF('Sheet5-查询核对'!P65="","",'Sheet5-查询核对'!P65)</x:f>
        <x:v>46275</x:v>
      </x:c>
      <x:c r="BI80" s="45" t="str">
        <x:f>IF('Sheet5-查询核对'!D65="","",'Sheet5-查询核对'!D65)</x:f>
        <x:v>SAHM04</x:v>
      </x:c>
      <x:c r="BJ80" t="n">
        <x:f>IF(ISNUMBER(AT80),AT80,COUNT($AT$17:$AT$99)+ROWS($AT$17:AT80)-COUNT($AT$17:AT80))</x:f>
        <x:v>57</x:v>
      </x:c>
    </x:row>
    <x:row r="81" ht="44" customHeight="1">
      <x:c r="A81" s="49" t="n">
        <x:f>'Sheet5-查询核对'!A66-1</x:f>
        <x:v>65</x:v>
      </x:c>
      <x:c r="B81" s="50" t="str">
        <x:f>IF('Sheet4-原始数据'!A66="",'Sheet5-查询核对'!B66,'Sheet4-原始数据'!A66)</x:f>
        <x:v>唐龙量化对冲99号</x:v>
      </x:c>
      <x:c r="C81" s="45" t="str">
        <x:f>IF('Sheet4-原始数据'!B66="","",'Sheet4-原始数据'!B66)</x:f>
        <x:v>SJQ683</x:v>
      </x:c>
      <x:c r="D81" s="45" t="str">
        <x:f>IF('Sheet4-原始数据'!E66="","",'Sheet4-原始数据'!E66)</x:f>
        <x:v>福建平潭唐龙资管</x:v>
      </x:c>
      <x:c r="E81" s="46" t="n">
        <x:f>IF('Sheet4-原始数据'!F66="","",'Sheet4-原始数据'!F66)</x:f>
        <x:v>43885</x:v>
      </x:c>
      <x:c r="F81" s="52" t="n">
        <x:f>IF(ISNUMBER(E81),ROUND(('Sheet1-指标体系'!$J$12-E81)/'Sheet1-指标体系'!$J$14,4),"")</x:f>
        <x:v>6.5435</x:v>
      </x:c>
      <x:c r="G81" s="14" t="str">
        <x:f>IF(C81="","未匹配",IF(NOT(ISNUMBER(F81)),"缺成立日期",IF(F81&lt;'Sheet1-指标体系'!$J$15,"不入池","入池")))</x:f>
        <x:v>入池</x:v>
      </x:c>
      <x:c r="H81" s="45" t="str">
        <x:f>IF('Sheet5-查询核对'!K66="","",'Sheet5-查询核对'!K66)</x:f>
        <x:v>5-10亿元</x:v>
      </x:c>
      <x:c r="I81" s="52" t="n">
        <x:f>IF(H81="","",IF(COUNTIF('Sheet1-指标体系'!$P$4:$P$10,H81)=0,"",INDEX('Sheet1-指标体系'!$Q$4:$Q$10,MATCH(H81,'Sheet1-指标体系'!$P$4:$P$10,0))))</x:f>
        <x:v>70</x:v>
      </x:c>
      <x:c r="J81" s="54" t="str">
        <x:f>IF(NOT(ISNUMBER('Sheet5-查询核对'!N66)),"",IF('Sheet5-查询核对'!N66=1,"低于"&amp;'Sheet1-指标体系'!$J$4&amp;"万元",IF('Sheet5-查询核对'!N66=0,"无低于"&amp;'Sheet1-指标体系'!$J$4&amp;"万元标识","")))</x:f>
        <x:v>无低于1000万元标识</x:v>
      </x:c>
      <x:c r="K81" s="52" t="n">
        <x:f>IF(NOT(ISNUMBER('Sheet5-查询核对'!N66)),"",IF('Sheet5-查询核对'!N66=1,'Sheet1-指标体系'!$J$21,IF('Sheet5-查询核对'!N66=0,'Sheet1-指标体系'!$J$18,"")))</x:f>
        <x:v>100</x:v>
      </x:c>
      <x:c r="L81" s="52" t="n">
        <x:f>IF(NOT(ISNUMBER(F81)),"",IF(F81&lt;'Sheet1-指标体系'!$J$15,"",IF(F81&lt;'Sheet1-指标体系'!$J$16,'Sheet1-指标体系'!$J$17,'Sheet1-指标体系'!$J$18)))</x:f>
        <x:v>100</x:v>
      </x:c>
      <x:c r="M81" s="47" t="n">
        <x:f>IF(ISNUMBER('Sheet4-原始数据'!G66),'Sheet4-原始数据'!G66,"")</x:f>
        <x:v>0.0195</x:v>
      </x:c>
      <x:c r="N81" s="47" t="n">
        <x:f>IF(ISNUMBER('Sheet4-原始数据'!H66),'Sheet4-原始数据'!H66,"")</x:f>
        <x:v>0.0404</x:v>
      </x:c>
      <x:c r="O81" s="47" t="n">
        <x:f>IF(ISNUMBER('Sheet5-查询核对'!Q66),'Sheet5-查询核对'!Q66,"")</x:f>
        <x:v>0.18239999999999998</x:v>
      </x:c>
      <x:c r="P81" s="44" t="n">
        <x:f>IF($G81&lt;&gt;"入池","",IF($F81&gt;='Sheet1-指标体系'!$J$16,IF(COUNT(M81,N81)&lt;&gt;2,"",IF(OR(1+M81&lt;=0,1+N81&lt;0),"",((1+N81)^'Sheet1-指标体系'!$J$16/(1+M81))^(1/('Sheet1-指标体系'!$J$16-'Sheet1-指标体系'!$J$15))-1)),IF(COUNT(M81,O81)&lt;&gt;2,"",IF(OR(F81&lt;='Sheet1-指标体系'!$J$15,1+M81&lt;=0,1+O81&lt;0),"",((1+O81)^F81/(1+M81))^(1/(F81-'Sheet1-指标体系'!$J$15))-1))))</x:f>
        <x:v>0.0510101258846718</x:v>
      </x:c>
      <x:c r="Q81" s="52" t="n">
        <x:f>IF(OR($G81&lt;&gt;"入池",NOT(ISNUMBER(M81))),"",IF(COUNTIFS($G$17:$G$99,"入池",$M$17:$M$99,"&gt;=-1E+307",$M$17:$M$99,"&lt;=1E+307")&lt;=1,'Sheet1-指标体系'!$J$18,ROUND('Sheet1-指标体系'!$J$18*(COUNTIFS($G$17:$G$99,"入池",$M$17:$M$99,"&gt;=-1E+307",$M$17:$M$99,"&lt;"&amp;M81)+COUNTIFS($G$17:$G$99,"入池",$M$17:$M$99,"&gt;=-1E+307",$M$17:$M$99,"&lt;=1E+307",$M$17:$M$99,M81)/2-0.5)/(COUNTIFS($G$17:$G$99,"入池",$M$17:$M$99,"&gt;=-1E+307",$M$17:$M$99,"&lt;=1E+307")-1),2)))</x:f>
        <x:v>3.57</x:v>
      </x:c>
      <x:c r="R81" s="52" t="n">
        <x:f>IF(OR($G81&lt;&gt;"入池",NOT(ISNUMBER(P81))),"",IF(COUNTIFS($G$17:$G$99,"入池",$P$17:$P$99,"&gt;=-1E+307",$P$17:$P$99,"&lt;=1E+307")&lt;=1,'Sheet1-指标体系'!$J$18,ROUND('Sheet1-指标体系'!$J$18*(COUNTIFS($G$17:$G$99,"入池",$P$17:$P$99,"&gt;=-1E+307",$P$17:$P$99,"&lt;"&amp;P81)+COUNTIFS($G$17:$G$99,"入池",$P$17:$P$99,"&gt;=-1E+307",$P$17:$P$99,"&lt;=1E+307",$P$17:$P$99,P81)/2-0.5)/(COUNTIFS($G$17:$G$99,"入池",$P$17:$P$99,"&gt;=-1E+307",$P$17:$P$99,"&lt;=1E+307")-1),2)))</x:f>
        <x:v>22.22</x:v>
      </x:c>
      <x:c r="S81" s="52" t="n">
        <x:f>IF(COUNT(Q81,R81)=0,"",ROUND((IF(ISNUMBER(Q81),Q81*'Sheet1-指标体系'!$G$7*'Sheet1-指标体系'!$J$8,0)+IF(ISNUMBER(R81),R81*'Sheet1-指标体系'!$G$7*'Sheet1-指标体系'!$J$9,0))/(IF(ISNUMBER(Q81),'Sheet1-指标体系'!$G$7*'Sheet1-指标体系'!$J$8,0)+IF(ISNUMBER(R81),'Sheet1-指标体系'!$G$7*'Sheet1-指标体系'!$J$9,0)),2))</x:f>
        <x:v>11.03</x:v>
      </x:c>
      <x:c r="T81" s="47" t="n">
        <x:f>IF(ISNUMBER('Sheet4-原始数据'!J66),'Sheet4-原始数据'!J66,"")</x:f>
        <x:v>0.6154</x:v>
      </x:c>
      <x:c r="U81" s="47" t="n">
        <x:f>IF(ISNUMBER('Sheet4-原始数据'!I66),'Sheet4-原始数据'!I66,"")</x:f>
        <x:v>0.6486</x:v>
      </x:c>
      <x:c r="V81" s="44" t="n">
        <x:f>IF(COUNT(T81:U81)&lt;&gt;2,"",(U81*'Sheet1-指标体系'!$J$6-T81*'Sheet1-指标体系'!$J$5)/'Sheet1-指标体系'!$J$7)</x:f>
        <x:v>0.6665833333333332</x:v>
      </x:c>
      <x:c r="W81" s="52" t="n">
        <x:f>IF(NOT(ISNUMBER(T81)),"",T81*'Sheet1-指标体系'!$J$18)</x:f>
        <x:v>61.53999999999999</x:v>
      </x:c>
      <x:c r="X81" s="52" t="n">
        <x:f>IF(G81&lt;&gt;"入池","",IF(ISNUMBER(V81),IF(AND(V81&gt;=0,V81&lt;=1),V81*'Sheet1-指标体系'!$J$18,IF(MAX(0,(F81-'Sheet1-指标体系'!$J$15)*'Sheet1-指标体系'!$J$20)&lt;'Sheet1-指标体系'!$J$19,'Sheet1-指标体系'!$J$18,"")),IF(MAX(0,(F81-'Sheet1-指标体系'!$J$15)*'Sheet1-指标体系'!$J$20)&lt;'Sheet1-指标体系'!$J$19,'Sheet1-指标体系'!$J$18,"")))</x:f>
        <x:v>66.65833333333332</x:v>
      </x:c>
      <x:c r="Y81" s="52" t="n">
        <x:f>IF(NOT(ISNUMBER(W81)),"",IF(COUNT(W81,X81)=0,"",ROUND((IF(ISNUMBER(W81),W81*'Sheet1-指标体系'!$G$8*'Sheet1-指标体系'!$J$8,0)+IF(ISNUMBER(X81),X81*'Sheet1-指标体系'!$G$8*'Sheet1-指标体系'!$J$9,0))/(IF(ISNUMBER(W81),'Sheet1-指标体系'!$G$8*'Sheet1-指标体系'!$J$8,0)+IF(ISNUMBER(X81),'Sheet1-指标体系'!$G$8*'Sheet1-指标体系'!$J$9,0)),2)))</x:f>
        <x:v>63.59</x:v>
      </x:c>
      <x:c r="Z81" s="44" t="n">
        <x:f>IF(COUNT(M81,AD81)&lt;&gt;2,"",IF(AD81=0,"",ABS(M81/AD81)))</x:f>
        <x:v>0.003306205493387589</x:v>
      </x:c>
      <x:c r="AA81" s="47" t="n">
        <x:f>IF(ISNUMBER('Sheet4-原始数据'!K66),'Sheet4-原始数据'!K66,"")</x:f>
        <x:v>0.1458</x:v>
      </x:c>
      <x:c r="AB81" s="44" t="n">
        <x:f>IF(COUNT(Z81:AA81)=0,"",MAX(Z81:AA81))</x:f>
        <x:v>0.1458</x:v>
      </x:c>
      <x:c r="AC81" s="52" t="n">
        <x:f>IF(OR($G81&lt;&gt;"入池",NOT(ISNUMBER(AB81))),"",IF(COUNTIFS($G$17:$G$99,"入池",$AB$17:$AB$99,"&gt;=-1E+307",$AB$17:$AB$99,"&lt;=1E+307")&lt;=1,'Sheet1-指标体系'!$J$18,ROUND('Sheet1-指标体系'!$J$18*(COUNTIFS($G$17:$G$99,"入池",$AB$17:$AB$99,"&lt;=1E+307",$AB$17:$AB$99,"&gt;"&amp;AB81)+COUNTIFS($G$17:$G$99,"入池",$AB$17:$AB$99,"&gt;=-1E+307",$AB$17:$AB$99,"&lt;=1E+307",$AB$17:$AB$99,AB81)/2-0.5)/(COUNTIFS($G$17:$G$99,"入池",$AB$17:$AB$99,"&gt;=-1E+307",$AB$17:$AB$99,"&lt;=1E+307")-1),2)))</x:f>
        <x:v>3.45</x:v>
      </x:c>
      <x:c r="AD81" s="48" t="n">
        <x:f>IF(ISNUMBER('Sheet4-原始数据'!M66),'Sheet4-原始数据'!M66,"")</x:f>
        <x:v>5.898</x:v>
      </x:c>
      <x:c r="AE81" s="44" t="n">
        <x:f>IF(COUNT(P81,AA81,Z81)&lt;&gt;3,"",IF(AA81&gt;Z81+'Sheet1-指标体系'!$J$11,AA81,""))</x:f>
        <x:v>0.1458</x:v>
      </x:c>
      <x:c r="AF81" s="52" t="n">
        <x:f>IF(COUNT(P81,AE81)&lt;&gt;2,"",IF(AE81=0,"",P81/AE81))</x:f>
        <x:v>0.34986368919527977</x:v>
      </x:c>
      <x:c r="AG81" s="52" t="n">
        <x:f>IF(OR($G81&lt;&gt;"入池",NOT(ISNUMBER(AD81))),"",IF(COUNTIFS($G$17:$G$99,"入池",$AD$17:$AD$99,"&gt;=-1E+307",$AD$17:$AD$99,"&lt;=1E+307")&lt;=1,'Sheet1-指标体系'!$J$18,ROUND('Sheet1-指标体系'!$J$18*(COUNTIFS($G$17:$G$99,"入池",$AD$17:$AD$99,"&gt;=-1E+307",$AD$17:$AD$99,"&lt;"&amp;AD81)+COUNTIFS($G$17:$G$99,"入池",$AD$17:$AD$99,"&gt;=-1E+307",$AD$17:$AD$99,"&lt;=1E+307",$AD$17:$AD$99,AD81)/2-0.5)/(COUNTIFS($G$17:$G$99,"入池",$AD$17:$AD$99,"&gt;=-1E+307",$AD$17:$AD$99,"&lt;=1E+307")-1),2)))</x:f>
        <x:v>40</x:v>
      </x:c>
      <x:c r="AH81" s="52" t="n">
        <x:f>IF(OR($G81&lt;&gt;"入池",NOT(ISNUMBER(AF81))),"",IF(COUNTIFS($G$17:$G$99,"入池",$AF$17:$AF$99,"&gt;=-1E+307",$AF$17:$AF$99,"&lt;=1E+307")&lt;=1,'Sheet1-指标体系'!$J$18,ROUND('Sheet1-指标体系'!$J$18*(COUNTIFS($G$17:$G$99,"入池",$AF$17:$AF$99,"&gt;=-1E+307",$AF$17:$AF$99,"&lt;"&amp;AF81)+COUNTIFS($G$17:$G$99,"入池",$AF$17:$AF$99,"&gt;=-1E+307",$AF$17:$AF$99,"&lt;=1E+307",$AF$17:$AF$99,AF81)/2-0.5)/(COUNTIFS($G$17:$G$99,"入池",$AF$17:$AF$99,"&gt;=-1E+307",$AF$17:$AF$99,"&lt;=1E+307")-1),2)))</x:f>
        <x:v>0</x:v>
      </x:c>
      <x:c r="AI81" s="52" t="n">
        <x:f>IF(COUNT(AG81,AH81)=0,"",ROUND((IF(ISNUMBER(AG81),AG81*'Sheet1-指标体系'!$G$10*'Sheet1-指标体系'!$J$8,0)+IF(ISNUMBER(AH81),AH81*'Sheet1-指标体系'!$G$10*'Sheet1-指标体系'!$J$9,0))/(IF(ISNUMBER(AG81),'Sheet1-指标体系'!$G$10*'Sheet1-指标体系'!$J$8,0)+IF(ISNUMBER(AH81),'Sheet1-指标体系'!$G$10*'Sheet1-指标体系'!$J$9,0)),2))</x:f>
        <x:v>24</x:v>
      </x:c>
      <x:c r="AJ81" s="44" t="n">
        <x:f>IF(NOT(ISNUMBER(F81)),"",IF(F81&gt;='Sheet1-指标体系'!$J$16,IF(ISNUMBER(N81),N81,""),IF(ISNUMBER(O81),O81,"")))</x:f>
        <x:v>0.0404</x:v>
      </x:c>
      <x:c r="AK81" s="52" t="n">
        <x:f>IF(OR(G81&lt;&gt;"入池",COUNT(M81,AJ81)&lt;&gt;2),"",IF(M81&gt;=AJ81,'Sheet1-指标体系'!$J$18,IF(AJ81-M81&lt;'Sheet1-指标体系'!$J$10,'Sheet1-指标体系'!$J$22,'Sheet1-指标体系'!$J$23)))</x:f>
        <x:v>80</x:v>
      </x:c>
      <x:c r="AL81" s="52" t="n">
        <x:f>IF(COUNT(I81,K81,L81)=0,"",ROUND((IF(ISNUMBER(I81),I81*'Sheet1-指标体系'!$G$4,0)+IF(ISNUMBER(K81),K81*'Sheet1-指标体系'!$G$5,0)+IF(ISNUMBER(L81),L81*'Sheet1-指标体系'!$G$6,0))/(IF(ISNUMBER(I81),'Sheet1-指标体系'!$G$4,0)+IF(ISNUMBER(K81),'Sheet1-指标体系'!$G$5,0)+IF(ISNUMBER(L81),'Sheet1-指标体系'!$G$6,0)),2))</x:f>
        <x:v>88</x:v>
      </x:c>
      <x:c r="AM81" s="52" t="n">
        <x:f>IF(COUNT(Q81,R81,W81,X81)=0,"",ROUND((IF(ISNUMBER(Q81),Q81*'Sheet1-指标体系'!$G$7*'Sheet1-指标体系'!$J$8,0)+IF(ISNUMBER(R81),R81*'Sheet1-指标体系'!$G$7*'Sheet1-指标体系'!$J$9,0)+IF(ISNUMBER(W81),W81*'Sheet1-指标体系'!$G$8*'Sheet1-指标体系'!$J$8,0)+IF(ISNUMBER(X81),X81*'Sheet1-指标体系'!$G$8*'Sheet1-指标体系'!$J$9,0))/(IF(ISNUMBER(Q81),'Sheet1-指标体系'!$G$7*'Sheet1-指标体系'!$J$8,0)+IF(ISNUMBER(R81),'Sheet1-指标体系'!$G$7*'Sheet1-指标体系'!$J$9,0)+IF(ISNUMBER(W81),'Sheet1-指标体系'!$G$8*'Sheet1-指标体系'!$J$8,0)+IF(ISNUMBER(X81),'Sheet1-指标体系'!$G$8*'Sheet1-指标体系'!$J$9,0)),2))</x:f>
        <x:v>26.8</x:v>
      </x:c>
      <x:c r="AN81" s="52" t="n">
        <x:f>IF(ISNUMBER(AC81),AC81,"")</x:f>
        <x:v>3.45</x:v>
      </x:c>
      <x:c r="AO81" s="52" t="n">
        <x:f>IF(COUNT(AG81,AH81)=0,"",ROUND((IF(ISNUMBER(AG81),AG81*'Sheet1-指标体系'!$G$10*'Sheet1-指标体系'!$J$8,0)+IF(ISNUMBER(AH81),AH81*'Sheet1-指标体系'!$G$10*'Sheet1-指标体系'!$J$9,0))/(IF(ISNUMBER(AG81),'Sheet1-指标体系'!$G$10*'Sheet1-指标体系'!$J$8,0)+IF(ISNUMBER(AH81),'Sheet1-指标体系'!$G$10*'Sheet1-指标体系'!$J$9,0)),2))</x:f>
        <x:v>24</x:v>
      </x:c>
      <x:c r="AP81" s="52" t="n">
        <x:f>IF(ISNUMBER(AK81),AK81,"")</x:f>
        <x:v>80</x:v>
      </x:c>
      <x:c r="AQ81" s="27" t="n">
        <x:f>IF(G81&lt;&gt;"入池",0,IF(ISNUMBER(I81),'Sheet1-指标体系'!$G$4,0)+IF(ISNUMBER(K81),'Sheet1-指标体系'!$G$5,0)+IF(ISNUMBER(L81),'Sheet1-指标体系'!$G$6,0)+IF(ISNUMBER(Q81),'Sheet1-指标体系'!$G$7*'Sheet1-指标体系'!$J$8,0)+IF(ISNUMBER(R81),'Sheet1-指标体系'!$G$7*'Sheet1-指标体系'!$J$9,0)+IF(ISNUMBER(W81),'Sheet1-指标体系'!$G$8*'Sheet1-指标体系'!$J$8,0)+IF(ISNUMBER(X81),'Sheet1-指标体系'!$G$8*'Sheet1-指标体系'!$J$9,0)+IF(ISNUMBER(AC81),'Sheet1-指标体系'!$G$9,0)+IF(ISNUMBER(AG81),'Sheet1-指标体系'!$G$10*'Sheet1-指标体系'!$J$8,0)+IF(ISNUMBER(AH81),'Sheet1-指标体系'!$G$10*'Sheet1-指标体系'!$J$9,0)+IF(ISNUMBER(AK81),'Sheet1-指标体系'!$G$11,0))</x:f>
        <x:v>1</x:v>
      </x:c>
      <x:c r="AR81" s="52" t="n">
        <x:f>IF(AQ81=0,"",IF(ISNUMBER(I81),I81*'Sheet1-指标体系'!$G$4,0)+IF(ISNUMBER(K81),K81*'Sheet1-指标体系'!$G$5,0)+IF(ISNUMBER(L81),L81*'Sheet1-指标体系'!$G$6,0)+IF(ISNUMBER(Q81),Q81*'Sheet1-指标体系'!$G$7*'Sheet1-指标体系'!$J$8,0)+IF(ISNUMBER(R81),R81*'Sheet1-指标体系'!$G$7*'Sheet1-指标体系'!$J$9,0)+IF(ISNUMBER(W81),W81*'Sheet1-指标体系'!$G$8*'Sheet1-指标体系'!$J$8,0)+IF(ISNUMBER(X81),X81*'Sheet1-指标体系'!$G$8*'Sheet1-指标体系'!$J$9,0)+IF(ISNUMBER(AC81),AC81*'Sheet1-指标体系'!$G$9,0)+IF(ISNUMBER(AG81),AG81*'Sheet1-指标体系'!$G$10*'Sheet1-指标体系'!$J$8,0)+IF(ISNUMBER(AH81),AH81*'Sheet1-指标体系'!$G$10*'Sheet1-指标体系'!$J$9,0)+IF(ISNUMBER(AK81),AK81*'Sheet1-指标体系'!$G$11,0))</x:f>
        <x:v>34.621939999999995</x:v>
      </x:c>
      <x:c r="AS81" s="52" t="n">
        <x:f>IF(AQ81=0,"",ROUND(AR81/AQ81,2))</x:f>
        <x:v>34.62</x:v>
      </x:c>
      <x:c r="AT81" s="49" t="n">
        <x:f>IF(OR(G81&lt;&gt;"入池",NOT(ISNUMBER(AS81))),"",COUNTIFS($G$17:$G$99,"入池",$AS$17:$AS$99,"&gt;"&amp;AS81)+COUNTIFS($G$17:$G$99,"入池",$AS$17:$AS$99,AS81,$AQ$17:$AQ$99,"&gt;"&amp;AQ81)+COUNTIFS($G$17:G81,"入池",$AS$17:AS81,AS81,$AQ$17:AQ81,AQ81))</x:f>
        <x:v>77</x:v>
      </x:c>
      <x:c r="AU81" s="53" t="str">
        <x:f>IF(NOT(ISNUMBER(I81)),"管理人规模；","")&amp;IF(NOT(ISNUMBER(K81)),"产品规模标识；","")&amp;IF(NOT(ISNUMBER(M81)),"近一年收益；","")&amp;IF(NOT(ISNUMBER(T81)),"近一年胜率；","")&amp;IF(NOT(ISNUMBER(N81)),"近三年收益；","")&amp;IF(NOT(ISNUMBER(U81)),"近三年胜率；","")&amp;IF(NOT(ISNUMBER(AA81)),"近三年回撤；","")&amp;IF(NOT(ISNUMBER(AD81)),"近一年卡玛；","")&amp;IF(ISNUMBER(F81),IF(AND(F81&lt;'Sheet1-指标体系'!$J$16,NOT(ISNUMBER(O81))),"成立以来年化；",""),"成立日期；")&amp;IF(ISNUMBER(V81),IF(OR(V81&lt;0,V81&gt;1),"胜率窗口口径不一致；",""),"")&amp;IF(ISNUMBER(P81),IF(NOT(ISNUMBER(AE81)),"DD_long不可识别；",""),"")</x:f>
      </x:c>
      <x:c r="AV81" s="52" t="n">
        <x:f>IF(ROUND(AQ81,10)=ROUND('Sheet1-指标体系'!$J$25,10),AR81,"")</x:f>
        <x:v>34.621939999999995</x:v>
      </x:c>
      <x:c r="AW81" s="14" t="str">
        <x:f>IF(G81&lt;&gt;"入池",G81,IF(AQ81=0,"无有效评分数据",IF(ROUND(AQ81,10)=ROUND('Sheet1-指标体系'!$J$25,10),"完整赋分", "暂定分／数据不完整")))</x:f>
        <x:v>完整赋分</x:v>
      </x:c>
      <x:c r="AX81" s="45" t="str">
        <x:f>IF('Sheet4-原始数据'!C66="","",'Sheet4-原始数据'!C66)</x:f>
        <x:v>套利策略</x:v>
      </x:c>
      <x:c r="AY81" s="45" t="str">
        <x:f>IF('Sheet4-原始数据'!D66="","",'Sheet4-原始数据'!D66)</x:f>
        <x:v>可转债套利</x:v>
      </x:c>
      <x:c r="AZ81" s="45" t="str">
        <x:f>IF('Sheet5-查询核对'!S66="","",'Sheet5-查询核对'!S66)</x:f>
        <x:v>套利策略—可转债套利</x:v>
      </x:c>
      <x:c r="BA81" s="51" t="n">
        <x:f>IF('Sheet5-查询核对'!A66="","",'Sheet5-查询核对'!A66)</x:f>
        <x:v>66</x:v>
      </x:c>
      <x:c r="BB81" s="45" t="str">
        <x:f>IF('Sheet5-查询核对'!F66="","",'Sheet5-查询核对'!F66)</x:f>
        <x:v>备案号匹配</x:v>
      </x:c>
      <x:c r="BC81" s="50" t="str">
        <x:f>IF('Sheet5-查询核对'!I66="","",'Sheet5-查询核对'!I66)</x:f>
        <x:v>https://mp.fof99.com/fund/view/55e83c08d572e2a7</x:v>
      </x:c>
      <x:c r="BD81" s="46" t="n">
        <x:f>IF('Sheet5-查询核对'!H66="","",'Sheet5-查询核对'!H66)</x:f>
        <x:v>46269</x:v>
      </x:c>
      <x:c r="BE81" s="50" t="str">
        <x:f>IF('Sheet5-查询核对'!L66="","",'Sheet5-查询核对'!L66)</x:f>
        <x:v>https://mp.fof99.com/fund/view/55e83c08d572e2a7</x:v>
      </x:c>
      <x:c r="BF81" s="46" t="n">
        <x:f>IF('Sheet5-查询核对'!M66="","",'Sheet5-查询核对'!M66)</x:f>
        <x:v>46275</x:v>
      </x:c>
      <x:c r="BG81" s="50" t="str">
        <x:f>IF('Sheet5-查询核对'!O66="","",'Sheet5-查询核对'!O66)</x:f>
        <x:v>https://gs.amac.org.cn/amac-infodisc/res/pof/fund/2002251051107073.html</x:v>
      </x:c>
      <x:c r="BH81" s="46" t="n">
        <x:f>IF('Sheet5-查询核对'!P66="","",'Sheet5-查询核对'!P66)</x:f>
        <x:v>46275</x:v>
      </x:c>
      <x:c r="BI81" s="45" t="str">
        <x:f>IF('Sheet5-查询核对'!D66="","",'Sheet5-查询核对'!D66)</x:f>
        <x:v>SJQ683</x:v>
      </x:c>
      <x:c r="BJ81" t="n">
        <x:f>IF(ISNUMBER(AT81),AT81,COUNT($AT$17:$AT$99)+ROWS($AT$17:AT81)-COUNT($AT$17:AT81))</x:f>
        <x:v>77</x:v>
      </x:c>
    </x:row>
    <x:row r="82" ht="44" customHeight="1">
      <x:c r="A82" s="49" t="n">
        <x:f>'Sheet5-查询核对'!A67-1</x:f>
        <x:v>66</x:v>
      </x:c>
      <x:c r="B82" s="50" t="str">
        <x:f>IF('Sheet4-原始数据'!A67="",'Sheet5-查询核对'!B67,'Sheet4-原始数据'!A67)</x:f>
        <x:v>系数CTA套利五号</x:v>
      </x:c>
      <x:c r="C82" s="45" t="str">
        <x:f>IF('Sheet4-原始数据'!B67="","",'Sheet4-原始数据'!B67)</x:f>
        <x:v>SXT086</x:v>
      </x:c>
      <x:c r="D82" s="45" t="str">
        <x:f>IF('Sheet4-原始数据'!E67="","",'Sheet4-原始数据'!E67)</x:f>
        <x:v>上海系数投资</x:v>
      </x:c>
      <x:c r="E82" s="46" t="n">
        <x:f>IF('Sheet4-原始数据'!F67="","",'Sheet4-原始数据'!F67)</x:f>
        <x:v>44881</x:v>
      </x:c>
      <x:c r="F82" s="52" t="n">
        <x:f>IF(ISNUMBER(E82),ROUND(('Sheet1-指标体系'!$J$12-E82)/'Sheet1-指标体系'!$J$14,4),"")</x:f>
        <x:v>3.8166</x:v>
      </x:c>
      <x:c r="G82" s="14" t="str">
        <x:f>IF(C82="","未匹配",IF(NOT(ISNUMBER(F82)),"缺成立日期",IF(F82&lt;'Sheet1-指标体系'!$J$15,"不入池","入池")))</x:f>
        <x:v>入池</x:v>
      </x:c>
      <x:c r="H82" s="45" t="str">
        <x:f>IF('Sheet5-查询核对'!K67="","",'Sheet5-查询核对'!K67)</x:f>
        <x:v>0-5亿元</x:v>
      </x:c>
      <x:c r="I82" s="52" t="n">
        <x:f>IF(H82="","",IF(COUNTIF('Sheet1-指标体系'!$P$4:$P$10,H82)=0,"",INDEX('Sheet1-指标体系'!$Q$4:$Q$10,MATCH(H82,'Sheet1-指标体系'!$P$4:$P$10,0))))</x:f>
        <x:v>60</x:v>
      </x:c>
      <x:c r="J82" s="54" t="str">
        <x:f>IF(NOT(ISNUMBER('Sheet5-查询核对'!N67)),"",IF('Sheet5-查询核对'!N67=1,"低于"&amp;'Sheet1-指标体系'!$J$4&amp;"万元",IF('Sheet5-查询核对'!N67=0,"无低于"&amp;'Sheet1-指标体系'!$J$4&amp;"万元标识","")))</x:f>
        <x:v>无低于1000万元标识</x:v>
      </x:c>
      <x:c r="K82" s="52" t="n">
        <x:f>IF(NOT(ISNUMBER('Sheet5-查询核对'!N67)),"",IF('Sheet5-查询核对'!N67=1,'Sheet1-指标体系'!$J$21,IF('Sheet5-查询核对'!N67=0,'Sheet1-指标体系'!$J$18,"")))</x:f>
        <x:v>100</x:v>
      </x:c>
      <x:c r="L82" s="52" t="n">
        <x:f>IF(NOT(ISNUMBER(F82)),"",IF(F82&lt;'Sheet1-指标体系'!$J$15,"",IF(F82&lt;'Sheet1-指标体系'!$J$16,'Sheet1-指标体系'!$J$17,'Sheet1-指标体系'!$J$18)))</x:f>
        <x:v>100</x:v>
      </x:c>
      <x:c r="M82" s="47" t="str">
        <x:f>IF(ISNUMBER('Sheet4-原始数据'!G67),'Sheet4-原始数据'!G67,"")</x:f>
      </x:c>
      <x:c r="N82" s="47" t="str">
        <x:f>IF(ISNUMBER('Sheet4-原始数据'!H67),'Sheet4-原始数据'!H67,"")</x:f>
      </x:c>
      <x:c r="O82" s="47" t="str">
        <x:f>IF(ISNUMBER('Sheet5-查询核对'!Q67),'Sheet5-查询核对'!Q67,"")</x:f>
      </x:c>
      <x:c r="P82" s="44" t="str">
        <x:f>IF($G82&lt;&gt;"入池","",IF($F82&gt;='Sheet1-指标体系'!$J$16,IF(COUNT(M82,N82)&lt;&gt;2,"",IF(OR(1+M82&lt;=0,1+N82&lt;0),"",((1+N82)^'Sheet1-指标体系'!$J$16/(1+M82))^(1/('Sheet1-指标体系'!$J$16-'Sheet1-指标体系'!$J$15))-1)),IF(COUNT(M82,O82)&lt;&gt;2,"",IF(OR(F82&lt;='Sheet1-指标体系'!$J$15,1+M82&lt;=0,1+O82&lt;0),"",((1+O82)^F82/(1+M82))^(1/(F82-'Sheet1-指标体系'!$J$15))-1))))</x:f>
      </x:c>
      <x:c r="Q82" s="52" t="str">
        <x:f>IF(OR($G82&lt;&gt;"入池",NOT(ISNUMBER(M82))),"",IF(COUNTIFS($G$17:$G$99,"入池",$M$17:$M$99,"&gt;=-1E+307",$M$17:$M$99,"&lt;=1E+307")&lt;=1,'Sheet1-指标体系'!$J$18,ROUND('Sheet1-指标体系'!$J$18*(COUNTIFS($G$17:$G$99,"入池",$M$17:$M$99,"&gt;=-1E+307",$M$17:$M$99,"&lt;"&amp;M82)+COUNTIFS($G$17:$G$99,"入池",$M$17:$M$99,"&gt;=-1E+307",$M$17:$M$99,"&lt;=1E+307",$M$17:$M$99,M82)/2-0.5)/(COUNTIFS($G$17:$G$99,"入池",$M$17:$M$99,"&gt;=-1E+307",$M$17:$M$99,"&lt;=1E+307")-1),2)))</x:f>
      </x:c>
      <x:c r="R82" s="52" t="str">
        <x:f>IF(OR($G82&lt;&gt;"入池",NOT(ISNUMBER(P82))),"",IF(COUNTIFS($G$17:$G$99,"入池",$P$17:$P$99,"&gt;=-1E+307",$P$17:$P$99,"&lt;=1E+307")&lt;=1,'Sheet1-指标体系'!$J$18,ROUND('Sheet1-指标体系'!$J$18*(COUNTIFS($G$17:$G$99,"入池",$P$17:$P$99,"&gt;=-1E+307",$P$17:$P$99,"&lt;"&amp;P82)+COUNTIFS($G$17:$G$99,"入池",$P$17:$P$99,"&gt;=-1E+307",$P$17:$P$99,"&lt;=1E+307",$P$17:$P$99,P82)/2-0.5)/(COUNTIFS($G$17:$G$99,"入池",$P$17:$P$99,"&gt;=-1E+307",$P$17:$P$99,"&lt;=1E+307")-1),2)))</x:f>
      </x:c>
      <x:c r="S82" s="52" t="str">
        <x:f>IF(COUNT(Q82,R82)=0,"",ROUND((IF(ISNUMBER(Q82),Q82*'Sheet1-指标体系'!$G$7*'Sheet1-指标体系'!$J$8,0)+IF(ISNUMBER(R82),R82*'Sheet1-指标体系'!$G$7*'Sheet1-指标体系'!$J$9,0))/(IF(ISNUMBER(Q82),'Sheet1-指标体系'!$G$7*'Sheet1-指标体系'!$J$8,0)+IF(ISNUMBER(R82),'Sheet1-指标体系'!$G$7*'Sheet1-指标体系'!$J$9,0)),2))</x:f>
      </x:c>
      <x:c r="T82" s="47" t="str">
        <x:f>IF(ISNUMBER('Sheet4-原始数据'!J67),'Sheet4-原始数据'!J67,"")</x:f>
      </x:c>
      <x:c r="U82" s="47" t="str">
        <x:f>IF(ISNUMBER('Sheet4-原始数据'!I67),'Sheet4-原始数据'!I67,"")</x:f>
      </x:c>
      <x:c r="V82" s="44" t="str">
        <x:f>IF(COUNT(T82:U82)&lt;&gt;2,"",(U82*'Sheet1-指标体系'!$J$6-T82*'Sheet1-指标体系'!$J$5)/'Sheet1-指标体系'!$J$7)</x:f>
      </x:c>
      <x:c r="W82" s="52" t="str">
        <x:f>IF(NOT(ISNUMBER(T82)),"",T82*'Sheet1-指标体系'!$J$18)</x:f>
      </x:c>
      <x:c r="X82" s="52" t="str">
        <x:f>IF(G82&lt;&gt;"入池","",IF(ISNUMBER(V82),IF(AND(V82&gt;=0,V82&lt;=1),V82*'Sheet1-指标体系'!$J$18,IF(MAX(0,(F82-'Sheet1-指标体系'!$J$15)*'Sheet1-指标体系'!$J$20)&lt;'Sheet1-指标体系'!$J$19,'Sheet1-指标体系'!$J$18,"")),IF(MAX(0,(F82-'Sheet1-指标体系'!$J$15)*'Sheet1-指标体系'!$J$20)&lt;'Sheet1-指标体系'!$J$19,'Sheet1-指标体系'!$J$18,"")))</x:f>
      </x:c>
      <x:c r="Y82" s="52" t="str">
        <x:f>IF(NOT(ISNUMBER(W82)),"",IF(COUNT(W82,X82)=0,"",ROUND((IF(ISNUMBER(W82),W82*'Sheet1-指标体系'!$G$8*'Sheet1-指标体系'!$J$8,0)+IF(ISNUMBER(X82),X82*'Sheet1-指标体系'!$G$8*'Sheet1-指标体系'!$J$9,0))/(IF(ISNUMBER(W82),'Sheet1-指标体系'!$G$8*'Sheet1-指标体系'!$J$8,0)+IF(ISNUMBER(X82),'Sheet1-指标体系'!$G$8*'Sheet1-指标体系'!$J$9,0)),2)))</x:f>
      </x:c>
      <x:c r="Z82" s="44" t="str">
        <x:f>IF(COUNT(M82,AD82)&lt;&gt;2,"",IF(AD82=0,"",ABS(M82/AD82)))</x:f>
      </x:c>
      <x:c r="AA82" s="47" t="str">
        <x:f>IF(ISNUMBER('Sheet4-原始数据'!K67),'Sheet4-原始数据'!K67,"")</x:f>
      </x:c>
      <x:c r="AB82" s="44" t="str">
        <x:f>IF(COUNT(Z82:AA82)=0,"",MAX(Z82:AA82))</x:f>
      </x:c>
      <x:c r="AC82" s="52" t="str">
        <x:f>IF(OR($G82&lt;&gt;"入池",NOT(ISNUMBER(AB82))),"",IF(COUNTIFS($G$17:$G$99,"入池",$AB$17:$AB$99,"&gt;=-1E+307",$AB$17:$AB$99,"&lt;=1E+307")&lt;=1,'Sheet1-指标体系'!$J$18,ROUND('Sheet1-指标体系'!$J$18*(COUNTIFS($G$17:$G$99,"入池",$AB$17:$AB$99,"&lt;=1E+307",$AB$17:$AB$99,"&gt;"&amp;AB82)+COUNTIFS($G$17:$G$99,"入池",$AB$17:$AB$99,"&gt;=-1E+307",$AB$17:$AB$99,"&lt;=1E+307",$AB$17:$AB$99,AB82)/2-0.5)/(COUNTIFS($G$17:$G$99,"入池",$AB$17:$AB$99,"&gt;=-1E+307",$AB$17:$AB$99,"&lt;=1E+307")-1),2)))</x:f>
      </x:c>
      <x:c r="AD82" s="48" t="str">
        <x:f>IF(ISNUMBER('Sheet4-原始数据'!M67),'Sheet4-原始数据'!M67,"")</x:f>
      </x:c>
      <x:c r="AE82" s="44" t="str">
        <x:f>IF(COUNT(P82,AA82,Z82)&lt;&gt;3,"",IF(AA82&gt;Z82+'Sheet1-指标体系'!$J$11,AA82,""))</x:f>
      </x:c>
      <x:c r="AF82" s="52" t="str">
        <x:f>IF(COUNT(P82,AE82)&lt;&gt;2,"",IF(AE82=0,"",P82/AE82))</x:f>
      </x:c>
      <x:c r="AG82" s="52" t="str">
        <x:f>IF(OR($G82&lt;&gt;"入池",NOT(ISNUMBER(AD82))),"",IF(COUNTIFS($G$17:$G$99,"入池",$AD$17:$AD$99,"&gt;=-1E+307",$AD$17:$AD$99,"&lt;=1E+307")&lt;=1,'Sheet1-指标体系'!$J$18,ROUND('Sheet1-指标体系'!$J$18*(COUNTIFS($G$17:$G$99,"入池",$AD$17:$AD$99,"&gt;=-1E+307",$AD$17:$AD$99,"&lt;"&amp;AD82)+COUNTIFS($G$17:$G$99,"入池",$AD$17:$AD$99,"&gt;=-1E+307",$AD$17:$AD$99,"&lt;=1E+307",$AD$17:$AD$99,AD82)/2-0.5)/(COUNTIFS($G$17:$G$99,"入池",$AD$17:$AD$99,"&gt;=-1E+307",$AD$17:$AD$99,"&lt;=1E+307")-1),2)))</x:f>
      </x:c>
      <x:c r="AH82" s="52" t="str">
        <x:f>IF(OR($G82&lt;&gt;"入池",NOT(ISNUMBER(AF82))),"",IF(COUNTIFS($G$17:$G$99,"入池",$AF$17:$AF$99,"&gt;=-1E+307",$AF$17:$AF$99,"&lt;=1E+307")&lt;=1,'Sheet1-指标体系'!$J$18,ROUND('Sheet1-指标体系'!$J$18*(COUNTIFS($G$17:$G$99,"入池",$AF$17:$AF$99,"&gt;=-1E+307",$AF$17:$AF$99,"&lt;"&amp;AF82)+COUNTIFS($G$17:$G$99,"入池",$AF$17:$AF$99,"&gt;=-1E+307",$AF$17:$AF$99,"&lt;=1E+307",$AF$17:$AF$99,AF82)/2-0.5)/(COUNTIFS($G$17:$G$99,"入池",$AF$17:$AF$99,"&gt;=-1E+307",$AF$17:$AF$99,"&lt;=1E+307")-1),2)))</x:f>
      </x:c>
      <x:c r="AI82" s="52" t="str">
        <x:f>IF(COUNT(AG82,AH82)=0,"",ROUND((IF(ISNUMBER(AG82),AG82*'Sheet1-指标体系'!$G$10*'Sheet1-指标体系'!$J$8,0)+IF(ISNUMBER(AH82),AH82*'Sheet1-指标体系'!$G$10*'Sheet1-指标体系'!$J$9,0))/(IF(ISNUMBER(AG82),'Sheet1-指标体系'!$G$10*'Sheet1-指标体系'!$J$8,0)+IF(ISNUMBER(AH82),'Sheet1-指标体系'!$G$10*'Sheet1-指标体系'!$J$9,0)),2))</x:f>
      </x:c>
      <x:c r="AJ82" s="44" t="str">
        <x:f>IF(NOT(ISNUMBER(F82)),"",IF(F82&gt;='Sheet1-指标体系'!$J$16,IF(ISNUMBER(N82),N82,""),IF(ISNUMBER(O82),O82,"")))</x:f>
      </x:c>
      <x:c r="AK82" s="52" t="str">
        <x:f>IF(OR(G82&lt;&gt;"入池",COUNT(M82,AJ82)&lt;&gt;2),"",IF(M82&gt;=AJ82,'Sheet1-指标体系'!$J$18,IF(AJ82-M82&lt;'Sheet1-指标体系'!$J$10,'Sheet1-指标体系'!$J$22,'Sheet1-指标体系'!$J$23)))</x:f>
      </x:c>
      <x:c r="AL82" s="52" t="n">
        <x:f>IF(COUNT(I82,K82,L82)=0,"",ROUND((IF(ISNUMBER(I82),I82*'Sheet1-指标体系'!$G$4,0)+IF(ISNUMBER(K82),K82*'Sheet1-指标体系'!$G$5,0)+IF(ISNUMBER(L82),L82*'Sheet1-指标体系'!$G$6,0))/(IF(ISNUMBER(I82),'Sheet1-指标体系'!$G$4,0)+IF(ISNUMBER(K82),'Sheet1-指标体系'!$G$5,0)+IF(ISNUMBER(L82),'Sheet1-指标体系'!$G$6,0)),2))</x:f>
        <x:v>84</x:v>
      </x:c>
      <x:c r="AM82" s="52" t="str">
        <x:f>IF(COUNT(Q82,R82,W82,X82)=0,"",ROUND((IF(ISNUMBER(Q82),Q82*'Sheet1-指标体系'!$G$7*'Sheet1-指标体系'!$J$8,0)+IF(ISNUMBER(R82),R82*'Sheet1-指标体系'!$G$7*'Sheet1-指标体系'!$J$9,0)+IF(ISNUMBER(W82),W82*'Sheet1-指标体系'!$G$8*'Sheet1-指标体系'!$J$8,0)+IF(ISNUMBER(X82),X82*'Sheet1-指标体系'!$G$8*'Sheet1-指标体系'!$J$9,0))/(IF(ISNUMBER(Q82),'Sheet1-指标体系'!$G$7*'Sheet1-指标体系'!$J$8,0)+IF(ISNUMBER(R82),'Sheet1-指标体系'!$G$7*'Sheet1-指标体系'!$J$9,0)+IF(ISNUMBER(W82),'Sheet1-指标体系'!$G$8*'Sheet1-指标体系'!$J$8,0)+IF(ISNUMBER(X82),'Sheet1-指标体系'!$G$8*'Sheet1-指标体系'!$J$9,0)),2))</x:f>
      </x:c>
      <x:c r="AN82" s="52" t="str">
        <x:f>IF(ISNUMBER(AC82),AC82,"")</x:f>
      </x:c>
      <x:c r="AO82" s="52" t="str">
        <x:f>IF(COUNT(AG82,AH82)=0,"",ROUND((IF(ISNUMBER(AG82),AG82*'Sheet1-指标体系'!$G$10*'Sheet1-指标体系'!$J$8,0)+IF(ISNUMBER(AH82),AH82*'Sheet1-指标体系'!$G$10*'Sheet1-指标体系'!$J$9,0))/(IF(ISNUMBER(AG82),'Sheet1-指标体系'!$G$10*'Sheet1-指标体系'!$J$8,0)+IF(ISNUMBER(AH82),'Sheet1-指标体系'!$G$10*'Sheet1-指标体系'!$J$9,0)),2))</x:f>
      </x:c>
      <x:c r="AP82" s="52" t="str">
        <x:f>IF(ISNUMBER(AK82),AK82,"")</x:f>
      </x:c>
      <x:c r="AQ82" s="27" t="n">
        <x:f>IF(G82&lt;&gt;"入池",0,IF(ISNUMBER(I82),'Sheet1-指标体系'!$G$4,0)+IF(ISNUMBER(K82),'Sheet1-指标体系'!$G$5,0)+IF(ISNUMBER(L82),'Sheet1-指标体系'!$G$6,0)+IF(ISNUMBER(Q82),'Sheet1-指标体系'!$G$7*'Sheet1-指标体系'!$J$8,0)+IF(ISNUMBER(R82),'Sheet1-指标体系'!$G$7*'Sheet1-指标体系'!$J$9,0)+IF(ISNUMBER(W82),'Sheet1-指标体系'!$G$8*'Sheet1-指标体系'!$J$8,0)+IF(ISNUMBER(X82),'Sheet1-指标体系'!$G$8*'Sheet1-指标体系'!$J$9,0)+IF(ISNUMBER(AC82),'Sheet1-指标体系'!$G$9,0)+IF(ISNUMBER(AG82),'Sheet1-指标体系'!$G$10*'Sheet1-指标体系'!$J$8,0)+IF(ISNUMBER(AH82),'Sheet1-指标体系'!$G$10*'Sheet1-指标体系'!$J$9,0)+IF(ISNUMBER(AK82),'Sheet1-指标体系'!$G$11,0))</x:f>
        <x:v>0.15</x:v>
      </x:c>
      <x:c r="AR82" s="52" t="n">
        <x:f>IF(AQ82=0,"",IF(ISNUMBER(I82),I82*'Sheet1-指标体系'!$G$4,0)+IF(ISNUMBER(K82),K82*'Sheet1-指标体系'!$G$5,0)+IF(ISNUMBER(L82),L82*'Sheet1-指标体系'!$G$6,0)+IF(ISNUMBER(Q82),Q82*'Sheet1-指标体系'!$G$7*'Sheet1-指标体系'!$J$8,0)+IF(ISNUMBER(R82),R82*'Sheet1-指标体系'!$G$7*'Sheet1-指标体系'!$J$9,0)+IF(ISNUMBER(W82),W82*'Sheet1-指标体系'!$G$8*'Sheet1-指标体系'!$J$8,0)+IF(ISNUMBER(X82),X82*'Sheet1-指标体系'!$G$8*'Sheet1-指标体系'!$J$9,0)+IF(ISNUMBER(AC82),AC82*'Sheet1-指标体系'!$G$9,0)+IF(ISNUMBER(AG82),AG82*'Sheet1-指标体系'!$G$10*'Sheet1-指标体系'!$J$8,0)+IF(ISNUMBER(AH82),AH82*'Sheet1-指标体系'!$G$10*'Sheet1-指标体系'!$J$9,0)+IF(ISNUMBER(AK82),AK82*'Sheet1-指标体系'!$G$11,0))</x:f>
        <x:v>12.6</x:v>
      </x:c>
      <x:c r="AS82" s="52" t="n">
        <x:f>IF(AQ82=0,"",ROUND(AR82/AQ82,2))</x:f>
        <x:v>84</x:v>
      </x:c>
      <x:c r="AT82" s="49" t="n">
        <x:f>IF(OR(G82&lt;&gt;"入池",NOT(ISNUMBER(AS82))),"",COUNTIFS($G$17:$G$99,"入池",$AS$17:$AS$99,"&gt;"&amp;AS82)+COUNTIFS($G$17:$G$99,"入池",$AS$17:$AS$99,AS82,$AQ$17:$AQ$99,"&gt;"&amp;AQ82)+COUNTIFS($G$17:G82,"入池",$AS$17:AS82,AS82,$AQ$17:AQ82,AQ82))</x:f>
        <x:v>21</x:v>
      </x:c>
      <x:c r="AU82" s="53" t="str">
        <x:f>IF(NOT(ISNUMBER(I82)),"管理人规模；","")&amp;IF(NOT(ISNUMBER(K82)),"产品规模标识；","")&amp;IF(NOT(ISNUMBER(M82)),"近一年收益；","")&amp;IF(NOT(ISNUMBER(T82)),"近一年胜率；","")&amp;IF(NOT(ISNUMBER(N82)),"近三年收益；","")&amp;IF(NOT(ISNUMBER(U82)),"近三年胜率；","")&amp;IF(NOT(ISNUMBER(AA82)),"近三年回撤；","")&amp;IF(NOT(ISNUMBER(AD82)),"近一年卡玛；","")&amp;IF(ISNUMBER(F82),IF(AND(F82&lt;'Sheet1-指标体系'!$J$16,NOT(ISNUMBER(O82))),"成立以来年化；",""),"成立日期；")&amp;IF(ISNUMBER(V82),IF(OR(V82&lt;0,V82&gt;1),"胜率窗口口径不一致；",""),"")&amp;IF(ISNUMBER(P82),IF(NOT(ISNUMBER(AE82)),"DD_long不可识别；",""),"")</x:f>
        <x:v>近一年收益；近一年胜率；近三年收益；近三年胜率；近三年回撤；近一年卡玛；</x:v>
      </x:c>
      <x:c r="AV82" s="52" t="str">
        <x:f>IF(ROUND(AQ82,10)=ROUND('Sheet1-指标体系'!$J$25,10),AR82,"")</x:f>
      </x:c>
      <x:c r="AW82" s="14" t="str">
        <x:f>IF(G82&lt;&gt;"入池",G82,IF(AQ82=0,"无有效评分数据",IF(ROUND(AQ82,10)=ROUND('Sheet1-指标体系'!$J$25,10),"完整赋分", "暂定分／数据不完整")))</x:f>
        <x:v>暂定分／数据不完整</x:v>
      </x:c>
      <x:c r="AX82" s="45" t="str">
        <x:f>IF('Sheet4-原始数据'!C67="","",'Sheet4-原始数据'!C67)</x:f>
        <x:v>套利策略</x:v>
      </x:c>
      <x:c r="AY82" s="45" t="str">
        <x:f>IF('Sheet4-原始数据'!D67="","",'Sheet4-原始数据'!D67)</x:f>
        <x:v>期货套利</x:v>
      </x:c>
      <x:c r="AZ82" s="45" t="str">
        <x:f>IF('Sheet5-查询核对'!S67="","",'Sheet5-查询核对'!S67)</x:f>
        <x:v>套利策略—期货套利</x:v>
      </x:c>
      <x:c r="BA82" s="51" t="n">
        <x:f>IF('Sheet5-查询核对'!A67="","",'Sheet5-查询核对'!A67)</x:f>
        <x:v>67</x:v>
      </x:c>
      <x:c r="BB82" s="45" t="str">
        <x:f>IF('Sheet5-查询核对'!F67="","",'Sheet5-查询核对'!F67)</x:f>
        <x:v>备案号匹配</x:v>
      </x:c>
      <x:c r="BC82" s="50" t="str">
        <x:f>IF('Sheet5-查询核对'!I67="","",'Sheet5-查询核对'!I67)</x:f>
        <x:v>https://mp.fof99.com/fund/view/6c49b0993fc714bc</x:v>
      </x:c>
      <x:c r="BD82" s="46" t="n">
        <x:f>IF('Sheet5-查询核对'!H67="","",'Sheet5-查询核对'!H67)</x:f>
        <x:v>46269</x:v>
      </x:c>
      <x:c r="BE82" s="50" t="str">
        <x:f>IF('Sheet5-查询核对'!L67="","",'Sheet5-查询核对'!L67)</x:f>
        <x:v>https://mp.fof99.com/fund/view/6c49b0993fc714bc</x:v>
      </x:c>
      <x:c r="BF82" s="46" t="n">
        <x:f>IF('Sheet5-查询核对'!M67="","",'Sheet5-查询核对'!M67)</x:f>
        <x:v>46275</x:v>
      </x:c>
      <x:c r="BG82" s="50" t="str">
        <x:f>IF('Sheet5-查询核对'!O67="","",'Sheet5-查询核对'!O67)</x:f>
        <x:v>https://gs.amac.org.cn/amac-infodisc/res/pof/fund/2211221840100768.html</x:v>
      </x:c>
      <x:c r="BH82" s="46" t="n">
        <x:f>IF('Sheet5-查询核对'!P67="","",'Sheet5-查询核对'!P67)</x:f>
        <x:v>46275</x:v>
      </x:c>
      <x:c r="BI82" s="45" t="str">
        <x:f>IF('Sheet5-查询核对'!D67="","",'Sheet5-查询核对'!D67)</x:f>
        <x:v>SXT086</x:v>
      </x:c>
      <x:c r="BJ82" t="n">
        <x:f>IF(ISNUMBER(AT82),AT82,COUNT($AT$17:$AT$99)+ROWS($AT$17:AT82)-COUNT($AT$17:AT82))</x:f>
        <x:v>21</x:v>
      </x:c>
    </x:row>
    <x:row r="83" ht="44" customHeight="1">
      <x:c r="A83" s="49" t="n">
        <x:f>'Sheet5-查询核对'!A68-1</x:f>
        <x:v>67</x:v>
      </x:c>
      <x:c r="B83" s="50" t="str">
        <x:f>IF('Sheet4-原始数据'!A68="",'Sheet5-查询核对'!B68,'Sheet4-原始数据'!A68)</x:f>
        <x:v>悬铃C号</x:v>
      </x:c>
      <x:c r="C83" s="45" t="str">
        <x:f>IF('Sheet4-原始数据'!B68="","",'Sheet4-原始数据'!B68)</x:f>
        <x:v>SEK201</x:v>
      </x:c>
      <x:c r="D83" s="45" t="str">
        <x:f>IF('Sheet4-原始数据'!E68="","",'Sheet4-原始数据'!E68)</x:f>
        <x:v>上海悬铃</x:v>
      </x:c>
      <x:c r="E83" s="46" t="n">
        <x:f>IF('Sheet4-原始数据'!F68="","",'Sheet4-原始数据'!F68)</x:f>
        <x:v>43423</x:v>
      </x:c>
      <x:c r="F83" s="52" t="n">
        <x:f>IF(ISNUMBER(E83),ROUND(('Sheet1-指标体系'!$J$12-E83)/'Sheet1-指标体系'!$J$14,4),"")</x:f>
        <x:v>7.8084</x:v>
      </x:c>
      <x:c r="G83" s="14" t="str">
        <x:f>IF(C83="","未匹配",IF(NOT(ISNUMBER(F83)),"缺成立日期",IF(F83&lt;'Sheet1-指标体系'!$J$15,"不入池","入池")))</x:f>
        <x:v>入池</x:v>
      </x:c>
      <x:c r="H83" s="45" t="str">
        <x:f>IF('Sheet5-查询核对'!K68="","",'Sheet5-查询核对'!K68)</x:f>
        <x:v>20-50亿元</x:v>
      </x:c>
      <x:c r="I83" s="52" t="n">
        <x:f>IF(H83="","",IF(COUNTIF('Sheet1-指标体系'!$P$4:$P$10,H83)=0,"",INDEX('Sheet1-指标体系'!$Q$4:$Q$10,MATCH(H83,'Sheet1-指标体系'!$P$4:$P$10,0))))</x:f>
        <x:v>90</x:v>
      </x:c>
      <x:c r="J83" s="54" t="str">
        <x:f>IF(NOT(ISNUMBER('Sheet5-查询核对'!N68)),"",IF('Sheet5-查询核对'!N68=1,"低于"&amp;'Sheet1-指标体系'!$J$4&amp;"万元",IF('Sheet5-查询核对'!N68=0,"无低于"&amp;'Sheet1-指标体系'!$J$4&amp;"万元标识","")))</x:f>
        <x:v>无低于1000万元标识</x:v>
      </x:c>
      <x:c r="K83" s="52" t="n">
        <x:f>IF(NOT(ISNUMBER('Sheet5-查询核对'!N68)),"",IF('Sheet5-查询核对'!N68=1,'Sheet1-指标体系'!$J$21,IF('Sheet5-查询核对'!N68=0,'Sheet1-指标体系'!$J$18,"")))</x:f>
        <x:v>100</x:v>
      </x:c>
      <x:c r="L83" s="52" t="n">
        <x:f>IF(NOT(ISNUMBER(F83)),"",IF(F83&lt;'Sheet1-指标体系'!$J$15,"",IF(F83&lt;'Sheet1-指标体系'!$J$16,'Sheet1-指标体系'!$J$17,'Sheet1-指标体系'!$J$18)))</x:f>
        <x:v>100</x:v>
      </x:c>
      <x:c r="M83" s="47" t="str">
        <x:f>IF(ISNUMBER('Sheet4-原始数据'!G68),'Sheet4-原始数据'!G68,"")</x:f>
      </x:c>
      <x:c r="N83" s="47" t="n">
        <x:f>IF(ISNUMBER('Sheet4-原始数据'!H68),'Sheet4-原始数据'!H68,"")</x:f>
        <x:v>0.0638</x:v>
      </x:c>
      <x:c r="O83" s="47" t="n">
        <x:f>IF(ISNUMBER('Sheet5-查询核对'!Q68),'Sheet5-查询核对'!Q68,"")</x:f>
        <x:v>0.126</x:v>
      </x:c>
      <x:c r="P83" s="44" t="str">
        <x:f>IF($G83&lt;&gt;"入池","",IF($F83&gt;='Sheet1-指标体系'!$J$16,IF(COUNT(M83,N83)&lt;&gt;2,"",IF(OR(1+M83&lt;=0,1+N83&lt;0),"",((1+N83)^'Sheet1-指标体系'!$J$16/(1+M83))^(1/('Sheet1-指标体系'!$J$16-'Sheet1-指标体系'!$J$15))-1)),IF(COUNT(M83,O83)&lt;&gt;2,"",IF(OR(F83&lt;='Sheet1-指标体系'!$J$15,1+M83&lt;=0,1+O83&lt;0),"",((1+O83)^F83/(1+M83))^(1/(F83-'Sheet1-指标体系'!$J$15))-1))))</x:f>
      </x:c>
      <x:c r="Q83" s="52" t="str">
        <x:f>IF(OR($G83&lt;&gt;"入池",NOT(ISNUMBER(M83))),"",IF(COUNTIFS($G$17:$G$99,"入池",$M$17:$M$99,"&gt;=-1E+307",$M$17:$M$99,"&lt;=1E+307")&lt;=1,'Sheet1-指标体系'!$J$18,ROUND('Sheet1-指标体系'!$J$18*(COUNTIFS($G$17:$G$99,"入池",$M$17:$M$99,"&gt;=-1E+307",$M$17:$M$99,"&lt;"&amp;M83)+COUNTIFS($G$17:$G$99,"入池",$M$17:$M$99,"&gt;=-1E+307",$M$17:$M$99,"&lt;=1E+307",$M$17:$M$99,M83)/2-0.5)/(COUNTIFS($G$17:$G$99,"入池",$M$17:$M$99,"&gt;=-1E+307",$M$17:$M$99,"&lt;=1E+307")-1),2)))</x:f>
      </x:c>
      <x:c r="R83" s="52" t="str">
        <x:f>IF(OR($G83&lt;&gt;"入池",NOT(ISNUMBER(P83))),"",IF(COUNTIFS($G$17:$G$99,"入池",$P$17:$P$99,"&gt;=-1E+307",$P$17:$P$99,"&lt;=1E+307")&lt;=1,'Sheet1-指标体系'!$J$18,ROUND('Sheet1-指标体系'!$J$18*(COUNTIFS($G$17:$G$99,"入池",$P$17:$P$99,"&gt;=-1E+307",$P$17:$P$99,"&lt;"&amp;P83)+COUNTIFS($G$17:$G$99,"入池",$P$17:$P$99,"&gt;=-1E+307",$P$17:$P$99,"&lt;=1E+307",$P$17:$P$99,P83)/2-0.5)/(COUNTIFS($G$17:$G$99,"入池",$P$17:$P$99,"&gt;=-1E+307",$P$17:$P$99,"&lt;=1E+307")-1),2)))</x:f>
      </x:c>
      <x:c r="S83" s="52" t="str">
        <x:f>IF(COUNT(Q83,R83)=0,"",ROUND((IF(ISNUMBER(Q83),Q83*'Sheet1-指标体系'!$G$7*'Sheet1-指标体系'!$J$8,0)+IF(ISNUMBER(R83),R83*'Sheet1-指标体系'!$G$7*'Sheet1-指标体系'!$J$9,0))/(IF(ISNUMBER(Q83),'Sheet1-指标体系'!$G$7*'Sheet1-指标体系'!$J$8,0)+IF(ISNUMBER(R83),'Sheet1-指标体系'!$G$7*'Sheet1-指标体系'!$J$9,0)),2))</x:f>
      </x:c>
      <x:c r="T83" s="47" t="str">
        <x:f>IF(ISNUMBER('Sheet4-原始数据'!J68),'Sheet4-原始数据'!J68,"")</x:f>
      </x:c>
      <x:c r="U83" s="47" t="n">
        <x:f>IF(ISNUMBER('Sheet4-原始数据'!I68),'Sheet4-原始数据'!I68,"")</x:f>
        <x:v>0.5</x:v>
      </x:c>
      <x:c r="V83" s="44" t="str">
        <x:f>IF(COUNT(T83:U83)&lt;&gt;2,"",(U83*'Sheet1-指标体系'!$J$6-T83*'Sheet1-指标体系'!$J$5)/'Sheet1-指标体系'!$J$7)</x:f>
      </x:c>
      <x:c r="W83" s="52" t="str">
        <x:f>IF(NOT(ISNUMBER(T83)),"",T83*'Sheet1-指标体系'!$J$18)</x:f>
      </x:c>
      <x:c r="X83" s="52" t="str">
        <x:f>IF(G83&lt;&gt;"入池","",IF(ISNUMBER(V83),IF(AND(V83&gt;=0,V83&lt;=1),V83*'Sheet1-指标体系'!$J$18,IF(MAX(0,(F83-'Sheet1-指标体系'!$J$15)*'Sheet1-指标体系'!$J$20)&lt;'Sheet1-指标体系'!$J$19,'Sheet1-指标体系'!$J$18,"")),IF(MAX(0,(F83-'Sheet1-指标体系'!$J$15)*'Sheet1-指标体系'!$J$20)&lt;'Sheet1-指标体系'!$J$19,'Sheet1-指标体系'!$J$18,"")))</x:f>
      </x:c>
      <x:c r="Y83" s="52" t="str">
        <x:f>IF(NOT(ISNUMBER(W83)),"",IF(COUNT(W83,X83)=0,"",ROUND((IF(ISNUMBER(W83),W83*'Sheet1-指标体系'!$G$8*'Sheet1-指标体系'!$J$8,0)+IF(ISNUMBER(X83),X83*'Sheet1-指标体系'!$G$8*'Sheet1-指标体系'!$J$9,0))/(IF(ISNUMBER(W83),'Sheet1-指标体系'!$G$8*'Sheet1-指标体系'!$J$8,0)+IF(ISNUMBER(X83),'Sheet1-指标体系'!$G$8*'Sheet1-指标体系'!$J$9,0)),2)))</x:f>
      </x:c>
      <x:c r="Z83" s="44" t="str">
        <x:f>IF(COUNT(M83,AD83)&lt;&gt;2,"",IF(AD83=0,"",ABS(M83/AD83)))</x:f>
      </x:c>
      <x:c r="AA83" s="47" t="n">
        <x:f>IF(ISNUMBER('Sheet4-原始数据'!K68),'Sheet4-原始数据'!K68,"")</x:f>
        <x:v>0.056100000000000004</x:v>
      </x:c>
      <x:c r="AB83" s="44" t="n">
        <x:f>IF(COUNT(Z83:AA83)=0,"",MAX(Z83:AA83))</x:f>
        <x:v>0.056100000000000004</x:v>
      </x:c>
      <x:c r="AC83" s="52" t="n">
        <x:f>IF(OR($G83&lt;&gt;"入池",NOT(ISNUMBER(AB83))),"",IF(COUNTIFS($G$17:$G$99,"入池",$AB$17:$AB$99,"&gt;=-1E+307",$AB$17:$AB$99,"&lt;=1E+307")&lt;=1,'Sheet1-指标体系'!$J$18,ROUND('Sheet1-指标体系'!$J$18*(COUNTIFS($G$17:$G$99,"入池",$AB$17:$AB$99,"&lt;=1E+307",$AB$17:$AB$99,"&gt;"&amp;AB83)+COUNTIFS($G$17:$G$99,"入池",$AB$17:$AB$99,"&gt;=-1E+307",$AB$17:$AB$99,"&lt;=1E+307",$AB$17:$AB$99,AB83)/2-0.5)/(COUNTIFS($G$17:$G$99,"入池",$AB$17:$AB$99,"&gt;=-1E+307",$AB$17:$AB$99,"&lt;=1E+307")-1),2)))</x:f>
        <x:v>12.07</x:v>
      </x:c>
      <x:c r="AD83" s="48" t="str">
        <x:f>IF(ISNUMBER('Sheet4-原始数据'!M68),'Sheet4-原始数据'!M68,"")</x:f>
      </x:c>
      <x:c r="AE83" s="44" t="str">
        <x:f>IF(COUNT(P83,AA83,Z83)&lt;&gt;3,"",IF(AA83&gt;Z83+'Sheet1-指标体系'!$J$11,AA83,""))</x:f>
      </x:c>
      <x:c r="AF83" s="52" t="str">
        <x:f>IF(COUNT(P83,AE83)&lt;&gt;2,"",IF(AE83=0,"",P83/AE83))</x:f>
      </x:c>
      <x:c r="AG83" s="52" t="str">
        <x:f>IF(OR($G83&lt;&gt;"入池",NOT(ISNUMBER(AD83))),"",IF(COUNTIFS($G$17:$G$99,"入池",$AD$17:$AD$99,"&gt;=-1E+307",$AD$17:$AD$99,"&lt;=1E+307")&lt;=1,'Sheet1-指标体系'!$J$18,ROUND('Sheet1-指标体系'!$J$18*(COUNTIFS($G$17:$G$99,"入池",$AD$17:$AD$99,"&gt;=-1E+307",$AD$17:$AD$99,"&lt;"&amp;AD83)+COUNTIFS($G$17:$G$99,"入池",$AD$17:$AD$99,"&gt;=-1E+307",$AD$17:$AD$99,"&lt;=1E+307",$AD$17:$AD$99,AD83)/2-0.5)/(COUNTIFS($G$17:$G$99,"入池",$AD$17:$AD$99,"&gt;=-1E+307",$AD$17:$AD$99,"&lt;=1E+307")-1),2)))</x:f>
      </x:c>
      <x:c r="AH83" s="52" t="str">
        <x:f>IF(OR($G83&lt;&gt;"入池",NOT(ISNUMBER(AF83))),"",IF(COUNTIFS($G$17:$G$99,"入池",$AF$17:$AF$99,"&gt;=-1E+307",$AF$17:$AF$99,"&lt;=1E+307")&lt;=1,'Sheet1-指标体系'!$J$18,ROUND('Sheet1-指标体系'!$J$18*(COUNTIFS($G$17:$G$99,"入池",$AF$17:$AF$99,"&gt;=-1E+307",$AF$17:$AF$99,"&lt;"&amp;AF83)+COUNTIFS($G$17:$G$99,"入池",$AF$17:$AF$99,"&gt;=-1E+307",$AF$17:$AF$99,"&lt;=1E+307",$AF$17:$AF$99,AF83)/2-0.5)/(COUNTIFS($G$17:$G$99,"入池",$AF$17:$AF$99,"&gt;=-1E+307",$AF$17:$AF$99,"&lt;=1E+307")-1),2)))</x:f>
      </x:c>
      <x:c r="AI83" s="52" t="str">
        <x:f>IF(COUNT(AG83,AH83)=0,"",ROUND((IF(ISNUMBER(AG83),AG83*'Sheet1-指标体系'!$G$10*'Sheet1-指标体系'!$J$8,0)+IF(ISNUMBER(AH83),AH83*'Sheet1-指标体系'!$G$10*'Sheet1-指标体系'!$J$9,0))/(IF(ISNUMBER(AG83),'Sheet1-指标体系'!$G$10*'Sheet1-指标体系'!$J$8,0)+IF(ISNUMBER(AH83),'Sheet1-指标体系'!$G$10*'Sheet1-指标体系'!$J$9,0)),2))</x:f>
      </x:c>
      <x:c r="AJ83" s="44" t="n">
        <x:f>IF(NOT(ISNUMBER(F83)),"",IF(F83&gt;='Sheet1-指标体系'!$J$16,IF(ISNUMBER(N83),N83,""),IF(ISNUMBER(O83),O83,"")))</x:f>
        <x:v>0.0638</x:v>
      </x:c>
      <x:c r="AK83" s="52" t="str">
        <x:f>IF(OR(G83&lt;&gt;"入池",COUNT(M83,AJ83)&lt;&gt;2),"",IF(M83&gt;=AJ83,'Sheet1-指标体系'!$J$18,IF(AJ83-M83&lt;'Sheet1-指标体系'!$J$10,'Sheet1-指标体系'!$J$22,'Sheet1-指标体系'!$J$23)))</x:f>
      </x:c>
      <x:c r="AL83" s="52" t="n">
        <x:f>IF(COUNT(I83,K83,L83)=0,"",ROUND((IF(ISNUMBER(I83),I83*'Sheet1-指标体系'!$G$4,0)+IF(ISNUMBER(K83),K83*'Sheet1-指标体系'!$G$5,0)+IF(ISNUMBER(L83),L83*'Sheet1-指标体系'!$G$6,0))/(IF(ISNUMBER(I83),'Sheet1-指标体系'!$G$4,0)+IF(ISNUMBER(K83),'Sheet1-指标体系'!$G$5,0)+IF(ISNUMBER(L83),'Sheet1-指标体系'!$G$6,0)),2))</x:f>
        <x:v>96</x:v>
      </x:c>
      <x:c r="AM83" s="52" t="str">
        <x:f>IF(COUNT(Q83,R83,W83,X83)=0,"",ROUND((IF(ISNUMBER(Q83),Q83*'Sheet1-指标体系'!$G$7*'Sheet1-指标体系'!$J$8,0)+IF(ISNUMBER(R83),R83*'Sheet1-指标体系'!$G$7*'Sheet1-指标体系'!$J$9,0)+IF(ISNUMBER(W83),W83*'Sheet1-指标体系'!$G$8*'Sheet1-指标体系'!$J$8,0)+IF(ISNUMBER(X83),X83*'Sheet1-指标体系'!$G$8*'Sheet1-指标体系'!$J$9,0))/(IF(ISNUMBER(Q83),'Sheet1-指标体系'!$G$7*'Sheet1-指标体系'!$J$8,0)+IF(ISNUMBER(R83),'Sheet1-指标体系'!$G$7*'Sheet1-指标体系'!$J$9,0)+IF(ISNUMBER(W83),'Sheet1-指标体系'!$G$8*'Sheet1-指标体系'!$J$8,0)+IF(ISNUMBER(X83),'Sheet1-指标体系'!$G$8*'Sheet1-指标体系'!$J$9,0)),2))</x:f>
      </x:c>
      <x:c r="AN83" s="52" t="n">
        <x:f>IF(ISNUMBER(AC83),AC83,"")</x:f>
        <x:v>12.07</x:v>
      </x:c>
      <x:c r="AO83" s="52" t="str">
        <x:f>IF(COUNT(AG83,AH83)=0,"",ROUND((IF(ISNUMBER(AG83),AG83*'Sheet1-指标体系'!$G$10*'Sheet1-指标体系'!$J$8,0)+IF(ISNUMBER(AH83),AH83*'Sheet1-指标体系'!$G$10*'Sheet1-指标体系'!$J$9,0))/(IF(ISNUMBER(AG83),'Sheet1-指标体系'!$G$10*'Sheet1-指标体系'!$J$8,0)+IF(ISNUMBER(AH83),'Sheet1-指标体系'!$G$10*'Sheet1-指标体系'!$J$9,0)),2))</x:f>
      </x:c>
      <x:c r="AP83" s="52" t="str">
        <x:f>IF(ISNUMBER(AK83),AK83,"")</x:f>
      </x:c>
      <x:c r="AQ83" s="27" t="n">
        <x:f>IF(G83&lt;&gt;"入池",0,IF(ISNUMBER(I83),'Sheet1-指标体系'!$G$4,0)+IF(ISNUMBER(K83),'Sheet1-指标体系'!$G$5,0)+IF(ISNUMBER(L83),'Sheet1-指标体系'!$G$6,0)+IF(ISNUMBER(Q83),'Sheet1-指标体系'!$G$7*'Sheet1-指标体系'!$J$8,0)+IF(ISNUMBER(R83),'Sheet1-指标体系'!$G$7*'Sheet1-指标体系'!$J$9,0)+IF(ISNUMBER(W83),'Sheet1-指标体系'!$G$8*'Sheet1-指标体系'!$J$8,0)+IF(ISNUMBER(X83),'Sheet1-指标体系'!$G$8*'Sheet1-指标体系'!$J$9,0)+IF(ISNUMBER(AC83),'Sheet1-指标体系'!$G$9,0)+IF(ISNUMBER(AG83),'Sheet1-指标体系'!$G$10*'Sheet1-指标体系'!$J$8,0)+IF(ISNUMBER(AH83),'Sheet1-指标体系'!$G$10*'Sheet1-指标体系'!$J$9,0)+IF(ISNUMBER(AK83),'Sheet1-指标体系'!$G$11,0))</x:f>
        <x:v>0.4</x:v>
      </x:c>
      <x:c r="AR83" s="52" t="n">
        <x:f>IF(AQ83=0,"",IF(ISNUMBER(I83),I83*'Sheet1-指标体系'!$G$4,0)+IF(ISNUMBER(K83),K83*'Sheet1-指标体系'!$G$5,0)+IF(ISNUMBER(L83),L83*'Sheet1-指标体系'!$G$6,0)+IF(ISNUMBER(Q83),Q83*'Sheet1-指标体系'!$G$7*'Sheet1-指标体系'!$J$8,0)+IF(ISNUMBER(R83),R83*'Sheet1-指标体系'!$G$7*'Sheet1-指标体系'!$J$9,0)+IF(ISNUMBER(W83),W83*'Sheet1-指标体系'!$G$8*'Sheet1-指标体系'!$J$8,0)+IF(ISNUMBER(X83),X83*'Sheet1-指标体系'!$G$8*'Sheet1-指标体系'!$J$9,0)+IF(ISNUMBER(AC83),AC83*'Sheet1-指标体系'!$G$9,0)+IF(ISNUMBER(AG83),AG83*'Sheet1-指标体系'!$G$10*'Sheet1-指标体系'!$J$8,0)+IF(ISNUMBER(AH83),AH83*'Sheet1-指标体系'!$G$10*'Sheet1-指标体系'!$J$9,0)+IF(ISNUMBER(AK83),AK83*'Sheet1-指标体系'!$G$11,0))</x:f>
        <x:v>17.417499999999997</x:v>
      </x:c>
      <x:c r="AS83" s="52" t="n">
        <x:f>IF(AQ83=0,"",ROUND(AR83/AQ83,2))</x:f>
        <x:v>43.54</x:v>
      </x:c>
      <x:c r="AT83" s="49" t="n">
        <x:f>IF(OR(G83&lt;&gt;"入池",NOT(ISNUMBER(AS83))),"",COUNTIFS($G$17:$G$99,"入池",$AS$17:$AS$99,"&gt;"&amp;AS83)+COUNTIFS($G$17:$G$99,"入池",$AS$17:$AS$99,AS83,$AQ$17:$AQ$99,"&gt;"&amp;AQ83)+COUNTIFS($G$17:G83,"入池",$AS$17:AS83,AS83,$AQ$17:AQ83,AQ83))</x:f>
        <x:v>68</x:v>
      </x:c>
      <x:c r="AU83" s="53" t="str">
        <x:f>IF(NOT(ISNUMBER(I83)),"管理人规模；","")&amp;IF(NOT(ISNUMBER(K83)),"产品规模标识；","")&amp;IF(NOT(ISNUMBER(M83)),"近一年收益；","")&amp;IF(NOT(ISNUMBER(T83)),"近一年胜率；","")&amp;IF(NOT(ISNUMBER(N83)),"近三年收益；","")&amp;IF(NOT(ISNUMBER(U83)),"近三年胜率；","")&amp;IF(NOT(ISNUMBER(AA83)),"近三年回撤；","")&amp;IF(NOT(ISNUMBER(AD83)),"近一年卡玛；","")&amp;IF(ISNUMBER(F83),IF(AND(F83&lt;'Sheet1-指标体系'!$J$16,NOT(ISNUMBER(O83))),"成立以来年化；",""),"成立日期；")&amp;IF(ISNUMBER(V83),IF(OR(V83&lt;0,V83&gt;1),"胜率窗口口径不一致；",""),"")&amp;IF(ISNUMBER(P83),IF(NOT(ISNUMBER(AE83)),"DD_long不可识别；",""),"")</x:f>
        <x:v>近一年收益；近一年胜率；近一年卡玛；</x:v>
      </x:c>
      <x:c r="AV83" s="52" t="str">
        <x:f>IF(ROUND(AQ83,10)=ROUND('Sheet1-指标体系'!$J$25,10),AR83,"")</x:f>
      </x:c>
      <x:c r="AW83" s="14" t="str">
        <x:f>IF(G83&lt;&gt;"入池",G83,IF(AQ83=0,"无有效评分数据",IF(ROUND(AQ83,10)=ROUND('Sheet1-指标体系'!$J$25,10),"完整赋分", "暂定分／数据不完整")))</x:f>
        <x:v>暂定分／数据不完整</x:v>
      </x:c>
      <x:c r="AX83" s="45" t="str">
        <x:f>IF('Sheet4-原始数据'!C68="","",'Sheet4-原始数据'!C68)</x:f>
        <x:v>套利策略</x:v>
      </x:c>
      <x:c r="AY83" s="45" t="str">
        <x:f>IF('Sheet4-原始数据'!D68="","",'Sheet4-原始数据'!D68)</x:f>
        <x:v>可转债套利</x:v>
      </x:c>
      <x:c r="AZ83" s="45" t="str">
        <x:f>IF('Sheet5-查询核对'!S68="","",'Sheet5-查询核对'!S68)</x:f>
        <x:v>套利策略—可转债套利</x:v>
      </x:c>
      <x:c r="BA83" s="51" t="n">
        <x:f>IF('Sheet5-查询核对'!A68="","",'Sheet5-查询核对'!A68)</x:f>
        <x:v>68</x:v>
      </x:c>
      <x:c r="BB83" s="45" t="str">
        <x:f>IF('Sheet5-查询核对'!F68="","",'Sheet5-查询核对'!F68)</x:f>
        <x:v>备案号匹配</x:v>
      </x:c>
      <x:c r="BC83" s="50" t="str">
        <x:f>IF('Sheet5-查询核对'!I68="","",'Sheet5-查询核对'!I68)</x:f>
        <x:v>https://mp.fof99.com/fund/view/858f6f879edbd061</x:v>
      </x:c>
      <x:c r="BD83" s="46" t="n">
        <x:f>IF('Sheet5-查询核对'!H68="","",'Sheet5-查询核对'!H68)</x:f>
        <x:v>46269</x:v>
      </x:c>
      <x:c r="BE83" s="50" t="str">
        <x:f>IF('Sheet5-查询核对'!L68="","",'Sheet5-查询核对'!L68)</x:f>
        <x:v>https://mp.fof99.com/fund/view/858f6f879edbd061</x:v>
      </x:c>
      <x:c r="BF83" s="46" t="n">
        <x:f>IF('Sheet5-查询核对'!M68="","",'Sheet5-查询核对'!M68)</x:f>
        <x:v>46275</x:v>
      </x:c>
      <x:c r="BG83" s="50" t="str">
        <x:f>IF('Sheet5-查询核对'!O68="","",'Sheet5-查询核对'!O68)</x:f>
        <x:v>https://gs.amac.org.cn/amac-infodisc/res/pof/fund/1811231733101523.html</x:v>
      </x:c>
      <x:c r="BH83" s="46" t="n">
        <x:f>IF('Sheet5-查询核对'!P68="","",'Sheet5-查询核对'!P68)</x:f>
        <x:v>46275</x:v>
      </x:c>
      <x:c r="BI83" s="45" t="str">
        <x:f>IF('Sheet5-查询核对'!D68="","",'Sheet5-查询核对'!D68)</x:f>
        <x:v>SEK201</x:v>
      </x:c>
      <x:c r="BJ83" t="n">
        <x:f>IF(ISNUMBER(AT83),AT83,COUNT($AT$17:$AT$99)+ROWS($AT$17:AT83)-COUNT($AT$17:AT83))</x:f>
        <x:v>68</x:v>
      </x:c>
    </x:row>
    <x:row r="84" ht="44" customHeight="1">
      <x:c r="A84" s="49" t="n">
        <x:f>'Sheet5-查询核对'!A69-1</x:f>
        <x:v>68</x:v>
      </x:c>
      <x:c r="B84" s="50" t="str">
        <x:f>IF('Sheet4-原始数据'!A69="",'Sheet5-查询核对'!B69,'Sheet4-原始数据'!A69)</x:f>
        <x:v>英旷专享2号A类</x:v>
      </x:c>
      <x:c r="C84" s="45" t="str">
        <x:f>IF('Sheet4-原始数据'!B69="","",'Sheet4-原始数据'!B69)</x:f>
        <x:v>AKV28A</x:v>
      </x:c>
      <x:c r="D84" s="45" t="str">
        <x:f>IF('Sheet4-原始数据'!E69="","",'Sheet4-原始数据'!E69)</x:f>
        <x:v>上海英旷资管</x:v>
      </x:c>
      <x:c r="E84" s="46" t="n">
        <x:f>IF('Sheet4-原始数据'!F69="","",'Sheet4-原始数据'!F69)</x:f>
        <x:v>45441</x:v>
      </x:c>
      <x:c r="F84" s="52" t="n">
        <x:f>IF(ISNUMBER(E84),ROUND(('Sheet1-指标体系'!$J$12-E84)/'Sheet1-指标体系'!$J$14,4),"")</x:f>
        <x:v>2.2834</x:v>
      </x:c>
      <x:c r="G84" s="14" t="str">
        <x:f>IF(C84="","未匹配",IF(NOT(ISNUMBER(F84)),"缺成立日期",IF(F84&lt;'Sheet1-指标体系'!$J$15,"不入池","入池")))</x:f>
        <x:v>入池</x:v>
      </x:c>
      <x:c r="H84" s="45" t="str">
        <x:f>IF('Sheet5-查询核对'!K69="","",'Sheet5-查询核对'!K69)</x:f>
        <x:v>10-20亿元</x:v>
      </x:c>
      <x:c r="I84" s="52" t="n">
        <x:f>IF(H84="","",IF(COUNTIF('Sheet1-指标体系'!$P$4:$P$10,H84)=0,"",INDEX('Sheet1-指标体系'!$Q$4:$Q$10,MATCH(H84,'Sheet1-指标体系'!$P$4:$P$10,0))))</x:f>
        <x:v>80</x:v>
      </x:c>
      <x:c r="J84" s="54" t="str">
        <x:f>IF(NOT(ISNUMBER('Sheet5-查询核对'!N69)),"",IF('Sheet5-查询核对'!N69=1,"低于"&amp;'Sheet1-指标体系'!$J$4&amp;"万元",IF('Sheet5-查询核对'!N69=0,"无低于"&amp;'Sheet1-指标体系'!$J$4&amp;"万元标识","")))</x:f>
      </x:c>
      <x:c r="K84" s="52" t="str">
        <x:f>IF(NOT(ISNUMBER('Sheet5-查询核对'!N69)),"",IF('Sheet5-查询核对'!N69=1,'Sheet1-指标体系'!$J$21,IF('Sheet5-查询核对'!N69=0,'Sheet1-指标体系'!$J$18,"")))</x:f>
      </x:c>
      <x:c r="L84" s="52" t="n">
        <x:f>IF(NOT(ISNUMBER(F84)),"",IF(F84&lt;'Sheet1-指标体系'!$J$15,"",IF(F84&lt;'Sheet1-指标体系'!$J$16,'Sheet1-指标体系'!$J$17,'Sheet1-指标体系'!$J$18)))</x:f>
        <x:v>70</x:v>
      </x:c>
      <x:c r="M84" s="47" t="n">
        <x:f>IF(ISNUMBER('Sheet4-原始数据'!G69),'Sheet4-原始数据'!G69,"")</x:f>
        <x:v>0.087</x:v>
      </x:c>
      <x:c r="N84" s="47" t="str">
        <x:f>IF(ISNUMBER('Sheet4-原始数据'!H69),'Sheet4-原始数据'!H69,"")</x:f>
      </x:c>
      <x:c r="O84" s="47" t="n">
        <x:f>IF(ISNUMBER('Sheet5-查询核对'!Q69),'Sheet5-查询核对'!Q69,"")</x:f>
        <x:v>0.0733</x:v>
      </x:c>
      <x:c r="P84" s="44" t="n">
        <x:f>IF($G84&lt;&gt;"入池","",IF($F84&gt;='Sheet1-指标体系'!$J$16,IF(COUNT(M84,N84)&lt;&gt;2,"",IF(OR(1+M84&lt;=0,1+N84&lt;0),"",((1+N84)^'Sheet1-指标体系'!$J$16/(1+M84))^(1/('Sheet1-指标体系'!$J$16-'Sheet1-指标体系'!$J$15))-1)),IF(COUNT(M84,O84)&lt;&gt;2,"",IF(OR(F84&lt;='Sheet1-指标体系'!$J$15,1+M84&lt;=0,1+O84&lt;0),"",((1+O84)^F84/(1+M84))^(1/(F84-'Sheet1-指标体系'!$J$15))-1))))</x:f>
        <x:v>0.06274502626354783</x:v>
      </x:c>
      <x:c r="Q84" s="52" t="n">
        <x:f>IF(OR($G84&lt;&gt;"入池",NOT(ISNUMBER(M84))),"",IF(COUNTIFS($G$17:$G$99,"入池",$M$17:$M$99,"&gt;=-1E+307",$M$17:$M$99,"&lt;=1E+307")&lt;=1,'Sheet1-指标体系'!$J$18,ROUND('Sheet1-指标体系'!$J$18*(COUNTIFS($G$17:$G$99,"入池",$M$17:$M$99,"&gt;=-1E+307",$M$17:$M$99,"&lt;"&amp;M84)+COUNTIFS($G$17:$G$99,"入池",$M$17:$M$99,"&gt;=-1E+307",$M$17:$M$99,"&lt;=1E+307",$M$17:$M$99,M84)/2-0.5)/(COUNTIFS($G$17:$G$99,"入池",$M$17:$M$99,"&gt;=-1E+307",$M$17:$M$99,"&lt;=1E+307")-1),2)))</x:f>
        <x:v>53.57</x:v>
      </x:c>
      <x:c r="R84" s="52" t="n">
        <x:f>IF(OR($G84&lt;&gt;"入池",NOT(ISNUMBER(P84))),"",IF(COUNTIFS($G$17:$G$99,"入池",$P$17:$P$99,"&gt;=-1E+307",$P$17:$P$99,"&lt;=1E+307")&lt;=1,'Sheet1-指标体系'!$J$18,ROUND('Sheet1-指标体系'!$J$18*(COUNTIFS($G$17:$G$99,"入池",$P$17:$P$99,"&gt;=-1E+307",$P$17:$P$99,"&lt;"&amp;P84)+COUNTIFS($G$17:$G$99,"入池",$P$17:$P$99,"&gt;=-1E+307",$P$17:$P$99,"&lt;=1E+307",$P$17:$P$99,P84)/2-0.5)/(COUNTIFS($G$17:$G$99,"入池",$P$17:$P$99,"&gt;=-1E+307",$P$17:$P$99,"&lt;=1E+307")-1),2)))</x:f>
        <x:v>42.59</x:v>
      </x:c>
      <x:c r="S84" s="52" t="n">
        <x:f>IF(COUNT(Q84,R84)=0,"",ROUND((IF(ISNUMBER(Q84),Q84*'Sheet1-指标体系'!$G$7*'Sheet1-指标体系'!$J$8,0)+IF(ISNUMBER(R84),R84*'Sheet1-指标体系'!$G$7*'Sheet1-指标体系'!$J$9,0))/(IF(ISNUMBER(Q84),'Sheet1-指标体系'!$G$7*'Sheet1-指标体系'!$J$8,0)+IF(ISNUMBER(R84),'Sheet1-指标体系'!$G$7*'Sheet1-指标体系'!$J$9,0)),2))</x:f>
        <x:v>49.18</x:v>
      </x:c>
      <x:c r="T84" s="47" t="n">
        <x:f>IF(ISNUMBER('Sheet4-原始数据'!J69),'Sheet4-原始数据'!J69,"")</x:f>
        <x:v>0.7692</x:v>
      </x:c>
      <x:c r="U84" s="47" t="str">
        <x:f>IF(ISNUMBER('Sheet4-原始数据'!I69),'Sheet4-原始数据'!I69,"")</x:f>
      </x:c>
      <x:c r="V84" s="44" t="str">
        <x:f>IF(COUNT(T84:U84)&lt;&gt;2,"",(U84*'Sheet1-指标体系'!$J$6-T84*'Sheet1-指标体系'!$J$5)/'Sheet1-指标体系'!$J$7)</x:f>
      </x:c>
      <x:c r="W84" s="52" t="n">
        <x:f>IF(NOT(ISNUMBER(T84)),"",T84*'Sheet1-指标体系'!$J$18)</x:f>
        <x:v>76.92</x:v>
      </x:c>
      <x:c r="X84" s="52" t="str">
        <x:f>IF(G84&lt;&gt;"入池","",IF(ISNUMBER(V84),IF(AND(V84&gt;=0,V84&lt;=1),V84*'Sheet1-指标体系'!$J$18,IF(MAX(0,(F84-'Sheet1-指标体系'!$J$15)*'Sheet1-指标体系'!$J$20)&lt;'Sheet1-指标体系'!$J$19,'Sheet1-指标体系'!$J$18,"")),IF(MAX(0,(F84-'Sheet1-指标体系'!$J$15)*'Sheet1-指标体系'!$J$20)&lt;'Sheet1-指标体系'!$J$19,'Sheet1-指标体系'!$J$18,"")))</x:f>
      </x:c>
      <x:c r="Y84" s="52" t="n">
        <x:f>IF(NOT(ISNUMBER(W84)),"",IF(COUNT(W84,X84)=0,"",ROUND((IF(ISNUMBER(W84),W84*'Sheet1-指标体系'!$G$8*'Sheet1-指标体系'!$J$8,0)+IF(ISNUMBER(X84),X84*'Sheet1-指标体系'!$G$8*'Sheet1-指标体系'!$J$9,0))/(IF(ISNUMBER(W84),'Sheet1-指标体系'!$G$8*'Sheet1-指标体系'!$J$8,0)+IF(ISNUMBER(X84),'Sheet1-指标体系'!$G$8*'Sheet1-指标体系'!$J$9,0)),2)))</x:f>
        <x:v>76.92</x:v>
      </x:c>
      <x:c r="Z84" s="44" t="n">
        <x:f>IF(COUNT(M84,AD84)&lt;&gt;2,"",IF(AD84=0,"",ABS(M84/AD84)))</x:f>
        <x:v>0.004754254237843864</x:v>
      </x:c>
      <x:c r="AA84" s="47" t="str">
        <x:f>IF(ISNUMBER('Sheet4-原始数据'!K69),'Sheet4-原始数据'!K69,"")</x:f>
      </x:c>
      <x:c r="AB84" s="44" t="n">
        <x:f>IF(COUNT(Z84:AA84)=0,"",MAX(Z84:AA84))</x:f>
        <x:v>0.004754254237843864</x:v>
      </x:c>
      <x:c r="AC84" s="52" t="n">
        <x:f>IF(OR($G84&lt;&gt;"入池",NOT(ISNUMBER(AB84))),"",IF(COUNTIFS($G$17:$G$99,"入池",$AB$17:$AB$99,"&gt;=-1E+307",$AB$17:$AB$99,"&lt;=1E+307")&lt;=1,'Sheet1-指标体系'!$J$18,ROUND('Sheet1-指标体系'!$J$18*(COUNTIFS($G$17:$G$99,"入池",$AB$17:$AB$99,"&lt;=1E+307",$AB$17:$AB$99,"&gt;"&amp;AB84)+COUNTIFS($G$17:$G$99,"入池",$AB$17:$AB$99,"&gt;=-1E+307",$AB$17:$AB$99,"&lt;=1E+307",$AB$17:$AB$99,AB84)/2-0.5)/(COUNTIFS($G$17:$G$99,"入池",$AB$17:$AB$99,"&gt;=-1E+307",$AB$17:$AB$99,"&lt;=1E+307")-1),2)))</x:f>
        <x:v>91.38</x:v>
      </x:c>
      <x:c r="AD84" s="48" t="n">
        <x:f>IF(ISNUMBER('Sheet4-原始数据'!M69),'Sheet4-原始数据'!M69,"")</x:f>
        <x:v>18.2994</x:v>
      </x:c>
      <x:c r="AE84" s="44" t="str">
        <x:f>IF(COUNT(P84,AA84,Z84)&lt;&gt;3,"",IF(AA84&gt;Z84+'Sheet1-指标体系'!$J$11,AA84,""))</x:f>
      </x:c>
      <x:c r="AF84" s="52" t="str">
        <x:f>IF(COUNT(P84,AE84)&lt;&gt;2,"",IF(AE84=0,"",P84/AE84))</x:f>
      </x:c>
      <x:c r="AG84" s="52" t="n">
        <x:f>IF(OR($G84&lt;&gt;"入池",NOT(ISNUMBER(AD84))),"",IF(COUNTIFS($G$17:$G$99,"入池",$AD$17:$AD$99,"&gt;=-1E+307",$AD$17:$AD$99,"&lt;=1E+307")&lt;=1,'Sheet1-指标体系'!$J$18,ROUND('Sheet1-指标体系'!$J$18*(COUNTIFS($G$17:$G$99,"入池",$AD$17:$AD$99,"&gt;=-1E+307",$AD$17:$AD$99,"&lt;"&amp;AD84)+COUNTIFS($G$17:$G$99,"入池",$AD$17:$AD$99,"&gt;=-1E+307",$AD$17:$AD$99,"&lt;=1E+307",$AD$17:$AD$99,AD84)/2-0.5)/(COUNTIFS($G$17:$G$99,"入池",$AD$17:$AD$99,"&gt;=-1E+307",$AD$17:$AD$99,"&lt;=1E+307")-1),2)))</x:f>
        <x:v>78.18</x:v>
      </x:c>
      <x:c r="AH84" s="52" t="str">
        <x:f>IF(OR($G84&lt;&gt;"入池",NOT(ISNUMBER(AF84))),"",IF(COUNTIFS($G$17:$G$99,"入池",$AF$17:$AF$99,"&gt;=-1E+307",$AF$17:$AF$99,"&lt;=1E+307")&lt;=1,'Sheet1-指标体系'!$J$18,ROUND('Sheet1-指标体系'!$J$18*(COUNTIFS($G$17:$G$99,"入池",$AF$17:$AF$99,"&gt;=-1E+307",$AF$17:$AF$99,"&lt;"&amp;AF84)+COUNTIFS($G$17:$G$99,"入池",$AF$17:$AF$99,"&gt;=-1E+307",$AF$17:$AF$99,"&lt;=1E+307",$AF$17:$AF$99,AF84)/2-0.5)/(COUNTIFS($G$17:$G$99,"入池",$AF$17:$AF$99,"&gt;=-1E+307",$AF$17:$AF$99,"&lt;=1E+307")-1),2)))</x:f>
      </x:c>
      <x:c r="AI84" s="52" t="n">
        <x:f>IF(COUNT(AG84,AH84)=0,"",ROUND((IF(ISNUMBER(AG84),AG84*'Sheet1-指标体系'!$G$10*'Sheet1-指标体系'!$J$8,0)+IF(ISNUMBER(AH84),AH84*'Sheet1-指标体系'!$G$10*'Sheet1-指标体系'!$J$9,0))/(IF(ISNUMBER(AG84),'Sheet1-指标体系'!$G$10*'Sheet1-指标体系'!$J$8,0)+IF(ISNUMBER(AH84),'Sheet1-指标体系'!$G$10*'Sheet1-指标体系'!$J$9,0)),2))</x:f>
        <x:v>78.18</x:v>
      </x:c>
      <x:c r="AJ84" s="44" t="n">
        <x:f>IF(NOT(ISNUMBER(F84)),"",IF(F84&gt;='Sheet1-指标体系'!$J$16,IF(ISNUMBER(N84),N84,""),IF(ISNUMBER(O84),O84,"")))</x:f>
        <x:v>0.0733</x:v>
      </x:c>
      <x:c r="AK84" s="52" t="n">
        <x:f>IF(OR(G84&lt;&gt;"入池",COUNT(M84,AJ84)&lt;&gt;2),"",IF(M84&gt;=AJ84,'Sheet1-指标体系'!$J$18,IF(AJ84-M84&lt;'Sheet1-指标体系'!$J$10,'Sheet1-指标体系'!$J$22,'Sheet1-指标体系'!$J$23)))</x:f>
        <x:v>100</x:v>
      </x:c>
      <x:c r="AL84" s="52" t="n">
        <x:f>IF(COUNT(I84,K84,L84)=0,"",ROUND((IF(ISNUMBER(I84),I84*'Sheet1-指标体系'!$G$4,0)+IF(ISNUMBER(K84),K84*'Sheet1-指标体系'!$G$5,0)+IF(ISNUMBER(L84),L84*'Sheet1-指标体系'!$G$6,0))/(IF(ISNUMBER(I84),'Sheet1-指标体系'!$G$4,0)+IF(ISNUMBER(K84),'Sheet1-指标体系'!$G$5,0)+IF(ISNUMBER(L84),'Sheet1-指标体系'!$G$6,0)),2))</x:f>
        <x:v>75.71</x:v>
      </x:c>
      <x:c r="AM84" s="52" t="n">
        <x:f>IF(COUNT(Q84,R84,W84,X84)=0,"",ROUND((IF(ISNUMBER(Q84),Q84*'Sheet1-指标体系'!$G$7*'Sheet1-指标体系'!$J$8,0)+IF(ISNUMBER(R84),R84*'Sheet1-指标体系'!$G$7*'Sheet1-指标体系'!$J$9,0)+IF(ISNUMBER(W84),W84*'Sheet1-指标体系'!$G$8*'Sheet1-指标体系'!$J$8,0)+IF(ISNUMBER(X84),X84*'Sheet1-指标体系'!$G$8*'Sheet1-指标体系'!$J$9,0))/(IF(ISNUMBER(Q84),'Sheet1-指标体系'!$G$7*'Sheet1-指标体系'!$J$8,0)+IF(ISNUMBER(R84),'Sheet1-指标体系'!$G$7*'Sheet1-指标体系'!$J$9,0)+IF(ISNUMBER(W84),'Sheet1-指标体系'!$G$8*'Sheet1-指标体系'!$J$8,0)+IF(ISNUMBER(X84),'Sheet1-指标体系'!$G$8*'Sheet1-指标体系'!$J$9,0)),2))</x:f>
        <x:v>54.85</x:v>
      </x:c>
      <x:c r="AN84" s="52" t="n">
        <x:f>IF(ISNUMBER(AC84),AC84,"")</x:f>
        <x:v>91.38</x:v>
      </x:c>
      <x:c r="AO84" s="52" t="n">
        <x:f>IF(COUNT(AG84,AH84)=0,"",ROUND((IF(ISNUMBER(AG84),AG84*'Sheet1-指标体系'!$G$10*'Sheet1-指标体系'!$J$8,0)+IF(ISNUMBER(AH84),AH84*'Sheet1-指标体系'!$G$10*'Sheet1-指标体系'!$J$9,0))/(IF(ISNUMBER(AG84),'Sheet1-指标体系'!$G$10*'Sheet1-指标体系'!$J$8,0)+IF(ISNUMBER(AH84),'Sheet1-指标体系'!$G$10*'Sheet1-指标体系'!$J$9,0)),2))</x:f>
        <x:v>78.18</x:v>
      </x:c>
      <x:c r="AP84" s="52" t="n">
        <x:f>IF(ISNUMBER(AK84),AK84,"")</x:f>
        <x:v>100</x:v>
      </x:c>
      <x:c r="AQ84" s="27" t="n">
        <x:f>IF(G84&lt;&gt;"入池",0,IF(ISNUMBER(I84),'Sheet1-指标体系'!$G$4,0)+IF(ISNUMBER(K84),'Sheet1-指标体系'!$G$5,0)+IF(ISNUMBER(L84),'Sheet1-指标体系'!$G$6,0)+IF(ISNUMBER(Q84),'Sheet1-指标体系'!$G$7*'Sheet1-指标体系'!$J$8,0)+IF(ISNUMBER(R84),'Sheet1-指标体系'!$G$7*'Sheet1-指标体系'!$J$9,0)+IF(ISNUMBER(W84),'Sheet1-指标体系'!$G$8*'Sheet1-指标体系'!$J$8,0)+IF(ISNUMBER(X84),'Sheet1-指标体系'!$G$8*'Sheet1-指标体系'!$J$9,0)+IF(ISNUMBER(AC84),'Sheet1-指标体系'!$G$9,0)+IF(ISNUMBER(AG84),'Sheet1-指标体系'!$G$10*'Sheet1-指标体系'!$J$8,0)+IF(ISNUMBER(AH84),'Sheet1-指标体系'!$G$10*'Sheet1-指标体系'!$J$9,0)+IF(ISNUMBER(AK84),'Sheet1-指标体系'!$G$11,0))</x:f>
        <x:v>0.8109999999999998</x:v>
      </x:c>
      <x:c r="AR84" s="52" t="n">
        <x:f>IF(AQ84=0,"",IF(ISNUMBER(I84),I84*'Sheet1-指标体系'!$G$4,0)+IF(ISNUMBER(K84),K84*'Sheet1-指标体系'!$G$5,0)+IF(ISNUMBER(L84),L84*'Sheet1-指标体系'!$G$6,0)+IF(ISNUMBER(Q84),Q84*'Sheet1-指标体系'!$G$7*'Sheet1-指标体系'!$J$8,0)+IF(ISNUMBER(R84),R84*'Sheet1-指标体系'!$G$7*'Sheet1-指标体系'!$J$9,0)+IF(ISNUMBER(W84),W84*'Sheet1-指标体系'!$G$8*'Sheet1-指标体系'!$J$8,0)+IF(ISNUMBER(X84),X84*'Sheet1-指标体系'!$G$8*'Sheet1-指标体系'!$J$9,0)+IF(ISNUMBER(AC84),AC84*'Sheet1-指标体系'!$G$9,0)+IF(ISNUMBER(AG84),AG84*'Sheet1-指标体系'!$G$10*'Sheet1-指标体系'!$J$8,0)+IF(ISNUMBER(AH84),AH84*'Sheet1-指标体系'!$G$10*'Sheet1-指标体系'!$J$9,0)+IF(ISNUMBER(AK84),AK84*'Sheet1-指标体系'!$G$11,0))</x:f>
        <x:v>64.52144</x:v>
      </x:c>
      <x:c r="AS84" s="52" t="n">
        <x:f>IF(AQ84=0,"",ROUND(AR84/AQ84,2))</x:f>
        <x:v>79.56</x:v>
      </x:c>
      <x:c r="AT84" s="49" t="n">
        <x:f>IF(OR(G84&lt;&gt;"入池",NOT(ISNUMBER(AS84))),"",COUNTIFS($G$17:$G$99,"入池",$AS$17:$AS$99,"&gt;"&amp;AS84)+COUNTIFS($G$17:$G$99,"入池",$AS$17:$AS$99,AS84,$AQ$17:$AQ$99,"&gt;"&amp;AQ84)+COUNTIFS($G$17:G84,"入池",$AS$17:AS84,AS84,$AQ$17:AQ84,AQ84))</x:f>
        <x:v>27</x:v>
      </x:c>
      <x:c r="AU84" s="53" t="str">
        <x:f>IF(NOT(ISNUMBER(I84)),"管理人规模；","")&amp;IF(NOT(ISNUMBER(K84)),"产品规模标识；","")&amp;IF(NOT(ISNUMBER(M84)),"近一年收益；","")&amp;IF(NOT(ISNUMBER(T84)),"近一年胜率；","")&amp;IF(NOT(ISNUMBER(N84)),"近三年收益；","")&amp;IF(NOT(ISNUMBER(U84)),"近三年胜率；","")&amp;IF(NOT(ISNUMBER(AA84)),"近三年回撤；","")&amp;IF(NOT(ISNUMBER(AD84)),"近一年卡玛；","")&amp;IF(ISNUMBER(F84),IF(AND(F84&lt;'Sheet1-指标体系'!$J$16,NOT(ISNUMBER(O84))),"成立以来年化；",""),"成立日期；")&amp;IF(ISNUMBER(V84),IF(OR(V84&lt;0,V84&gt;1),"胜率窗口口径不一致；",""),"")&amp;IF(ISNUMBER(P84),IF(NOT(ISNUMBER(AE84)),"DD_long不可识别；",""),"")</x:f>
        <x:v>产品规模标识；近三年收益；近三年胜率；近三年回撤；DD_long不可识别；</x:v>
      </x:c>
      <x:c r="AV84" s="52" t="str">
        <x:f>IF(ROUND(AQ84,10)=ROUND('Sheet1-指标体系'!$J$25,10),AR84,"")</x:f>
      </x:c>
      <x:c r="AW84" s="14" t="str">
        <x:f>IF(G84&lt;&gt;"入池",G84,IF(AQ84=0,"无有效评分数据",IF(ROUND(AQ84,10)=ROUND('Sheet1-指标体系'!$J$25,10),"完整赋分", "暂定分／数据不完整")))</x:f>
        <x:v>暂定分／数据不完整</x:v>
      </x:c>
      <x:c r="AX84" s="45" t="str">
        <x:f>IF('Sheet4-原始数据'!C69="","",'Sheet4-原始数据'!C69)</x:f>
        <x:v>套利策略</x:v>
      </x:c>
      <x:c r="AY84" s="45" t="str">
        <x:f>IF('Sheet4-原始数据'!D69="","",'Sheet4-原始数据'!D69)</x:f>
        <x:v>可转债套利</x:v>
      </x:c>
      <x:c r="AZ84" s="45" t="str">
        <x:f>IF('Sheet5-查询核对'!S69="","",'Sheet5-查询核对'!S69)</x:f>
        <x:v>套利策略—可转债套利</x:v>
      </x:c>
      <x:c r="BA84" s="51" t="n">
        <x:f>IF('Sheet5-查询核对'!A69="","",'Sheet5-查询核对'!A69)</x:f>
        <x:v>69</x:v>
      </x:c>
      <x:c r="BB84" s="45" t="str">
        <x:f>IF('Sheet5-查询核对'!F69="","",'Sheet5-查询核对'!F69)</x:f>
        <x:v>备案号匹配</x:v>
      </x:c>
      <x:c r="BC84" s="50" t="str">
        <x:f>IF('Sheet5-查询核对'!I69="","",'Sheet5-查询核对'!I69)</x:f>
        <x:v>https://mp.fof99.com/fund/view/8177b794c749fb2a</x:v>
      </x:c>
      <x:c r="BD84" s="46" t="n">
        <x:f>IF('Sheet5-查询核对'!H69="","",'Sheet5-查询核对'!H69)</x:f>
        <x:v>46269</x:v>
      </x:c>
      <x:c r="BE84" s="50" t="str">
        <x:f>IF('Sheet5-查询核对'!L69="","",'Sheet5-查询核对'!L69)</x:f>
        <x:v>https://mp.fof99.com/fund/view/8177b794c749fb2a</x:v>
      </x:c>
      <x:c r="BF84" s="46" t="n">
        <x:f>IF('Sheet5-查询核对'!M69="","",'Sheet5-查询核对'!M69)</x:f>
        <x:v>46275</x:v>
      </x:c>
      <x:c r="BG84" s="50" t="str">
        <x:f>IF('Sheet5-查询核对'!O69="","",'Sheet5-查询核对'!O69)</x:f>
      </x:c>
      <x:c r="BH84" s="46" t="str">
        <x:f>IF('Sheet5-查询核对'!P69="","",'Sheet5-查询核对'!P69)</x:f>
      </x:c>
      <x:c r="BI84" s="45" t="str">
        <x:f>IF('Sheet5-查询核对'!D69="","",'Sheet5-查询核对'!D69)</x:f>
        <x:v>AKV28A</x:v>
      </x:c>
      <x:c r="BJ84" t="n">
        <x:f>IF(ISNUMBER(AT84),AT84,COUNT($AT$17:$AT$99)+ROWS($AT$17:AT84)-COUNT($AT$17:AT84))</x:f>
        <x:v>27</x:v>
      </x:c>
    </x:row>
    <x:row r="85" ht="44" customHeight="1">
      <x:c r="A85" s="49" t="n">
        <x:f>'Sheet5-查询核对'!A70-1</x:f>
        <x:v>69</x:v>
      </x:c>
      <x:c r="B85" s="50" t="str">
        <x:f>IF('Sheet4-原始数据'!A70="",'Sheet5-查询核对'!B70,'Sheet4-原始数据'!A70)</x:f>
        <x:v>永泉奇点17号混合投资</x:v>
      </x:c>
      <x:c r="C85" s="45" t="str">
        <x:f>IF('Sheet4-原始数据'!B70="","",'Sheet4-原始数据'!B70)</x:f>
        <x:v>SNG016</x:v>
      </x:c>
      <x:c r="D85" s="45" t="str">
        <x:f>IF('Sheet4-原始数据'!E70="","",'Sheet4-原始数据'!E70)</x:f>
        <x:v>宁波永泉</x:v>
      </x:c>
      <x:c r="E85" s="46" t="n">
        <x:f>IF('Sheet4-原始数据'!F70="","",'Sheet4-原始数据'!F70)</x:f>
        <x:v>44155</x:v>
      </x:c>
      <x:c r="F85" s="52" t="n">
        <x:f>IF(ISNUMBER(E85),ROUND(('Sheet1-指标体系'!$J$12-E85)/'Sheet1-指标体系'!$J$14,4),"")</x:f>
        <x:v>5.8042</x:v>
      </x:c>
      <x:c r="G85" s="14" t="str">
        <x:f>IF(C85="","未匹配",IF(NOT(ISNUMBER(F85)),"缺成立日期",IF(F85&lt;'Sheet1-指标体系'!$J$15,"不入池","入池")))</x:f>
        <x:v>入池</x:v>
      </x:c>
      <x:c r="H85" s="45" t="str">
        <x:f>IF('Sheet5-查询核对'!K70="","",'Sheet5-查询核对'!K70)</x:f>
        <x:v>0-5亿元</x:v>
      </x:c>
      <x:c r="I85" s="52" t="n">
        <x:f>IF(H85="","",IF(COUNTIF('Sheet1-指标体系'!$P$4:$P$10,H85)=0,"",INDEX('Sheet1-指标体系'!$Q$4:$Q$10,MATCH(H85,'Sheet1-指标体系'!$P$4:$P$10,0))))</x:f>
        <x:v>60</x:v>
      </x:c>
      <x:c r="J85" s="54" t="str">
        <x:f>IF(NOT(ISNUMBER('Sheet5-查询核对'!N70)),"",IF('Sheet5-查询核对'!N70=1,"低于"&amp;'Sheet1-指标体系'!$J$4&amp;"万元",IF('Sheet5-查询核对'!N70=0,"无低于"&amp;'Sheet1-指标体系'!$J$4&amp;"万元标识","")))</x:f>
        <x:v>无低于1000万元标识</x:v>
      </x:c>
      <x:c r="K85" s="52" t="n">
        <x:f>IF(NOT(ISNUMBER('Sheet5-查询核对'!N70)),"",IF('Sheet5-查询核对'!N70=1,'Sheet1-指标体系'!$J$21,IF('Sheet5-查询核对'!N70=0,'Sheet1-指标体系'!$J$18,"")))</x:f>
        <x:v>100</x:v>
      </x:c>
      <x:c r="L85" s="52" t="n">
        <x:f>IF(NOT(ISNUMBER(F85)),"",IF(F85&lt;'Sheet1-指标体系'!$J$15,"",IF(F85&lt;'Sheet1-指标体系'!$J$16,'Sheet1-指标体系'!$J$17,'Sheet1-指标体系'!$J$18)))</x:f>
        <x:v>100</x:v>
      </x:c>
      <x:c r="M85" s="47" t="n">
        <x:f>IF(ISNUMBER('Sheet4-原始数据'!G70),'Sheet4-原始数据'!G70,"")</x:f>
        <x:v>0.0553</x:v>
      </x:c>
      <x:c r="N85" s="47" t="n">
        <x:f>IF(ISNUMBER('Sheet4-原始数据'!H70),'Sheet4-原始数据'!H70,"")</x:f>
        <x:v>0.1192</x:v>
      </x:c>
      <x:c r="O85" s="47" t="n">
        <x:f>IF(ISNUMBER('Sheet5-查询核对'!Q70),'Sheet5-查询核对'!Q70,"")</x:f>
        <x:v>0.09480000000000001</x:v>
      </x:c>
      <x:c r="P85" s="44" t="n">
        <x:f>IF($G85&lt;&gt;"入池","",IF($F85&gt;='Sheet1-指标体系'!$J$16,IF(COUNT(M85,N85)&lt;&gt;2,"",IF(OR(1+M85&lt;=0,1+N85&lt;0),"",((1+N85)^'Sheet1-指标体系'!$J$16/(1+M85))^(1/('Sheet1-指标体系'!$J$16-'Sheet1-指标体系'!$J$15))-1)),IF(COUNT(M85,O85)&lt;&gt;2,"",IF(OR(F85&lt;='Sheet1-指标体系'!$J$15,1+M85&lt;=0,1+O85&lt;0),"",((1+O85)^F85/(1+M85))^(1/(F85-'Sheet1-指标体系'!$J$15))-1))))</x:f>
        <x:v>0.15258664511534525</x:v>
      </x:c>
      <x:c r="Q85" s="52" t="n">
        <x:f>IF(OR($G85&lt;&gt;"入池",NOT(ISNUMBER(M85))),"",IF(COUNTIFS($G$17:$G$99,"入池",$M$17:$M$99,"&gt;=-1E+307",$M$17:$M$99,"&lt;=1E+307")&lt;=1,'Sheet1-指标体系'!$J$18,ROUND('Sheet1-指标体系'!$J$18*(COUNTIFS($G$17:$G$99,"入池",$M$17:$M$99,"&gt;=-1E+307",$M$17:$M$99,"&lt;"&amp;M85)+COUNTIFS($G$17:$G$99,"入池",$M$17:$M$99,"&gt;=-1E+307",$M$17:$M$99,"&lt;=1E+307",$M$17:$M$99,M85)/2-0.5)/(COUNTIFS($G$17:$G$99,"入池",$M$17:$M$99,"&gt;=-1E+307",$M$17:$M$99,"&lt;=1E+307")-1),2)))</x:f>
        <x:v>23.21</x:v>
      </x:c>
      <x:c r="R85" s="52" t="n">
        <x:f>IF(OR($G85&lt;&gt;"入池",NOT(ISNUMBER(P85))),"",IF(COUNTIFS($G$17:$G$99,"入池",$P$17:$P$99,"&gt;=-1E+307",$P$17:$P$99,"&lt;=1E+307")&lt;=1,'Sheet1-指标体系'!$J$18,ROUND('Sheet1-指标体系'!$J$18*(COUNTIFS($G$17:$G$99,"入池",$P$17:$P$99,"&gt;=-1E+307",$P$17:$P$99,"&lt;"&amp;P85)+COUNTIFS($G$17:$G$99,"入池",$P$17:$P$99,"&gt;=-1E+307",$P$17:$P$99,"&lt;=1E+307",$P$17:$P$99,P85)/2-0.5)/(COUNTIFS($G$17:$G$99,"入池",$P$17:$P$99,"&gt;=-1E+307",$P$17:$P$99,"&lt;=1E+307")-1),2)))</x:f>
        <x:v>87.04</x:v>
      </x:c>
      <x:c r="S85" s="52" t="n">
        <x:f>IF(COUNT(Q85,R85)=0,"",ROUND((IF(ISNUMBER(Q85),Q85*'Sheet1-指标体系'!$G$7*'Sheet1-指标体系'!$J$8,0)+IF(ISNUMBER(R85),R85*'Sheet1-指标体系'!$G$7*'Sheet1-指标体系'!$J$9,0))/(IF(ISNUMBER(Q85),'Sheet1-指标体系'!$G$7*'Sheet1-指标体系'!$J$8,0)+IF(ISNUMBER(R85),'Sheet1-指标体系'!$G$7*'Sheet1-指标体系'!$J$9,0)),2))</x:f>
        <x:v>48.74</x:v>
      </x:c>
      <x:c r="T85" s="47" t="n">
        <x:f>IF(ISNUMBER('Sheet4-原始数据'!J70),'Sheet4-原始数据'!J70,"")</x:f>
        <x:v>0.8462000000000001</x:v>
      </x:c>
      <x:c r="U85" s="47" t="n">
        <x:f>IF(ISNUMBER('Sheet4-原始数据'!I70),'Sheet4-原始数据'!I70,"")</x:f>
        <x:v>0.8108</x:v>
      </x:c>
      <x:c r="V85" s="44" t="n">
        <x:f>IF(COUNT(T85:U85)&lt;&gt;2,"",(U85*'Sheet1-指标体系'!$J$6-T85*'Sheet1-指标体系'!$J$5)/'Sheet1-指标体系'!$J$7)</x:f>
        <x:v>0.7916249999999998</x:v>
      </x:c>
      <x:c r="W85" s="52" t="n">
        <x:f>IF(NOT(ISNUMBER(T85)),"",T85*'Sheet1-指标体系'!$J$18)</x:f>
        <x:v>84.62</x:v>
      </x:c>
      <x:c r="X85" s="52" t="n">
        <x:f>IF(G85&lt;&gt;"入池","",IF(ISNUMBER(V85),IF(AND(V85&gt;=0,V85&lt;=1),V85*'Sheet1-指标体系'!$J$18,IF(MAX(0,(F85-'Sheet1-指标体系'!$J$15)*'Sheet1-指标体系'!$J$20)&lt;'Sheet1-指标体系'!$J$19,'Sheet1-指标体系'!$J$18,"")),IF(MAX(0,(F85-'Sheet1-指标体系'!$J$15)*'Sheet1-指标体系'!$J$20)&lt;'Sheet1-指标体系'!$J$19,'Sheet1-指标体系'!$J$18,"")))</x:f>
        <x:v>79.16249999999998</x:v>
      </x:c>
      <x:c r="Y85" s="52" t="n">
        <x:f>IF(NOT(ISNUMBER(W85)),"",IF(COUNT(W85,X85)=0,"",ROUND((IF(ISNUMBER(W85),W85*'Sheet1-指标体系'!$G$8*'Sheet1-指标体系'!$J$8,0)+IF(ISNUMBER(X85),X85*'Sheet1-指标体系'!$G$8*'Sheet1-指标体系'!$J$9,0))/(IF(ISNUMBER(W85),'Sheet1-指标体系'!$G$8*'Sheet1-指标体系'!$J$8,0)+IF(ISNUMBER(X85),'Sheet1-指标体系'!$G$8*'Sheet1-指标体系'!$J$9,0)),2)))</x:f>
        <x:v>82.44</x:v>
      </x:c>
      <x:c r="Z85" s="44" t="n">
        <x:f>IF(COUNT(M85,AD85)&lt;&gt;2,"",IF(AD85=0,"",ABS(M85/AD85)))</x:f>
        <x:v>0.0036619606388896245</x:v>
      </x:c>
      <x:c r="AA85" s="47" t="n">
        <x:f>IF(ISNUMBER('Sheet4-原始数据'!K70),'Sheet4-原始数据'!K70,"")</x:f>
        <x:v>0.0108</x:v>
      </x:c>
      <x:c r="AB85" s="44" t="n">
        <x:f>IF(COUNT(Z85:AA85)=0,"",MAX(Z85:AA85))</x:f>
        <x:v>0.0108</x:v>
      </x:c>
      <x:c r="AC85" s="52" t="n">
        <x:f>IF(OR($G85&lt;&gt;"入池",NOT(ISNUMBER(AB85))),"",IF(COUNTIFS($G$17:$G$99,"入池",$AB$17:$AB$99,"&gt;=-1E+307",$AB$17:$AB$99,"&lt;=1E+307")&lt;=1,'Sheet1-指标体系'!$J$18,ROUND('Sheet1-指标体系'!$J$18*(COUNTIFS($G$17:$G$99,"入池",$AB$17:$AB$99,"&lt;=1E+307",$AB$17:$AB$99,"&gt;"&amp;AB85)+COUNTIFS($G$17:$G$99,"入池",$AB$17:$AB$99,"&gt;=-1E+307",$AB$17:$AB$99,"&lt;=1E+307",$AB$17:$AB$99,AB85)/2-0.5)/(COUNTIFS($G$17:$G$99,"入池",$AB$17:$AB$99,"&gt;=-1E+307",$AB$17:$AB$99,"&lt;=1E+307")-1),2)))</x:f>
        <x:v>74.14</x:v>
      </x:c>
      <x:c r="AD85" s="48" t="n">
        <x:f>IF(ISNUMBER('Sheet4-原始数据'!M70),'Sheet4-原始数据'!M70,"")</x:f>
        <x:v>15.1012</x:v>
      </x:c>
      <x:c r="AE85" s="44" t="n">
        <x:f>IF(COUNT(P85,AA85,Z85)&lt;&gt;3,"",IF(AA85&gt;Z85+'Sheet1-指标体系'!$J$11,AA85,""))</x:f>
        <x:v>0.0108</x:v>
      </x:c>
      <x:c r="AF85" s="52" t="n">
        <x:f>IF(COUNT(P85,AE85)&lt;&gt;2,"",IF(AE85=0,"",P85/AE85))</x:f>
        <x:v>14.12839306623567</x:v>
      </x:c>
      <x:c r="AG85" s="52" t="n">
        <x:f>IF(OR($G85&lt;&gt;"入池",NOT(ISNUMBER(AD85))),"",IF(COUNTIFS($G$17:$G$99,"入池",$AD$17:$AD$99,"&gt;=-1E+307",$AD$17:$AD$99,"&lt;=1E+307")&lt;=1,'Sheet1-指标体系'!$J$18,ROUND('Sheet1-指标体系'!$J$18*(COUNTIFS($G$17:$G$99,"入池",$AD$17:$AD$99,"&gt;=-1E+307",$AD$17:$AD$99,"&lt;"&amp;AD85)+COUNTIFS($G$17:$G$99,"入池",$AD$17:$AD$99,"&gt;=-1E+307",$AD$17:$AD$99,"&lt;=1E+307",$AD$17:$AD$99,AD85)/2-0.5)/(COUNTIFS($G$17:$G$99,"入池",$AD$17:$AD$99,"&gt;=-1E+307",$AD$17:$AD$99,"&lt;=1E+307")-1),2)))</x:f>
        <x:v>72.73</x:v>
      </x:c>
      <x:c r="AH85" s="52" t="n">
        <x:f>IF(OR($G85&lt;&gt;"入池",NOT(ISNUMBER(AF85))),"",IF(COUNTIFS($G$17:$G$99,"入池",$AF$17:$AF$99,"&gt;=-1E+307",$AF$17:$AF$99,"&lt;=1E+307")&lt;=1,'Sheet1-指标体系'!$J$18,ROUND('Sheet1-指标体系'!$J$18*(COUNTIFS($G$17:$G$99,"入池",$AF$17:$AF$99,"&gt;=-1E+307",$AF$17:$AF$99,"&lt;"&amp;AF85)+COUNTIFS($G$17:$G$99,"入池",$AF$17:$AF$99,"&gt;=-1E+307",$AF$17:$AF$99,"&lt;=1E+307",$AF$17:$AF$99,AF85)/2-0.5)/(COUNTIFS($G$17:$G$99,"入池",$AF$17:$AF$99,"&gt;=-1E+307",$AF$17:$AF$99,"&lt;=1E+307")-1),2)))</x:f>
        <x:v>92.86</x:v>
      </x:c>
      <x:c r="AI85" s="52" t="n">
        <x:f>IF(COUNT(AG85,AH85)=0,"",ROUND((IF(ISNUMBER(AG85),AG85*'Sheet1-指标体系'!$G$10*'Sheet1-指标体系'!$J$8,0)+IF(ISNUMBER(AH85),AH85*'Sheet1-指标体系'!$G$10*'Sheet1-指标体系'!$J$9,0))/(IF(ISNUMBER(AG85),'Sheet1-指标体系'!$G$10*'Sheet1-指标体系'!$J$8,0)+IF(ISNUMBER(AH85),'Sheet1-指标体系'!$G$10*'Sheet1-指标体系'!$J$9,0)),2))</x:f>
        <x:v>80.78</x:v>
      </x:c>
      <x:c r="AJ85" s="44" t="n">
        <x:f>IF(NOT(ISNUMBER(F85)),"",IF(F85&gt;='Sheet1-指标体系'!$J$16,IF(ISNUMBER(N85),N85,""),IF(ISNUMBER(O85),O85,"")))</x:f>
        <x:v>0.1192</x:v>
      </x:c>
      <x:c r="AK85" s="52" t="n">
        <x:f>IF(OR(G85&lt;&gt;"入池",COUNT(M85,AJ85)&lt;&gt;2),"",IF(M85&gt;=AJ85,'Sheet1-指标体系'!$J$18,IF(AJ85-M85&lt;'Sheet1-指标体系'!$J$10,'Sheet1-指标体系'!$J$22,'Sheet1-指标体系'!$J$23)))</x:f>
        <x:v>80</x:v>
      </x:c>
      <x:c r="AL85" s="52" t="n">
        <x:f>IF(COUNT(I85,K85,L85)=0,"",ROUND((IF(ISNUMBER(I85),I85*'Sheet1-指标体系'!$G$4,0)+IF(ISNUMBER(K85),K85*'Sheet1-指标体系'!$G$5,0)+IF(ISNUMBER(L85),L85*'Sheet1-指标体系'!$G$6,0))/(IF(ISNUMBER(I85),'Sheet1-指标体系'!$G$4,0)+IF(ISNUMBER(K85),'Sheet1-指标体系'!$G$5,0)+IF(ISNUMBER(L85),'Sheet1-指标体系'!$G$6,0)),2))</x:f>
        <x:v>84</x:v>
      </x:c>
      <x:c r="AM85" s="52" t="n">
        <x:f>IF(COUNT(Q85,R85,W85,X85)=0,"",ROUND((IF(ISNUMBER(Q85),Q85*'Sheet1-指标体系'!$G$7*'Sheet1-指标体系'!$J$8,0)+IF(ISNUMBER(R85),R85*'Sheet1-指标体系'!$G$7*'Sheet1-指标体系'!$J$9,0)+IF(ISNUMBER(W85),W85*'Sheet1-指标体系'!$G$8*'Sheet1-指标体系'!$J$8,0)+IF(ISNUMBER(X85),X85*'Sheet1-指标体系'!$G$8*'Sheet1-指标体系'!$J$9,0))/(IF(ISNUMBER(Q85),'Sheet1-指标体系'!$G$7*'Sheet1-指标体系'!$J$8,0)+IF(ISNUMBER(R85),'Sheet1-指标体系'!$G$7*'Sheet1-指标体系'!$J$9,0)+IF(ISNUMBER(W85),'Sheet1-指标体系'!$G$8*'Sheet1-指标体系'!$J$8,0)+IF(ISNUMBER(X85),'Sheet1-指标体系'!$G$8*'Sheet1-指标体系'!$J$9,0)),2))</x:f>
        <x:v>58.85</x:v>
      </x:c>
      <x:c r="AN85" s="52" t="n">
        <x:f>IF(ISNUMBER(AC85),AC85,"")</x:f>
        <x:v>74.14</x:v>
      </x:c>
      <x:c r="AO85" s="52" t="n">
        <x:f>IF(COUNT(AG85,AH85)=0,"",ROUND((IF(ISNUMBER(AG85),AG85*'Sheet1-指标体系'!$G$10*'Sheet1-指标体系'!$J$8,0)+IF(ISNUMBER(AH85),AH85*'Sheet1-指标体系'!$G$10*'Sheet1-指标体系'!$J$9,0))/(IF(ISNUMBER(AG85),'Sheet1-指标体系'!$G$10*'Sheet1-指标体系'!$J$8,0)+IF(ISNUMBER(AH85),'Sheet1-指标体系'!$G$10*'Sheet1-指标体系'!$J$9,0)),2))</x:f>
        <x:v>80.78</x:v>
      </x:c>
      <x:c r="AP85" s="52" t="n">
        <x:f>IF(ISNUMBER(AK85),AK85,"")</x:f>
        <x:v>80</x:v>
      </x:c>
      <x:c r="AQ85" s="27" t="n">
        <x:f>IF(G85&lt;&gt;"入池",0,IF(ISNUMBER(I85),'Sheet1-指标体系'!$G$4,0)+IF(ISNUMBER(K85),'Sheet1-指标体系'!$G$5,0)+IF(ISNUMBER(L85),'Sheet1-指标体系'!$G$6,0)+IF(ISNUMBER(Q85),'Sheet1-指标体系'!$G$7*'Sheet1-指标体系'!$J$8,0)+IF(ISNUMBER(R85),'Sheet1-指标体系'!$G$7*'Sheet1-指标体系'!$J$9,0)+IF(ISNUMBER(W85),'Sheet1-指标体系'!$G$8*'Sheet1-指标体系'!$J$8,0)+IF(ISNUMBER(X85),'Sheet1-指标体系'!$G$8*'Sheet1-指标体系'!$J$9,0)+IF(ISNUMBER(AC85),'Sheet1-指标体系'!$G$9,0)+IF(ISNUMBER(AG85),'Sheet1-指标体系'!$G$10*'Sheet1-指标体系'!$J$8,0)+IF(ISNUMBER(AH85),'Sheet1-指标体系'!$G$10*'Sheet1-指标体系'!$J$9,0)+IF(ISNUMBER(AK85),'Sheet1-指标体系'!$G$11,0))</x:f>
        <x:v>1</x:v>
      </x:c>
      <x:c r="AR85" s="52" t="n">
        <x:f>IF(AQ85=0,"",IF(ISNUMBER(I85),I85*'Sheet1-指标体系'!$G$4,0)+IF(ISNUMBER(K85),K85*'Sheet1-指标体系'!$G$5,0)+IF(ISNUMBER(L85),L85*'Sheet1-指标体系'!$G$6,0)+IF(ISNUMBER(Q85),Q85*'Sheet1-指标体系'!$G$7*'Sheet1-指标体系'!$J$8,0)+IF(ISNUMBER(R85),R85*'Sheet1-指标体系'!$G$7*'Sheet1-指标体系'!$J$9,0)+IF(ISNUMBER(W85),W85*'Sheet1-指标体系'!$G$8*'Sheet1-指标体系'!$J$8,0)+IF(ISNUMBER(X85),X85*'Sheet1-指标体系'!$G$8*'Sheet1-指标体系'!$J$9,0)+IF(ISNUMBER(AC85),AC85*'Sheet1-指标体系'!$G$9,0)+IF(ISNUMBER(AG85),AG85*'Sheet1-指标体系'!$G$10*'Sheet1-指标体系'!$J$8,0)+IF(ISNUMBER(AH85),AH85*'Sheet1-指标体系'!$G$10*'Sheet1-指标体系'!$J$9,0)+IF(ISNUMBER(AK85),AK85*'Sheet1-指标体系'!$G$11,0))</x:f>
        <x:v>75.1397</x:v>
      </x:c>
      <x:c r="AS85" s="52" t="n">
        <x:f>IF(AQ85=0,"",ROUND(AR85/AQ85,2))</x:f>
        <x:v>75.14</x:v>
      </x:c>
      <x:c r="AT85" s="49" t="n">
        <x:f>IF(OR(G85&lt;&gt;"入池",NOT(ISNUMBER(AS85))),"",COUNTIFS($G$17:$G$99,"入池",$AS$17:$AS$99,"&gt;"&amp;AS85)+COUNTIFS($G$17:$G$99,"入池",$AS$17:$AS$99,AS85,$AQ$17:$AQ$99,"&gt;"&amp;AQ85)+COUNTIFS($G$17:G85,"入池",$AS$17:AS85,AS85,$AQ$17:AQ85,AQ85))</x:f>
        <x:v>34</x:v>
      </x:c>
      <x:c r="AU85" s="53" t="str">
        <x:f>IF(NOT(ISNUMBER(I85)),"管理人规模；","")&amp;IF(NOT(ISNUMBER(K85)),"产品规模标识；","")&amp;IF(NOT(ISNUMBER(M85)),"近一年收益；","")&amp;IF(NOT(ISNUMBER(T85)),"近一年胜率；","")&amp;IF(NOT(ISNUMBER(N85)),"近三年收益；","")&amp;IF(NOT(ISNUMBER(U85)),"近三年胜率；","")&amp;IF(NOT(ISNUMBER(AA85)),"近三年回撤；","")&amp;IF(NOT(ISNUMBER(AD85)),"近一年卡玛；","")&amp;IF(ISNUMBER(F85),IF(AND(F85&lt;'Sheet1-指标体系'!$J$16,NOT(ISNUMBER(O85))),"成立以来年化；",""),"成立日期；")&amp;IF(ISNUMBER(V85),IF(OR(V85&lt;0,V85&gt;1),"胜率窗口口径不一致；",""),"")&amp;IF(ISNUMBER(P85),IF(NOT(ISNUMBER(AE85)),"DD_long不可识别；",""),"")</x:f>
      </x:c>
      <x:c r="AV85" s="52" t="n">
        <x:f>IF(ROUND(AQ85,10)=ROUND('Sheet1-指标体系'!$J$25,10),AR85,"")</x:f>
        <x:v>75.1397</x:v>
      </x:c>
      <x:c r="AW85" s="14" t="str">
        <x:f>IF(G85&lt;&gt;"入池",G85,IF(AQ85=0,"无有效评分数据",IF(ROUND(AQ85,10)=ROUND('Sheet1-指标体系'!$J$25,10),"完整赋分", "暂定分／数据不完整")))</x:f>
        <x:v>完整赋分</x:v>
      </x:c>
      <x:c r="AX85" s="45" t="str">
        <x:f>IF('Sheet4-原始数据'!C70="","",'Sheet4-原始数据'!C70)</x:f>
        <x:v>套利策略</x:v>
      </x:c>
      <x:c r="AY85" s="45" t="str">
        <x:f>IF('Sheet4-原始数据'!D70="","",'Sheet4-原始数据'!D70)</x:f>
        <x:v>期货套利</x:v>
      </x:c>
      <x:c r="AZ85" s="45" t="str">
        <x:f>IF('Sheet5-查询核对'!S70="","",'Sheet5-查询核对'!S70)</x:f>
        <x:v>套利策略—期货套利</x:v>
      </x:c>
      <x:c r="BA85" s="51" t="n">
        <x:f>IF('Sheet5-查询核对'!A70="","",'Sheet5-查询核对'!A70)</x:f>
        <x:v>70</x:v>
      </x:c>
      <x:c r="BB85" s="45" t="str">
        <x:f>IF('Sheet5-查询核对'!F70="","",'Sheet5-查询核对'!F70)</x:f>
        <x:v>备案号匹配</x:v>
      </x:c>
      <x:c r="BC85" s="50" t="str">
        <x:f>IF('Sheet5-查询核对'!I70="","",'Sheet5-查询核对'!I70)</x:f>
        <x:v>https://mp.fof99.com/fund/view/12b6e6dc40e0626c</x:v>
      </x:c>
      <x:c r="BD85" s="46" t="n">
        <x:f>IF('Sheet5-查询核对'!H70="","",'Sheet5-查询核对'!H70)</x:f>
        <x:v>46269</x:v>
      </x:c>
      <x:c r="BE85" s="50" t="str">
        <x:f>IF('Sheet5-查询核对'!L70="","",'Sheet5-查询核对'!L70)</x:f>
        <x:v>https://mp.fof99.com/fund/view/12b6e6dc40e0626c</x:v>
      </x:c>
      <x:c r="BF85" s="46" t="n">
        <x:f>IF('Sheet5-查询核对'!M70="","",'Sheet5-查询核对'!M70)</x:f>
        <x:v>46275</x:v>
      </x:c>
      <x:c r="BG85" s="50" t="str">
        <x:f>IF('Sheet5-查询核对'!O70="","",'Sheet5-查询核对'!O70)</x:f>
        <x:v>https://gs.amac.org.cn/amac-infodisc/res/pof/fund/2011301715100423.html</x:v>
      </x:c>
      <x:c r="BH85" s="46" t="n">
        <x:f>IF('Sheet5-查询核对'!P70="","",'Sheet5-查询核对'!P70)</x:f>
        <x:v>46275</x:v>
      </x:c>
      <x:c r="BI85" s="45" t="str">
        <x:f>IF('Sheet5-查询核对'!D70="","",'Sheet5-查询核对'!D70)</x:f>
        <x:v>SNG016</x:v>
      </x:c>
      <x:c r="BJ85" t="n">
        <x:f>IF(ISNUMBER(AT85),AT85,COUNT($AT$17:$AT$99)+ROWS($AT$17:AT85)-COUNT($AT$17:AT85))</x:f>
        <x:v>34</x:v>
      </x:c>
    </x:row>
    <x:row r="86" ht="44" customHeight="1">
      <x:c r="A86" s="49" t="n">
        <x:f>'Sheet5-查询核对'!A71-1</x:f>
        <x:v>70</x:v>
      </x:c>
      <x:c r="B86" s="50" t="str">
        <x:f>IF('Sheet4-原始数据'!A71="",'Sheet5-查询核对'!B71,'Sheet4-原始数据'!A71)</x:f>
        <x:v>永泉奇点1号混合投资</x:v>
      </x:c>
      <x:c r="C86" s="45" t="str">
        <x:f>IF('Sheet4-原始数据'!B71="","",'Sheet4-原始数据'!B71)</x:f>
        <x:v>SGM299</x:v>
      </x:c>
      <x:c r="D86" s="45" t="str">
        <x:f>IF('Sheet4-原始数据'!E71="","",'Sheet4-原始数据'!E71)</x:f>
        <x:v>宁波永泉</x:v>
      </x:c>
      <x:c r="E86" s="46" t="n">
        <x:f>IF('Sheet4-原始数据'!F71="","",'Sheet4-原始数据'!F71)</x:f>
        <x:v>43585</x:v>
      </x:c>
      <x:c r="F86" s="52" t="n">
        <x:f>IF(ISNUMBER(E86),ROUND(('Sheet1-指标体系'!$J$12-E86)/'Sheet1-指标体系'!$J$14,4),"")</x:f>
        <x:v>7.3648</x:v>
      </x:c>
      <x:c r="G86" s="14" t="str">
        <x:f>IF(C86="","未匹配",IF(NOT(ISNUMBER(F86)),"缺成立日期",IF(F86&lt;'Sheet1-指标体系'!$J$15,"不入池","入池")))</x:f>
        <x:v>入池</x:v>
      </x:c>
      <x:c r="H86" s="45" t="str">
        <x:f>IF('Sheet5-查询核对'!K71="","",'Sheet5-查询核对'!K71)</x:f>
        <x:v>0-5亿元</x:v>
      </x:c>
      <x:c r="I86" s="52" t="n">
        <x:f>IF(H86="","",IF(COUNTIF('Sheet1-指标体系'!$P$4:$P$10,H86)=0,"",INDEX('Sheet1-指标体系'!$Q$4:$Q$10,MATCH(H86,'Sheet1-指标体系'!$P$4:$P$10,0))))</x:f>
        <x:v>60</x:v>
      </x:c>
      <x:c r="J86" s="54" t="str">
        <x:f>IF(NOT(ISNUMBER('Sheet5-查询核对'!N71)),"",IF('Sheet5-查询核对'!N71=1,"低于"&amp;'Sheet1-指标体系'!$J$4&amp;"万元",IF('Sheet5-查询核对'!N71=0,"无低于"&amp;'Sheet1-指标体系'!$J$4&amp;"万元标识","")))</x:f>
        <x:v>无低于1000万元标识</x:v>
      </x:c>
      <x:c r="K86" s="52" t="n">
        <x:f>IF(NOT(ISNUMBER('Sheet5-查询核对'!N71)),"",IF('Sheet5-查询核对'!N71=1,'Sheet1-指标体系'!$J$21,IF('Sheet5-查询核对'!N71=0,'Sheet1-指标体系'!$J$18,"")))</x:f>
        <x:v>100</x:v>
      </x:c>
      <x:c r="L86" s="52" t="n">
        <x:f>IF(NOT(ISNUMBER(F86)),"",IF(F86&lt;'Sheet1-指标体系'!$J$15,"",IF(F86&lt;'Sheet1-指标体系'!$J$16,'Sheet1-指标体系'!$J$17,'Sheet1-指标体系'!$J$18)))</x:f>
        <x:v>100</x:v>
      </x:c>
      <x:c r="M86" s="47" t="n">
        <x:f>IF(ISNUMBER('Sheet4-原始数据'!G71),'Sheet4-原始数据'!G71,"")</x:f>
        <x:v>0.060899999999999996</x:v>
      </x:c>
      <x:c r="N86" s="47" t="n">
        <x:f>IF(ISNUMBER('Sheet4-原始数据'!H71),'Sheet4-原始数据'!H71,"")</x:f>
        <x:v>0.09300000000000001</x:v>
      </x:c>
      <x:c r="O86" s="47" t="n">
        <x:f>IF(ISNUMBER('Sheet5-查询核对'!Q71),'Sheet5-查询核对'!Q71,"")</x:f>
        <x:v>0.1328</x:v>
      </x:c>
      <x:c r="P86" s="44" t="n">
        <x:f>IF($G86&lt;&gt;"入池","",IF($F86&gt;='Sheet1-指标体系'!$J$16,IF(COUNT(M86,N86)&lt;&gt;2,"",IF(OR(1+M86&lt;=0,1+N86&lt;0),"",((1+N86)^'Sheet1-指标体系'!$J$16/(1+M86))^(1/('Sheet1-指标体系'!$J$16-'Sheet1-指标体系'!$J$15))-1)),IF(COUNT(M86,O86)&lt;&gt;2,"",IF(OR(F86&lt;='Sheet1-指标体系'!$J$15,1+M86&lt;=0,1+O86&lt;0),"",((1+O86)^F86/(1+M86))^(1/(F86-'Sheet1-指标体系'!$J$15))-1))))</x:f>
        <x:v>0.10941240639090033</x:v>
      </x:c>
      <x:c r="Q86" s="52" t="n">
        <x:f>IF(OR($G86&lt;&gt;"入池",NOT(ISNUMBER(M86))),"",IF(COUNTIFS($G$17:$G$99,"入池",$M$17:$M$99,"&gt;=-1E+307",$M$17:$M$99,"&lt;=1E+307")&lt;=1,'Sheet1-指标体系'!$J$18,ROUND('Sheet1-指标体系'!$J$18*(COUNTIFS($G$17:$G$99,"入池",$M$17:$M$99,"&gt;=-1E+307",$M$17:$M$99,"&lt;"&amp;M86)+COUNTIFS($G$17:$G$99,"入池",$M$17:$M$99,"&gt;=-1E+307",$M$17:$M$99,"&lt;=1E+307",$M$17:$M$99,M86)/2-0.5)/(COUNTIFS($G$17:$G$99,"入池",$M$17:$M$99,"&gt;=-1E+307",$M$17:$M$99,"&lt;=1E+307")-1),2)))</x:f>
        <x:v>28.57</x:v>
      </x:c>
      <x:c r="R86" s="52" t="n">
        <x:f>IF(OR($G86&lt;&gt;"入池",NOT(ISNUMBER(P86))),"",IF(COUNTIFS($G$17:$G$99,"入池",$P$17:$P$99,"&gt;=-1E+307",$P$17:$P$99,"&lt;=1E+307")&lt;=1,'Sheet1-指标体系'!$J$18,ROUND('Sheet1-指标体系'!$J$18*(COUNTIFS($G$17:$G$99,"入池",$P$17:$P$99,"&gt;=-1E+307",$P$17:$P$99,"&lt;"&amp;P86)+COUNTIFS($G$17:$G$99,"入池",$P$17:$P$99,"&gt;=-1E+307",$P$17:$P$99,"&lt;=1E+307",$P$17:$P$99,P86)/2-0.5)/(COUNTIFS($G$17:$G$99,"入池",$P$17:$P$99,"&gt;=-1E+307",$P$17:$P$99,"&lt;=1E+307")-1),2)))</x:f>
        <x:v>75.93</x:v>
      </x:c>
      <x:c r="S86" s="52" t="n">
        <x:f>IF(COUNT(Q86,R86)=0,"",ROUND((IF(ISNUMBER(Q86),Q86*'Sheet1-指标体系'!$G$7*'Sheet1-指标体系'!$J$8,0)+IF(ISNUMBER(R86),R86*'Sheet1-指标体系'!$G$7*'Sheet1-指标体系'!$J$9,0))/(IF(ISNUMBER(Q86),'Sheet1-指标体系'!$G$7*'Sheet1-指标体系'!$J$8,0)+IF(ISNUMBER(R86),'Sheet1-指标体系'!$G$7*'Sheet1-指标体系'!$J$9,0)),2))</x:f>
        <x:v>47.51</x:v>
      </x:c>
      <x:c r="T86" s="47" t="n">
        <x:f>IF(ISNUMBER('Sheet4-原始数据'!J71),'Sheet4-原始数据'!J71,"")</x:f>
        <x:v>0.9231</x:v>
      </x:c>
      <x:c r="U86" s="47" t="n">
        <x:f>IF(ISNUMBER('Sheet4-原始数据'!I71),'Sheet4-原始数据'!I71,"")</x:f>
        <x:v>0.8649</x:v>
      </x:c>
      <x:c r="V86" s="44" t="n">
        <x:f>IF(COUNT(T86:U86)&lt;&gt;2,"",(U86*'Sheet1-指标体系'!$J$6-T86*'Sheet1-指标体系'!$J$5)/'Sheet1-指标体系'!$J$7)</x:f>
        <x:v>0.8333749999999999</x:v>
      </x:c>
      <x:c r="W86" s="52" t="n">
        <x:f>IF(NOT(ISNUMBER(T86)),"",T86*'Sheet1-指标体系'!$J$18)</x:f>
        <x:v>92.31</x:v>
      </x:c>
      <x:c r="X86" s="52" t="n">
        <x:f>IF(G86&lt;&gt;"入池","",IF(ISNUMBER(V86),IF(AND(V86&gt;=0,V86&lt;=1),V86*'Sheet1-指标体系'!$J$18,IF(MAX(0,(F86-'Sheet1-指标体系'!$J$15)*'Sheet1-指标体系'!$J$20)&lt;'Sheet1-指标体系'!$J$19,'Sheet1-指标体系'!$J$18,"")),IF(MAX(0,(F86-'Sheet1-指标体系'!$J$15)*'Sheet1-指标体系'!$J$20)&lt;'Sheet1-指标体系'!$J$19,'Sheet1-指标体系'!$J$18,"")))</x:f>
        <x:v>83.33749999999999</x:v>
      </x:c>
      <x:c r="Y86" s="52" t="n">
        <x:f>IF(NOT(ISNUMBER(W86)),"",IF(COUNT(W86,X86)=0,"",ROUND((IF(ISNUMBER(W86),W86*'Sheet1-指标体系'!$G$8*'Sheet1-指标体系'!$J$8,0)+IF(ISNUMBER(X86),X86*'Sheet1-指标体系'!$G$8*'Sheet1-指标体系'!$J$9,0))/(IF(ISNUMBER(W86),'Sheet1-指标体系'!$G$8*'Sheet1-指标体系'!$J$8,0)+IF(ISNUMBER(X86),'Sheet1-指标体系'!$G$8*'Sheet1-指标体系'!$J$9,0)),2)))</x:f>
        <x:v>88.72</x:v>
      </x:c>
      <x:c r="Z86" s="44" t="n">
        <x:f>IF(COUNT(M86,AD86)&lt;&gt;2,"",IF(AD86=0,"",ABS(M86/AD86)))</x:f>
        <x:v>0.0023555349268971917</x:v>
      </x:c>
      <x:c r="AA86" s="47" t="n">
        <x:f>IF(ISNUMBER('Sheet4-原始数据'!K71),'Sheet4-原始数据'!K71,"")</x:f>
        <x:v>0.0144</x:v>
      </x:c>
      <x:c r="AB86" s="44" t="n">
        <x:f>IF(COUNT(Z86:AA86)=0,"",MAX(Z86:AA86))</x:f>
        <x:v>0.0144</x:v>
      </x:c>
      <x:c r="AC86" s="52" t="n">
        <x:f>IF(OR($G86&lt;&gt;"入池",NOT(ISNUMBER(AB86))),"",IF(COUNTIFS($G$17:$G$99,"入池",$AB$17:$AB$99,"&gt;=-1E+307",$AB$17:$AB$99,"&lt;=1E+307")&lt;=1,'Sheet1-指标体系'!$J$18,ROUND('Sheet1-指标体系'!$J$18*(COUNTIFS($G$17:$G$99,"入池",$AB$17:$AB$99,"&lt;=1E+307",$AB$17:$AB$99,"&gt;"&amp;AB86)+COUNTIFS($G$17:$G$99,"入池",$AB$17:$AB$99,"&gt;=-1E+307",$AB$17:$AB$99,"&lt;=1E+307",$AB$17:$AB$99,AB86)/2-0.5)/(COUNTIFS($G$17:$G$99,"入池",$AB$17:$AB$99,"&gt;=-1E+307",$AB$17:$AB$99,"&lt;=1E+307")-1),2)))</x:f>
        <x:v>65.52</x:v>
      </x:c>
      <x:c r="AD86" s="48" t="n">
        <x:f>IF(ISNUMBER('Sheet4-原始数据'!M71),'Sheet4-原始数据'!M71,"")</x:f>
        <x:v>25.854</x:v>
      </x:c>
      <x:c r="AE86" s="44" t="n">
        <x:f>IF(COUNT(P86,AA86,Z86)&lt;&gt;3,"",IF(AA86&gt;Z86+'Sheet1-指标体系'!$J$11,AA86,""))</x:f>
        <x:v>0.0144</x:v>
      </x:c>
      <x:c r="AF86" s="52" t="n">
        <x:f>IF(COUNT(P86,AE86)&lt;&gt;2,"",IF(AE86=0,"",P86/AE86))</x:f>
        <x:v>7.598083777145856</x:v>
      </x:c>
      <x:c r="AG86" s="52" t="n">
        <x:f>IF(OR($G86&lt;&gt;"入池",NOT(ISNUMBER(AD86))),"",IF(COUNTIFS($G$17:$G$99,"入池",$AD$17:$AD$99,"&gt;=-1E+307",$AD$17:$AD$99,"&lt;=1E+307")&lt;=1,'Sheet1-指标体系'!$J$18,ROUND('Sheet1-指标体系'!$J$18*(COUNTIFS($G$17:$G$99,"入池",$AD$17:$AD$99,"&gt;=-1E+307",$AD$17:$AD$99,"&lt;"&amp;AD86)+COUNTIFS($G$17:$G$99,"入池",$AD$17:$AD$99,"&gt;=-1E+307",$AD$17:$AD$99,"&lt;=1E+307",$AD$17:$AD$99,AD86)/2-0.5)/(COUNTIFS($G$17:$G$99,"入池",$AD$17:$AD$99,"&gt;=-1E+307",$AD$17:$AD$99,"&lt;=1E+307")-1),2)))</x:f>
        <x:v>87.27</x:v>
      </x:c>
      <x:c r="AH86" s="52" t="n">
        <x:f>IF(OR($G86&lt;&gt;"入池",NOT(ISNUMBER(AF86))),"",IF(COUNTIFS($G$17:$G$99,"入池",$AF$17:$AF$99,"&gt;=-1E+307",$AF$17:$AF$99,"&lt;=1E+307")&lt;=1,'Sheet1-指标体系'!$J$18,ROUND('Sheet1-指标体系'!$J$18*(COUNTIFS($G$17:$G$99,"入池",$AF$17:$AF$99,"&gt;=-1E+307",$AF$17:$AF$99,"&lt;"&amp;AF86)+COUNTIFS($G$17:$G$99,"入池",$AF$17:$AF$99,"&gt;=-1E+307",$AF$17:$AF$99,"&lt;=1E+307",$AF$17:$AF$99,AF86)/2-0.5)/(COUNTIFS($G$17:$G$99,"入池",$AF$17:$AF$99,"&gt;=-1E+307",$AF$17:$AF$99,"&lt;=1E+307")-1),2)))</x:f>
        <x:v>75</x:v>
      </x:c>
      <x:c r="AI86" s="52" t="n">
        <x:f>IF(COUNT(AG86,AH86)=0,"",ROUND((IF(ISNUMBER(AG86),AG86*'Sheet1-指标体系'!$G$10*'Sheet1-指标体系'!$J$8,0)+IF(ISNUMBER(AH86),AH86*'Sheet1-指标体系'!$G$10*'Sheet1-指标体系'!$J$9,0))/(IF(ISNUMBER(AG86),'Sheet1-指标体系'!$G$10*'Sheet1-指标体系'!$J$8,0)+IF(ISNUMBER(AH86),'Sheet1-指标体系'!$G$10*'Sheet1-指标体系'!$J$9,0)),2))</x:f>
        <x:v>82.36</x:v>
      </x:c>
      <x:c r="AJ86" s="44" t="n">
        <x:f>IF(NOT(ISNUMBER(F86)),"",IF(F86&gt;='Sheet1-指标体系'!$J$16,IF(ISNUMBER(N86),N86,""),IF(ISNUMBER(O86),O86,"")))</x:f>
        <x:v>0.09300000000000001</x:v>
      </x:c>
      <x:c r="AK86" s="52" t="n">
        <x:f>IF(OR(G86&lt;&gt;"入池",COUNT(M86,AJ86)&lt;&gt;2),"",IF(M86&gt;=AJ86,'Sheet1-指标体系'!$J$18,IF(AJ86-M86&lt;'Sheet1-指标体系'!$J$10,'Sheet1-指标体系'!$J$22,'Sheet1-指标体系'!$J$23)))</x:f>
        <x:v>80</x:v>
      </x:c>
      <x:c r="AL86" s="52" t="n">
        <x:f>IF(COUNT(I86,K86,L86)=0,"",ROUND((IF(ISNUMBER(I86),I86*'Sheet1-指标体系'!$G$4,0)+IF(ISNUMBER(K86),K86*'Sheet1-指标体系'!$G$5,0)+IF(ISNUMBER(L86),L86*'Sheet1-指标体系'!$G$6,0))/(IF(ISNUMBER(I86),'Sheet1-指标体系'!$G$4,0)+IF(ISNUMBER(K86),'Sheet1-指标体系'!$G$5,0)+IF(ISNUMBER(L86),'Sheet1-指标体系'!$G$6,0)),2))</x:f>
        <x:v>84</x:v>
      </x:c>
      <x:c r="AM86" s="52" t="n">
        <x:f>IF(COUNT(Q86,R86,W86,X86)=0,"",ROUND((IF(ISNUMBER(Q86),Q86*'Sheet1-指标体系'!$G$7*'Sheet1-指标体系'!$J$8,0)+IF(ISNUMBER(R86),R86*'Sheet1-指标体系'!$G$7*'Sheet1-指标体系'!$J$9,0)+IF(ISNUMBER(W86),W86*'Sheet1-指标体系'!$G$8*'Sheet1-指标体系'!$J$8,0)+IF(ISNUMBER(X86),X86*'Sheet1-指标体系'!$G$8*'Sheet1-指标体系'!$J$9,0))/(IF(ISNUMBER(Q86),'Sheet1-指标体系'!$G$7*'Sheet1-指标体系'!$J$8,0)+IF(ISNUMBER(R86),'Sheet1-指标体系'!$G$7*'Sheet1-指标体系'!$J$9,0)+IF(ISNUMBER(W86),'Sheet1-指标体系'!$G$8*'Sheet1-指标体系'!$J$8,0)+IF(ISNUMBER(X86),'Sheet1-指标体系'!$G$8*'Sheet1-指标体系'!$J$9,0)),2))</x:f>
        <x:v>59.88</x:v>
      </x:c>
      <x:c r="AN86" s="52" t="n">
        <x:f>IF(ISNUMBER(AC86),AC86,"")</x:f>
        <x:v>65.52</x:v>
      </x:c>
      <x:c r="AO86" s="52" t="n">
        <x:f>IF(COUNT(AG86,AH86)=0,"",ROUND((IF(ISNUMBER(AG86),AG86*'Sheet1-指标体系'!$G$10*'Sheet1-指标体系'!$J$8,0)+IF(ISNUMBER(AH86),AH86*'Sheet1-指标体系'!$G$10*'Sheet1-指标体系'!$J$9,0))/(IF(ISNUMBER(AG86),'Sheet1-指标体系'!$G$10*'Sheet1-指标体系'!$J$8,0)+IF(ISNUMBER(AH86),'Sheet1-指标体系'!$G$10*'Sheet1-指标体系'!$J$9,0)),2))</x:f>
        <x:v>82.36</x:v>
      </x:c>
      <x:c r="AP86" s="52" t="n">
        <x:f>IF(ISNUMBER(AK86),AK86,"")</x:f>
        <x:v>80</x:v>
      </x:c>
      <x:c r="AQ86" s="27" t="n">
        <x:f>IF(G86&lt;&gt;"入池",0,IF(ISNUMBER(I86),'Sheet1-指标体系'!$G$4,0)+IF(ISNUMBER(K86),'Sheet1-指标体系'!$G$5,0)+IF(ISNUMBER(L86),'Sheet1-指标体系'!$G$6,0)+IF(ISNUMBER(Q86),'Sheet1-指标体系'!$G$7*'Sheet1-指标体系'!$J$8,0)+IF(ISNUMBER(R86),'Sheet1-指标体系'!$G$7*'Sheet1-指标体系'!$J$9,0)+IF(ISNUMBER(W86),'Sheet1-指标体系'!$G$8*'Sheet1-指标体系'!$J$8,0)+IF(ISNUMBER(X86),'Sheet1-指标体系'!$G$8*'Sheet1-指标体系'!$J$9,0)+IF(ISNUMBER(AC86),'Sheet1-指标体系'!$G$9,0)+IF(ISNUMBER(AG86),'Sheet1-指标体系'!$G$10*'Sheet1-指标体系'!$J$8,0)+IF(ISNUMBER(AH86),'Sheet1-指标体系'!$G$10*'Sheet1-指标体系'!$J$9,0)+IF(ISNUMBER(AK86),'Sheet1-指标体系'!$G$11,0))</x:f>
        <x:v>1</x:v>
      </x:c>
      <x:c r="AR86" s="52" t="n">
        <x:f>IF(AQ86=0,"",IF(ISNUMBER(I86),I86*'Sheet1-指标体系'!$G$4,0)+IF(ISNUMBER(K86),K86*'Sheet1-指标体系'!$G$5,0)+IF(ISNUMBER(L86),L86*'Sheet1-指标体系'!$G$6,0)+IF(ISNUMBER(Q86),Q86*'Sheet1-指标体系'!$G$7*'Sheet1-指标体系'!$J$8,0)+IF(ISNUMBER(R86),R86*'Sheet1-指标体系'!$G$7*'Sheet1-指标体系'!$J$9,0)+IF(ISNUMBER(W86),W86*'Sheet1-指标体系'!$G$8*'Sheet1-指标体系'!$J$8,0)+IF(ISNUMBER(X86),X86*'Sheet1-指标体系'!$G$8*'Sheet1-指标体系'!$J$9,0)+IF(ISNUMBER(AC86),AC86*'Sheet1-指标体系'!$G$9,0)+IF(ISNUMBER(AG86),AG86*'Sheet1-指标体系'!$G$10*'Sheet1-指标体系'!$J$8,0)+IF(ISNUMBER(AH86),AH86*'Sheet1-指标体系'!$G$10*'Sheet1-指标体系'!$J$9,0)+IF(ISNUMBER(AK86),AK86*'Sheet1-指标体系'!$G$11,0))</x:f>
        <x:v>73.66381999999999</x:v>
      </x:c>
      <x:c r="AS86" s="52" t="n">
        <x:f>IF(AQ86=0,"",ROUND(AR86/AQ86,2))</x:f>
        <x:v>73.66</x:v>
      </x:c>
      <x:c r="AT86" s="49" t="n">
        <x:f>IF(OR(G86&lt;&gt;"入池",NOT(ISNUMBER(AS86))),"",COUNTIFS($G$17:$G$99,"入池",$AS$17:$AS$99,"&gt;"&amp;AS86)+COUNTIFS($G$17:$G$99,"入池",$AS$17:$AS$99,AS86,$AQ$17:$AQ$99,"&gt;"&amp;AQ86)+COUNTIFS($G$17:G86,"入池",$AS$17:AS86,AS86,$AQ$17:AQ86,AQ86))</x:f>
        <x:v>35</x:v>
      </x:c>
      <x:c r="AU86" s="53" t="str">
        <x:f>IF(NOT(ISNUMBER(I86)),"管理人规模；","")&amp;IF(NOT(ISNUMBER(K86)),"产品规模标识；","")&amp;IF(NOT(ISNUMBER(M86)),"近一年收益；","")&amp;IF(NOT(ISNUMBER(T86)),"近一年胜率；","")&amp;IF(NOT(ISNUMBER(N86)),"近三年收益；","")&amp;IF(NOT(ISNUMBER(U86)),"近三年胜率；","")&amp;IF(NOT(ISNUMBER(AA86)),"近三年回撤；","")&amp;IF(NOT(ISNUMBER(AD86)),"近一年卡玛；","")&amp;IF(ISNUMBER(F86),IF(AND(F86&lt;'Sheet1-指标体系'!$J$16,NOT(ISNUMBER(O86))),"成立以来年化；",""),"成立日期；")&amp;IF(ISNUMBER(V86),IF(OR(V86&lt;0,V86&gt;1),"胜率窗口口径不一致；",""),"")&amp;IF(ISNUMBER(P86),IF(NOT(ISNUMBER(AE86)),"DD_long不可识别；",""),"")</x:f>
      </x:c>
      <x:c r="AV86" s="52" t="n">
        <x:f>IF(ROUND(AQ86,10)=ROUND('Sheet1-指标体系'!$J$25,10),AR86,"")</x:f>
        <x:v>73.66381999999999</x:v>
      </x:c>
      <x:c r="AW86" s="14" t="str">
        <x:f>IF(G86&lt;&gt;"入池",G86,IF(AQ86=0,"无有效评分数据",IF(ROUND(AQ86,10)=ROUND('Sheet1-指标体系'!$J$25,10),"完整赋分", "暂定分／数据不完整")))</x:f>
        <x:v>完整赋分</x:v>
      </x:c>
      <x:c r="AX86" s="45" t="str">
        <x:f>IF('Sheet4-原始数据'!C71="","",'Sheet4-原始数据'!C71)</x:f>
        <x:v>套利策略</x:v>
      </x:c>
      <x:c r="AY86" s="45" t="str">
        <x:f>IF('Sheet4-原始数据'!D71="","",'Sheet4-原始数据'!D71)</x:f>
        <x:v>期货套利</x:v>
      </x:c>
      <x:c r="AZ86" s="45" t="str">
        <x:f>IF('Sheet5-查询核对'!S71="","",'Sheet5-查询核对'!S71)</x:f>
        <x:v>套利策略—期货套利</x:v>
      </x:c>
      <x:c r="BA86" s="51" t="n">
        <x:f>IF('Sheet5-查询核对'!A71="","",'Sheet5-查询核对'!A71)</x:f>
        <x:v>71</x:v>
      </x:c>
      <x:c r="BB86" s="45" t="str">
        <x:f>IF('Sheet5-查询核对'!F71="","",'Sheet5-查询核对'!F71)</x:f>
        <x:v>备案号匹配</x:v>
      </x:c>
      <x:c r="BC86" s="50" t="str">
        <x:f>IF('Sheet5-查询核对'!I71="","",'Sheet5-查询核对'!I71)</x:f>
        <x:v>https://mp.fof99.com/fund/view/c8b8443b50a70919</x:v>
      </x:c>
      <x:c r="BD86" s="46" t="n">
        <x:f>IF('Sheet5-查询核对'!H71="","",'Sheet5-查询核对'!H71)</x:f>
        <x:v>46269</x:v>
      </x:c>
      <x:c r="BE86" s="50" t="str">
        <x:f>IF('Sheet5-查询核对'!L71="","",'Sheet5-查询核对'!L71)</x:f>
        <x:v>https://mp.fof99.com/fund/view/c8b8443b50a70919</x:v>
      </x:c>
      <x:c r="BF86" s="46" t="n">
        <x:f>IF('Sheet5-查询核对'!M71="","",'Sheet5-查询核对'!M71)</x:f>
        <x:v>46275</x:v>
      </x:c>
      <x:c r="BG86" s="50" t="str">
        <x:f>IF('Sheet5-查询核对'!O71="","",'Sheet5-查询核对'!O71)</x:f>
        <x:v>https://gs.amac.org.cn/amac-infodisc/res/pof/fund/1905101802102119.html</x:v>
      </x:c>
      <x:c r="BH86" s="46" t="n">
        <x:f>IF('Sheet5-查询核对'!P71="","",'Sheet5-查询核对'!P71)</x:f>
        <x:v>46275</x:v>
      </x:c>
      <x:c r="BI86" s="45" t="str">
        <x:f>IF('Sheet5-查询核对'!D71="","",'Sheet5-查询核对'!D71)</x:f>
        <x:v>SGM299</x:v>
      </x:c>
      <x:c r="BJ86" t="n">
        <x:f>IF(ISNUMBER(AT86),AT86,COUNT($AT$17:$AT$99)+ROWS($AT$17:AT86)-COUNT($AT$17:AT86))</x:f>
        <x:v>35</x:v>
      </x:c>
    </x:row>
    <x:row r="87" ht="44" customHeight="1">
      <x:c r="A87" s="49" t="n">
        <x:f>'Sheet5-查询核对'!A72-1</x:f>
        <x:v>71</x:v>
      </x:c>
      <x:c r="B87" s="50" t="str">
        <x:f>IF('Sheet4-原始数据'!A72="",'Sheet5-查询核对'!B72,'Sheet4-原始数据'!A72)</x:f>
        <x:v>永泉奇点2号混合投资</x:v>
      </x:c>
      <x:c r="C87" s="45" t="str">
        <x:f>IF('Sheet4-原始数据'!B72="","",'Sheet4-原始数据'!B72)</x:f>
        <x:v>SJB356</x:v>
      </x:c>
      <x:c r="D87" s="45" t="str">
        <x:f>IF('Sheet4-原始数据'!E72="","",'Sheet4-原始数据'!E72)</x:f>
        <x:v>宁波永泉</x:v>
      </x:c>
      <x:c r="E87" s="46" t="n">
        <x:f>IF('Sheet4-原始数据'!F72="","",'Sheet4-原始数据'!F72)</x:f>
        <x:v>43728</x:v>
      </x:c>
      <x:c r="F87" s="52" t="n">
        <x:f>IF(ISNUMBER(E87),ROUND(('Sheet1-指标体系'!$J$12-E87)/'Sheet1-指标体系'!$J$14,4),"")</x:f>
        <x:v>6.9733</x:v>
      </x:c>
      <x:c r="G87" s="14" t="str">
        <x:f>IF(C87="","未匹配",IF(NOT(ISNUMBER(F87)),"缺成立日期",IF(F87&lt;'Sheet1-指标体系'!$J$15,"不入池","入池")))</x:f>
        <x:v>入池</x:v>
      </x:c>
      <x:c r="H87" s="45" t="str">
        <x:f>IF('Sheet5-查询核对'!K72="","",'Sheet5-查询核对'!K72)</x:f>
        <x:v>0-5亿元</x:v>
      </x:c>
      <x:c r="I87" s="52" t="n">
        <x:f>IF(H87="","",IF(COUNTIF('Sheet1-指标体系'!$P$4:$P$10,H87)=0,"",INDEX('Sheet1-指标体系'!$Q$4:$Q$10,MATCH(H87,'Sheet1-指标体系'!$P$4:$P$10,0))))</x:f>
        <x:v>60</x:v>
      </x:c>
      <x:c r="J87" s="54" t="str">
        <x:f>IF(NOT(ISNUMBER('Sheet5-查询核对'!N72)),"",IF('Sheet5-查询核对'!N72=1,"低于"&amp;'Sheet1-指标体系'!$J$4&amp;"万元",IF('Sheet5-查询核对'!N72=0,"无低于"&amp;'Sheet1-指标体系'!$J$4&amp;"万元标识","")))</x:f>
        <x:v>无低于1000万元标识</x:v>
      </x:c>
      <x:c r="K87" s="52" t="n">
        <x:f>IF(NOT(ISNUMBER('Sheet5-查询核对'!N72)),"",IF('Sheet5-查询核对'!N72=1,'Sheet1-指标体系'!$J$21,IF('Sheet5-查询核对'!N72=0,'Sheet1-指标体系'!$J$18,"")))</x:f>
        <x:v>100</x:v>
      </x:c>
      <x:c r="L87" s="52" t="n">
        <x:f>IF(NOT(ISNUMBER(F87)),"",IF(F87&lt;'Sheet1-指标体系'!$J$15,"",IF(F87&lt;'Sheet1-指标体系'!$J$16,'Sheet1-指标体系'!$J$17,'Sheet1-指标体系'!$J$18)))</x:f>
        <x:v>100</x:v>
      </x:c>
      <x:c r="M87" s="47" t="n">
        <x:f>IF(ISNUMBER('Sheet4-原始数据'!G72),'Sheet4-原始数据'!G72,"")</x:f>
        <x:v>0.0583</x:v>
      </x:c>
      <x:c r="N87" s="47" t="n">
        <x:f>IF(ISNUMBER('Sheet4-原始数据'!H72),'Sheet4-原始数据'!H72,"")</x:f>
        <x:v>0.1242</x:v>
      </x:c>
      <x:c r="O87" s="47" t="n">
        <x:f>IF(ISNUMBER('Sheet5-查询核对'!Q72),'Sheet5-查询核对'!Q72,"")</x:f>
        <x:v>0.152</x:v>
      </x:c>
      <x:c r="P87" s="44" t="n">
        <x:f>IF($G87&lt;&gt;"入池","",IF($F87&gt;='Sheet1-指标体系'!$J$16,IF(COUNT(M87,N87)&lt;&gt;2,"",IF(OR(1+M87&lt;=0,1+N87&lt;0),"",((1+N87)^'Sheet1-指标体系'!$J$16/(1+M87))^(1/('Sheet1-指标体系'!$J$16-'Sheet1-指标体系'!$J$15))-1)),IF(COUNT(M87,O87)&lt;&gt;2,"",IF(OR(F87&lt;='Sheet1-指标体系'!$J$15,1+M87&lt;=0,1+O87&lt;0),"",((1+O87)^F87/(1+M87))^(1/(F87-'Sheet1-指标体系'!$J$15))-1))))</x:f>
        <x:v>0.15867323063035443</x:v>
      </x:c>
      <x:c r="Q87" s="52" t="n">
        <x:f>IF(OR($G87&lt;&gt;"入池",NOT(ISNUMBER(M87))),"",IF(COUNTIFS($G$17:$G$99,"入池",$M$17:$M$99,"&gt;=-1E+307",$M$17:$M$99,"&lt;=1E+307")&lt;=1,'Sheet1-指标体系'!$J$18,ROUND('Sheet1-指标体系'!$J$18*(COUNTIFS($G$17:$G$99,"入池",$M$17:$M$99,"&gt;=-1E+307",$M$17:$M$99,"&lt;"&amp;M87)+COUNTIFS($G$17:$G$99,"入池",$M$17:$M$99,"&gt;=-1E+307",$M$17:$M$99,"&lt;=1E+307",$M$17:$M$99,M87)/2-0.5)/(COUNTIFS($G$17:$G$99,"入池",$M$17:$M$99,"&gt;=-1E+307",$M$17:$M$99,"&lt;=1E+307")-1),2)))</x:f>
        <x:v>25</x:v>
      </x:c>
      <x:c r="R87" s="52" t="n">
        <x:f>IF(OR($G87&lt;&gt;"入池",NOT(ISNUMBER(P87))),"",IF(COUNTIFS($G$17:$G$99,"入池",$P$17:$P$99,"&gt;=-1E+307",$P$17:$P$99,"&lt;=1E+307")&lt;=1,'Sheet1-指标体系'!$J$18,ROUND('Sheet1-指标体系'!$J$18*(COUNTIFS($G$17:$G$99,"入池",$P$17:$P$99,"&gt;=-1E+307",$P$17:$P$99,"&lt;"&amp;P87)+COUNTIFS($G$17:$G$99,"入池",$P$17:$P$99,"&gt;=-1E+307",$P$17:$P$99,"&lt;=1E+307",$P$17:$P$99,P87)/2-0.5)/(COUNTIFS($G$17:$G$99,"入池",$P$17:$P$99,"&gt;=-1E+307",$P$17:$P$99,"&lt;=1E+307")-1),2)))</x:f>
        <x:v>90.74</x:v>
      </x:c>
      <x:c r="S87" s="52" t="n">
        <x:f>IF(COUNT(Q87,R87)=0,"",ROUND((IF(ISNUMBER(Q87),Q87*'Sheet1-指标体系'!$G$7*'Sheet1-指标体系'!$J$8,0)+IF(ISNUMBER(R87),R87*'Sheet1-指标体系'!$G$7*'Sheet1-指标体系'!$J$9,0))/(IF(ISNUMBER(Q87),'Sheet1-指标体系'!$G$7*'Sheet1-指标体系'!$J$8,0)+IF(ISNUMBER(R87),'Sheet1-指标体系'!$G$7*'Sheet1-指标体系'!$J$9,0)),2))</x:f>
        <x:v>51.3</x:v>
      </x:c>
      <x:c r="T87" s="47" t="n">
        <x:f>IF(ISNUMBER('Sheet4-原始数据'!J72),'Sheet4-原始数据'!J72,"")</x:f>
        <x:v>1</x:v>
      </x:c>
      <x:c r="U87" s="47" t="n">
        <x:f>IF(ISNUMBER('Sheet4-原始数据'!I72),'Sheet4-原始数据'!I72,"")</x:f>
        <x:v>0.8649</x:v>
      </x:c>
      <x:c r="V87" s="44" t="n">
        <x:f>IF(COUNT(T87:U87)&lt;&gt;2,"",(U87*'Sheet1-指标体系'!$J$6-T87*'Sheet1-指标体系'!$J$5)/'Sheet1-指标体系'!$J$7)</x:f>
        <x:v>0.7917208333333333</x:v>
      </x:c>
      <x:c r="W87" s="52" t="n">
        <x:f>IF(NOT(ISNUMBER(T87)),"",T87*'Sheet1-指标体系'!$J$18)</x:f>
        <x:v>100</x:v>
      </x:c>
      <x:c r="X87" s="52" t="n">
        <x:f>IF(G87&lt;&gt;"入池","",IF(ISNUMBER(V87),IF(AND(V87&gt;=0,V87&lt;=1),V87*'Sheet1-指标体系'!$J$18,IF(MAX(0,(F87-'Sheet1-指标体系'!$J$15)*'Sheet1-指标体系'!$J$20)&lt;'Sheet1-指标体系'!$J$19,'Sheet1-指标体系'!$J$18,"")),IF(MAX(0,(F87-'Sheet1-指标体系'!$J$15)*'Sheet1-指标体系'!$J$20)&lt;'Sheet1-指标体系'!$J$19,'Sheet1-指标体系'!$J$18,"")))</x:f>
        <x:v>79.17208333333333</x:v>
      </x:c>
      <x:c r="Y87" s="52" t="n">
        <x:f>IF(NOT(ISNUMBER(W87)),"",IF(COUNT(W87,X87)=0,"",ROUND((IF(ISNUMBER(W87),W87*'Sheet1-指标体系'!$G$8*'Sheet1-指标体系'!$J$8,0)+IF(ISNUMBER(X87),X87*'Sheet1-指标体系'!$G$8*'Sheet1-指标体系'!$J$9,0))/(IF(ISNUMBER(W87),'Sheet1-指标体系'!$G$8*'Sheet1-指标体系'!$J$8,0)+IF(ISNUMBER(X87),'Sheet1-指标体系'!$G$8*'Sheet1-指标体系'!$J$9,0)),2)))</x:f>
        <x:v>91.67</x:v>
      </x:c>
      <x:c r="Z87" s="44" t="n">
        <x:f>IF(COUNT(M87,AD87)&lt;&gt;2,"",IF(AD87=0,"",ABS(M87/AD87)))</x:f>
        <x:v>0.0031867501161551284</x:v>
      </x:c>
      <x:c r="AA87" s="47" t="n">
        <x:f>IF(ISNUMBER('Sheet4-原始数据'!K72),'Sheet4-原始数据'!K72,"")</x:f>
        <x:v>0.0227</x:v>
      </x:c>
      <x:c r="AB87" s="44" t="n">
        <x:f>IF(COUNT(Z87:AA87)=0,"",MAX(Z87:AA87))</x:f>
        <x:v>0.0227</x:v>
      </x:c>
      <x:c r="AC87" s="52" t="n">
        <x:f>IF(OR($G87&lt;&gt;"入池",NOT(ISNUMBER(AB87))),"",IF(COUNTIFS($G$17:$G$99,"入池",$AB$17:$AB$99,"&gt;=-1E+307",$AB$17:$AB$99,"&lt;=1E+307")&lt;=1,'Sheet1-指标体系'!$J$18,ROUND('Sheet1-指标体系'!$J$18*(COUNTIFS($G$17:$G$99,"入池",$AB$17:$AB$99,"&lt;=1E+307",$AB$17:$AB$99,"&gt;"&amp;AB87)+COUNTIFS($G$17:$G$99,"入池",$AB$17:$AB$99,"&gt;=-1E+307",$AB$17:$AB$99,"&lt;=1E+307",$AB$17:$AB$99,AB87)/2-0.5)/(COUNTIFS($G$17:$G$99,"入池",$AB$17:$AB$99,"&gt;=-1E+307",$AB$17:$AB$99,"&lt;=1E+307")-1),2)))</x:f>
        <x:v>53.45</x:v>
      </x:c>
      <x:c r="AD87" s="48" t="n">
        <x:f>IF(ISNUMBER('Sheet4-原始数据'!M72),'Sheet4-原始数据'!M72,"")</x:f>
        <x:v>18.2945</x:v>
      </x:c>
      <x:c r="AE87" s="44" t="n">
        <x:f>IF(COUNT(P87,AA87,Z87)&lt;&gt;3,"",IF(AA87&gt;Z87+'Sheet1-指标体系'!$J$11,AA87,""))</x:f>
        <x:v>0.0227</x:v>
      </x:c>
      <x:c r="AF87" s="52" t="n">
        <x:f>IF(COUNT(P87,AE87)&lt;&gt;2,"",IF(AE87=0,"",P87/AE87))</x:f>
        <x:v>6.9900101599275075</x:v>
      </x:c>
      <x:c r="AG87" s="52" t="n">
        <x:f>IF(OR($G87&lt;&gt;"入池",NOT(ISNUMBER(AD87))),"",IF(COUNTIFS($G$17:$G$99,"入池",$AD$17:$AD$99,"&gt;=-1E+307",$AD$17:$AD$99,"&lt;=1E+307")&lt;=1,'Sheet1-指标体系'!$J$18,ROUND('Sheet1-指标体系'!$J$18*(COUNTIFS($G$17:$G$99,"入池",$AD$17:$AD$99,"&gt;=-1E+307",$AD$17:$AD$99,"&lt;"&amp;AD87)+COUNTIFS($G$17:$G$99,"入池",$AD$17:$AD$99,"&gt;=-1E+307",$AD$17:$AD$99,"&lt;=1E+307",$AD$17:$AD$99,AD87)/2-0.5)/(COUNTIFS($G$17:$G$99,"入池",$AD$17:$AD$99,"&gt;=-1E+307",$AD$17:$AD$99,"&lt;=1E+307")-1),2)))</x:f>
        <x:v>76.36</x:v>
      </x:c>
      <x:c r="AH87" s="52" t="n">
        <x:f>IF(OR($G87&lt;&gt;"入池",NOT(ISNUMBER(AF87))),"",IF(COUNTIFS($G$17:$G$99,"入池",$AF$17:$AF$99,"&gt;=-1E+307",$AF$17:$AF$99,"&lt;=1E+307")&lt;=1,'Sheet1-指标体系'!$J$18,ROUND('Sheet1-指标体系'!$J$18*(COUNTIFS($G$17:$G$99,"入池",$AF$17:$AF$99,"&gt;=-1E+307",$AF$17:$AF$99,"&lt;"&amp;AF87)+COUNTIFS($G$17:$G$99,"入池",$AF$17:$AF$99,"&gt;=-1E+307",$AF$17:$AF$99,"&lt;=1E+307",$AF$17:$AF$99,AF87)/2-0.5)/(COUNTIFS($G$17:$G$99,"入池",$AF$17:$AF$99,"&gt;=-1E+307",$AF$17:$AF$99,"&lt;=1E+307")-1),2)))</x:f>
        <x:v>71.43</x:v>
      </x:c>
      <x:c r="AI87" s="52" t="n">
        <x:f>IF(COUNT(AG87,AH87)=0,"",ROUND((IF(ISNUMBER(AG87),AG87*'Sheet1-指标体系'!$G$10*'Sheet1-指标体系'!$J$8,0)+IF(ISNUMBER(AH87),AH87*'Sheet1-指标体系'!$G$10*'Sheet1-指标体系'!$J$9,0))/(IF(ISNUMBER(AG87),'Sheet1-指标体系'!$G$10*'Sheet1-指标体系'!$J$8,0)+IF(ISNUMBER(AH87),'Sheet1-指标体系'!$G$10*'Sheet1-指标体系'!$J$9,0)),2))</x:f>
        <x:v>74.39</x:v>
      </x:c>
      <x:c r="AJ87" s="44" t="n">
        <x:f>IF(NOT(ISNUMBER(F87)),"",IF(F87&gt;='Sheet1-指标体系'!$J$16,IF(ISNUMBER(N87),N87,""),IF(ISNUMBER(O87),O87,"")))</x:f>
        <x:v>0.1242</x:v>
      </x:c>
      <x:c r="AK87" s="52" t="n">
        <x:f>IF(OR(G87&lt;&gt;"入池",COUNT(M87,AJ87)&lt;&gt;2),"",IF(M87&gt;=AJ87,'Sheet1-指标体系'!$J$18,IF(AJ87-M87&lt;'Sheet1-指标体系'!$J$10,'Sheet1-指标体系'!$J$22,'Sheet1-指标体系'!$J$23)))</x:f>
        <x:v>80</x:v>
      </x:c>
      <x:c r="AL87" s="52" t="n">
        <x:f>IF(COUNT(I87,K87,L87)=0,"",ROUND((IF(ISNUMBER(I87),I87*'Sheet1-指标体系'!$G$4,0)+IF(ISNUMBER(K87),K87*'Sheet1-指标体系'!$G$5,0)+IF(ISNUMBER(L87),L87*'Sheet1-指标体系'!$G$6,0))/(IF(ISNUMBER(I87),'Sheet1-指标体系'!$G$4,0)+IF(ISNUMBER(K87),'Sheet1-指标体系'!$G$5,0)+IF(ISNUMBER(L87),'Sheet1-指标体系'!$G$6,0)),2))</x:f>
        <x:v>84</x:v>
      </x:c>
      <x:c r="AM87" s="52" t="n">
        <x:f>IF(COUNT(Q87,R87,W87,X87)=0,"",ROUND((IF(ISNUMBER(Q87),Q87*'Sheet1-指标体系'!$G$7*'Sheet1-指标体系'!$J$8,0)+IF(ISNUMBER(R87),R87*'Sheet1-指标体系'!$G$7*'Sheet1-指标体系'!$J$9,0)+IF(ISNUMBER(W87),W87*'Sheet1-指标体系'!$G$8*'Sheet1-指标体系'!$J$8,0)+IF(ISNUMBER(X87),X87*'Sheet1-指标体系'!$G$8*'Sheet1-指标体系'!$J$9,0))/(IF(ISNUMBER(Q87),'Sheet1-指标体系'!$G$7*'Sheet1-指标体系'!$J$8,0)+IF(ISNUMBER(R87),'Sheet1-指标体系'!$G$7*'Sheet1-指标体系'!$J$9,0)+IF(ISNUMBER(W87),'Sheet1-指标体系'!$G$8*'Sheet1-指标体系'!$J$8,0)+IF(ISNUMBER(X87),'Sheet1-指标体系'!$G$8*'Sheet1-指标体系'!$J$9,0)),2))</x:f>
        <x:v>63.41</x:v>
      </x:c>
      <x:c r="AN87" s="52" t="n">
        <x:f>IF(ISNUMBER(AC87),AC87,"")</x:f>
        <x:v>53.45</x:v>
      </x:c>
      <x:c r="AO87" s="52" t="n">
        <x:f>IF(COUNT(AG87,AH87)=0,"",ROUND((IF(ISNUMBER(AG87),AG87*'Sheet1-指标体系'!$G$10*'Sheet1-指标体系'!$J$8,0)+IF(ISNUMBER(AH87),AH87*'Sheet1-指标体系'!$G$10*'Sheet1-指标体系'!$J$9,0))/(IF(ISNUMBER(AG87),'Sheet1-指标体系'!$G$10*'Sheet1-指标体系'!$J$8,0)+IF(ISNUMBER(AH87),'Sheet1-指标体系'!$G$10*'Sheet1-指标体系'!$J$9,0)),2))</x:f>
        <x:v>74.39</x:v>
      </x:c>
      <x:c r="AP87" s="52" t="n">
        <x:f>IF(ISNUMBER(AK87),AK87,"")</x:f>
        <x:v>80</x:v>
      </x:c>
      <x:c r="AQ87" s="27" t="n">
        <x:f>IF(G87&lt;&gt;"入池",0,IF(ISNUMBER(I87),'Sheet1-指标体系'!$G$4,0)+IF(ISNUMBER(K87),'Sheet1-指标体系'!$G$5,0)+IF(ISNUMBER(L87),'Sheet1-指标体系'!$G$6,0)+IF(ISNUMBER(Q87),'Sheet1-指标体系'!$G$7*'Sheet1-指标体系'!$J$8,0)+IF(ISNUMBER(R87),'Sheet1-指标体系'!$G$7*'Sheet1-指标体系'!$J$9,0)+IF(ISNUMBER(W87),'Sheet1-指标体系'!$G$8*'Sheet1-指标体系'!$J$8,0)+IF(ISNUMBER(X87),'Sheet1-指标体系'!$G$8*'Sheet1-指标体系'!$J$9,0)+IF(ISNUMBER(AC87),'Sheet1-指标体系'!$G$9,0)+IF(ISNUMBER(AG87),'Sheet1-指标体系'!$G$10*'Sheet1-指标体系'!$J$8,0)+IF(ISNUMBER(AH87),'Sheet1-指标体系'!$G$10*'Sheet1-指标体系'!$J$9,0)+IF(ISNUMBER(AK87),'Sheet1-指标体系'!$G$11,0))</x:f>
        <x:v>1</x:v>
      </x:c>
      <x:c r="AR87" s="52" t="n">
        <x:f>IF(AQ87=0,"",IF(ISNUMBER(I87),I87*'Sheet1-指标体系'!$G$4,0)+IF(ISNUMBER(K87),K87*'Sheet1-指标体系'!$G$5,0)+IF(ISNUMBER(L87),L87*'Sheet1-指标体系'!$G$6,0)+IF(ISNUMBER(Q87),Q87*'Sheet1-指标体系'!$G$7*'Sheet1-指标体系'!$J$8,0)+IF(ISNUMBER(R87),R87*'Sheet1-指标体系'!$G$7*'Sheet1-指标体系'!$J$9,0)+IF(ISNUMBER(W87),W87*'Sheet1-指标体系'!$G$8*'Sheet1-指标体系'!$J$8,0)+IF(ISNUMBER(X87),X87*'Sheet1-指标体系'!$G$8*'Sheet1-指标体系'!$J$9,0)+IF(ISNUMBER(AC87),AC87*'Sheet1-指标体系'!$G$9,0)+IF(ISNUMBER(AG87),AG87*'Sheet1-指标体系'!$G$10*'Sheet1-指标体系'!$J$8,0)+IF(ISNUMBER(AH87),AH87*'Sheet1-指标体系'!$G$10*'Sheet1-指标体系'!$J$9,0)+IF(ISNUMBER(AK87),AK87*'Sheet1-指标体系'!$G$11,0))</x:f>
        <x:v>68.96047</x:v>
      </x:c>
      <x:c r="AS87" s="52" t="n">
        <x:f>IF(AQ87=0,"",ROUND(AR87/AQ87,2))</x:f>
        <x:v>68.96</x:v>
      </x:c>
      <x:c r="AT87" s="49" t="n">
        <x:f>IF(OR(G87&lt;&gt;"入池",NOT(ISNUMBER(AS87))),"",COUNTIFS($G$17:$G$99,"入池",$AS$17:$AS$99,"&gt;"&amp;AS87)+COUNTIFS($G$17:$G$99,"入池",$AS$17:$AS$99,AS87,$AQ$17:$AQ$99,"&gt;"&amp;AQ87)+COUNTIFS($G$17:G87,"入池",$AS$17:AS87,AS87,$AQ$17:AQ87,AQ87))</x:f>
        <x:v>44</x:v>
      </x:c>
      <x:c r="AU87" s="53" t="str">
        <x:f>IF(NOT(ISNUMBER(I87)),"管理人规模；","")&amp;IF(NOT(ISNUMBER(K87)),"产品规模标识；","")&amp;IF(NOT(ISNUMBER(M87)),"近一年收益；","")&amp;IF(NOT(ISNUMBER(T87)),"近一年胜率；","")&amp;IF(NOT(ISNUMBER(N87)),"近三年收益；","")&amp;IF(NOT(ISNUMBER(U87)),"近三年胜率；","")&amp;IF(NOT(ISNUMBER(AA87)),"近三年回撤；","")&amp;IF(NOT(ISNUMBER(AD87)),"近一年卡玛；","")&amp;IF(ISNUMBER(F87),IF(AND(F87&lt;'Sheet1-指标体系'!$J$16,NOT(ISNUMBER(O87))),"成立以来年化；",""),"成立日期；")&amp;IF(ISNUMBER(V87),IF(OR(V87&lt;0,V87&gt;1),"胜率窗口口径不一致；",""),"")&amp;IF(ISNUMBER(P87),IF(NOT(ISNUMBER(AE87)),"DD_long不可识别；",""),"")</x:f>
      </x:c>
      <x:c r="AV87" s="52" t="n">
        <x:f>IF(ROUND(AQ87,10)=ROUND('Sheet1-指标体系'!$J$25,10),AR87,"")</x:f>
        <x:v>68.96047</x:v>
      </x:c>
      <x:c r="AW87" s="14" t="str">
        <x:f>IF(G87&lt;&gt;"入池",G87,IF(AQ87=0,"无有效评分数据",IF(ROUND(AQ87,10)=ROUND('Sheet1-指标体系'!$J$25,10),"完整赋分", "暂定分／数据不完整")))</x:f>
        <x:v>完整赋分</x:v>
      </x:c>
      <x:c r="AX87" s="45" t="str">
        <x:f>IF('Sheet4-原始数据'!C72="","",'Sheet4-原始数据'!C72)</x:f>
        <x:v>套利策略</x:v>
      </x:c>
      <x:c r="AY87" s="45" t="str">
        <x:f>IF('Sheet4-原始数据'!D72="","",'Sheet4-原始数据'!D72)</x:f>
        <x:v>期货套利</x:v>
      </x:c>
      <x:c r="AZ87" s="45" t="str">
        <x:f>IF('Sheet5-查询核对'!S72="","",'Sheet5-查询核对'!S72)</x:f>
        <x:v>套利策略—期货套利</x:v>
      </x:c>
      <x:c r="BA87" s="51" t="n">
        <x:f>IF('Sheet5-查询核对'!A72="","",'Sheet5-查询核对'!A72)</x:f>
        <x:v>72</x:v>
      </x:c>
      <x:c r="BB87" s="45" t="str">
        <x:f>IF('Sheet5-查询核对'!F72="","",'Sheet5-查询核对'!F72)</x:f>
        <x:v>备案号匹配</x:v>
      </x:c>
      <x:c r="BC87" s="50" t="str">
        <x:f>IF('Sheet5-查询核对'!I72="","",'Sheet5-查询核对'!I72)</x:f>
        <x:v>https://mp.fof99.com/fund/view/82e5c285d80c294f</x:v>
      </x:c>
      <x:c r="BD87" s="46" t="n">
        <x:f>IF('Sheet5-查询核对'!H72="","",'Sheet5-查询核对'!H72)</x:f>
        <x:v>46269</x:v>
      </x:c>
      <x:c r="BE87" s="50" t="str">
        <x:f>IF('Sheet5-查询核对'!L72="","",'Sheet5-查询核对'!L72)</x:f>
        <x:v>https://mp.fof99.com/fund/view/82e5c285d80c294f</x:v>
      </x:c>
      <x:c r="BF87" s="46" t="n">
        <x:f>IF('Sheet5-查询核对'!M72="","",'Sheet5-查询核对'!M72)</x:f>
        <x:v>46275</x:v>
      </x:c>
      <x:c r="BG87" s="50" t="str">
        <x:f>IF('Sheet5-查询核对'!O72="","",'Sheet5-查询核对'!O72)</x:f>
        <x:v>https://gs.amac.org.cn/amac-infodisc/res/pof/fund/1909261835100611.html</x:v>
      </x:c>
      <x:c r="BH87" s="46" t="n">
        <x:f>IF('Sheet5-查询核对'!P72="","",'Sheet5-查询核对'!P72)</x:f>
        <x:v>46275</x:v>
      </x:c>
      <x:c r="BI87" s="45" t="str">
        <x:f>IF('Sheet5-查询核对'!D72="","",'Sheet5-查询核对'!D72)</x:f>
        <x:v>SJB356</x:v>
      </x:c>
      <x:c r="BJ87" t="n">
        <x:f>IF(ISNUMBER(AT87),AT87,COUNT($AT$17:$AT$99)+ROWS($AT$17:AT87)-COUNT($AT$17:AT87))</x:f>
        <x:v>44</x:v>
      </x:c>
    </x:row>
    <x:row r="88" ht="44" customHeight="1">
      <x:c r="A88" s="49" t="n">
        <x:f>'Sheet5-查询核对'!A73-1</x:f>
        <x:v>72</x:v>
      </x:c>
      <x:c r="B88" s="50" t="str">
        <x:f>IF('Sheet4-原始数据'!A73="",'Sheet5-查询核对'!B73,'Sheet4-原始数据'!A73)</x:f>
        <x:v>涌涵农本一号</x:v>
      </x:c>
      <x:c r="C88" s="45" t="str">
        <x:f>IF('Sheet4-原始数据'!B73="","",'Sheet4-原始数据'!B73)</x:f>
        <x:v>SAWA30</x:v>
      </x:c>
      <x:c r="D88" s="45" t="str">
        <x:f>IF('Sheet4-原始数据'!E73="","",'Sheet4-原始数据'!E73)</x:f>
        <x:v>上海涌涵</x:v>
      </x:c>
      <x:c r="E88" s="46" t="n">
        <x:f>IF('Sheet4-原始数据'!F73="","",'Sheet4-原始数据'!F73)</x:f>
        <x:v>45803</x:v>
      </x:c>
      <x:c r="F88" s="52" t="n">
        <x:f>IF(ISNUMBER(E88),ROUND(('Sheet1-指标体系'!$J$12-E88)/'Sheet1-指标体系'!$J$14,4),"")</x:f>
        <x:v>1.2923</x:v>
      </x:c>
      <x:c r="G88" s="14" t="str">
        <x:f>IF(C88="","未匹配",IF(NOT(ISNUMBER(F88)),"缺成立日期",IF(F88&lt;'Sheet1-指标体系'!$J$15,"不入池","入池")))</x:f>
        <x:v>入池</x:v>
      </x:c>
      <x:c r="H88" s="45" t="str">
        <x:f>IF('Sheet5-查询核对'!K73="","",'Sheet5-查询核对'!K73)</x:f>
        <x:v>10-20亿元</x:v>
      </x:c>
      <x:c r="I88" s="52" t="n">
        <x:f>IF(H88="","",IF(COUNTIF('Sheet1-指标体系'!$P$4:$P$10,H88)=0,"",INDEX('Sheet1-指标体系'!$Q$4:$Q$10,MATCH(H88,'Sheet1-指标体系'!$P$4:$P$10,0))))</x:f>
        <x:v>80</x:v>
      </x:c>
      <x:c r="J88" s="54" t="str">
        <x:f>IF(NOT(ISNUMBER('Sheet5-查询核对'!N73)),"",IF('Sheet5-查询核对'!N73=1,"低于"&amp;'Sheet1-指标体系'!$J$4&amp;"万元",IF('Sheet5-查询核对'!N73=0,"无低于"&amp;'Sheet1-指标体系'!$J$4&amp;"万元标识","")))</x:f>
        <x:v>无低于1000万元标识</x:v>
      </x:c>
      <x:c r="K88" s="52" t="n">
        <x:f>IF(NOT(ISNUMBER('Sheet5-查询核对'!N73)),"",IF('Sheet5-查询核对'!N73=1,'Sheet1-指标体系'!$J$21,IF('Sheet5-查询核对'!N73=0,'Sheet1-指标体系'!$J$18,"")))</x:f>
        <x:v>100</x:v>
      </x:c>
      <x:c r="L88" s="52" t="n">
        <x:f>IF(NOT(ISNUMBER(F88)),"",IF(F88&lt;'Sheet1-指标体系'!$J$15,"",IF(F88&lt;'Sheet1-指标体系'!$J$16,'Sheet1-指标体系'!$J$17,'Sheet1-指标体系'!$J$18)))</x:f>
        <x:v>70</x:v>
      </x:c>
      <x:c r="M88" s="47" t="n">
        <x:f>IF(ISNUMBER('Sheet4-原始数据'!G73),'Sheet4-原始数据'!G73,"")</x:f>
        <x:v>0.24050000000000002</x:v>
      </x:c>
      <x:c r="N88" s="47" t="str">
        <x:f>IF(ISNUMBER('Sheet4-原始数据'!H73),'Sheet4-原始数据'!H73,"")</x:f>
      </x:c>
      <x:c r="O88" s="47" t="n">
        <x:f>IF(ISNUMBER('Sheet5-查询核对'!Q73),'Sheet5-查询核对'!Q73,"")</x:f>
        <x:v>0.16390000000000002</x:v>
      </x:c>
      <x:c r="P88" s="44" t="n">
        <x:f>IF($G88&lt;&gt;"入池","",IF($F88&gt;='Sheet1-指标体系'!$J$16,IF(COUNT(M88,N88)&lt;&gt;2,"",IF(OR(1+M88&lt;=0,1+N88&lt;0),"",((1+N88)^'Sheet1-指标体系'!$J$16/(1+M88))^(1/('Sheet1-指标体系'!$J$16-'Sheet1-指标体系'!$J$15))-1)),IF(COUNT(M88,O88)&lt;&gt;2,"",IF(OR(F88&lt;='Sheet1-指标体系'!$J$15,1+M88&lt;=0,1+O88&lt;0),"",((1+O88)^F88/(1+M88))^(1/(F88-'Sheet1-指标体系'!$J$15))-1))))</x:f>
        <x:v>-0.06413183437259284</x:v>
      </x:c>
      <x:c r="Q88" s="52" t="n">
        <x:f>IF(OR($G88&lt;&gt;"入池",NOT(ISNUMBER(M88))),"",IF(COUNTIFS($G$17:$G$99,"入池",$M$17:$M$99,"&gt;=-1E+307",$M$17:$M$99,"&lt;=1E+307")&lt;=1,'Sheet1-指标体系'!$J$18,ROUND('Sheet1-指标体系'!$J$18*(COUNTIFS($G$17:$G$99,"入池",$M$17:$M$99,"&gt;=-1E+307",$M$17:$M$99,"&lt;"&amp;M88)+COUNTIFS($G$17:$G$99,"入池",$M$17:$M$99,"&gt;=-1E+307",$M$17:$M$99,"&lt;=1E+307",$M$17:$M$99,M88)/2-0.5)/(COUNTIFS($G$17:$G$99,"入池",$M$17:$M$99,"&gt;=-1E+307",$M$17:$M$99,"&lt;=1E+307")-1),2)))</x:f>
        <x:v>92.86</x:v>
      </x:c>
      <x:c r="R88" s="52" t="n">
        <x:f>IF(OR($G88&lt;&gt;"入池",NOT(ISNUMBER(P88))),"",IF(COUNTIFS($G$17:$G$99,"入池",$P$17:$P$99,"&gt;=-1E+307",$P$17:$P$99,"&lt;=1E+307")&lt;=1,'Sheet1-指标体系'!$J$18,ROUND('Sheet1-指标体系'!$J$18*(COUNTIFS($G$17:$G$99,"入池",$P$17:$P$99,"&gt;=-1E+307",$P$17:$P$99,"&lt;"&amp;P88)+COUNTIFS($G$17:$G$99,"入池",$P$17:$P$99,"&gt;=-1E+307",$P$17:$P$99,"&lt;=1E+307",$P$17:$P$99,P88)/2-0.5)/(COUNTIFS($G$17:$G$99,"入池",$P$17:$P$99,"&gt;=-1E+307",$P$17:$P$99,"&lt;=1E+307")-1),2)))</x:f>
        <x:v>0</x:v>
      </x:c>
      <x:c r="S88" s="52" t="n">
        <x:f>IF(COUNT(Q88,R88)=0,"",ROUND((IF(ISNUMBER(Q88),Q88*'Sheet1-指标体系'!$G$7*'Sheet1-指标体系'!$J$8,0)+IF(ISNUMBER(R88),R88*'Sheet1-指标体系'!$G$7*'Sheet1-指标体系'!$J$9,0))/(IF(ISNUMBER(Q88),'Sheet1-指标体系'!$G$7*'Sheet1-指标体系'!$J$8,0)+IF(ISNUMBER(R88),'Sheet1-指标体系'!$G$7*'Sheet1-指标体系'!$J$9,0)),2))</x:f>
        <x:v>55.72</x:v>
      </x:c>
      <x:c r="T88" s="47" t="n">
        <x:f>IF(ISNUMBER('Sheet4-原始数据'!J73),'Sheet4-原始数据'!J73,"")</x:f>
        <x:v>0.46149999999999997</x:v>
      </x:c>
      <x:c r="U88" s="47" t="str">
        <x:f>IF(ISNUMBER('Sheet4-原始数据'!I73),'Sheet4-原始数据'!I73,"")</x:f>
      </x:c>
      <x:c r="V88" s="44" t="str">
        <x:f>IF(COUNT(T88:U88)&lt;&gt;2,"",(U88*'Sheet1-指标体系'!$J$6-T88*'Sheet1-指标体系'!$J$5)/'Sheet1-指标体系'!$J$7)</x:f>
      </x:c>
      <x:c r="W88" s="52" t="n">
        <x:f>IF(NOT(ISNUMBER(T88)),"",T88*'Sheet1-指标体系'!$J$18)</x:f>
        <x:v>46.15</x:v>
      </x:c>
      <x:c r="X88" s="52" t="n">
        <x:f>IF(G88&lt;&gt;"入池","",IF(ISNUMBER(V88),IF(AND(V88&gt;=0,V88&lt;=1),V88*'Sheet1-指标体系'!$J$18,IF(MAX(0,(F88-'Sheet1-指标体系'!$J$15)*'Sheet1-指标体系'!$J$20)&lt;'Sheet1-指标体系'!$J$19,'Sheet1-指标体系'!$J$18,"")),IF(MAX(0,(F88-'Sheet1-指标体系'!$J$15)*'Sheet1-指标体系'!$J$20)&lt;'Sheet1-指标体系'!$J$19,'Sheet1-指标体系'!$J$18,"")))</x:f>
        <x:v>100</x:v>
      </x:c>
      <x:c r="Y88" s="52" t="n">
        <x:f>IF(NOT(ISNUMBER(W88)),"",IF(COUNT(W88,X88)=0,"",ROUND((IF(ISNUMBER(W88),W88*'Sheet1-指标体系'!$G$8*'Sheet1-指标体系'!$J$8,0)+IF(ISNUMBER(X88),X88*'Sheet1-指标体系'!$G$8*'Sheet1-指标体系'!$J$9,0))/(IF(ISNUMBER(W88),'Sheet1-指标体系'!$G$8*'Sheet1-指标体系'!$J$8,0)+IF(ISNUMBER(X88),'Sheet1-指标体系'!$G$8*'Sheet1-指标体系'!$J$9,0)),2)))</x:f>
        <x:v>67.69</x:v>
      </x:c>
      <x:c r="Z88" s="44" t="n">
        <x:f>IF(COUNT(M88,AD88)&lt;&gt;2,"",IF(AD88=0,"",ABS(M88/AD88)))</x:f>
        <x:v>0.1964548276425421</x:v>
      </x:c>
      <x:c r="AA88" s="47" t="str">
        <x:f>IF(ISNUMBER('Sheet4-原始数据'!K73),'Sheet4-原始数据'!K73,"")</x:f>
      </x:c>
      <x:c r="AB88" s="44" t="n">
        <x:f>IF(COUNT(Z88:AA88)=0,"",MAX(Z88:AA88))</x:f>
        <x:v>0.1964548276425421</x:v>
      </x:c>
      <x:c r="AC88" s="52" t="n">
        <x:f>IF(OR($G88&lt;&gt;"入池",NOT(ISNUMBER(AB88))),"",IF(COUNTIFS($G$17:$G$99,"入池",$AB$17:$AB$99,"&gt;=-1E+307",$AB$17:$AB$99,"&lt;=1E+307")&lt;=1,'Sheet1-指标体系'!$J$18,ROUND('Sheet1-指标体系'!$J$18*(COUNTIFS($G$17:$G$99,"入池",$AB$17:$AB$99,"&lt;=1E+307",$AB$17:$AB$99,"&gt;"&amp;AB88)+COUNTIFS($G$17:$G$99,"入池",$AB$17:$AB$99,"&gt;=-1E+307",$AB$17:$AB$99,"&lt;=1E+307",$AB$17:$AB$99,AB88)/2-0.5)/(COUNTIFS($G$17:$G$99,"入池",$AB$17:$AB$99,"&gt;=-1E+307",$AB$17:$AB$99,"&lt;=1E+307")-1),2)))</x:f>
        <x:v>1.72</x:v>
      </x:c>
      <x:c r="AD88" s="48" t="n">
        <x:f>IF(ISNUMBER('Sheet4-原始数据'!M73),'Sheet4-原始数据'!M73,"")</x:f>
        <x:v>1.2242</x:v>
      </x:c>
      <x:c r="AE88" s="44" t="str">
        <x:f>IF(COUNT(P88,AA88,Z88)&lt;&gt;3,"",IF(AA88&gt;Z88+'Sheet1-指标体系'!$J$11,AA88,""))</x:f>
      </x:c>
      <x:c r="AF88" s="52" t="str">
        <x:f>IF(COUNT(P88,AE88)&lt;&gt;2,"",IF(AE88=0,"",P88/AE88))</x:f>
      </x:c>
      <x:c r="AG88" s="52" t="n">
        <x:f>IF(OR($G88&lt;&gt;"入池",NOT(ISNUMBER(AD88))),"",IF(COUNTIFS($G$17:$G$99,"入池",$AD$17:$AD$99,"&gt;=-1E+307",$AD$17:$AD$99,"&lt;=1E+307")&lt;=1,'Sheet1-指标体系'!$J$18,ROUND('Sheet1-指标体系'!$J$18*(COUNTIFS($G$17:$G$99,"入池",$AD$17:$AD$99,"&gt;=-1E+307",$AD$17:$AD$99,"&lt;"&amp;AD88)+COUNTIFS($G$17:$G$99,"入池",$AD$17:$AD$99,"&gt;=-1E+307",$AD$17:$AD$99,"&lt;=1E+307",$AD$17:$AD$99,AD88)/2-0.5)/(COUNTIFS($G$17:$G$99,"入池",$AD$17:$AD$99,"&gt;=-1E+307",$AD$17:$AD$99,"&lt;=1E+307")-1),2)))</x:f>
        <x:v>5.45</x:v>
      </x:c>
      <x:c r="AH88" s="52" t="str">
        <x:f>IF(OR($G88&lt;&gt;"入池",NOT(ISNUMBER(AF88))),"",IF(COUNTIFS($G$17:$G$99,"入池",$AF$17:$AF$99,"&gt;=-1E+307",$AF$17:$AF$99,"&lt;=1E+307")&lt;=1,'Sheet1-指标体系'!$J$18,ROUND('Sheet1-指标体系'!$J$18*(COUNTIFS($G$17:$G$99,"入池",$AF$17:$AF$99,"&gt;=-1E+307",$AF$17:$AF$99,"&lt;"&amp;AF88)+COUNTIFS($G$17:$G$99,"入池",$AF$17:$AF$99,"&gt;=-1E+307",$AF$17:$AF$99,"&lt;=1E+307",$AF$17:$AF$99,AF88)/2-0.5)/(COUNTIFS($G$17:$G$99,"入池",$AF$17:$AF$99,"&gt;=-1E+307",$AF$17:$AF$99,"&lt;=1E+307")-1),2)))</x:f>
      </x:c>
      <x:c r="AI88" s="52" t="n">
        <x:f>IF(COUNT(AG88,AH88)=0,"",ROUND((IF(ISNUMBER(AG88),AG88*'Sheet1-指标体系'!$G$10*'Sheet1-指标体系'!$J$8,0)+IF(ISNUMBER(AH88),AH88*'Sheet1-指标体系'!$G$10*'Sheet1-指标体系'!$J$9,0))/(IF(ISNUMBER(AG88),'Sheet1-指标体系'!$G$10*'Sheet1-指标体系'!$J$8,0)+IF(ISNUMBER(AH88),'Sheet1-指标体系'!$G$10*'Sheet1-指标体系'!$J$9,0)),2))</x:f>
        <x:v>5.45</x:v>
      </x:c>
      <x:c r="AJ88" s="44" t="n">
        <x:f>IF(NOT(ISNUMBER(F88)),"",IF(F88&gt;='Sheet1-指标体系'!$J$16,IF(ISNUMBER(N88),N88,""),IF(ISNUMBER(O88),O88,"")))</x:f>
        <x:v>0.16390000000000002</x:v>
      </x:c>
      <x:c r="AK88" s="52" t="n">
        <x:f>IF(OR(G88&lt;&gt;"入池",COUNT(M88,AJ88)&lt;&gt;2),"",IF(M88&gt;=AJ88,'Sheet1-指标体系'!$J$18,IF(AJ88-M88&lt;'Sheet1-指标体系'!$J$10,'Sheet1-指标体系'!$J$22,'Sheet1-指标体系'!$J$23)))</x:f>
        <x:v>100</x:v>
      </x:c>
      <x:c r="AL88" s="52" t="n">
        <x:f>IF(COUNT(I88,K88,L88)=0,"",ROUND((IF(ISNUMBER(I88),I88*'Sheet1-指标体系'!$G$4,0)+IF(ISNUMBER(K88),K88*'Sheet1-指标体系'!$G$5,0)+IF(ISNUMBER(L88),L88*'Sheet1-指标体系'!$G$6,0))/(IF(ISNUMBER(I88),'Sheet1-指标体系'!$G$4,0)+IF(ISNUMBER(K88),'Sheet1-指标体系'!$G$5,0)+IF(ISNUMBER(L88),'Sheet1-指标体系'!$G$6,0)),2))</x:f>
        <x:v>83</x:v>
      </x:c>
      <x:c r="AM88" s="52" t="n">
        <x:f>IF(COUNT(Q88,R88,W88,X88)=0,"",ROUND((IF(ISNUMBER(Q88),Q88*'Sheet1-指标体系'!$G$7*'Sheet1-指标体系'!$J$8,0)+IF(ISNUMBER(R88),R88*'Sheet1-指标体系'!$G$7*'Sheet1-指标体系'!$J$9,0)+IF(ISNUMBER(W88),W88*'Sheet1-指标体系'!$G$8*'Sheet1-指标体系'!$J$8,0)+IF(ISNUMBER(X88),X88*'Sheet1-指标体系'!$G$8*'Sheet1-指标体系'!$J$9,0))/(IF(ISNUMBER(Q88),'Sheet1-指标体系'!$G$7*'Sheet1-指标体系'!$J$8,0)+IF(ISNUMBER(R88),'Sheet1-指标体系'!$G$7*'Sheet1-指标体系'!$J$9,0)+IF(ISNUMBER(W88),'Sheet1-指标体系'!$G$8*'Sheet1-指标体系'!$J$8,0)+IF(ISNUMBER(X88),'Sheet1-指标体系'!$G$8*'Sheet1-指标体系'!$J$9,0)),2))</x:f>
        <x:v>59.31</x:v>
      </x:c>
      <x:c r="AN88" s="52" t="n">
        <x:f>IF(ISNUMBER(AC88),AC88,"")</x:f>
        <x:v>1.72</x:v>
      </x:c>
      <x:c r="AO88" s="52" t="n">
        <x:f>IF(COUNT(AG88,AH88)=0,"",ROUND((IF(ISNUMBER(AG88),AG88*'Sheet1-指标体系'!$G$10*'Sheet1-指标体系'!$J$8,0)+IF(ISNUMBER(AH88),AH88*'Sheet1-指标体系'!$G$10*'Sheet1-指标体系'!$J$9,0))/(IF(ISNUMBER(AG88),'Sheet1-指标体系'!$G$10*'Sheet1-指标体系'!$J$8,0)+IF(ISNUMBER(AH88),'Sheet1-指标体系'!$G$10*'Sheet1-指标体系'!$J$9,0)),2))</x:f>
        <x:v>5.45</x:v>
      </x:c>
      <x:c r="AP88" s="52" t="n">
        <x:f>IF(ISNUMBER(AK88),AK88,"")</x:f>
        <x:v>100</x:v>
      </x:c>
      <x:c r="AQ88" s="27" t="n">
        <x:f>IF(G88&lt;&gt;"入池",0,IF(ISNUMBER(I88),'Sheet1-指标体系'!$G$4,0)+IF(ISNUMBER(K88),'Sheet1-指标体系'!$G$5,0)+IF(ISNUMBER(L88),'Sheet1-指标体系'!$G$6,0)+IF(ISNUMBER(Q88),'Sheet1-指标体系'!$G$7*'Sheet1-指标体系'!$J$8,0)+IF(ISNUMBER(R88),'Sheet1-指标体系'!$G$7*'Sheet1-指标体系'!$J$9,0)+IF(ISNUMBER(W88),'Sheet1-指标体系'!$G$8*'Sheet1-指标体系'!$J$8,0)+IF(ISNUMBER(X88),'Sheet1-指标体系'!$G$8*'Sheet1-指标体系'!$J$9,0)+IF(ISNUMBER(AC88),'Sheet1-指标体系'!$G$9,0)+IF(ISNUMBER(AG88),'Sheet1-指标体系'!$G$10*'Sheet1-指标体系'!$J$8,0)+IF(ISNUMBER(AH88),'Sheet1-指标体系'!$G$10*'Sheet1-指标体系'!$J$9,0)+IF(ISNUMBER(AK88),'Sheet1-指标体系'!$G$11,0))</x:f>
        <x:v>0.88</x:v>
      </x:c>
      <x:c r="AR88" s="52" t="n">
        <x:f>IF(AQ88=0,"",IF(ISNUMBER(I88),I88*'Sheet1-指标体系'!$G$4,0)+IF(ISNUMBER(K88),K88*'Sheet1-指标体系'!$G$5,0)+IF(ISNUMBER(L88),L88*'Sheet1-指标体系'!$G$6,0)+IF(ISNUMBER(Q88),Q88*'Sheet1-指标体系'!$G$7*'Sheet1-指标体系'!$J$8,0)+IF(ISNUMBER(R88),R88*'Sheet1-指标体系'!$G$7*'Sheet1-指标体系'!$J$9,0)+IF(ISNUMBER(W88),W88*'Sheet1-指标体系'!$G$8*'Sheet1-指标体系'!$J$8,0)+IF(ISNUMBER(X88),X88*'Sheet1-指标体系'!$G$8*'Sheet1-指标体系'!$J$9,0)+IF(ISNUMBER(AC88),AC88*'Sheet1-指标体系'!$G$9,0)+IF(ISNUMBER(AG88),AG88*'Sheet1-指标体系'!$G$10*'Sheet1-指标体系'!$J$8,0)+IF(ISNUMBER(AH88),AH88*'Sheet1-指标体系'!$G$10*'Sheet1-指标体系'!$J$9,0)+IF(ISNUMBER(AK88),AK88*'Sheet1-指标体系'!$G$11,0))</x:f>
        <x:v>35.72264</x:v>
      </x:c>
      <x:c r="AS88" s="52" t="n">
        <x:f>IF(AQ88=0,"",ROUND(AR88/AQ88,2))</x:f>
        <x:v>40.59</x:v>
      </x:c>
      <x:c r="AT88" s="49" t="n">
        <x:f>IF(OR(G88&lt;&gt;"入池",NOT(ISNUMBER(AS88))),"",COUNTIFS($G$17:$G$99,"入池",$AS$17:$AS$99,"&gt;"&amp;AS88)+COUNTIFS($G$17:$G$99,"入池",$AS$17:$AS$99,AS88,$AQ$17:$AQ$99,"&gt;"&amp;AQ88)+COUNTIFS($G$17:G88,"入池",$AS$17:AS88,AS88,$AQ$17:AQ88,AQ88))</x:f>
        <x:v>71</x:v>
      </x:c>
      <x:c r="AU88" s="53" t="str">
        <x:f>IF(NOT(ISNUMBER(I88)),"管理人规模；","")&amp;IF(NOT(ISNUMBER(K88)),"产品规模标识；","")&amp;IF(NOT(ISNUMBER(M88)),"近一年收益；","")&amp;IF(NOT(ISNUMBER(T88)),"近一年胜率；","")&amp;IF(NOT(ISNUMBER(N88)),"近三年收益；","")&amp;IF(NOT(ISNUMBER(U88)),"近三年胜率；","")&amp;IF(NOT(ISNUMBER(AA88)),"近三年回撤；","")&amp;IF(NOT(ISNUMBER(AD88)),"近一年卡玛；","")&amp;IF(ISNUMBER(F88),IF(AND(F88&lt;'Sheet1-指标体系'!$J$16,NOT(ISNUMBER(O88))),"成立以来年化；",""),"成立日期；")&amp;IF(ISNUMBER(V88),IF(OR(V88&lt;0,V88&gt;1),"胜率窗口口径不一致；",""),"")&amp;IF(ISNUMBER(P88),IF(NOT(ISNUMBER(AE88)),"DD_long不可识别；",""),"")</x:f>
        <x:v>近三年收益；近三年胜率；近三年回撤；DD_long不可识别；</x:v>
      </x:c>
      <x:c r="AV88" s="52" t="str">
        <x:f>IF(ROUND(AQ88,10)=ROUND('Sheet1-指标体系'!$J$25,10),AR88,"")</x:f>
      </x:c>
      <x:c r="AW88" s="14" t="str">
        <x:f>IF(G88&lt;&gt;"入池",G88,IF(AQ88=0,"无有效评分数据",IF(ROUND(AQ88,10)=ROUND('Sheet1-指标体系'!$J$25,10),"完整赋分", "暂定分／数据不完整")))</x:f>
        <x:v>暂定分／数据不完整</x:v>
      </x:c>
      <x:c r="AX88" s="45" t="str">
        <x:f>IF('Sheet4-原始数据'!C73="","",'Sheet4-原始数据'!C73)</x:f>
        <x:v>套利策略</x:v>
      </x:c>
      <x:c r="AY88" s="45" t="str">
        <x:f>IF('Sheet4-原始数据'!D73="","",'Sheet4-原始数据'!D73)</x:f>
      </x:c>
      <x:c r="AZ88" s="45" t="str">
        <x:f>IF('Sheet5-查询核对'!S73="","",'Sheet5-查询核对'!S73)</x:f>
        <x:v>套利策略—其他</x:v>
      </x:c>
      <x:c r="BA88" s="51" t="n">
        <x:f>IF('Sheet5-查询核对'!A73="","",'Sheet5-查询核对'!A73)</x:f>
        <x:v>73</x:v>
      </x:c>
      <x:c r="BB88" s="45" t="str">
        <x:f>IF('Sheet5-查询核对'!F73="","",'Sheet5-查询核对'!F73)</x:f>
        <x:v>备案号匹配</x:v>
      </x:c>
      <x:c r="BC88" s="50" t="str">
        <x:f>IF('Sheet5-查询核对'!I73="","",'Sheet5-查询核对'!I73)</x:f>
        <x:v>https://mp.fof99.com/fund/view/fbdc1fb41bf9e1b4</x:v>
      </x:c>
      <x:c r="BD88" s="46" t="n">
        <x:f>IF('Sheet5-查询核对'!H73="","",'Sheet5-查询核对'!H73)</x:f>
        <x:v>46269</x:v>
      </x:c>
      <x:c r="BE88" s="50" t="str">
        <x:f>IF('Sheet5-查询核对'!L73="","",'Sheet5-查询核对'!L73)</x:f>
        <x:v>https://mp.fof99.com/fund/view/fbdc1fb41bf9e1b4</x:v>
      </x:c>
      <x:c r="BF88" s="46" t="n">
        <x:f>IF('Sheet5-查询核对'!M73="","",'Sheet5-查询核对'!M73)</x:f>
        <x:v>46275</x:v>
      </x:c>
      <x:c r="BG88" s="50" t="str">
        <x:f>IF('Sheet5-查询核对'!O73="","",'Sheet5-查询核对'!O73)</x:f>
        <x:v>https://gs.amac.org.cn/amac-infodisc/res/pof/fund/2506041444103887.html</x:v>
      </x:c>
      <x:c r="BH88" s="46" t="n">
        <x:f>IF('Sheet5-查询核对'!P73="","",'Sheet5-查询核对'!P73)</x:f>
        <x:v>46275</x:v>
      </x:c>
      <x:c r="BI88" s="45" t="str">
        <x:f>IF('Sheet5-查询核对'!D73="","",'Sheet5-查询核对'!D73)</x:f>
        <x:v>SAWA30</x:v>
      </x:c>
      <x:c r="BJ88" t="n">
        <x:f>IF(ISNUMBER(AT88),AT88,COUNT($AT$17:$AT$99)+ROWS($AT$17:AT88)-COUNT($AT$17:AT88))</x:f>
        <x:v>71</x:v>
      </x:c>
    </x:row>
    <x:row r="89" ht="44" customHeight="1">
      <x:c r="A89" s="49" t="n">
        <x:f>'Sheet5-查询核对'!A74-1</x:f>
        <x:v>73</x:v>
      </x:c>
      <x:c r="B89" s="50" t="str">
        <x:f>IF('Sheet4-原始数据'!A74="",'Sheet5-查询核对'!B74,'Sheet4-原始数据'!A74)</x:f>
        <x:v>裕锦量化专享1号</x:v>
      </x:c>
      <x:c r="C89" s="45" t="str">
        <x:f>IF('Sheet4-原始数据'!B74="","",'Sheet4-原始数据'!B74)</x:f>
        <x:v>SNE165</x:v>
      </x:c>
      <x:c r="D89" s="45" t="str">
        <x:f>IF('Sheet4-原始数据'!E74="","",'Sheet4-原始数据'!E74)</x:f>
        <x:v>深圳裕锦</x:v>
      </x:c>
      <x:c r="E89" s="46" t="n">
        <x:f>IF('Sheet4-原始数据'!F74="","",'Sheet4-原始数据'!F74)</x:f>
        <x:v>44166</x:v>
      </x:c>
      <x:c r="F89" s="52" t="n">
        <x:f>IF(ISNUMBER(E89),ROUND(('Sheet1-指标体系'!$J$12-E89)/'Sheet1-指标体系'!$J$14,4),"")</x:f>
        <x:v>5.7741</x:v>
      </x:c>
      <x:c r="G89" s="14" t="str">
        <x:f>IF(C89="","未匹配",IF(NOT(ISNUMBER(F89)),"缺成立日期",IF(F89&lt;'Sheet1-指标体系'!$J$15,"不入池","入池")))</x:f>
        <x:v>入池</x:v>
      </x:c>
      <x:c r="H89" s="45" t="str">
        <x:f>IF('Sheet5-查询核对'!K74="","",'Sheet5-查询核对'!K74)</x:f>
        <x:v>10-20亿元</x:v>
      </x:c>
      <x:c r="I89" s="52" t="n">
        <x:f>IF(H89="","",IF(COUNTIF('Sheet1-指标体系'!$P$4:$P$10,H89)=0,"",INDEX('Sheet1-指标体系'!$Q$4:$Q$10,MATCH(H89,'Sheet1-指标体系'!$P$4:$P$10,0))))</x:f>
        <x:v>80</x:v>
      </x:c>
      <x:c r="J89" s="54" t="str">
        <x:f>IF(NOT(ISNUMBER('Sheet5-查询核对'!N74)),"",IF('Sheet5-查询核对'!N74=1,"低于"&amp;'Sheet1-指标体系'!$J$4&amp;"万元",IF('Sheet5-查询核对'!N74=0,"无低于"&amp;'Sheet1-指标体系'!$J$4&amp;"万元标识","")))</x:f>
        <x:v>无低于1000万元标识</x:v>
      </x:c>
      <x:c r="K89" s="52" t="n">
        <x:f>IF(NOT(ISNUMBER('Sheet5-查询核对'!N74)),"",IF('Sheet5-查询核对'!N74=1,'Sheet1-指标体系'!$J$21,IF('Sheet5-查询核对'!N74=0,'Sheet1-指标体系'!$J$18,"")))</x:f>
        <x:v>100</x:v>
      </x:c>
      <x:c r="L89" s="52" t="n">
        <x:f>IF(NOT(ISNUMBER(F89)),"",IF(F89&lt;'Sheet1-指标体系'!$J$15,"",IF(F89&lt;'Sheet1-指标体系'!$J$16,'Sheet1-指标体系'!$J$17,'Sheet1-指标体系'!$J$18)))</x:f>
        <x:v>100</x:v>
      </x:c>
      <x:c r="M89" s="47" t="n">
        <x:f>IF(ISNUMBER('Sheet4-原始数据'!G74),'Sheet4-原始数据'!G74,"")</x:f>
        <x:v>0.1855</x:v>
      </x:c>
      <x:c r="N89" s="47" t="n">
        <x:f>IF(ISNUMBER('Sheet4-原始数据'!H74),'Sheet4-原始数据'!H74,"")</x:f>
        <x:v>0.172</x:v>
      </x:c>
      <x:c r="O89" s="47" t="n">
        <x:f>IF(ISNUMBER('Sheet5-查询核对'!Q74),'Sheet5-查询核对'!Q74,"")</x:f>
        <x:v>0.19260000000000002</x:v>
      </x:c>
      <x:c r="P89" s="44" t="n">
        <x:f>IF($G89&lt;&gt;"入池","",IF($F89&gt;='Sheet1-指标体系'!$J$16,IF(COUNT(M89,N89)&lt;&gt;2,"",IF(OR(1+M89&lt;=0,1+N89&lt;0),"",((1+N89)^'Sheet1-指标体系'!$J$16/(1+M89))^(1/('Sheet1-指标体系'!$J$16-'Sheet1-指标体系'!$J$15))-1)),IF(COUNT(M89,O89)&lt;&gt;2,"",IF(OR(F89&lt;='Sheet1-指标体系'!$J$15,1+M89&lt;=0,1+O89&lt;0),"",((1+O89)^F89/(1+M89))^(1/(F89-'Sheet1-指标体系'!$J$15))-1))))</x:f>
        <x:v>0.16530775961111188</x:v>
      </x:c>
      <x:c r="Q89" s="52" t="n">
        <x:f>IF(OR($G89&lt;&gt;"入池",NOT(ISNUMBER(M89))),"",IF(COUNTIFS($G$17:$G$99,"入池",$M$17:$M$99,"&gt;=-1E+307",$M$17:$M$99,"&lt;=1E+307")&lt;=1,'Sheet1-指标体系'!$J$18,ROUND('Sheet1-指标体系'!$J$18*(COUNTIFS($G$17:$G$99,"入池",$M$17:$M$99,"&gt;=-1E+307",$M$17:$M$99,"&lt;"&amp;M89)+COUNTIFS($G$17:$G$99,"入池",$M$17:$M$99,"&gt;=-1E+307",$M$17:$M$99,"&lt;=1E+307",$M$17:$M$99,M89)/2-0.5)/(COUNTIFS($G$17:$G$99,"入池",$M$17:$M$99,"&gt;=-1E+307",$M$17:$M$99,"&lt;=1E+307")-1),2)))</x:f>
        <x:v>87.5</x:v>
      </x:c>
      <x:c r="R89" s="52" t="n">
        <x:f>IF(OR($G89&lt;&gt;"入池",NOT(ISNUMBER(P89))),"",IF(COUNTIFS($G$17:$G$99,"入池",$P$17:$P$99,"&gt;=-1E+307",$P$17:$P$99,"&lt;=1E+307")&lt;=1,'Sheet1-指标体系'!$J$18,ROUND('Sheet1-指标体系'!$J$18*(COUNTIFS($G$17:$G$99,"入池",$P$17:$P$99,"&gt;=-1E+307",$P$17:$P$99,"&lt;"&amp;P89)+COUNTIFS($G$17:$G$99,"入池",$P$17:$P$99,"&gt;=-1E+307",$P$17:$P$99,"&lt;=1E+307",$P$17:$P$99,P89)/2-0.5)/(COUNTIFS($G$17:$G$99,"入池",$P$17:$P$99,"&gt;=-1E+307",$P$17:$P$99,"&lt;=1E+307")-1),2)))</x:f>
        <x:v>94.44</x:v>
      </x:c>
      <x:c r="S89" s="52" t="n">
        <x:f>IF(COUNT(Q89,R89)=0,"",ROUND((IF(ISNUMBER(Q89),Q89*'Sheet1-指标体系'!$G$7*'Sheet1-指标体系'!$J$8,0)+IF(ISNUMBER(R89),R89*'Sheet1-指标体系'!$G$7*'Sheet1-指标体系'!$J$9,0))/(IF(ISNUMBER(Q89),'Sheet1-指标体系'!$G$7*'Sheet1-指标体系'!$J$8,0)+IF(ISNUMBER(R89),'Sheet1-指标体系'!$G$7*'Sheet1-指标体系'!$J$9,0)),2))</x:f>
        <x:v>90.28</x:v>
      </x:c>
      <x:c r="T89" s="47" t="n">
        <x:f>IF(ISNUMBER('Sheet4-原始数据'!J74),'Sheet4-原始数据'!J74,"")</x:f>
        <x:v>0.7692</x:v>
      </x:c>
      <x:c r="U89" s="47" t="n">
        <x:f>IF(ISNUMBER('Sheet4-原始数据'!I74),'Sheet4-原始数据'!I74,"")</x:f>
        <x:v>0.8378</x:v>
      </x:c>
      <x:c r="V89" s="44" t="n">
        <x:f>IF(COUNT(T89:U89)&lt;&gt;2,"",(U89*'Sheet1-指标体系'!$J$6-T89*'Sheet1-指标体系'!$J$5)/'Sheet1-指标体系'!$J$7)</x:f>
        <x:v>0.8749583333333334</x:v>
      </x:c>
      <x:c r="W89" s="52" t="n">
        <x:f>IF(NOT(ISNUMBER(T89)),"",T89*'Sheet1-指标体系'!$J$18)</x:f>
        <x:v>76.92</x:v>
      </x:c>
      <x:c r="X89" s="52" t="n">
        <x:f>IF(G89&lt;&gt;"入池","",IF(ISNUMBER(V89),IF(AND(V89&gt;=0,V89&lt;=1),V89*'Sheet1-指标体系'!$J$18,IF(MAX(0,(F89-'Sheet1-指标体系'!$J$15)*'Sheet1-指标体系'!$J$20)&lt;'Sheet1-指标体系'!$J$19,'Sheet1-指标体系'!$J$18,"")),IF(MAX(0,(F89-'Sheet1-指标体系'!$J$15)*'Sheet1-指标体系'!$J$20)&lt;'Sheet1-指标体系'!$J$19,'Sheet1-指标体系'!$J$18,"")))</x:f>
        <x:v>87.49583333333334</x:v>
      </x:c>
      <x:c r="Y89" s="52" t="n">
        <x:f>IF(NOT(ISNUMBER(W89)),"",IF(COUNT(W89,X89)=0,"",ROUND((IF(ISNUMBER(W89),W89*'Sheet1-指标体系'!$G$8*'Sheet1-指标体系'!$J$8,0)+IF(ISNUMBER(X89),X89*'Sheet1-指标体系'!$G$8*'Sheet1-指标体系'!$J$9,0))/(IF(ISNUMBER(W89),'Sheet1-指标体系'!$G$8*'Sheet1-指标体系'!$J$8,0)+IF(ISNUMBER(X89),'Sheet1-指标体系'!$G$8*'Sheet1-指标体系'!$J$9,0)),2)))</x:f>
        <x:v>81.15</x:v>
      </x:c>
      <x:c r="Z89" s="44" t="n">
        <x:f>IF(COUNT(M89,AD89)&lt;&gt;2,"",IF(AD89=0,"",ABS(M89/AD89)))</x:f>
        <x:v>0.0046477482849683555</x:v>
      </x:c>
      <x:c r="AA89" s="47" t="n">
        <x:f>IF(ISNUMBER('Sheet4-原始数据'!K74),'Sheet4-原始数据'!K74,"")</x:f>
        <x:v>0.0105</x:v>
      </x:c>
      <x:c r="AB89" s="44" t="n">
        <x:f>IF(COUNT(Z89:AA89)=0,"",MAX(Z89:AA89))</x:f>
        <x:v>0.0105</x:v>
      </x:c>
      <x:c r="AC89" s="52" t="n">
        <x:f>IF(OR($G89&lt;&gt;"入池",NOT(ISNUMBER(AB89))),"",IF(COUNTIFS($G$17:$G$99,"入池",$AB$17:$AB$99,"&gt;=-1E+307",$AB$17:$AB$99,"&lt;=1E+307")&lt;=1,'Sheet1-指标体系'!$J$18,ROUND('Sheet1-指标体系'!$J$18*(COUNTIFS($G$17:$G$99,"入池",$AB$17:$AB$99,"&lt;=1E+307",$AB$17:$AB$99,"&gt;"&amp;AB89)+COUNTIFS($G$17:$G$99,"入池",$AB$17:$AB$99,"&gt;=-1E+307",$AB$17:$AB$99,"&lt;=1E+307",$AB$17:$AB$99,AB89)/2-0.5)/(COUNTIFS($G$17:$G$99,"入池",$AB$17:$AB$99,"&gt;=-1E+307",$AB$17:$AB$99,"&lt;=1E+307")-1),2)))</x:f>
        <x:v>77.59</x:v>
      </x:c>
      <x:c r="AD89" s="48" t="n">
        <x:f>IF(ISNUMBER('Sheet4-原始数据'!M74),'Sheet4-原始数据'!M74,"")</x:f>
        <x:v>39.9118</x:v>
      </x:c>
      <x:c r="AE89" s="44" t="n">
        <x:f>IF(COUNT(P89,AA89,Z89)&lt;&gt;3,"",IF(AA89&gt;Z89+'Sheet1-指标体系'!$J$11,AA89,""))</x:f>
        <x:v>0.0105</x:v>
      </x:c>
      <x:c r="AF89" s="52" t="n">
        <x:f>IF(COUNT(P89,AE89)&lt;&gt;2,"",IF(AE89=0,"",P89/AE89))</x:f>
        <x:v>15.743596153439226</x:v>
      </x:c>
      <x:c r="AG89" s="52" t="n">
        <x:f>IF(OR($G89&lt;&gt;"入池",NOT(ISNUMBER(AD89))),"",IF(COUNTIFS($G$17:$G$99,"入池",$AD$17:$AD$99,"&gt;=-1E+307",$AD$17:$AD$99,"&lt;=1E+307")&lt;=1,'Sheet1-指标体系'!$J$18,ROUND('Sheet1-指标体系'!$J$18*(COUNTIFS($G$17:$G$99,"入池",$AD$17:$AD$99,"&gt;=-1E+307",$AD$17:$AD$99,"&lt;"&amp;AD89)+COUNTIFS($G$17:$G$99,"入池",$AD$17:$AD$99,"&gt;=-1E+307",$AD$17:$AD$99,"&lt;=1E+307",$AD$17:$AD$99,AD89)/2-0.5)/(COUNTIFS($G$17:$G$99,"入池",$AD$17:$AD$99,"&gt;=-1E+307",$AD$17:$AD$99,"&lt;=1E+307")-1),2)))</x:f>
        <x:v>92.73</x:v>
      </x:c>
      <x:c r="AH89" s="52" t="n">
        <x:f>IF(OR($G89&lt;&gt;"入池",NOT(ISNUMBER(AF89))),"",IF(COUNTIFS($G$17:$G$99,"入池",$AF$17:$AF$99,"&gt;=-1E+307",$AF$17:$AF$99,"&lt;=1E+307")&lt;=1,'Sheet1-指标体系'!$J$18,ROUND('Sheet1-指标体系'!$J$18*(COUNTIFS($G$17:$G$99,"入池",$AF$17:$AF$99,"&gt;=-1E+307",$AF$17:$AF$99,"&lt;"&amp;AF89)+COUNTIFS($G$17:$G$99,"入池",$AF$17:$AF$99,"&gt;=-1E+307",$AF$17:$AF$99,"&lt;=1E+307",$AF$17:$AF$99,AF89)/2-0.5)/(COUNTIFS($G$17:$G$99,"入池",$AF$17:$AF$99,"&gt;=-1E+307",$AF$17:$AF$99,"&lt;=1E+307")-1),2)))</x:f>
        <x:v>96.43</x:v>
      </x:c>
      <x:c r="AI89" s="52" t="n">
        <x:f>IF(COUNT(AG89,AH89)=0,"",ROUND((IF(ISNUMBER(AG89),AG89*'Sheet1-指标体系'!$G$10*'Sheet1-指标体系'!$J$8,0)+IF(ISNUMBER(AH89),AH89*'Sheet1-指标体系'!$G$10*'Sheet1-指标体系'!$J$9,0))/(IF(ISNUMBER(AG89),'Sheet1-指标体系'!$G$10*'Sheet1-指标体系'!$J$8,0)+IF(ISNUMBER(AH89),'Sheet1-指标体系'!$G$10*'Sheet1-指标体系'!$J$9,0)),2))</x:f>
        <x:v>94.21</x:v>
      </x:c>
      <x:c r="AJ89" s="44" t="n">
        <x:f>IF(NOT(ISNUMBER(F89)),"",IF(F89&gt;='Sheet1-指标体系'!$J$16,IF(ISNUMBER(N89),N89,""),IF(ISNUMBER(O89),O89,"")))</x:f>
        <x:v>0.172</x:v>
      </x:c>
      <x:c r="AK89" s="52" t="n">
        <x:f>IF(OR(G89&lt;&gt;"入池",COUNT(M89,AJ89)&lt;&gt;2),"",IF(M89&gt;=AJ89,'Sheet1-指标体系'!$J$18,IF(AJ89-M89&lt;'Sheet1-指标体系'!$J$10,'Sheet1-指标体系'!$J$22,'Sheet1-指标体系'!$J$23)))</x:f>
        <x:v>100</x:v>
      </x:c>
      <x:c r="AL89" s="52" t="n">
        <x:f>IF(COUNT(I89,K89,L89)=0,"",ROUND((IF(ISNUMBER(I89),I89*'Sheet1-指标体系'!$G$4,0)+IF(ISNUMBER(K89),K89*'Sheet1-指标体系'!$G$5,0)+IF(ISNUMBER(L89),L89*'Sheet1-指标体系'!$G$6,0))/(IF(ISNUMBER(I89),'Sheet1-指标体系'!$G$4,0)+IF(ISNUMBER(K89),'Sheet1-指标体系'!$G$5,0)+IF(ISNUMBER(L89),'Sheet1-指标体系'!$G$6,0)),2))</x:f>
        <x:v>92</x:v>
      </x:c>
      <x:c r="AM89" s="52" t="n">
        <x:f>IF(COUNT(Q89,R89,W89,X89)=0,"",ROUND((IF(ISNUMBER(Q89),Q89*'Sheet1-指标体系'!$G$7*'Sheet1-指标体系'!$J$8,0)+IF(ISNUMBER(R89),R89*'Sheet1-指标体系'!$G$7*'Sheet1-指标体系'!$J$9,0)+IF(ISNUMBER(W89),W89*'Sheet1-指标体系'!$G$8*'Sheet1-指标体系'!$J$8,0)+IF(ISNUMBER(X89),X89*'Sheet1-指标体系'!$G$8*'Sheet1-指标体系'!$J$9,0))/(IF(ISNUMBER(Q89),'Sheet1-指标体系'!$G$7*'Sheet1-指标体系'!$J$8,0)+IF(ISNUMBER(R89),'Sheet1-指标体系'!$G$7*'Sheet1-指标体系'!$J$9,0)+IF(ISNUMBER(W89),'Sheet1-指标体系'!$G$8*'Sheet1-指标体系'!$J$8,0)+IF(ISNUMBER(X89),'Sheet1-指标体系'!$G$8*'Sheet1-指标体系'!$J$9,0)),2))</x:f>
        <x:v>87.54</x:v>
      </x:c>
      <x:c r="AN89" s="52" t="n">
        <x:f>IF(ISNUMBER(AC89),AC89,"")</x:f>
        <x:v>77.59</x:v>
      </x:c>
      <x:c r="AO89" s="52" t="n">
        <x:f>IF(COUNT(AG89,AH89)=0,"",ROUND((IF(ISNUMBER(AG89),AG89*'Sheet1-指标体系'!$G$10*'Sheet1-指标体系'!$J$8,0)+IF(ISNUMBER(AH89),AH89*'Sheet1-指标体系'!$G$10*'Sheet1-指标体系'!$J$9,0))/(IF(ISNUMBER(AG89),'Sheet1-指标体系'!$G$10*'Sheet1-指标体系'!$J$8,0)+IF(ISNUMBER(AH89),'Sheet1-指标体系'!$G$10*'Sheet1-指标体系'!$J$9,0)),2))</x:f>
        <x:v>94.21</x:v>
      </x:c>
      <x:c r="AP89" s="52" t="n">
        <x:f>IF(ISNUMBER(AK89),AK89,"")</x:f>
        <x:v>100</x:v>
      </x:c>
      <x:c r="AQ89" s="27" t="n">
        <x:f>IF(G89&lt;&gt;"入池",0,IF(ISNUMBER(I89),'Sheet1-指标体系'!$G$4,0)+IF(ISNUMBER(K89),'Sheet1-指标体系'!$G$5,0)+IF(ISNUMBER(L89),'Sheet1-指标体系'!$G$6,0)+IF(ISNUMBER(Q89),'Sheet1-指标体系'!$G$7*'Sheet1-指标体系'!$J$8,0)+IF(ISNUMBER(R89),'Sheet1-指标体系'!$G$7*'Sheet1-指标体系'!$J$9,0)+IF(ISNUMBER(W89),'Sheet1-指标体系'!$G$8*'Sheet1-指标体系'!$J$8,0)+IF(ISNUMBER(X89),'Sheet1-指标体系'!$G$8*'Sheet1-指标体系'!$J$9,0)+IF(ISNUMBER(AC89),'Sheet1-指标体系'!$G$9,0)+IF(ISNUMBER(AG89),'Sheet1-指标体系'!$G$10*'Sheet1-指标体系'!$J$8,0)+IF(ISNUMBER(AH89),'Sheet1-指标体系'!$G$10*'Sheet1-指标体系'!$J$9,0)+IF(ISNUMBER(AK89),'Sheet1-指标体系'!$G$11,0))</x:f>
        <x:v>1</x:v>
      </x:c>
      <x:c r="AR89" s="52" t="n">
        <x:f>IF(AQ89=0,"",IF(ISNUMBER(I89),I89*'Sheet1-指标体系'!$G$4,0)+IF(ISNUMBER(K89),K89*'Sheet1-指标体系'!$G$5,0)+IF(ISNUMBER(L89),L89*'Sheet1-指标体系'!$G$6,0)+IF(ISNUMBER(Q89),Q89*'Sheet1-指标体系'!$G$7*'Sheet1-指标体系'!$J$8,0)+IF(ISNUMBER(R89),R89*'Sheet1-指标体系'!$G$7*'Sheet1-指标体系'!$J$9,0)+IF(ISNUMBER(W89),W89*'Sheet1-指标体系'!$G$8*'Sheet1-指标体系'!$J$8,0)+IF(ISNUMBER(X89),X89*'Sheet1-指标体系'!$G$8*'Sheet1-指标体系'!$J$9,0)+IF(ISNUMBER(AC89),AC89*'Sheet1-指标体系'!$G$9,0)+IF(ISNUMBER(AG89),AG89*'Sheet1-指标体系'!$G$10*'Sheet1-指标体系'!$J$8,0)+IF(ISNUMBER(AH89),AH89*'Sheet1-指标体系'!$G$10*'Sheet1-指标体系'!$J$9,0)+IF(ISNUMBER(AK89),AK89*'Sheet1-指标体系'!$G$11,0))</x:f>
        <x:v>88.96816</x:v>
      </x:c>
      <x:c r="AS89" s="52" t="n">
        <x:f>IF(AQ89=0,"",ROUND(AR89/AQ89,2))</x:f>
        <x:v>88.97</x:v>
      </x:c>
      <x:c r="AT89" s="49" t="n">
        <x:f>IF(OR(G89&lt;&gt;"入池",NOT(ISNUMBER(AS89))),"",COUNTIFS($G$17:$G$99,"入池",$AS$17:$AS$99,"&gt;"&amp;AS89)+COUNTIFS($G$17:$G$99,"入池",$AS$17:$AS$99,AS89,$AQ$17:$AQ$99,"&gt;"&amp;AQ89)+COUNTIFS($G$17:G89,"入池",$AS$17:AS89,AS89,$AQ$17:AQ89,AQ89))</x:f>
        <x:v>7</x:v>
      </x:c>
      <x:c r="AU89" s="53" t="str">
        <x:f>IF(NOT(ISNUMBER(I89)),"管理人规模；","")&amp;IF(NOT(ISNUMBER(K89)),"产品规模标识；","")&amp;IF(NOT(ISNUMBER(M89)),"近一年收益；","")&amp;IF(NOT(ISNUMBER(T89)),"近一年胜率；","")&amp;IF(NOT(ISNUMBER(N89)),"近三年收益；","")&amp;IF(NOT(ISNUMBER(U89)),"近三年胜率；","")&amp;IF(NOT(ISNUMBER(AA89)),"近三年回撤；","")&amp;IF(NOT(ISNUMBER(AD89)),"近一年卡玛；","")&amp;IF(ISNUMBER(F89),IF(AND(F89&lt;'Sheet1-指标体系'!$J$16,NOT(ISNUMBER(O89))),"成立以来年化；",""),"成立日期；")&amp;IF(ISNUMBER(V89),IF(OR(V89&lt;0,V89&gt;1),"胜率窗口口径不一致；",""),"")&amp;IF(ISNUMBER(P89),IF(NOT(ISNUMBER(AE89)),"DD_long不可识别；",""),"")</x:f>
      </x:c>
      <x:c r="AV89" s="52" t="n">
        <x:f>IF(ROUND(AQ89,10)=ROUND('Sheet1-指标体系'!$J$25,10),AR89,"")</x:f>
        <x:v>88.96816</x:v>
      </x:c>
      <x:c r="AW89" s="14" t="str">
        <x:f>IF(G89&lt;&gt;"入池",G89,IF(AQ89=0,"无有效评分数据",IF(ROUND(AQ89,10)=ROUND('Sheet1-指标体系'!$J$25,10),"完整赋分", "暂定分／数据不完整")))</x:f>
        <x:v>完整赋分</x:v>
      </x:c>
      <x:c r="AX89" s="45" t="str">
        <x:f>IF('Sheet4-原始数据'!C74="","",'Sheet4-原始数据'!C74)</x:f>
        <x:v>套利策略</x:v>
      </x:c>
      <x:c r="AY89" s="45" t="str">
        <x:f>IF('Sheet4-原始数据'!D74="","",'Sheet4-原始数据'!D74)</x:f>
        <x:v>期货套利</x:v>
      </x:c>
      <x:c r="AZ89" s="45" t="str">
        <x:f>IF('Sheet5-查询核对'!S74="","",'Sheet5-查询核对'!S74)</x:f>
        <x:v>套利策略—期货套利</x:v>
      </x:c>
      <x:c r="BA89" s="51" t="n">
        <x:f>IF('Sheet5-查询核对'!A74="","",'Sheet5-查询核对'!A74)</x:f>
        <x:v>74</x:v>
      </x:c>
      <x:c r="BB89" s="45" t="str">
        <x:f>IF('Sheet5-查询核对'!F74="","",'Sheet5-查询核对'!F74)</x:f>
        <x:v>备案号匹配</x:v>
      </x:c>
      <x:c r="BC89" s="50" t="str">
        <x:f>IF('Sheet5-查询核对'!I74="","",'Sheet5-查询核对'!I74)</x:f>
        <x:v>https://mp.fof99.com/fund/view/5fbd2c74a9d29c0f</x:v>
      </x:c>
      <x:c r="BD89" s="46" t="n">
        <x:f>IF('Sheet5-查询核对'!H74="","",'Sheet5-查询核对'!H74)</x:f>
        <x:v>46269</x:v>
      </x:c>
      <x:c r="BE89" s="50" t="str">
        <x:f>IF('Sheet5-查询核对'!L74="","",'Sheet5-查询核对'!L74)</x:f>
        <x:v>https://mp.fof99.com/fund/view/5fbd2c74a9d29c0f</x:v>
      </x:c>
      <x:c r="BF89" s="46" t="n">
        <x:f>IF('Sheet5-查询核对'!M74="","",'Sheet5-查询核对'!M74)</x:f>
        <x:v>46275</x:v>
      </x:c>
      <x:c r="BG89" s="50" t="str">
        <x:f>IF('Sheet5-查询核对'!O74="","",'Sheet5-查询核对'!O74)</x:f>
        <x:v>https://gs.amac.org.cn/amac-infodisc/res/pof/fund/2012041657102605.html</x:v>
      </x:c>
      <x:c r="BH89" s="46" t="n">
        <x:f>IF('Sheet5-查询核对'!P74="","",'Sheet5-查询核对'!P74)</x:f>
        <x:v>46275</x:v>
      </x:c>
      <x:c r="BI89" s="45" t="str">
        <x:f>IF('Sheet5-查询核对'!D74="","",'Sheet5-查询核对'!D74)</x:f>
        <x:v>SNE165</x:v>
      </x:c>
      <x:c r="BJ89" t="n">
        <x:f>IF(ISNUMBER(AT89),AT89,COUNT($AT$17:$AT$99)+ROWS($AT$17:AT89)-COUNT($AT$17:AT89))</x:f>
        <x:v>7</x:v>
      </x:c>
    </x:row>
    <x:row r="90" ht="44" customHeight="1">
      <x:c r="A90" s="49" t="n">
        <x:f>'Sheet5-查询核对'!A75-1</x:f>
        <x:v>74</x:v>
      </x:c>
      <x:c r="B90" s="50" t="str">
        <x:f>IF('Sheet4-原始数据'!A75="",'Sheet5-查询核对'!B75,'Sheet4-原始数据'!A75)</x:f>
        <x:v>在赢套利一号</x:v>
      </x:c>
      <x:c r="C90" s="45" t="str">
        <x:f>IF('Sheet4-原始数据'!B75="","",'Sheet4-原始数据'!B75)</x:f>
        <x:v>SGW281</x:v>
      </x:c>
      <x:c r="D90" s="45" t="str">
        <x:f>IF('Sheet4-原始数据'!E75="","",'Sheet4-原始数据'!E75)</x:f>
        <x:v>浙江在赢</x:v>
      </x:c>
      <x:c r="E90" s="46" t="n">
        <x:f>IF('Sheet4-原始数据'!F75="","",'Sheet4-原始数据'!F75)</x:f>
        <x:v>43710</x:v>
      </x:c>
      <x:c r="F90" s="52" t="n">
        <x:f>IF(ISNUMBER(E90),ROUND(('Sheet1-指标体系'!$J$12-E90)/'Sheet1-指标体系'!$J$14,4),"")</x:f>
        <x:v>7.0226</x:v>
      </x:c>
      <x:c r="G90" s="14" t="str">
        <x:f>IF(C90="","未匹配",IF(NOT(ISNUMBER(F90)),"缺成立日期",IF(F90&lt;'Sheet1-指标体系'!$J$15,"不入池","入池")))</x:f>
        <x:v>入池</x:v>
      </x:c>
      <x:c r="H90" s="45" t="str">
        <x:f>IF('Sheet5-查询核对'!K75="","",'Sheet5-查询核对'!K75)</x:f>
        <x:v>5-10亿元</x:v>
      </x:c>
      <x:c r="I90" s="52" t="n">
        <x:f>IF(H90="","",IF(COUNTIF('Sheet1-指标体系'!$P$4:$P$10,H90)=0,"",INDEX('Sheet1-指标体系'!$Q$4:$Q$10,MATCH(H90,'Sheet1-指标体系'!$P$4:$P$10,0))))</x:f>
        <x:v>70</x:v>
      </x:c>
      <x:c r="J90" s="54" t="str">
        <x:f>IF(NOT(ISNUMBER('Sheet5-查询核对'!N75)),"",IF('Sheet5-查询核对'!N75=1,"低于"&amp;'Sheet1-指标体系'!$J$4&amp;"万元",IF('Sheet5-查询核对'!N75=0,"无低于"&amp;'Sheet1-指标体系'!$J$4&amp;"万元标识","")))</x:f>
        <x:v>无低于1000万元标识</x:v>
      </x:c>
      <x:c r="K90" s="52" t="n">
        <x:f>IF(NOT(ISNUMBER('Sheet5-查询核对'!N75)),"",IF('Sheet5-查询核对'!N75=1,'Sheet1-指标体系'!$J$21,IF('Sheet5-查询核对'!N75=0,'Sheet1-指标体系'!$J$18,"")))</x:f>
        <x:v>100</x:v>
      </x:c>
      <x:c r="L90" s="52" t="n">
        <x:f>IF(NOT(ISNUMBER(F90)),"",IF(F90&lt;'Sheet1-指标体系'!$J$15,"",IF(F90&lt;'Sheet1-指标体系'!$J$16,'Sheet1-指标体系'!$J$17,'Sheet1-指标体系'!$J$18)))</x:f>
        <x:v>100</x:v>
      </x:c>
      <x:c r="M90" s="47" t="n">
        <x:f>IF(ISNUMBER('Sheet4-原始数据'!G75),'Sheet4-原始数据'!G75,"")</x:f>
        <x:v>0.1844</x:v>
      </x:c>
      <x:c r="N90" s="47" t="n">
        <x:f>IF(ISNUMBER('Sheet4-原始数据'!H75),'Sheet4-原始数据'!H75,"")</x:f>
        <x:v>0.1427</x:v>
      </x:c>
      <x:c r="O90" s="47" t="n">
        <x:f>IF(ISNUMBER('Sheet5-查询核对'!Q75),'Sheet5-查询核对'!Q75,"")</x:f>
        <x:v>0.1685</x:v>
      </x:c>
      <x:c r="P90" s="44" t="n">
        <x:f>IF($G90&lt;&gt;"入池","",IF($F90&gt;='Sheet1-指标体系'!$J$16,IF(COUNT(M90,N90)&lt;&gt;2,"",IF(OR(1+M90&lt;=0,1+N90&lt;0),"",((1+N90)^'Sheet1-指标体系'!$J$16/(1+M90))^(1/('Sheet1-指标体系'!$J$16-'Sheet1-指标体系'!$J$15))-1)),IF(COUNT(M90,O90)&lt;&gt;2,"",IF(OR(F90&lt;='Sheet1-指标体系'!$J$15,1+M90&lt;=0,1+O90&lt;0),"",((1+O90)^F90/(1+M90))^(1/(F90-'Sheet1-指标体系'!$J$15))-1))))</x:f>
        <x:v>0.12240383449201153</x:v>
      </x:c>
      <x:c r="Q90" s="52" t="n">
        <x:f>IF(OR($G90&lt;&gt;"入池",NOT(ISNUMBER(M90))),"",IF(COUNTIFS($G$17:$G$99,"入池",$M$17:$M$99,"&gt;=-1E+307",$M$17:$M$99,"&lt;=1E+307")&lt;=1,'Sheet1-指标体系'!$J$18,ROUND('Sheet1-指标体系'!$J$18*(COUNTIFS($G$17:$G$99,"入池",$M$17:$M$99,"&gt;=-1E+307",$M$17:$M$99,"&lt;"&amp;M90)+COUNTIFS($G$17:$G$99,"入池",$M$17:$M$99,"&gt;=-1E+307",$M$17:$M$99,"&lt;=1E+307",$M$17:$M$99,M90)/2-0.5)/(COUNTIFS($G$17:$G$99,"入池",$M$17:$M$99,"&gt;=-1E+307",$M$17:$M$99,"&lt;=1E+307")-1),2)))</x:f>
        <x:v>85.71</x:v>
      </x:c>
      <x:c r="R90" s="52" t="n">
        <x:f>IF(OR($G90&lt;&gt;"入池",NOT(ISNUMBER(P90))),"",IF(COUNTIFS($G$17:$G$99,"入池",$P$17:$P$99,"&gt;=-1E+307",$P$17:$P$99,"&lt;=1E+307")&lt;=1,'Sheet1-指标体系'!$J$18,ROUND('Sheet1-指标体系'!$J$18*(COUNTIFS($G$17:$G$99,"入池",$P$17:$P$99,"&gt;=-1E+307",$P$17:$P$99,"&lt;"&amp;P90)+COUNTIFS($G$17:$G$99,"入池",$P$17:$P$99,"&gt;=-1E+307",$P$17:$P$99,"&lt;=1E+307",$P$17:$P$99,P90)/2-0.5)/(COUNTIFS($G$17:$G$99,"入池",$P$17:$P$99,"&gt;=-1E+307",$P$17:$P$99,"&lt;=1E+307")-1),2)))</x:f>
        <x:v>79.63</x:v>
      </x:c>
      <x:c r="S90" s="52" t="n">
        <x:f>IF(COUNT(Q90,R90)=0,"",ROUND((IF(ISNUMBER(Q90),Q90*'Sheet1-指标体系'!$G$7*'Sheet1-指标体系'!$J$8,0)+IF(ISNUMBER(R90),R90*'Sheet1-指标体系'!$G$7*'Sheet1-指标体系'!$J$9,0))/(IF(ISNUMBER(Q90),'Sheet1-指标体系'!$G$7*'Sheet1-指标体系'!$J$8,0)+IF(ISNUMBER(R90),'Sheet1-指标体系'!$G$7*'Sheet1-指标体系'!$J$9,0)),2))</x:f>
        <x:v>83.28</x:v>
      </x:c>
      <x:c r="T90" s="47" t="n">
        <x:f>IF(ISNUMBER('Sheet4-原始数据'!J75),'Sheet4-原始数据'!J75,"")</x:f>
        <x:v>0.8462000000000001</x:v>
      </x:c>
      <x:c r="U90" s="47" t="n">
        <x:f>IF(ISNUMBER('Sheet4-原始数据'!I75),'Sheet4-原始数据'!I75,"")</x:f>
        <x:v>0.7297</x:v>
      </x:c>
      <x:c r="V90" s="44" t="n">
        <x:f>IF(COUNT(T90:U90)&lt;&gt;2,"",(U90*'Sheet1-指标体系'!$J$6-T90*'Sheet1-指标体系'!$J$5)/'Sheet1-指标体系'!$J$7)</x:f>
        <x:v>0.6665958333333333</x:v>
      </x:c>
      <x:c r="W90" s="52" t="n">
        <x:f>IF(NOT(ISNUMBER(T90)),"",T90*'Sheet1-指标体系'!$J$18)</x:f>
        <x:v>84.62</x:v>
      </x:c>
      <x:c r="X90" s="52" t="n">
        <x:f>IF(G90&lt;&gt;"入池","",IF(ISNUMBER(V90),IF(AND(V90&gt;=0,V90&lt;=1),V90*'Sheet1-指标体系'!$J$18,IF(MAX(0,(F90-'Sheet1-指标体系'!$J$15)*'Sheet1-指标体系'!$J$20)&lt;'Sheet1-指标体系'!$J$19,'Sheet1-指标体系'!$J$18,"")),IF(MAX(0,(F90-'Sheet1-指标体系'!$J$15)*'Sheet1-指标体系'!$J$20)&lt;'Sheet1-指标体系'!$J$19,'Sheet1-指标体系'!$J$18,"")))</x:f>
        <x:v>66.65958333333333</x:v>
      </x:c>
      <x:c r="Y90" s="52" t="n">
        <x:f>IF(NOT(ISNUMBER(W90)),"",IF(COUNT(W90,X90)=0,"",ROUND((IF(ISNUMBER(W90),W90*'Sheet1-指标体系'!$G$8*'Sheet1-指标体系'!$J$8,0)+IF(ISNUMBER(X90),X90*'Sheet1-指标体系'!$G$8*'Sheet1-指标体系'!$J$9,0))/(IF(ISNUMBER(W90),'Sheet1-指标体系'!$G$8*'Sheet1-指标体系'!$J$8,0)+IF(ISNUMBER(X90),'Sheet1-指标体系'!$G$8*'Sheet1-指标体系'!$J$9,0)),2)))</x:f>
        <x:v>77.44</x:v>
      </x:c>
      <x:c r="Z90" s="44" t="n">
        <x:f>IF(COUNT(M90,AD90)&lt;&gt;2,"",IF(AD90=0,"",ABS(M90/AD90)))</x:f>
        <x:v>0.022204828707327352</x:v>
      </x:c>
      <x:c r="AA90" s="47" t="n">
        <x:f>IF(ISNUMBER('Sheet4-原始数据'!K75),'Sheet4-原始数据'!K75,"")</x:f>
        <x:v>0.0584</x:v>
      </x:c>
      <x:c r="AB90" s="44" t="n">
        <x:f>IF(COUNT(Z90:AA90)=0,"",MAX(Z90:AA90))</x:f>
        <x:v>0.0584</x:v>
      </x:c>
      <x:c r="AC90" s="52" t="n">
        <x:f>IF(OR($G90&lt;&gt;"入池",NOT(ISNUMBER(AB90))),"",IF(COUNTIFS($G$17:$G$99,"入池",$AB$17:$AB$99,"&gt;=-1E+307",$AB$17:$AB$99,"&lt;=1E+307")&lt;=1,'Sheet1-指标体系'!$J$18,ROUND('Sheet1-指标体系'!$J$18*(COUNTIFS($G$17:$G$99,"入池",$AB$17:$AB$99,"&lt;=1E+307",$AB$17:$AB$99,"&gt;"&amp;AB90)+COUNTIFS($G$17:$G$99,"入池",$AB$17:$AB$99,"&gt;=-1E+307",$AB$17:$AB$99,"&lt;=1E+307",$AB$17:$AB$99,AB90)/2-0.5)/(COUNTIFS($G$17:$G$99,"入池",$AB$17:$AB$99,"&gt;=-1E+307",$AB$17:$AB$99,"&lt;=1E+307")-1),2)))</x:f>
        <x:v>10.34</x:v>
      </x:c>
      <x:c r="AD90" s="48" t="n">
        <x:f>IF(ISNUMBER('Sheet4-原始数据'!M75),'Sheet4-原始数据'!M75,"")</x:f>
        <x:v>8.3045</x:v>
      </x:c>
      <x:c r="AE90" s="44" t="n">
        <x:f>IF(COUNT(P90,AA90,Z90)&lt;&gt;3,"",IF(AA90&gt;Z90+'Sheet1-指标体系'!$J$11,AA90,""))</x:f>
        <x:v>0.0584</x:v>
      </x:c>
      <x:c r="AF90" s="52" t="n">
        <x:f>IF(COUNT(P90,AE90)&lt;&gt;2,"",IF(AE90=0,"",P90/AE90))</x:f>
        <x:v>2.0959560700686906</x:v>
      </x:c>
      <x:c r="AG90" s="52" t="n">
        <x:f>IF(OR($G90&lt;&gt;"入池",NOT(ISNUMBER(AD90))),"",IF(COUNTIFS($G$17:$G$99,"入池",$AD$17:$AD$99,"&gt;=-1E+307",$AD$17:$AD$99,"&lt;=1E+307")&lt;=1,'Sheet1-指标体系'!$J$18,ROUND('Sheet1-指标体系'!$J$18*(COUNTIFS($G$17:$G$99,"入池",$AD$17:$AD$99,"&gt;=-1E+307",$AD$17:$AD$99,"&lt;"&amp;AD90)+COUNTIFS($G$17:$G$99,"入池",$AD$17:$AD$99,"&gt;=-1E+307",$AD$17:$AD$99,"&lt;=1E+307",$AD$17:$AD$99,AD90)/2-0.5)/(COUNTIFS($G$17:$G$99,"入池",$AD$17:$AD$99,"&gt;=-1E+307",$AD$17:$AD$99,"&lt;=1E+307")-1),2)))</x:f>
        <x:v>52.73</x:v>
      </x:c>
      <x:c r="AH90" s="52" t="n">
        <x:f>IF(OR($G90&lt;&gt;"入池",NOT(ISNUMBER(AF90))),"",IF(COUNTIFS($G$17:$G$99,"入池",$AF$17:$AF$99,"&gt;=-1E+307",$AF$17:$AF$99,"&lt;=1E+307")&lt;=1,'Sheet1-指标体系'!$J$18,ROUND('Sheet1-指标体系'!$J$18*(COUNTIFS($G$17:$G$99,"入池",$AF$17:$AF$99,"&gt;=-1E+307",$AF$17:$AF$99,"&lt;"&amp;AF90)+COUNTIFS($G$17:$G$99,"入池",$AF$17:$AF$99,"&gt;=-1E+307",$AF$17:$AF$99,"&lt;=1E+307",$AF$17:$AF$99,AF90)/2-0.5)/(COUNTIFS($G$17:$G$99,"入池",$AF$17:$AF$99,"&gt;=-1E+307",$AF$17:$AF$99,"&lt;=1E+307")-1),2)))</x:f>
        <x:v>39.29</x:v>
      </x:c>
      <x:c r="AI90" s="52" t="n">
        <x:f>IF(COUNT(AG90,AH90)=0,"",ROUND((IF(ISNUMBER(AG90),AG90*'Sheet1-指标体系'!$G$10*'Sheet1-指标体系'!$J$8,0)+IF(ISNUMBER(AH90),AH90*'Sheet1-指标体系'!$G$10*'Sheet1-指标体系'!$J$9,0))/(IF(ISNUMBER(AG90),'Sheet1-指标体系'!$G$10*'Sheet1-指标体系'!$J$8,0)+IF(ISNUMBER(AH90),'Sheet1-指标体系'!$G$10*'Sheet1-指标体系'!$J$9,0)),2))</x:f>
        <x:v>47.35</x:v>
      </x:c>
      <x:c r="AJ90" s="44" t="n">
        <x:f>IF(NOT(ISNUMBER(F90)),"",IF(F90&gt;='Sheet1-指标体系'!$J$16,IF(ISNUMBER(N90),N90,""),IF(ISNUMBER(O90),O90,"")))</x:f>
        <x:v>0.1427</x:v>
      </x:c>
      <x:c r="AK90" s="52" t="n">
        <x:f>IF(OR(G90&lt;&gt;"入池",COUNT(M90,AJ90)&lt;&gt;2),"",IF(M90&gt;=AJ90,'Sheet1-指标体系'!$J$18,IF(AJ90-M90&lt;'Sheet1-指标体系'!$J$10,'Sheet1-指标体系'!$J$22,'Sheet1-指标体系'!$J$23)))</x:f>
        <x:v>100</x:v>
      </x:c>
      <x:c r="AL90" s="52" t="n">
        <x:f>IF(COUNT(I90,K90,L90)=0,"",ROUND((IF(ISNUMBER(I90),I90*'Sheet1-指标体系'!$G$4,0)+IF(ISNUMBER(K90),K90*'Sheet1-指标体系'!$G$5,0)+IF(ISNUMBER(L90),L90*'Sheet1-指标体系'!$G$6,0))/(IF(ISNUMBER(I90),'Sheet1-指标体系'!$G$4,0)+IF(ISNUMBER(K90),'Sheet1-指标体系'!$G$5,0)+IF(ISNUMBER(L90),'Sheet1-指标体系'!$G$6,0)),2))</x:f>
        <x:v>88</x:v>
      </x:c>
      <x:c r="AM90" s="52" t="n">
        <x:f>IF(COUNT(Q90,R90,W90,X90)=0,"",ROUND((IF(ISNUMBER(Q90),Q90*'Sheet1-指标体系'!$G$7*'Sheet1-指标体系'!$J$8,0)+IF(ISNUMBER(R90),R90*'Sheet1-指标体系'!$G$7*'Sheet1-指标体系'!$J$9,0)+IF(ISNUMBER(W90),W90*'Sheet1-指标体系'!$G$8*'Sheet1-指标体系'!$J$8,0)+IF(ISNUMBER(X90),X90*'Sheet1-指标体系'!$G$8*'Sheet1-指标体系'!$J$9,0))/(IF(ISNUMBER(Q90),'Sheet1-指标体系'!$G$7*'Sheet1-指标体系'!$J$8,0)+IF(ISNUMBER(R90),'Sheet1-指标体系'!$G$7*'Sheet1-指标体系'!$J$9,0)+IF(ISNUMBER(W90),'Sheet1-指标体系'!$G$8*'Sheet1-指标体系'!$J$8,0)+IF(ISNUMBER(X90),'Sheet1-指标体系'!$G$8*'Sheet1-指标体系'!$J$9,0)),2))</x:f>
        <x:v>81.53</x:v>
      </x:c>
      <x:c r="AN90" s="52" t="n">
        <x:f>IF(ISNUMBER(AC90),AC90,"")</x:f>
        <x:v>10.34</x:v>
      </x:c>
      <x:c r="AO90" s="52" t="n">
        <x:f>IF(COUNT(AG90,AH90)=0,"",ROUND((IF(ISNUMBER(AG90),AG90*'Sheet1-指标体系'!$G$10*'Sheet1-指标体系'!$J$8,0)+IF(ISNUMBER(AH90),AH90*'Sheet1-指标体系'!$G$10*'Sheet1-指标体系'!$J$9,0))/(IF(ISNUMBER(AG90),'Sheet1-指标体系'!$G$10*'Sheet1-指标体系'!$J$8,0)+IF(ISNUMBER(AH90),'Sheet1-指标体系'!$G$10*'Sheet1-指标体系'!$J$9,0)),2))</x:f>
        <x:v>47.35</x:v>
      </x:c>
      <x:c r="AP90" s="52" t="n">
        <x:f>IF(ISNUMBER(AK90),AK90,"")</x:f>
        <x:v>100</x:v>
      </x:c>
      <x:c r="AQ90" s="27" t="n">
        <x:f>IF(G90&lt;&gt;"入池",0,IF(ISNUMBER(I90),'Sheet1-指标体系'!$G$4,0)+IF(ISNUMBER(K90),'Sheet1-指标体系'!$G$5,0)+IF(ISNUMBER(L90),'Sheet1-指标体系'!$G$6,0)+IF(ISNUMBER(Q90),'Sheet1-指标体系'!$G$7*'Sheet1-指标体系'!$J$8,0)+IF(ISNUMBER(R90),'Sheet1-指标体系'!$G$7*'Sheet1-指标体系'!$J$9,0)+IF(ISNUMBER(W90),'Sheet1-指标体系'!$G$8*'Sheet1-指标体系'!$J$8,0)+IF(ISNUMBER(X90),'Sheet1-指标体系'!$G$8*'Sheet1-指标体系'!$J$9,0)+IF(ISNUMBER(AC90),'Sheet1-指标体系'!$G$9,0)+IF(ISNUMBER(AG90),'Sheet1-指标体系'!$G$10*'Sheet1-指标体系'!$J$8,0)+IF(ISNUMBER(AH90),'Sheet1-指标体系'!$G$10*'Sheet1-指标体系'!$J$9,0)+IF(ISNUMBER(AK90),'Sheet1-指标体系'!$G$11,0))</x:f>
        <x:v>1</x:v>
      </x:c>
      <x:c r="AR90" s="52" t="n">
        <x:f>IF(AQ90=0,"",IF(ISNUMBER(I90),I90*'Sheet1-指标体系'!$G$4,0)+IF(ISNUMBER(K90),K90*'Sheet1-指标体系'!$G$5,0)+IF(ISNUMBER(L90),L90*'Sheet1-指标体系'!$G$6,0)+IF(ISNUMBER(Q90),Q90*'Sheet1-指标体系'!$G$7*'Sheet1-指标体系'!$J$8,0)+IF(ISNUMBER(R90),R90*'Sheet1-指标体系'!$G$7*'Sheet1-指标体系'!$J$9,0)+IF(ISNUMBER(W90),W90*'Sheet1-指标体系'!$G$8*'Sheet1-指标体系'!$J$8,0)+IF(ISNUMBER(X90),X90*'Sheet1-指标体系'!$G$8*'Sheet1-指标体系'!$J$9,0)+IF(ISNUMBER(AC90),AC90*'Sheet1-指标体系'!$G$9,0)+IF(ISNUMBER(AG90),AG90*'Sheet1-指标体系'!$G$10*'Sheet1-指标体系'!$J$8,0)+IF(ISNUMBER(AH90),AH90*'Sheet1-指标体系'!$G$10*'Sheet1-指标体系'!$J$9,0)+IF(ISNUMBER(AK90),AK90*'Sheet1-指标体系'!$G$11,0))</x:f>
        <x:v>56.29626999999999</x:v>
      </x:c>
      <x:c r="AS90" s="52" t="n">
        <x:f>IF(AQ90=0,"",ROUND(AR90/AQ90,2))</x:f>
        <x:v>56.3</x:v>
      </x:c>
      <x:c r="AT90" s="49" t="n">
        <x:f>IF(OR(G90&lt;&gt;"入池",NOT(ISNUMBER(AS90))),"",COUNTIFS($G$17:$G$99,"入池",$AS$17:$AS$99,"&gt;"&amp;AS90)+COUNTIFS($G$17:$G$99,"入池",$AS$17:$AS$99,AS90,$AQ$17:$AQ$99,"&gt;"&amp;AQ90)+COUNTIFS($G$17:G90,"入池",$AS$17:AS90,AS90,$AQ$17:AQ90,AQ90))</x:f>
        <x:v>55</x:v>
      </x:c>
      <x:c r="AU90" s="53" t="str">
        <x:f>IF(NOT(ISNUMBER(I90)),"管理人规模；","")&amp;IF(NOT(ISNUMBER(K90)),"产品规模标识；","")&amp;IF(NOT(ISNUMBER(M90)),"近一年收益；","")&amp;IF(NOT(ISNUMBER(T90)),"近一年胜率；","")&amp;IF(NOT(ISNUMBER(N90)),"近三年收益；","")&amp;IF(NOT(ISNUMBER(U90)),"近三年胜率；","")&amp;IF(NOT(ISNUMBER(AA90)),"近三年回撤；","")&amp;IF(NOT(ISNUMBER(AD90)),"近一年卡玛；","")&amp;IF(ISNUMBER(F90),IF(AND(F90&lt;'Sheet1-指标体系'!$J$16,NOT(ISNUMBER(O90))),"成立以来年化；",""),"成立日期；")&amp;IF(ISNUMBER(V90),IF(OR(V90&lt;0,V90&gt;1),"胜率窗口口径不一致；",""),"")&amp;IF(ISNUMBER(P90),IF(NOT(ISNUMBER(AE90)),"DD_long不可识别；",""),"")</x:f>
      </x:c>
      <x:c r="AV90" s="52" t="n">
        <x:f>IF(ROUND(AQ90,10)=ROUND('Sheet1-指标体系'!$J$25,10),AR90,"")</x:f>
        <x:v>56.29626999999999</x:v>
      </x:c>
      <x:c r="AW90" s="14" t="str">
        <x:f>IF(G90&lt;&gt;"入池",G90,IF(AQ90=0,"无有效评分数据",IF(ROUND(AQ90,10)=ROUND('Sheet1-指标体系'!$J$25,10),"完整赋分", "暂定分／数据不完整")))</x:f>
        <x:v>完整赋分</x:v>
      </x:c>
      <x:c r="AX90" s="45" t="str">
        <x:f>IF('Sheet4-原始数据'!C75="","",'Sheet4-原始数据'!C75)</x:f>
        <x:v>期货策略</x:v>
      </x:c>
      <x:c r="AY90" s="45" t="str">
        <x:f>IF('Sheet4-原始数据'!D75="","",'Sheet4-原始数据'!D75)</x:f>
        <x:v>主观期货</x:v>
      </x:c>
      <x:c r="AZ90" s="45" t="str">
        <x:f>IF('Sheet5-查询核对'!S75="","",'Sheet5-查询核对'!S75)</x:f>
        <x:v>管理期货—主观CTA</x:v>
      </x:c>
      <x:c r="BA90" s="51" t="n">
        <x:f>IF('Sheet5-查询核对'!A75="","",'Sheet5-查询核对'!A75)</x:f>
        <x:v>75</x:v>
      </x:c>
      <x:c r="BB90" s="45" t="str">
        <x:f>IF('Sheet5-查询核对'!F75="","",'Sheet5-查询核对'!F75)</x:f>
        <x:v>备案号匹配</x:v>
      </x:c>
      <x:c r="BC90" s="50" t="str">
        <x:f>IF('Sheet5-查询核对'!I75="","",'Sheet5-查询核对'!I75)</x:f>
        <x:v>https://mp.fof99.com/fund/view/2f189375b75b47fd</x:v>
      </x:c>
      <x:c r="BD90" s="46" t="n">
        <x:f>IF('Sheet5-查询核对'!H75="","",'Sheet5-查询核对'!H75)</x:f>
        <x:v>46269</x:v>
      </x:c>
      <x:c r="BE90" s="50" t="str">
        <x:f>IF('Sheet5-查询核对'!L75="","",'Sheet5-查询核对'!L75)</x:f>
        <x:v>https://mp.fof99.com/fund/view/2f189375b75b47fd</x:v>
      </x:c>
      <x:c r="BF90" s="46" t="n">
        <x:f>IF('Sheet5-查询核对'!M75="","",'Sheet5-查询核对'!M75)</x:f>
        <x:v>46275</x:v>
      </x:c>
      <x:c r="BG90" s="50" t="str">
        <x:f>IF('Sheet5-查询核对'!O75="","",'Sheet5-查询核对'!O75)</x:f>
        <x:v>https://gs.amac.org.cn/amac-infodisc/res/pof/fund/1909111555102167.html</x:v>
      </x:c>
      <x:c r="BH90" s="46" t="n">
        <x:f>IF('Sheet5-查询核对'!P75="","",'Sheet5-查询核对'!P75)</x:f>
        <x:v>46275</x:v>
      </x:c>
      <x:c r="BI90" s="45" t="str">
        <x:f>IF('Sheet5-查询核对'!D75="","",'Sheet5-查询核对'!D75)</x:f>
        <x:v>SGW281</x:v>
      </x:c>
      <x:c r="BJ90" t="n">
        <x:f>IF(ISNUMBER(AT90),AT90,COUNT($AT$17:$AT$99)+ROWS($AT$17:AT90)-COUNT($AT$17:AT90))</x:f>
        <x:v>55</x:v>
      </x:c>
    </x:row>
    <x:row r="91" ht="44" customHeight="1">
      <x:c r="A91" s="49" t="n">
        <x:f>'Sheet5-查询核对'!A76-1</x:f>
        <x:v>75</x:v>
      </x:c>
      <x:c r="B91" s="50" t="str">
        <x:f>IF('Sheet4-原始数据'!A76="",'Sheet5-查询核对'!B76,'Sheet4-原始数据'!A76)</x:f>
        <x:v>哲石君顺易安贰号</x:v>
      </x:c>
      <x:c r="C91" s="45" t="str">
        <x:f>IF('Sheet4-原始数据'!B76="","",'Sheet4-原始数据'!B76)</x:f>
        <x:v>SBBC37</x:v>
      </x:c>
      <x:c r="D91" s="45" t="str">
        <x:f>IF('Sheet4-原始数据'!E76="","",'Sheet4-原始数据'!E76)</x:f>
        <x:v>杭州哲石</x:v>
      </x:c>
      <x:c r="E91" s="46" t="n">
        <x:f>IF('Sheet4-原始数据'!F76="","",'Sheet4-原始数据'!F76)</x:f>
        <x:v>45848</x:v>
      </x:c>
      <x:c r="F91" s="52" t="n">
        <x:f>IF(ISNUMBER(E91),ROUND(('Sheet1-指标体系'!$J$12-E91)/'Sheet1-指标体系'!$J$14,4),"")</x:f>
        <x:v>1.1691</x:v>
      </x:c>
      <x:c r="G91" s="14" t="str">
        <x:f>IF(C91="","未匹配",IF(NOT(ISNUMBER(F91)),"缺成立日期",IF(F91&lt;'Sheet1-指标体系'!$J$15,"不入池","入池")))</x:f>
        <x:v>入池</x:v>
      </x:c>
      <x:c r="H91" s="45" t="str">
        <x:f>IF('Sheet5-查询核对'!K76="","",'Sheet5-查询核对'!K76)</x:f>
        <x:v>10-20亿元</x:v>
      </x:c>
      <x:c r="I91" s="52" t="n">
        <x:f>IF(H91="","",IF(COUNTIF('Sheet1-指标体系'!$P$4:$P$10,H91)=0,"",INDEX('Sheet1-指标体系'!$Q$4:$Q$10,MATCH(H91,'Sheet1-指标体系'!$P$4:$P$10,0))))</x:f>
        <x:v>80</x:v>
      </x:c>
      <x:c r="J91" s="54" t="str">
        <x:f>IF(NOT(ISNUMBER('Sheet5-查询核对'!N76)),"",IF('Sheet5-查询核对'!N76=1,"低于"&amp;'Sheet1-指标体系'!$J$4&amp;"万元",IF('Sheet5-查询核对'!N76=0,"无低于"&amp;'Sheet1-指标体系'!$J$4&amp;"万元标识","")))</x:f>
        <x:v>无低于1000万元标识</x:v>
      </x:c>
      <x:c r="K91" s="52" t="n">
        <x:f>IF(NOT(ISNUMBER('Sheet5-查询核对'!N76)),"",IF('Sheet5-查询核对'!N76=1,'Sheet1-指标体系'!$J$21,IF('Sheet5-查询核对'!N76=0,'Sheet1-指标体系'!$J$18,"")))</x:f>
        <x:v>100</x:v>
      </x:c>
      <x:c r="L91" s="52" t="n">
        <x:f>IF(NOT(ISNUMBER(F91)),"",IF(F91&lt;'Sheet1-指标体系'!$J$15,"",IF(F91&lt;'Sheet1-指标体系'!$J$16,'Sheet1-指标体系'!$J$17,'Sheet1-指标体系'!$J$18)))</x:f>
        <x:v>70</x:v>
      </x:c>
      <x:c r="M91" s="47" t="str">
        <x:f>IF(ISNUMBER('Sheet4-原始数据'!G76),'Sheet4-原始数据'!G76,"")</x:f>
      </x:c>
      <x:c r="N91" s="47" t="str">
        <x:f>IF(ISNUMBER('Sheet4-原始数据'!H76),'Sheet4-原始数据'!H76,"")</x:f>
      </x:c>
      <x:c r="O91" s="47" t="str">
        <x:f>IF(ISNUMBER('Sheet5-查询核对'!Q76),'Sheet5-查询核对'!Q76,"")</x:f>
      </x:c>
      <x:c r="P91" s="44" t="str">
        <x:f>IF($G91&lt;&gt;"入池","",IF($F91&gt;='Sheet1-指标体系'!$J$16,IF(COUNT(M91,N91)&lt;&gt;2,"",IF(OR(1+M91&lt;=0,1+N91&lt;0),"",((1+N91)^'Sheet1-指标体系'!$J$16/(1+M91))^(1/('Sheet1-指标体系'!$J$16-'Sheet1-指标体系'!$J$15))-1)),IF(COUNT(M91,O91)&lt;&gt;2,"",IF(OR(F91&lt;='Sheet1-指标体系'!$J$15,1+M91&lt;=0,1+O91&lt;0),"",((1+O91)^F91/(1+M91))^(1/(F91-'Sheet1-指标体系'!$J$15))-1))))</x:f>
      </x:c>
      <x:c r="Q91" s="52" t="str">
        <x:f>IF(OR($G91&lt;&gt;"入池",NOT(ISNUMBER(M91))),"",IF(COUNTIFS($G$17:$G$99,"入池",$M$17:$M$99,"&gt;=-1E+307",$M$17:$M$99,"&lt;=1E+307")&lt;=1,'Sheet1-指标体系'!$J$18,ROUND('Sheet1-指标体系'!$J$18*(COUNTIFS($G$17:$G$99,"入池",$M$17:$M$99,"&gt;=-1E+307",$M$17:$M$99,"&lt;"&amp;M91)+COUNTIFS($G$17:$G$99,"入池",$M$17:$M$99,"&gt;=-1E+307",$M$17:$M$99,"&lt;=1E+307",$M$17:$M$99,M91)/2-0.5)/(COUNTIFS($G$17:$G$99,"入池",$M$17:$M$99,"&gt;=-1E+307",$M$17:$M$99,"&lt;=1E+307")-1),2)))</x:f>
      </x:c>
      <x:c r="R91" s="52" t="str">
        <x:f>IF(OR($G91&lt;&gt;"入池",NOT(ISNUMBER(P91))),"",IF(COUNTIFS($G$17:$G$99,"入池",$P$17:$P$99,"&gt;=-1E+307",$P$17:$P$99,"&lt;=1E+307")&lt;=1,'Sheet1-指标体系'!$J$18,ROUND('Sheet1-指标体系'!$J$18*(COUNTIFS($G$17:$G$99,"入池",$P$17:$P$99,"&gt;=-1E+307",$P$17:$P$99,"&lt;"&amp;P91)+COUNTIFS($G$17:$G$99,"入池",$P$17:$P$99,"&gt;=-1E+307",$P$17:$P$99,"&lt;=1E+307",$P$17:$P$99,P91)/2-0.5)/(COUNTIFS($G$17:$G$99,"入池",$P$17:$P$99,"&gt;=-1E+307",$P$17:$P$99,"&lt;=1E+307")-1),2)))</x:f>
      </x:c>
      <x:c r="S91" s="52" t="str">
        <x:f>IF(COUNT(Q91,R91)=0,"",ROUND((IF(ISNUMBER(Q91),Q91*'Sheet1-指标体系'!$G$7*'Sheet1-指标体系'!$J$8,0)+IF(ISNUMBER(R91),R91*'Sheet1-指标体系'!$G$7*'Sheet1-指标体系'!$J$9,0))/(IF(ISNUMBER(Q91),'Sheet1-指标体系'!$G$7*'Sheet1-指标体系'!$J$8,0)+IF(ISNUMBER(R91),'Sheet1-指标体系'!$G$7*'Sheet1-指标体系'!$J$9,0)),2))</x:f>
      </x:c>
      <x:c r="T91" s="47" t="str">
        <x:f>IF(ISNUMBER('Sheet4-原始数据'!J76),'Sheet4-原始数据'!J76,"")</x:f>
      </x:c>
      <x:c r="U91" s="47" t="str">
        <x:f>IF(ISNUMBER('Sheet4-原始数据'!I76),'Sheet4-原始数据'!I76,"")</x:f>
      </x:c>
      <x:c r="V91" s="44" t="str">
        <x:f>IF(COUNT(T91:U91)&lt;&gt;2,"",(U91*'Sheet1-指标体系'!$J$6-T91*'Sheet1-指标体系'!$J$5)/'Sheet1-指标体系'!$J$7)</x:f>
      </x:c>
      <x:c r="W91" s="52" t="str">
        <x:f>IF(NOT(ISNUMBER(T91)),"",T91*'Sheet1-指标体系'!$J$18)</x:f>
      </x:c>
      <x:c r="X91" s="52" t="n">
        <x:f>IF(G91&lt;&gt;"入池","",IF(ISNUMBER(V91),IF(AND(V91&gt;=0,V91&lt;=1),V91*'Sheet1-指标体系'!$J$18,IF(MAX(0,(F91-'Sheet1-指标体系'!$J$15)*'Sheet1-指标体系'!$J$20)&lt;'Sheet1-指标体系'!$J$19,'Sheet1-指标体系'!$J$18,"")),IF(MAX(0,(F91-'Sheet1-指标体系'!$J$15)*'Sheet1-指标体系'!$J$20)&lt;'Sheet1-指标体系'!$J$19,'Sheet1-指标体系'!$J$18,"")))</x:f>
        <x:v>100</x:v>
      </x:c>
      <x:c r="Y91" s="52" t="str">
        <x:f>IF(NOT(ISNUMBER(W91)),"",IF(COUNT(W91,X91)=0,"",ROUND((IF(ISNUMBER(W91),W91*'Sheet1-指标体系'!$G$8*'Sheet1-指标体系'!$J$8,0)+IF(ISNUMBER(X91),X91*'Sheet1-指标体系'!$G$8*'Sheet1-指标体系'!$J$9,0))/(IF(ISNUMBER(W91),'Sheet1-指标体系'!$G$8*'Sheet1-指标体系'!$J$8,0)+IF(ISNUMBER(X91),'Sheet1-指标体系'!$G$8*'Sheet1-指标体系'!$J$9,0)),2)))</x:f>
      </x:c>
      <x:c r="Z91" s="44" t="str">
        <x:f>IF(COUNT(M91,AD91)&lt;&gt;2,"",IF(AD91=0,"",ABS(M91/AD91)))</x:f>
      </x:c>
      <x:c r="AA91" s="47" t="str">
        <x:f>IF(ISNUMBER('Sheet4-原始数据'!K76),'Sheet4-原始数据'!K76,"")</x:f>
      </x:c>
      <x:c r="AB91" s="44" t="str">
        <x:f>IF(COUNT(Z91:AA91)=0,"",MAX(Z91:AA91))</x:f>
      </x:c>
      <x:c r="AC91" s="52" t="str">
        <x:f>IF(OR($G91&lt;&gt;"入池",NOT(ISNUMBER(AB91))),"",IF(COUNTIFS($G$17:$G$99,"入池",$AB$17:$AB$99,"&gt;=-1E+307",$AB$17:$AB$99,"&lt;=1E+307")&lt;=1,'Sheet1-指标体系'!$J$18,ROUND('Sheet1-指标体系'!$J$18*(COUNTIFS($G$17:$G$99,"入池",$AB$17:$AB$99,"&lt;=1E+307",$AB$17:$AB$99,"&gt;"&amp;AB91)+COUNTIFS($G$17:$G$99,"入池",$AB$17:$AB$99,"&gt;=-1E+307",$AB$17:$AB$99,"&lt;=1E+307",$AB$17:$AB$99,AB91)/2-0.5)/(COUNTIFS($G$17:$G$99,"入池",$AB$17:$AB$99,"&gt;=-1E+307",$AB$17:$AB$99,"&lt;=1E+307")-1),2)))</x:f>
      </x:c>
      <x:c r="AD91" s="48" t="str">
        <x:f>IF(ISNUMBER('Sheet4-原始数据'!M76),'Sheet4-原始数据'!M76,"")</x:f>
      </x:c>
      <x:c r="AE91" s="44" t="str">
        <x:f>IF(COUNT(P91,AA91,Z91)&lt;&gt;3,"",IF(AA91&gt;Z91+'Sheet1-指标体系'!$J$11,AA91,""))</x:f>
      </x:c>
      <x:c r="AF91" s="52" t="str">
        <x:f>IF(COUNT(P91,AE91)&lt;&gt;2,"",IF(AE91=0,"",P91/AE91))</x:f>
      </x:c>
      <x:c r="AG91" s="52" t="str">
        <x:f>IF(OR($G91&lt;&gt;"入池",NOT(ISNUMBER(AD91))),"",IF(COUNTIFS($G$17:$G$99,"入池",$AD$17:$AD$99,"&gt;=-1E+307",$AD$17:$AD$99,"&lt;=1E+307")&lt;=1,'Sheet1-指标体系'!$J$18,ROUND('Sheet1-指标体系'!$J$18*(COUNTIFS($G$17:$G$99,"入池",$AD$17:$AD$99,"&gt;=-1E+307",$AD$17:$AD$99,"&lt;"&amp;AD91)+COUNTIFS($G$17:$G$99,"入池",$AD$17:$AD$99,"&gt;=-1E+307",$AD$17:$AD$99,"&lt;=1E+307",$AD$17:$AD$99,AD91)/2-0.5)/(COUNTIFS($G$17:$G$99,"入池",$AD$17:$AD$99,"&gt;=-1E+307",$AD$17:$AD$99,"&lt;=1E+307")-1),2)))</x:f>
      </x:c>
      <x:c r="AH91" s="52" t="str">
        <x:f>IF(OR($G91&lt;&gt;"入池",NOT(ISNUMBER(AF91))),"",IF(COUNTIFS($G$17:$G$99,"入池",$AF$17:$AF$99,"&gt;=-1E+307",$AF$17:$AF$99,"&lt;=1E+307")&lt;=1,'Sheet1-指标体系'!$J$18,ROUND('Sheet1-指标体系'!$J$18*(COUNTIFS($G$17:$G$99,"入池",$AF$17:$AF$99,"&gt;=-1E+307",$AF$17:$AF$99,"&lt;"&amp;AF91)+COUNTIFS($G$17:$G$99,"入池",$AF$17:$AF$99,"&gt;=-1E+307",$AF$17:$AF$99,"&lt;=1E+307",$AF$17:$AF$99,AF91)/2-0.5)/(COUNTIFS($G$17:$G$99,"入池",$AF$17:$AF$99,"&gt;=-1E+307",$AF$17:$AF$99,"&lt;=1E+307")-1),2)))</x:f>
      </x:c>
      <x:c r="AI91" s="52" t="str">
        <x:f>IF(COUNT(AG91,AH91)=0,"",ROUND((IF(ISNUMBER(AG91),AG91*'Sheet1-指标体系'!$G$10*'Sheet1-指标体系'!$J$8,0)+IF(ISNUMBER(AH91),AH91*'Sheet1-指标体系'!$G$10*'Sheet1-指标体系'!$J$9,0))/(IF(ISNUMBER(AG91),'Sheet1-指标体系'!$G$10*'Sheet1-指标体系'!$J$8,0)+IF(ISNUMBER(AH91),'Sheet1-指标体系'!$G$10*'Sheet1-指标体系'!$J$9,0)),2))</x:f>
      </x:c>
      <x:c r="AJ91" s="44" t="str">
        <x:f>IF(NOT(ISNUMBER(F91)),"",IF(F91&gt;='Sheet1-指标体系'!$J$16,IF(ISNUMBER(N91),N91,""),IF(ISNUMBER(O91),O91,"")))</x:f>
      </x:c>
      <x:c r="AK91" s="52" t="str">
        <x:f>IF(OR(G91&lt;&gt;"入池",COUNT(M91,AJ91)&lt;&gt;2),"",IF(M91&gt;=AJ91,'Sheet1-指标体系'!$J$18,IF(AJ91-M91&lt;'Sheet1-指标体系'!$J$10,'Sheet1-指标体系'!$J$22,'Sheet1-指标体系'!$J$23)))</x:f>
      </x:c>
      <x:c r="AL91" s="52" t="n">
        <x:f>IF(COUNT(I91,K91,L91)=0,"",ROUND((IF(ISNUMBER(I91),I91*'Sheet1-指标体系'!$G$4,0)+IF(ISNUMBER(K91),K91*'Sheet1-指标体系'!$G$5,0)+IF(ISNUMBER(L91),L91*'Sheet1-指标体系'!$G$6,0))/(IF(ISNUMBER(I91),'Sheet1-指标体系'!$G$4,0)+IF(ISNUMBER(K91),'Sheet1-指标体系'!$G$5,0)+IF(ISNUMBER(L91),'Sheet1-指标体系'!$G$6,0)),2))</x:f>
        <x:v>83</x:v>
      </x:c>
      <x:c r="AM91" s="52" t="n">
        <x:f>IF(COUNT(Q91,R91,W91,X91)=0,"",ROUND((IF(ISNUMBER(Q91),Q91*'Sheet1-指标体系'!$G$7*'Sheet1-指标体系'!$J$8,0)+IF(ISNUMBER(R91),R91*'Sheet1-指标体系'!$G$7*'Sheet1-指标体系'!$J$9,0)+IF(ISNUMBER(W91),W91*'Sheet1-指标体系'!$G$8*'Sheet1-指标体系'!$J$8,0)+IF(ISNUMBER(X91),X91*'Sheet1-指标体系'!$G$8*'Sheet1-指标体系'!$J$9,0))/(IF(ISNUMBER(Q91),'Sheet1-指标体系'!$G$7*'Sheet1-指标体系'!$J$8,0)+IF(ISNUMBER(R91),'Sheet1-指标体系'!$G$7*'Sheet1-指标体系'!$J$9,0)+IF(ISNUMBER(W91),'Sheet1-指标体系'!$G$8*'Sheet1-指标体系'!$J$8,0)+IF(ISNUMBER(X91),'Sheet1-指标体系'!$G$8*'Sheet1-指标体系'!$J$9,0)),2))</x:f>
        <x:v>100</x:v>
      </x:c>
      <x:c r="AN91" s="52" t="str">
        <x:f>IF(ISNUMBER(AC91),AC91,"")</x:f>
      </x:c>
      <x:c r="AO91" s="52" t="str">
        <x:f>IF(COUNT(AG91,AH91)=0,"",ROUND((IF(ISNUMBER(AG91),AG91*'Sheet1-指标体系'!$G$10*'Sheet1-指标体系'!$J$8,0)+IF(ISNUMBER(AH91),AH91*'Sheet1-指标体系'!$G$10*'Sheet1-指标体系'!$J$9,0))/(IF(ISNUMBER(AG91),'Sheet1-指标体系'!$G$10*'Sheet1-指标体系'!$J$8,0)+IF(ISNUMBER(AH91),'Sheet1-指标体系'!$G$10*'Sheet1-指标体系'!$J$9,0)),2))</x:f>
      </x:c>
      <x:c r="AP91" s="52" t="str">
        <x:f>IF(ISNUMBER(AK91),AK91,"")</x:f>
      </x:c>
      <x:c r="AQ91" s="27" t="n">
        <x:f>IF(G91&lt;&gt;"入池",0,IF(ISNUMBER(I91),'Sheet1-指标体系'!$G$4,0)+IF(ISNUMBER(K91),'Sheet1-指标体系'!$G$5,0)+IF(ISNUMBER(L91),'Sheet1-指标体系'!$G$6,0)+IF(ISNUMBER(Q91),'Sheet1-指标体系'!$G$7*'Sheet1-指标体系'!$J$8,0)+IF(ISNUMBER(R91),'Sheet1-指标体系'!$G$7*'Sheet1-指标体系'!$J$9,0)+IF(ISNUMBER(W91),'Sheet1-指标体系'!$G$8*'Sheet1-指标体系'!$J$8,0)+IF(ISNUMBER(X91),'Sheet1-指标体系'!$G$8*'Sheet1-指标体系'!$J$9,0)+IF(ISNUMBER(AC91),'Sheet1-指标体系'!$G$9,0)+IF(ISNUMBER(AG91),'Sheet1-指标体系'!$G$10*'Sheet1-指标体系'!$J$8,0)+IF(ISNUMBER(AH91),'Sheet1-指标体系'!$G$10*'Sheet1-指标体系'!$J$9,0)+IF(ISNUMBER(AK91),'Sheet1-指标体系'!$G$11,0))</x:f>
        <x:v>0.174</x:v>
      </x:c>
      <x:c r="AR91" s="52" t="n">
        <x:f>IF(AQ91=0,"",IF(ISNUMBER(I91),I91*'Sheet1-指标体系'!$G$4,0)+IF(ISNUMBER(K91),K91*'Sheet1-指标体系'!$G$5,0)+IF(ISNUMBER(L91),L91*'Sheet1-指标体系'!$G$6,0)+IF(ISNUMBER(Q91),Q91*'Sheet1-指标体系'!$G$7*'Sheet1-指标体系'!$J$8,0)+IF(ISNUMBER(R91),R91*'Sheet1-指标体系'!$G$7*'Sheet1-指标体系'!$J$9,0)+IF(ISNUMBER(W91),W91*'Sheet1-指标体系'!$G$8*'Sheet1-指标体系'!$J$8,0)+IF(ISNUMBER(X91),X91*'Sheet1-指标体系'!$G$8*'Sheet1-指标体系'!$J$9,0)+IF(ISNUMBER(AC91),AC91*'Sheet1-指标体系'!$G$9,0)+IF(ISNUMBER(AG91),AG91*'Sheet1-指标体系'!$G$10*'Sheet1-指标体系'!$J$8,0)+IF(ISNUMBER(AH91),AH91*'Sheet1-指标体系'!$G$10*'Sheet1-指标体系'!$J$9,0)+IF(ISNUMBER(AK91),AK91*'Sheet1-指标体系'!$G$11,0))</x:f>
        <x:v>14.850000000000001</x:v>
      </x:c>
      <x:c r="AS91" s="52" t="n">
        <x:f>IF(AQ91=0,"",ROUND(AR91/AQ91,2))</x:f>
        <x:v>85.34</x:v>
      </x:c>
      <x:c r="AT91" s="49" t="n">
        <x:f>IF(OR(G91&lt;&gt;"入池",NOT(ISNUMBER(AS91))),"",COUNTIFS($G$17:$G$99,"入池",$AS$17:$AS$99,"&gt;"&amp;AS91)+COUNTIFS($G$17:$G$99,"入池",$AS$17:$AS$99,AS91,$AQ$17:$AQ$99,"&gt;"&amp;AQ91)+COUNTIFS($G$17:G91,"入池",$AS$17:AS91,AS91,$AQ$17:AQ91,AQ91))</x:f>
        <x:v>13</x:v>
      </x:c>
      <x:c r="AU91" s="53" t="str">
        <x:f>IF(NOT(ISNUMBER(I91)),"管理人规模；","")&amp;IF(NOT(ISNUMBER(K91)),"产品规模标识；","")&amp;IF(NOT(ISNUMBER(M91)),"近一年收益；","")&amp;IF(NOT(ISNUMBER(T91)),"近一年胜率；","")&amp;IF(NOT(ISNUMBER(N91)),"近三年收益；","")&amp;IF(NOT(ISNUMBER(U91)),"近三年胜率；","")&amp;IF(NOT(ISNUMBER(AA91)),"近三年回撤；","")&amp;IF(NOT(ISNUMBER(AD91)),"近一年卡玛；","")&amp;IF(ISNUMBER(F91),IF(AND(F91&lt;'Sheet1-指标体系'!$J$16,NOT(ISNUMBER(O91))),"成立以来年化；",""),"成立日期；")&amp;IF(ISNUMBER(V91),IF(OR(V91&lt;0,V91&gt;1),"胜率窗口口径不一致；",""),"")&amp;IF(ISNUMBER(P91),IF(NOT(ISNUMBER(AE91)),"DD_long不可识别；",""),"")</x:f>
        <x:v>近一年收益；近一年胜率；近三年收益；近三年胜率；近三年回撤；近一年卡玛；成立以来年化；</x:v>
      </x:c>
      <x:c r="AV91" s="52" t="str">
        <x:f>IF(ROUND(AQ91,10)=ROUND('Sheet1-指标体系'!$J$25,10),AR91,"")</x:f>
      </x:c>
      <x:c r="AW91" s="14" t="str">
        <x:f>IF(G91&lt;&gt;"入池",G91,IF(AQ91=0,"无有效评分数据",IF(ROUND(AQ91,10)=ROUND('Sheet1-指标体系'!$J$25,10),"完整赋分", "暂定分／数据不完整")))</x:f>
        <x:v>暂定分／数据不完整</x:v>
      </x:c>
      <x:c r="AX91" s="45" t="str">
        <x:f>IF('Sheet4-原始数据'!C76="","",'Sheet4-原始数据'!C76)</x:f>
        <x:v>套利策略</x:v>
      </x:c>
      <x:c r="AY91" s="45" t="str">
        <x:f>IF('Sheet4-原始数据'!D76="","",'Sheet4-原始数据'!D76)</x:f>
        <x:v>期货套利</x:v>
      </x:c>
      <x:c r="AZ91" s="45" t="str">
        <x:f>IF('Sheet5-查询核对'!S76="","",'Sheet5-查询核对'!S76)</x:f>
        <x:v>套利策略—期货套利</x:v>
      </x:c>
      <x:c r="BA91" s="51" t="n">
        <x:f>IF('Sheet5-查询核对'!A76="","",'Sheet5-查询核对'!A76)</x:f>
        <x:v>76</x:v>
      </x:c>
      <x:c r="BB91" s="45" t="str">
        <x:f>IF('Sheet5-查询核对'!F76="","",'Sheet5-查询核对'!F76)</x:f>
        <x:v>备案号匹配</x:v>
      </x:c>
      <x:c r="BC91" s="50" t="str">
        <x:f>IF('Sheet5-查询核对'!I76="","",'Sheet5-查询核对'!I76)</x:f>
        <x:v>https://mp.fof99.com/fund/view/3c9e7c114b369c69</x:v>
      </x:c>
      <x:c r="BD91" s="46" t="n">
        <x:f>IF('Sheet5-查询核对'!H76="","",'Sheet5-查询核对'!H76)</x:f>
        <x:v>46269</x:v>
      </x:c>
      <x:c r="BE91" s="50" t="str">
        <x:f>IF('Sheet5-查询核对'!L76="","",'Sheet5-查询核对'!L76)</x:f>
        <x:v>https://mp.fof99.com/fund/view/3c9e7c114b369c69</x:v>
      </x:c>
      <x:c r="BF91" s="46" t="n">
        <x:f>IF('Sheet5-查询核对'!M76="","",'Sheet5-查询核对'!M76)</x:f>
        <x:v>46275</x:v>
      </x:c>
      <x:c r="BG91" s="50" t="str">
        <x:f>IF('Sheet5-查询核对'!O76="","",'Sheet5-查询核对'!O76)</x:f>
        <x:v>https://gs.amac.org.cn/amac-infodisc/res/pof/fund/2507151025108525.html</x:v>
      </x:c>
      <x:c r="BH91" s="46" t="n">
        <x:f>IF('Sheet5-查询核对'!P76="","",'Sheet5-查询核对'!P76)</x:f>
        <x:v>46275</x:v>
      </x:c>
      <x:c r="BI91" s="45" t="str">
        <x:f>IF('Sheet5-查询核对'!D76="","",'Sheet5-查询核对'!D76)</x:f>
        <x:v>SBBC37</x:v>
      </x:c>
      <x:c r="BJ91" t="n">
        <x:f>IF(ISNUMBER(AT91),AT91,COUNT($AT$17:$AT$99)+ROWS($AT$17:AT91)-COUNT($AT$17:AT91))</x:f>
        <x:v>13</x:v>
      </x:c>
    </x:row>
    <x:row r="92" ht="44" customHeight="1">
      <x:c r="A92" s="49" t="n">
        <x:f>'Sheet5-查询核对'!A77-1</x:f>
        <x:v>76</x:v>
      </x:c>
      <x:c r="B92" s="50" t="str">
        <x:f>IF('Sheet4-原始数据'!A77="",'Sheet5-查询核对'!B77,'Sheet4-原始数据'!A77)</x:f>
        <x:v>哲石君顺易安壹号</x:v>
      </x:c>
      <x:c r="C92" s="45" t="str">
        <x:f>IF('Sheet4-原始数据'!B77="","",'Sheet4-原始数据'!B77)</x:f>
        <x:v>SAVN21</x:v>
      </x:c>
      <x:c r="D92" s="45" t="str">
        <x:f>IF('Sheet4-原始数据'!E77="","",'Sheet4-原始数据'!E77)</x:f>
        <x:v>杭州哲石</x:v>
      </x:c>
      <x:c r="E92" s="46" t="n">
        <x:f>IF('Sheet4-原始数据'!F77="","",'Sheet4-原始数据'!F77)</x:f>
        <x:v>45749</x:v>
      </x:c>
      <x:c r="F92" s="52" t="n">
        <x:f>IF(ISNUMBER(E92),ROUND(('Sheet1-指标体系'!$J$12-E92)/'Sheet1-指标体系'!$J$14,4),"")</x:f>
        <x:v>1.4401</x:v>
      </x:c>
      <x:c r="G92" s="14" t="str">
        <x:f>IF(C92="","未匹配",IF(NOT(ISNUMBER(F92)),"缺成立日期",IF(F92&lt;'Sheet1-指标体系'!$J$15,"不入池","入池")))</x:f>
        <x:v>入池</x:v>
      </x:c>
      <x:c r="H92" s="45" t="str">
        <x:f>IF('Sheet5-查询核对'!K77="","",'Sheet5-查询核对'!K77)</x:f>
        <x:v>10-20亿元</x:v>
      </x:c>
      <x:c r="I92" s="52" t="n">
        <x:f>IF(H92="","",IF(COUNTIF('Sheet1-指标体系'!$P$4:$P$10,H92)=0,"",INDEX('Sheet1-指标体系'!$Q$4:$Q$10,MATCH(H92,'Sheet1-指标体系'!$P$4:$P$10,0))))</x:f>
        <x:v>80</x:v>
      </x:c>
      <x:c r="J92" s="54" t="str">
        <x:f>IF(NOT(ISNUMBER('Sheet5-查询核对'!N77)),"",IF('Sheet5-查询核对'!N77=1,"低于"&amp;'Sheet1-指标体系'!$J$4&amp;"万元",IF('Sheet5-查询核对'!N77=0,"无低于"&amp;'Sheet1-指标体系'!$J$4&amp;"万元标识","")))</x:f>
        <x:v>无低于1000万元标识</x:v>
      </x:c>
      <x:c r="K92" s="52" t="n">
        <x:f>IF(NOT(ISNUMBER('Sheet5-查询核对'!N77)),"",IF('Sheet5-查询核对'!N77=1,'Sheet1-指标体系'!$J$21,IF('Sheet5-查询核对'!N77=0,'Sheet1-指标体系'!$J$18,"")))</x:f>
        <x:v>100</x:v>
      </x:c>
      <x:c r="L92" s="52" t="n">
        <x:f>IF(NOT(ISNUMBER(F92)),"",IF(F92&lt;'Sheet1-指标体系'!$J$15,"",IF(F92&lt;'Sheet1-指标体系'!$J$16,'Sheet1-指标体系'!$J$17,'Sheet1-指标体系'!$J$18)))</x:f>
        <x:v>70</x:v>
      </x:c>
      <x:c r="M92" s="47" t="str">
        <x:f>IF(ISNUMBER('Sheet4-原始数据'!G77),'Sheet4-原始数据'!G77,"")</x:f>
      </x:c>
      <x:c r="N92" s="47" t="str">
        <x:f>IF(ISNUMBER('Sheet4-原始数据'!H77),'Sheet4-原始数据'!H77,"")</x:f>
      </x:c>
      <x:c r="O92" s="47" t="str">
        <x:f>IF(ISNUMBER('Sheet5-查询核对'!Q77),'Sheet5-查询核对'!Q77,"")</x:f>
      </x:c>
      <x:c r="P92" s="44" t="str">
        <x:f>IF($G92&lt;&gt;"入池","",IF($F92&gt;='Sheet1-指标体系'!$J$16,IF(COUNT(M92,N92)&lt;&gt;2,"",IF(OR(1+M92&lt;=0,1+N92&lt;0),"",((1+N92)^'Sheet1-指标体系'!$J$16/(1+M92))^(1/('Sheet1-指标体系'!$J$16-'Sheet1-指标体系'!$J$15))-1)),IF(COUNT(M92,O92)&lt;&gt;2,"",IF(OR(F92&lt;='Sheet1-指标体系'!$J$15,1+M92&lt;=0,1+O92&lt;0),"",((1+O92)^F92/(1+M92))^(1/(F92-'Sheet1-指标体系'!$J$15))-1))))</x:f>
      </x:c>
      <x:c r="Q92" s="52" t="str">
        <x:f>IF(OR($G92&lt;&gt;"入池",NOT(ISNUMBER(M92))),"",IF(COUNTIFS($G$17:$G$99,"入池",$M$17:$M$99,"&gt;=-1E+307",$M$17:$M$99,"&lt;=1E+307")&lt;=1,'Sheet1-指标体系'!$J$18,ROUND('Sheet1-指标体系'!$J$18*(COUNTIFS($G$17:$G$99,"入池",$M$17:$M$99,"&gt;=-1E+307",$M$17:$M$99,"&lt;"&amp;M92)+COUNTIFS($G$17:$G$99,"入池",$M$17:$M$99,"&gt;=-1E+307",$M$17:$M$99,"&lt;=1E+307",$M$17:$M$99,M92)/2-0.5)/(COUNTIFS($G$17:$G$99,"入池",$M$17:$M$99,"&gt;=-1E+307",$M$17:$M$99,"&lt;=1E+307")-1),2)))</x:f>
      </x:c>
      <x:c r="R92" s="52" t="str">
        <x:f>IF(OR($G92&lt;&gt;"入池",NOT(ISNUMBER(P92))),"",IF(COUNTIFS($G$17:$G$99,"入池",$P$17:$P$99,"&gt;=-1E+307",$P$17:$P$99,"&lt;=1E+307")&lt;=1,'Sheet1-指标体系'!$J$18,ROUND('Sheet1-指标体系'!$J$18*(COUNTIFS($G$17:$G$99,"入池",$P$17:$P$99,"&gt;=-1E+307",$P$17:$P$99,"&lt;"&amp;P92)+COUNTIFS($G$17:$G$99,"入池",$P$17:$P$99,"&gt;=-1E+307",$P$17:$P$99,"&lt;=1E+307",$P$17:$P$99,P92)/2-0.5)/(COUNTIFS($G$17:$G$99,"入池",$P$17:$P$99,"&gt;=-1E+307",$P$17:$P$99,"&lt;=1E+307")-1),2)))</x:f>
      </x:c>
      <x:c r="S92" s="52" t="str">
        <x:f>IF(COUNT(Q92,R92)=0,"",ROUND((IF(ISNUMBER(Q92),Q92*'Sheet1-指标体系'!$G$7*'Sheet1-指标体系'!$J$8,0)+IF(ISNUMBER(R92),R92*'Sheet1-指标体系'!$G$7*'Sheet1-指标体系'!$J$9,0))/(IF(ISNUMBER(Q92),'Sheet1-指标体系'!$G$7*'Sheet1-指标体系'!$J$8,0)+IF(ISNUMBER(R92),'Sheet1-指标体系'!$G$7*'Sheet1-指标体系'!$J$9,0)),2))</x:f>
      </x:c>
      <x:c r="T92" s="47" t="str">
        <x:f>IF(ISNUMBER('Sheet4-原始数据'!J77),'Sheet4-原始数据'!J77,"")</x:f>
      </x:c>
      <x:c r="U92" s="47" t="str">
        <x:f>IF(ISNUMBER('Sheet4-原始数据'!I77),'Sheet4-原始数据'!I77,"")</x:f>
      </x:c>
      <x:c r="V92" s="44" t="str">
        <x:f>IF(COUNT(T92:U92)&lt;&gt;2,"",(U92*'Sheet1-指标体系'!$J$6-T92*'Sheet1-指标体系'!$J$5)/'Sheet1-指标体系'!$J$7)</x:f>
      </x:c>
      <x:c r="W92" s="52" t="str">
        <x:f>IF(NOT(ISNUMBER(T92)),"",T92*'Sheet1-指标体系'!$J$18)</x:f>
      </x:c>
      <x:c r="X92" s="52" t="n">
        <x:f>IF(G92&lt;&gt;"入池","",IF(ISNUMBER(V92),IF(AND(V92&gt;=0,V92&lt;=1),V92*'Sheet1-指标体系'!$J$18,IF(MAX(0,(F92-'Sheet1-指标体系'!$J$15)*'Sheet1-指标体系'!$J$20)&lt;'Sheet1-指标体系'!$J$19,'Sheet1-指标体系'!$J$18,"")),IF(MAX(0,(F92-'Sheet1-指标体系'!$J$15)*'Sheet1-指标体系'!$J$20)&lt;'Sheet1-指标体系'!$J$19,'Sheet1-指标体系'!$J$18,"")))</x:f>
        <x:v>100</x:v>
      </x:c>
      <x:c r="Y92" s="52" t="str">
        <x:f>IF(NOT(ISNUMBER(W92)),"",IF(COUNT(W92,X92)=0,"",ROUND((IF(ISNUMBER(W92),W92*'Sheet1-指标体系'!$G$8*'Sheet1-指标体系'!$J$8,0)+IF(ISNUMBER(X92),X92*'Sheet1-指标体系'!$G$8*'Sheet1-指标体系'!$J$9,0))/(IF(ISNUMBER(W92),'Sheet1-指标体系'!$G$8*'Sheet1-指标体系'!$J$8,0)+IF(ISNUMBER(X92),'Sheet1-指标体系'!$G$8*'Sheet1-指标体系'!$J$9,0)),2)))</x:f>
      </x:c>
      <x:c r="Z92" s="44" t="str">
        <x:f>IF(COUNT(M92,AD92)&lt;&gt;2,"",IF(AD92=0,"",ABS(M92/AD92)))</x:f>
      </x:c>
      <x:c r="AA92" s="47" t="str">
        <x:f>IF(ISNUMBER('Sheet4-原始数据'!K77),'Sheet4-原始数据'!K77,"")</x:f>
      </x:c>
      <x:c r="AB92" s="44" t="str">
        <x:f>IF(COUNT(Z92:AA92)=0,"",MAX(Z92:AA92))</x:f>
      </x:c>
      <x:c r="AC92" s="52" t="str">
        <x:f>IF(OR($G92&lt;&gt;"入池",NOT(ISNUMBER(AB92))),"",IF(COUNTIFS($G$17:$G$99,"入池",$AB$17:$AB$99,"&gt;=-1E+307",$AB$17:$AB$99,"&lt;=1E+307")&lt;=1,'Sheet1-指标体系'!$J$18,ROUND('Sheet1-指标体系'!$J$18*(COUNTIFS($G$17:$G$99,"入池",$AB$17:$AB$99,"&lt;=1E+307",$AB$17:$AB$99,"&gt;"&amp;AB92)+COUNTIFS($G$17:$G$99,"入池",$AB$17:$AB$99,"&gt;=-1E+307",$AB$17:$AB$99,"&lt;=1E+307",$AB$17:$AB$99,AB92)/2-0.5)/(COUNTIFS($G$17:$G$99,"入池",$AB$17:$AB$99,"&gt;=-1E+307",$AB$17:$AB$99,"&lt;=1E+307")-1),2)))</x:f>
      </x:c>
      <x:c r="AD92" s="48" t="str">
        <x:f>IF(ISNUMBER('Sheet4-原始数据'!M77),'Sheet4-原始数据'!M77,"")</x:f>
      </x:c>
      <x:c r="AE92" s="44" t="str">
        <x:f>IF(COUNT(P92,AA92,Z92)&lt;&gt;3,"",IF(AA92&gt;Z92+'Sheet1-指标体系'!$J$11,AA92,""))</x:f>
      </x:c>
      <x:c r="AF92" s="52" t="str">
        <x:f>IF(COUNT(P92,AE92)&lt;&gt;2,"",IF(AE92=0,"",P92/AE92))</x:f>
      </x:c>
      <x:c r="AG92" s="52" t="str">
        <x:f>IF(OR($G92&lt;&gt;"入池",NOT(ISNUMBER(AD92))),"",IF(COUNTIFS($G$17:$G$99,"入池",$AD$17:$AD$99,"&gt;=-1E+307",$AD$17:$AD$99,"&lt;=1E+307")&lt;=1,'Sheet1-指标体系'!$J$18,ROUND('Sheet1-指标体系'!$J$18*(COUNTIFS($G$17:$G$99,"入池",$AD$17:$AD$99,"&gt;=-1E+307",$AD$17:$AD$99,"&lt;"&amp;AD92)+COUNTIFS($G$17:$G$99,"入池",$AD$17:$AD$99,"&gt;=-1E+307",$AD$17:$AD$99,"&lt;=1E+307",$AD$17:$AD$99,AD92)/2-0.5)/(COUNTIFS($G$17:$G$99,"入池",$AD$17:$AD$99,"&gt;=-1E+307",$AD$17:$AD$99,"&lt;=1E+307")-1),2)))</x:f>
      </x:c>
      <x:c r="AH92" s="52" t="str">
        <x:f>IF(OR($G92&lt;&gt;"入池",NOT(ISNUMBER(AF92))),"",IF(COUNTIFS($G$17:$G$99,"入池",$AF$17:$AF$99,"&gt;=-1E+307",$AF$17:$AF$99,"&lt;=1E+307")&lt;=1,'Sheet1-指标体系'!$J$18,ROUND('Sheet1-指标体系'!$J$18*(COUNTIFS($G$17:$G$99,"入池",$AF$17:$AF$99,"&gt;=-1E+307",$AF$17:$AF$99,"&lt;"&amp;AF92)+COUNTIFS($G$17:$G$99,"入池",$AF$17:$AF$99,"&gt;=-1E+307",$AF$17:$AF$99,"&lt;=1E+307",$AF$17:$AF$99,AF92)/2-0.5)/(COUNTIFS($G$17:$G$99,"入池",$AF$17:$AF$99,"&gt;=-1E+307",$AF$17:$AF$99,"&lt;=1E+307")-1),2)))</x:f>
      </x:c>
      <x:c r="AI92" s="52" t="str">
        <x:f>IF(COUNT(AG92,AH92)=0,"",ROUND((IF(ISNUMBER(AG92),AG92*'Sheet1-指标体系'!$G$10*'Sheet1-指标体系'!$J$8,0)+IF(ISNUMBER(AH92),AH92*'Sheet1-指标体系'!$G$10*'Sheet1-指标体系'!$J$9,0))/(IF(ISNUMBER(AG92),'Sheet1-指标体系'!$G$10*'Sheet1-指标体系'!$J$8,0)+IF(ISNUMBER(AH92),'Sheet1-指标体系'!$G$10*'Sheet1-指标体系'!$J$9,0)),2))</x:f>
      </x:c>
      <x:c r="AJ92" s="44" t="str">
        <x:f>IF(NOT(ISNUMBER(F92)),"",IF(F92&gt;='Sheet1-指标体系'!$J$16,IF(ISNUMBER(N92),N92,""),IF(ISNUMBER(O92),O92,"")))</x:f>
      </x:c>
      <x:c r="AK92" s="52" t="str">
        <x:f>IF(OR(G92&lt;&gt;"入池",COUNT(M92,AJ92)&lt;&gt;2),"",IF(M92&gt;=AJ92,'Sheet1-指标体系'!$J$18,IF(AJ92-M92&lt;'Sheet1-指标体系'!$J$10,'Sheet1-指标体系'!$J$22,'Sheet1-指标体系'!$J$23)))</x:f>
      </x:c>
      <x:c r="AL92" s="52" t="n">
        <x:f>IF(COUNT(I92,K92,L92)=0,"",ROUND((IF(ISNUMBER(I92),I92*'Sheet1-指标体系'!$G$4,0)+IF(ISNUMBER(K92),K92*'Sheet1-指标体系'!$G$5,0)+IF(ISNUMBER(L92),L92*'Sheet1-指标体系'!$G$6,0))/(IF(ISNUMBER(I92),'Sheet1-指标体系'!$G$4,0)+IF(ISNUMBER(K92),'Sheet1-指标体系'!$G$5,0)+IF(ISNUMBER(L92),'Sheet1-指标体系'!$G$6,0)),2))</x:f>
        <x:v>83</x:v>
      </x:c>
      <x:c r="AM92" s="52" t="n">
        <x:f>IF(COUNT(Q92,R92,W92,X92)=0,"",ROUND((IF(ISNUMBER(Q92),Q92*'Sheet1-指标体系'!$G$7*'Sheet1-指标体系'!$J$8,0)+IF(ISNUMBER(R92),R92*'Sheet1-指标体系'!$G$7*'Sheet1-指标体系'!$J$9,0)+IF(ISNUMBER(W92),W92*'Sheet1-指标体系'!$G$8*'Sheet1-指标体系'!$J$8,0)+IF(ISNUMBER(X92),X92*'Sheet1-指标体系'!$G$8*'Sheet1-指标体系'!$J$9,0))/(IF(ISNUMBER(Q92),'Sheet1-指标体系'!$G$7*'Sheet1-指标体系'!$J$8,0)+IF(ISNUMBER(R92),'Sheet1-指标体系'!$G$7*'Sheet1-指标体系'!$J$9,0)+IF(ISNUMBER(W92),'Sheet1-指标体系'!$G$8*'Sheet1-指标体系'!$J$8,0)+IF(ISNUMBER(X92),'Sheet1-指标体系'!$G$8*'Sheet1-指标体系'!$J$9,0)),2))</x:f>
        <x:v>100</x:v>
      </x:c>
      <x:c r="AN92" s="52" t="str">
        <x:f>IF(ISNUMBER(AC92),AC92,"")</x:f>
      </x:c>
      <x:c r="AO92" s="52" t="str">
        <x:f>IF(COUNT(AG92,AH92)=0,"",ROUND((IF(ISNUMBER(AG92),AG92*'Sheet1-指标体系'!$G$10*'Sheet1-指标体系'!$J$8,0)+IF(ISNUMBER(AH92),AH92*'Sheet1-指标体系'!$G$10*'Sheet1-指标体系'!$J$9,0))/(IF(ISNUMBER(AG92),'Sheet1-指标体系'!$G$10*'Sheet1-指标体系'!$J$8,0)+IF(ISNUMBER(AH92),'Sheet1-指标体系'!$G$10*'Sheet1-指标体系'!$J$9,0)),2))</x:f>
      </x:c>
      <x:c r="AP92" s="52" t="str">
        <x:f>IF(ISNUMBER(AK92),AK92,"")</x:f>
      </x:c>
      <x:c r="AQ92" s="27" t="n">
        <x:f>IF(G92&lt;&gt;"入池",0,IF(ISNUMBER(I92),'Sheet1-指标体系'!$G$4,0)+IF(ISNUMBER(K92),'Sheet1-指标体系'!$G$5,0)+IF(ISNUMBER(L92),'Sheet1-指标体系'!$G$6,0)+IF(ISNUMBER(Q92),'Sheet1-指标体系'!$G$7*'Sheet1-指标体系'!$J$8,0)+IF(ISNUMBER(R92),'Sheet1-指标体系'!$G$7*'Sheet1-指标体系'!$J$9,0)+IF(ISNUMBER(W92),'Sheet1-指标体系'!$G$8*'Sheet1-指标体系'!$J$8,0)+IF(ISNUMBER(X92),'Sheet1-指标体系'!$G$8*'Sheet1-指标体系'!$J$9,0)+IF(ISNUMBER(AC92),'Sheet1-指标体系'!$G$9,0)+IF(ISNUMBER(AG92),'Sheet1-指标体系'!$G$10*'Sheet1-指标体系'!$J$8,0)+IF(ISNUMBER(AH92),'Sheet1-指标体系'!$G$10*'Sheet1-指标体系'!$J$9,0)+IF(ISNUMBER(AK92),'Sheet1-指标体系'!$G$11,0))</x:f>
        <x:v>0.174</x:v>
      </x:c>
      <x:c r="AR92" s="52" t="n">
        <x:f>IF(AQ92=0,"",IF(ISNUMBER(I92),I92*'Sheet1-指标体系'!$G$4,0)+IF(ISNUMBER(K92),K92*'Sheet1-指标体系'!$G$5,0)+IF(ISNUMBER(L92),L92*'Sheet1-指标体系'!$G$6,0)+IF(ISNUMBER(Q92),Q92*'Sheet1-指标体系'!$G$7*'Sheet1-指标体系'!$J$8,0)+IF(ISNUMBER(R92),R92*'Sheet1-指标体系'!$G$7*'Sheet1-指标体系'!$J$9,0)+IF(ISNUMBER(W92),W92*'Sheet1-指标体系'!$G$8*'Sheet1-指标体系'!$J$8,0)+IF(ISNUMBER(X92),X92*'Sheet1-指标体系'!$G$8*'Sheet1-指标体系'!$J$9,0)+IF(ISNUMBER(AC92),AC92*'Sheet1-指标体系'!$G$9,0)+IF(ISNUMBER(AG92),AG92*'Sheet1-指标体系'!$G$10*'Sheet1-指标体系'!$J$8,0)+IF(ISNUMBER(AH92),AH92*'Sheet1-指标体系'!$G$10*'Sheet1-指标体系'!$J$9,0)+IF(ISNUMBER(AK92),AK92*'Sheet1-指标体系'!$G$11,0))</x:f>
        <x:v>14.850000000000001</x:v>
      </x:c>
      <x:c r="AS92" s="52" t="n">
        <x:f>IF(AQ92=0,"",ROUND(AR92/AQ92,2))</x:f>
        <x:v>85.34</x:v>
      </x:c>
      <x:c r="AT92" s="49" t="n">
        <x:f>IF(OR(G92&lt;&gt;"入池",NOT(ISNUMBER(AS92))),"",COUNTIFS($G$17:$G$99,"入池",$AS$17:$AS$99,"&gt;"&amp;AS92)+COUNTIFS($G$17:$G$99,"入池",$AS$17:$AS$99,AS92,$AQ$17:$AQ$99,"&gt;"&amp;AQ92)+COUNTIFS($G$17:G92,"入池",$AS$17:AS92,AS92,$AQ$17:AQ92,AQ92))</x:f>
        <x:v>14</x:v>
      </x:c>
      <x:c r="AU92" s="53" t="str">
        <x:f>IF(NOT(ISNUMBER(I92)),"管理人规模；","")&amp;IF(NOT(ISNUMBER(K92)),"产品规模标识；","")&amp;IF(NOT(ISNUMBER(M92)),"近一年收益；","")&amp;IF(NOT(ISNUMBER(T92)),"近一年胜率；","")&amp;IF(NOT(ISNUMBER(N92)),"近三年收益；","")&amp;IF(NOT(ISNUMBER(U92)),"近三年胜率；","")&amp;IF(NOT(ISNUMBER(AA92)),"近三年回撤；","")&amp;IF(NOT(ISNUMBER(AD92)),"近一年卡玛；","")&amp;IF(ISNUMBER(F92),IF(AND(F92&lt;'Sheet1-指标体系'!$J$16,NOT(ISNUMBER(O92))),"成立以来年化；",""),"成立日期；")&amp;IF(ISNUMBER(V92),IF(OR(V92&lt;0,V92&gt;1),"胜率窗口口径不一致；",""),"")&amp;IF(ISNUMBER(P92),IF(NOT(ISNUMBER(AE92)),"DD_long不可识别；",""),"")</x:f>
        <x:v>近一年收益；近一年胜率；近三年收益；近三年胜率；近三年回撤；近一年卡玛；成立以来年化；</x:v>
      </x:c>
      <x:c r="AV92" s="52" t="str">
        <x:f>IF(ROUND(AQ92,10)=ROUND('Sheet1-指标体系'!$J$25,10),AR92,"")</x:f>
      </x:c>
      <x:c r="AW92" s="14" t="str">
        <x:f>IF(G92&lt;&gt;"入池",G92,IF(AQ92=0,"无有效评分数据",IF(ROUND(AQ92,10)=ROUND('Sheet1-指标体系'!$J$25,10),"完整赋分", "暂定分／数据不完整")))</x:f>
        <x:v>暂定分／数据不完整</x:v>
      </x:c>
      <x:c r="AX92" s="45" t="str">
        <x:f>IF('Sheet4-原始数据'!C77="","",'Sheet4-原始数据'!C77)</x:f>
        <x:v>套利策略</x:v>
      </x:c>
      <x:c r="AY92" s="45" t="str">
        <x:f>IF('Sheet4-原始数据'!D77="","",'Sheet4-原始数据'!D77)</x:f>
        <x:v>期货套利</x:v>
      </x:c>
      <x:c r="AZ92" s="45" t="str">
        <x:f>IF('Sheet5-查询核对'!S77="","",'Sheet5-查询核对'!S77)</x:f>
        <x:v>套利策略—期货套利</x:v>
      </x:c>
      <x:c r="BA92" s="51" t="n">
        <x:f>IF('Sheet5-查询核对'!A77="","",'Sheet5-查询核对'!A77)</x:f>
        <x:v>77</x:v>
      </x:c>
      <x:c r="BB92" s="45" t="str">
        <x:f>IF('Sheet5-查询核对'!F77="","",'Sheet5-查询核对'!F77)</x:f>
        <x:v>备案号匹配</x:v>
      </x:c>
      <x:c r="BC92" s="50" t="str">
        <x:f>IF('Sheet5-查询核对'!I77="","",'Sheet5-查询核对'!I77)</x:f>
        <x:v>https://mp.fof99.com/fund/view/e71e4de667b3a0df</x:v>
      </x:c>
      <x:c r="BD92" s="46" t="n">
        <x:f>IF('Sheet5-查询核对'!H77="","",'Sheet5-查询核对'!H77)</x:f>
        <x:v>46269</x:v>
      </x:c>
      <x:c r="BE92" s="50" t="str">
        <x:f>IF('Sheet5-查询核对'!L77="","",'Sheet5-查询核对'!L77)</x:f>
        <x:v>https://mp.fof99.com/fund/view/e71e4de667b3a0df</x:v>
      </x:c>
      <x:c r="BF92" s="46" t="n">
        <x:f>IF('Sheet5-查询核对'!M77="","",'Sheet5-查询核对'!M77)</x:f>
        <x:v>46275</x:v>
      </x:c>
      <x:c r="BG92" s="50" t="str">
        <x:f>IF('Sheet5-查询核对'!O77="","",'Sheet5-查询核对'!O77)</x:f>
        <x:v>https://gs.amac.org.cn/amac-infodisc/res/pof/fund/2504251630102057.html</x:v>
      </x:c>
      <x:c r="BH92" s="46" t="n">
        <x:f>IF('Sheet5-查询核对'!P77="","",'Sheet5-查询核对'!P77)</x:f>
        <x:v>46275</x:v>
      </x:c>
      <x:c r="BI92" s="45" t="str">
        <x:f>IF('Sheet5-查询核对'!D77="","",'Sheet5-查询核对'!D77)</x:f>
        <x:v>SAVN21</x:v>
      </x:c>
      <x:c r="BJ92" t="n">
        <x:f>IF(ISNUMBER(AT92),AT92,COUNT($AT$17:$AT$99)+ROWS($AT$17:AT92)-COUNT($AT$17:AT92))</x:f>
        <x:v>14</x:v>
      </x:c>
    </x:row>
    <x:row r="93" ht="44" customHeight="1">
      <x:c r="A93" s="49" t="n">
        <x:f>'Sheet5-查询核对'!A78-1</x:f>
        <x:v>77</x:v>
      </x:c>
      <x:c r="B93" s="50" t="str">
        <x:f>IF('Sheet4-原始数据'!A78="",'Sheet5-查询核对'!B78,'Sheet4-原始数据'!A78)</x:f>
        <x:v>臻选期权套利一号</x:v>
      </x:c>
      <x:c r="C93" s="45" t="str">
        <x:f>IF('Sheet4-原始数据'!B78="","",'Sheet4-原始数据'!B78)</x:f>
        <x:v>SBEM86</x:v>
      </x:c>
      <x:c r="D93" s="45" t="str">
        <x:f>IF('Sheet4-原始数据'!E78="","",'Sheet4-原始数据'!E78)</x:f>
        <x:v>海南臻选</x:v>
      </x:c>
      <x:c r="E93" s="46" t="n">
        <x:f>IF('Sheet4-原始数据'!F78="","",'Sheet4-原始数据'!F78)</x:f>
        <x:v>45929</x:v>
      </x:c>
      <x:c r="F93" s="52" t="n">
        <x:f>IF(ISNUMBER(E93),ROUND(('Sheet1-指标体系'!$J$12-E93)/'Sheet1-指标体系'!$J$14,4),"")</x:f>
        <x:v>0.9473</x:v>
      </x:c>
      <x:c r="G93" s="14" t="str">
        <x:f>IF(C93="","未匹配",IF(NOT(ISNUMBER(F93)),"缺成立日期",IF(F93&lt;'Sheet1-指标体系'!$J$15,"不入池","入池")))</x:f>
        <x:v>不入池</x:v>
      </x:c>
      <x:c r="H93" s="45" t="str">
        <x:f>IF('Sheet5-查询核对'!K78="","",'Sheet5-查询核对'!K78)</x:f>
        <x:v>10-20亿元</x:v>
      </x:c>
      <x:c r="I93" s="52" t="n">
        <x:f>IF(H93="","",IF(COUNTIF('Sheet1-指标体系'!$P$4:$P$10,H93)=0,"",INDEX('Sheet1-指标体系'!$Q$4:$Q$10,MATCH(H93,'Sheet1-指标体系'!$P$4:$P$10,0))))</x:f>
        <x:v>80</x:v>
      </x:c>
      <x:c r="J93" s="54" t="str">
        <x:f>IF(NOT(ISNUMBER('Sheet5-查询核对'!N78)),"",IF('Sheet5-查询核对'!N78=1,"低于"&amp;'Sheet1-指标体系'!$J$4&amp;"万元",IF('Sheet5-查询核对'!N78=0,"无低于"&amp;'Sheet1-指标体系'!$J$4&amp;"万元标识","")))</x:f>
        <x:v>无低于1000万元标识</x:v>
      </x:c>
      <x:c r="K93" s="52" t="n">
        <x:f>IF(NOT(ISNUMBER('Sheet5-查询核对'!N78)),"",IF('Sheet5-查询核对'!N78=1,'Sheet1-指标体系'!$J$21,IF('Sheet5-查询核对'!N78=0,'Sheet1-指标体系'!$J$18,"")))</x:f>
        <x:v>100</x:v>
      </x:c>
      <x:c r="L93" s="52" t="str">
        <x:f>IF(NOT(ISNUMBER(F93)),"",IF(F93&lt;'Sheet1-指标体系'!$J$15,"",IF(F93&lt;'Sheet1-指标体系'!$J$16,'Sheet1-指标体系'!$J$17,'Sheet1-指标体系'!$J$18)))</x:f>
      </x:c>
      <x:c r="M93" s="47" t="str">
        <x:f>IF(ISNUMBER('Sheet4-原始数据'!G78),'Sheet4-原始数据'!G78,"")</x:f>
      </x:c>
      <x:c r="N93" s="47" t="str">
        <x:f>IF(ISNUMBER('Sheet4-原始数据'!H78),'Sheet4-原始数据'!H78,"")</x:f>
      </x:c>
      <x:c r="O93" s="47" t="n">
        <x:f>IF(ISNUMBER('Sheet5-查询核对'!Q78),'Sheet5-查询核对'!Q78,"")</x:f>
        <x:v>0.1333</x:v>
      </x:c>
      <x:c r="P93" s="44" t="str">
        <x:f>IF($G93&lt;&gt;"入池","",IF($F93&gt;='Sheet1-指标体系'!$J$16,IF(COUNT(M93,N93)&lt;&gt;2,"",IF(OR(1+M93&lt;=0,1+N93&lt;0),"",((1+N93)^'Sheet1-指标体系'!$J$16/(1+M93))^(1/('Sheet1-指标体系'!$J$16-'Sheet1-指标体系'!$J$15))-1)),IF(COUNT(M93,O93)&lt;&gt;2,"",IF(OR(F93&lt;='Sheet1-指标体系'!$J$15,1+M93&lt;=0,1+O93&lt;0),"",((1+O93)^F93/(1+M93))^(1/(F93-'Sheet1-指标体系'!$J$15))-1))))</x:f>
      </x:c>
      <x:c r="Q93" s="52" t="str">
        <x:f>IF(OR($G93&lt;&gt;"入池",NOT(ISNUMBER(M93))),"",IF(COUNTIFS($G$17:$G$99,"入池",$M$17:$M$99,"&gt;=-1E+307",$M$17:$M$99,"&lt;=1E+307")&lt;=1,'Sheet1-指标体系'!$J$18,ROUND('Sheet1-指标体系'!$J$18*(COUNTIFS($G$17:$G$99,"入池",$M$17:$M$99,"&gt;=-1E+307",$M$17:$M$99,"&lt;"&amp;M93)+COUNTIFS($G$17:$G$99,"入池",$M$17:$M$99,"&gt;=-1E+307",$M$17:$M$99,"&lt;=1E+307",$M$17:$M$99,M93)/2-0.5)/(COUNTIFS($G$17:$G$99,"入池",$M$17:$M$99,"&gt;=-1E+307",$M$17:$M$99,"&lt;=1E+307")-1),2)))</x:f>
      </x:c>
      <x:c r="R93" s="52" t="str">
        <x:f>IF(OR($G93&lt;&gt;"入池",NOT(ISNUMBER(P93))),"",IF(COUNTIFS($G$17:$G$99,"入池",$P$17:$P$99,"&gt;=-1E+307",$P$17:$P$99,"&lt;=1E+307")&lt;=1,'Sheet1-指标体系'!$J$18,ROUND('Sheet1-指标体系'!$J$18*(COUNTIFS($G$17:$G$99,"入池",$P$17:$P$99,"&gt;=-1E+307",$P$17:$P$99,"&lt;"&amp;P93)+COUNTIFS($G$17:$G$99,"入池",$P$17:$P$99,"&gt;=-1E+307",$P$17:$P$99,"&lt;=1E+307",$P$17:$P$99,P93)/2-0.5)/(COUNTIFS($G$17:$G$99,"入池",$P$17:$P$99,"&gt;=-1E+307",$P$17:$P$99,"&lt;=1E+307")-1),2)))</x:f>
      </x:c>
      <x:c r="S93" s="52" t="str">
        <x:f>IF(COUNT(Q93,R93)=0,"",ROUND((IF(ISNUMBER(Q93),Q93*'Sheet1-指标体系'!$G$7*'Sheet1-指标体系'!$J$8,0)+IF(ISNUMBER(R93),R93*'Sheet1-指标体系'!$G$7*'Sheet1-指标体系'!$J$9,0))/(IF(ISNUMBER(Q93),'Sheet1-指标体系'!$G$7*'Sheet1-指标体系'!$J$8,0)+IF(ISNUMBER(R93),'Sheet1-指标体系'!$G$7*'Sheet1-指标体系'!$J$9,0)),2))</x:f>
      </x:c>
      <x:c r="T93" s="47" t="str">
        <x:f>IF(ISNUMBER('Sheet4-原始数据'!J78),'Sheet4-原始数据'!J78,"")</x:f>
      </x:c>
      <x:c r="U93" s="47" t="str">
        <x:f>IF(ISNUMBER('Sheet4-原始数据'!I78),'Sheet4-原始数据'!I78,"")</x:f>
      </x:c>
      <x:c r="V93" s="44" t="str">
        <x:f>IF(COUNT(T93:U93)&lt;&gt;2,"",(U93*'Sheet1-指标体系'!$J$6-T93*'Sheet1-指标体系'!$J$5)/'Sheet1-指标体系'!$J$7)</x:f>
      </x:c>
      <x:c r="W93" s="52" t="str">
        <x:f>IF(NOT(ISNUMBER(T93)),"",T93*'Sheet1-指标体系'!$J$18)</x:f>
      </x:c>
      <x:c r="X93" s="52" t="str">
        <x:f>IF(G93&lt;&gt;"入池","",IF(ISNUMBER(V93),IF(AND(V93&gt;=0,V93&lt;=1),V93*'Sheet1-指标体系'!$J$18,IF(MAX(0,(F93-'Sheet1-指标体系'!$J$15)*'Sheet1-指标体系'!$J$20)&lt;'Sheet1-指标体系'!$J$19,'Sheet1-指标体系'!$J$18,"")),IF(MAX(0,(F93-'Sheet1-指标体系'!$J$15)*'Sheet1-指标体系'!$J$20)&lt;'Sheet1-指标体系'!$J$19,'Sheet1-指标体系'!$J$18,"")))</x:f>
      </x:c>
      <x:c r="Y93" s="52" t="str">
        <x:f>IF(NOT(ISNUMBER(W93)),"",IF(COUNT(W93,X93)=0,"",ROUND((IF(ISNUMBER(W93),W93*'Sheet1-指标体系'!$G$8*'Sheet1-指标体系'!$J$8,0)+IF(ISNUMBER(X93),X93*'Sheet1-指标体系'!$G$8*'Sheet1-指标体系'!$J$9,0))/(IF(ISNUMBER(W93),'Sheet1-指标体系'!$G$8*'Sheet1-指标体系'!$J$8,0)+IF(ISNUMBER(X93),'Sheet1-指标体系'!$G$8*'Sheet1-指标体系'!$J$9,0)),2)))</x:f>
      </x:c>
      <x:c r="Z93" s="44" t="str">
        <x:f>IF(COUNT(M93,AD93)&lt;&gt;2,"",IF(AD93=0,"",ABS(M93/AD93)))</x:f>
      </x:c>
      <x:c r="AA93" s="47" t="str">
        <x:f>IF(ISNUMBER('Sheet4-原始数据'!K78),'Sheet4-原始数据'!K78,"")</x:f>
      </x:c>
      <x:c r="AB93" s="44" t="str">
        <x:f>IF(COUNT(Z93:AA93)=0,"",MAX(Z93:AA93))</x:f>
      </x:c>
      <x:c r="AC93" s="52" t="str">
        <x:f>IF(OR($G93&lt;&gt;"入池",NOT(ISNUMBER(AB93))),"",IF(COUNTIFS($G$17:$G$99,"入池",$AB$17:$AB$99,"&gt;=-1E+307",$AB$17:$AB$99,"&lt;=1E+307")&lt;=1,'Sheet1-指标体系'!$J$18,ROUND('Sheet1-指标体系'!$J$18*(COUNTIFS($G$17:$G$99,"入池",$AB$17:$AB$99,"&lt;=1E+307",$AB$17:$AB$99,"&gt;"&amp;AB93)+COUNTIFS($G$17:$G$99,"入池",$AB$17:$AB$99,"&gt;=-1E+307",$AB$17:$AB$99,"&lt;=1E+307",$AB$17:$AB$99,AB93)/2-0.5)/(COUNTIFS($G$17:$G$99,"入池",$AB$17:$AB$99,"&gt;=-1E+307",$AB$17:$AB$99,"&lt;=1E+307")-1),2)))</x:f>
      </x:c>
      <x:c r="AD93" s="48" t="str">
        <x:f>IF(ISNUMBER('Sheet4-原始数据'!M78),'Sheet4-原始数据'!M78,"")</x:f>
      </x:c>
      <x:c r="AE93" s="44" t="str">
        <x:f>IF(COUNT(P93,AA93,Z93)&lt;&gt;3,"",IF(AA93&gt;Z93+'Sheet1-指标体系'!$J$11,AA93,""))</x:f>
      </x:c>
      <x:c r="AF93" s="52" t="str">
        <x:f>IF(COUNT(P93,AE93)&lt;&gt;2,"",IF(AE93=0,"",P93/AE93))</x:f>
      </x:c>
      <x:c r="AG93" s="52" t="str">
        <x:f>IF(OR($G93&lt;&gt;"入池",NOT(ISNUMBER(AD93))),"",IF(COUNTIFS($G$17:$G$99,"入池",$AD$17:$AD$99,"&gt;=-1E+307",$AD$17:$AD$99,"&lt;=1E+307")&lt;=1,'Sheet1-指标体系'!$J$18,ROUND('Sheet1-指标体系'!$J$18*(COUNTIFS($G$17:$G$99,"入池",$AD$17:$AD$99,"&gt;=-1E+307",$AD$17:$AD$99,"&lt;"&amp;AD93)+COUNTIFS($G$17:$G$99,"入池",$AD$17:$AD$99,"&gt;=-1E+307",$AD$17:$AD$99,"&lt;=1E+307",$AD$17:$AD$99,AD93)/2-0.5)/(COUNTIFS($G$17:$G$99,"入池",$AD$17:$AD$99,"&gt;=-1E+307",$AD$17:$AD$99,"&lt;=1E+307")-1),2)))</x:f>
      </x:c>
      <x:c r="AH93" s="52" t="str">
        <x:f>IF(OR($G93&lt;&gt;"入池",NOT(ISNUMBER(AF93))),"",IF(COUNTIFS($G$17:$G$99,"入池",$AF$17:$AF$99,"&gt;=-1E+307",$AF$17:$AF$99,"&lt;=1E+307")&lt;=1,'Sheet1-指标体系'!$J$18,ROUND('Sheet1-指标体系'!$J$18*(COUNTIFS($G$17:$G$99,"入池",$AF$17:$AF$99,"&gt;=-1E+307",$AF$17:$AF$99,"&lt;"&amp;AF93)+COUNTIFS($G$17:$G$99,"入池",$AF$17:$AF$99,"&gt;=-1E+307",$AF$17:$AF$99,"&lt;=1E+307",$AF$17:$AF$99,AF93)/2-0.5)/(COUNTIFS($G$17:$G$99,"入池",$AF$17:$AF$99,"&gt;=-1E+307",$AF$17:$AF$99,"&lt;=1E+307")-1),2)))</x:f>
      </x:c>
      <x:c r="AI93" s="52" t="str">
        <x:f>IF(COUNT(AG93,AH93)=0,"",ROUND((IF(ISNUMBER(AG93),AG93*'Sheet1-指标体系'!$G$10*'Sheet1-指标体系'!$J$8,0)+IF(ISNUMBER(AH93),AH93*'Sheet1-指标体系'!$G$10*'Sheet1-指标体系'!$J$9,0))/(IF(ISNUMBER(AG93),'Sheet1-指标体系'!$G$10*'Sheet1-指标体系'!$J$8,0)+IF(ISNUMBER(AH93),'Sheet1-指标体系'!$G$10*'Sheet1-指标体系'!$J$9,0)),2))</x:f>
      </x:c>
      <x:c r="AJ93" s="44" t="n">
        <x:f>IF(NOT(ISNUMBER(F93)),"",IF(F93&gt;='Sheet1-指标体系'!$J$16,IF(ISNUMBER(N93),N93,""),IF(ISNUMBER(O93),O93,"")))</x:f>
        <x:v>0.1333</x:v>
      </x:c>
      <x:c r="AK93" s="52" t="str">
        <x:f>IF(OR(G93&lt;&gt;"入池",COUNT(M93,AJ93)&lt;&gt;2),"",IF(M93&gt;=AJ93,'Sheet1-指标体系'!$J$18,IF(AJ93-M93&lt;'Sheet1-指标体系'!$J$10,'Sheet1-指标体系'!$J$22,'Sheet1-指标体系'!$J$23)))</x:f>
      </x:c>
      <x:c r="AL93" s="52" t="n">
        <x:f>IF(COUNT(I93,K93,L93)=0,"",ROUND((IF(ISNUMBER(I93),I93*'Sheet1-指标体系'!$G$4,0)+IF(ISNUMBER(K93),K93*'Sheet1-指标体系'!$G$5,0)+IF(ISNUMBER(L93),L93*'Sheet1-指标体系'!$G$6,0))/(IF(ISNUMBER(I93),'Sheet1-指标体系'!$G$4,0)+IF(ISNUMBER(K93),'Sheet1-指标体系'!$G$5,0)+IF(ISNUMBER(L93),'Sheet1-指标体系'!$G$6,0)),2))</x:f>
        <x:v>88.57</x:v>
      </x:c>
      <x:c r="AM93" s="52" t="str">
        <x:f>IF(COUNT(Q93,R93,W93,X93)=0,"",ROUND((IF(ISNUMBER(Q93),Q93*'Sheet1-指标体系'!$G$7*'Sheet1-指标体系'!$J$8,0)+IF(ISNUMBER(R93),R93*'Sheet1-指标体系'!$G$7*'Sheet1-指标体系'!$J$9,0)+IF(ISNUMBER(W93),W93*'Sheet1-指标体系'!$G$8*'Sheet1-指标体系'!$J$8,0)+IF(ISNUMBER(X93),X93*'Sheet1-指标体系'!$G$8*'Sheet1-指标体系'!$J$9,0))/(IF(ISNUMBER(Q93),'Sheet1-指标体系'!$G$7*'Sheet1-指标体系'!$J$8,0)+IF(ISNUMBER(R93),'Sheet1-指标体系'!$G$7*'Sheet1-指标体系'!$J$9,0)+IF(ISNUMBER(W93),'Sheet1-指标体系'!$G$8*'Sheet1-指标体系'!$J$8,0)+IF(ISNUMBER(X93),'Sheet1-指标体系'!$G$8*'Sheet1-指标体系'!$J$9,0)),2))</x:f>
      </x:c>
      <x:c r="AN93" s="52" t="str">
        <x:f>IF(ISNUMBER(AC93),AC93,"")</x:f>
      </x:c>
      <x:c r="AO93" s="52" t="str">
        <x:f>IF(COUNT(AG93,AH93)=0,"",ROUND((IF(ISNUMBER(AG93),AG93*'Sheet1-指标体系'!$G$10*'Sheet1-指标体系'!$J$8,0)+IF(ISNUMBER(AH93),AH93*'Sheet1-指标体系'!$G$10*'Sheet1-指标体系'!$J$9,0))/(IF(ISNUMBER(AG93),'Sheet1-指标体系'!$G$10*'Sheet1-指标体系'!$J$8,0)+IF(ISNUMBER(AH93),'Sheet1-指标体系'!$G$10*'Sheet1-指标体系'!$J$9,0)),2))</x:f>
      </x:c>
      <x:c r="AP93" s="52" t="str">
        <x:f>IF(ISNUMBER(AK93),AK93,"")</x:f>
      </x:c>
      <x:c r="AQ93" s="27" t="n">
        <x:f>IF(G93&lt;&gt;"入池",0,IF(ISNUMBER(I93),'Sheet1-指标体系'!$G$4,0)+IF(ISNUMBER(K93),'Sheet1-指标体系'!$G$5,0)+IF(ISNUMBER(L93),'Sheet1-指标体系'!$G$6,0)+IF(ISNUMBER(Q93),'Sheet1-指标体系'!$G$7*'Sheet1-指标体系'!$J$8,0)+IF(ISNUMBER(R93),'Sheet1-指标体系'!$G$7*'Sheet1-指标体系'!$J$9,0)+IF(ISNUMBER(W93),'Sheet1-指标体系'!$G$8*'Sheet1-指标体系'!$J$8,0)+IF(ISNUMBER(X93),'Sheet1-指标体系'!$G$8*'Sheet1-指标体系'!$J$9,0)+IF(ISNUMBER(AC93),'Sheet1-指标体系'!$G$9,0)+IF(ISNUMBER(AG93),'Sheet1-指标体系'!$G$10*'Sheet1-指标体系'!$J$8,0)+IF(ISNUMBER(AH93),'Sheet1-指标体系'!$G$10*'Sheet1-指标体系'!$J$9,0)+IF(ISNUMBER(AK93),'Sheet1-指标体系'!$G$11,0))</x:f>
        <x:v>0</x:v>
      </x:c>
      <x:c r="AR93" s="52" t="str">
        <x:f>IF(AQ93=0,"",IF(ISNUMBER(I93),I93*'Sheet1-指标体系'!$G$4,0)+IF(ISNUMBER(K93),K93*'Sheet1-指标体系'!$G$5,0)+IF(ISNUMBER(L93),L93*'Sheet1-指标体系'!$G$6,0)+IF(ISNUMBER(Q93),Q93*'Sheet1-指标体系'!$G$7*'Sheet1-指标体系'!$J$8,0)+IF(ISNUMBER(R93),R93*'Sheet1-指标体系'!$G$7*'Sheet1-指标体系'!$J$9,0)+IF(ISNUMBER(W93),W93*'Sheet1-指标体系'!$G$8*'Sheet1-指标体系'!$J$8,0)+IF(ISNUMBER(X93),X93*'Sheet1-指标体系'!$G$8*'Sheet1-指标体系'!$J$9,0)+IF(ISNUMBER(AC93),AC93*'Sheet1-指标体系'!$G$9,0)+IF(ISNUMBER(AG93),AG93*'Sheet1-指标体系'!$G$10*'Sheet1-指标体系'!$J$8,0)+IF(ISNUMBER(AH93),AH93*'Sheet1-指标体系'!$G$10*'Sheet1-指标体系'!$J$9,0)+IF(ISNUMBER(AK93),AK93*'Sheet1-指标体系'!$G$11,0))</x:f>
      </x:c>
      <x:c r="AS93" s="52" t="str">
        <x:f>IF(AQ93=0,"",ROUND(AR93/AQ93,2))</x:f>
      </x:c>
      <x:c r="AT93" s="49" t="str">
        <x:f>IF(OR(G93&lt;&gt;"入池",NOT(ISNUMBER(AS93))),"",COUNTIFS($G$17:$G$99,"入池",$AS$17:$AS$99,"&gt;"&amp;AS93)+COUNTIFS($G$17:$G$99,"入池",$AS$17:$AS$99,AS93,$AQ$17:$AQ$99,"&gt;"&amp;AQ93)+COUNTIFS($G$17:G93,"入池",$AS$17:AS93,AS93,$AQ$17:AQ93,AQ93))</x:f>
      </x:c>
      <x:c r="AU93" s="53" t="str">
        <x:f>IF(NOT(ISNUMBER(I93)),"管理人规模；","")&amp;IF(NOT(ISNUMBER(K93)),"产品规模标识；","")&amp;IF(NOT(ISNUMBER(M93)),"近一年收益；","")&amp;IF(NOT(ISNUMBER(T93)),"近一年胜率；","")&amp;IF(NOT(ISNUMBER(N93)),"近三年收益；","")&amp;IF(NOT(ISNUMBER(U93)),"近三年胜率；","")&amp;IF(NOT(ISNUMBER(AA93)),"近三年回撤；","")&amp;IF(NOT(ISNUMBER(AD93)),"近一年卡玛；","")&amp;IF(ISNUMBER(F93),IF(AND(F93&lt;'Sheet1-指标体系'!$J$16,NOT(ISNUMBER(O93))),"成立以来年化；",""),"成立日期；")&amp;IF(ISNUMBER(V93),IF(OR(V93&lt;0,V93&gt;1),"胜率窗口口径不一致；",""),"")&amp;IF(ISNUMBER(P93),IF(NOT(ISNUMBER(AE93)),"DD_long不可识别；",""),"")</x:f>
        <x:v>近一年收益；近一年胜率；近三年收益；近三年胜率；近三年回撤；近一年卡玛；</x:v>
      </x:c>
      <x:c r="AV93" s="52" t="str">
        <x:f>IF(ROUND(AQ93,10)=ROUND('Sheet1-指标体系'!$J$25,10),AR93,"")</x:f>
      </x:c>
      <x:c r="AW93" s="14" t="str">
        <x:f>IF(G93&lt;&gt;"入池",G93,IF(AQ93=0,"无有效评分数据",IF(ROUND(AQ93,10)=ROUND('Sheet1-指标体系'!$J$25,10),"完整赋分", "暂定分／数据不完整")))</x:f>
        <x:v>不入池</x:v>
      </x:c>
      <x:c r="AX93" s="45" t="str">
        <x:f>IF('Sheet4-原始数据'!C78="","",'Sheet4-原始数据'!C78)</x:f>
        <x:v>期权策略</x:v>
      </x:c>
      <x:c r="AY93" s="45" t="str">
        <x:f>IF('Sheet4-原始数据'!D78="","",'Sheet4-原始数据'!D78)</x:f>
      </x:c>
      <x:c r="AZ93" s="45" t="str">
        <x:f>IF('Sheet5-查询核对'!S78="","",'Sheet5-查询核对'!S78)</x:f>
        <x:v>期权策略</x:v>
      </x:c>
      <x:c r="BA93" s="51" t="n">
        <x:f>IF('Sheet5-查询核对'!A78="","",'Sheet5-查询核对'!A78)</x:f>
        <x:v>78</x:v>
      </x:c>
      <x:c r="BB93" s="45" t="str">
        <x:f>IF('Sheet5-查询核对'!F78="","",'Sheet5-查询核对'!F78)</x:f>
        <x:v>备案号匹配</x:v>
      </x:c>
      <x:c r="BC93" s="50" t="str">
        <x:f>IF('Sheet5-查询核对'!I78="","",'Sheet5-查询核对'!I78)</x:f>
        <x:v>https://mp.fof99.com/fund/view/6a8da1db45b76b2f</x:v>
      </x:c>
      <x:c r="BD93" s="46" t="n">
        <x:f>IF('Sheet5-查询核对'!H78="","",'Sheet5-查询核对'!H78)</x:f>
        <x:v>46269</x:v>
      </x:c>
      <x:c r="BE93" s="50" t="str">
        <x:f>IF('Sheet5-查询核对'!L78="","",'Sheet5-查询核对'!L78)</x:f>
        <x:v>https://mp.fof99.com/fund/view/6a8da1db45b76b2f</x:v>
      </x:c>
      <x:c r="BF93" s="46" t="n">
        <x:f>IF('Sheet5-查询核对'!M78="","",'Sheet5-查询核对'!M78)</x:f>
        <x:v>46275</x:v>
      </x:c>
      <x:c r="BG93" s="50" t="str">
        <x:f>IF('Sheet5-查询核对'!O78="","",'Sheet5-查询核对'!O78)</x:f>
        <x:v>https://gs.amac.org.cn/amac-infodisc/res/pof/fund/2510291417105955.html</x:v>
      </x:c>
      <x:c r="BH93" s="46" t="n">
        <x:f>IF('Sheet5-查询核对'!P78="","",'Sheet5-查询核对'!P78)</x:f>
        <x:v>46275</x:v>
      </x:c>
      <x:c r="BI93" s="45" t="str">
        <x:f>IF('Sheet5-查询核对'!D78="","",'Sheet5-查询核对'!D78)</x:f>
        <x:v>SBEM86</x:v>
      </x:c>
      <x:c r="BJ93" t="n">
        <x:f>IF(ISNUMBER(AT93),AT93,COUNT($AT$17:$AT$99)+ROWS($AT$17:AT93)-COUNT($AT$17:AT93))</x:f>
        <x:v>83</x:v>
      </x:c>
    </x:row>
    <x:row r="94" ht="44" customHeight="1">
      <x:c r="A94" s="49" t="n">
        <x:f>'Sheet5-查询核对'!A79-1</x:f>
        <x:v>78</x:v>
      </x:c>
      <x:c r="B94" s="50" t="str">
        <x:f>IF('Sheet4-原始数据'!A79="",'Sheet5-查询核对'!B79,'Sheet4-原始数据'!A79)</x:f>
        <x:v>致同稳盈对冲</x:v>
      </x:c>
      <x:c r="C94" s="45" t="str">
        <x:f>IF('Sheet4-原始数据'!B79="","",'Sheet4-原始数据'!B79)</x:f>
        <x:v>SS8645</x:v>
      </x:c>
      <x:c r="D94" s="45" t="str">
        <x:f>IF('Sheet4-原始数据'!E79="","",'Sheet4-原始数据'!E79)</x:f>
        <x:v>上海致同投资</x:v>
      </x:c>
      <x:c r="E94" s="46" t="n">
        <x:f>IF('Sheet4-原始数据'!F79="","",'Sheet4-原始数据'!F79)</x:f>
        <x:v>42857</x:v>
      </x:c>
      <x:c r="F94" s="52" t="n">
        <x:f>IF(ISNUMBER(E94),ROUND(('Sheet1-指标体系'!$J$12-E94)/'Sheet1-指标体系'!$J$14,4),"")</x:f>
        <x:v>9.358</x:v>
      </x:c>
      <x:c r="G94" s="14" t="str">
        <x:f>IF(C94="","未匹配",IF(NOT(ISNUMBER(F94)),"缺成立日期",IF(F94&lt;'Sheet1-指标体系'!$J$15,"不入池","入池")))</x:f>
        <x:v>入池</x:v>
      </x:c>
      <x:c r="H94" s="45" t="str">
        <x:f>IF('Sheet5-查询核对'!K79="","",'Sheet5-查询核对'!K79)</x:f>
        <x:v>20-50亿元</x:v>
      </x:c>
      <x:c r="I94" s="52" t="n">
        <x:f>IF(H94="","",IF(COUNTIF('Sheet1-指标体系'!$P$4:$P$10,H94)=0,"",INDEX('Sheet1-指标体系'!$Q$4:$Q$10,MATCH(H94,'Sheet1-指标体系'!$P$4:$P$10,0))))</x:f>
        <x:v>90</x:v>
      </x:c>
      <x:c r="J94" s="54" t="str">
        <x:f>IF(NOT(ISNUMBER('Sheet5-查询核对'!N79)),"",IF('Sheet5-查询核对'!N79=1,"低于"&amp;'Sheet1-指标体系'!$J$4&amp;"万元",IF('Sheet5-查询核对'!N79=0,"无低于"&amp;'Sheet1-指标体系'!$J$4&amp;"万元标识","")))</x:f>
        <x:v>无低于1000万元标识</x:v>
      </x:c>
      <x:c r="K94" s="52" t="n">
        <x:f>IF(NOT(ISNUMBER('Sheet5-查询核对'!N79)),"",IF('Sheet5-查询核对'!N79=1,'Sheet1-指标体系'!$J$21,IF('Sheet5-查询核对'!N79=0,'Sheet1-指标体系'!$J$18,"")))</x:f>
        <x:v>100</x:v>
      </x:c>
      <x:c r="L94" s="52" t="n">
        <x:f>IF(NOT(ISNUMBER(F94)),"",IF(F94&lt;'Sheet1-指标体系'!$J$15,"",IF(F94&lt;'Sheet1-指标体系'!$J$16,'Sheet1-指标体系'!$J$17,'Sheet1-指标体系'!$J$18)))</x:f>
        <x:v>100</x:v>
      </x:c>
      <x:c r="M94" s="47" t="n">
        <x:f>IF(ISNUMBER('Sheet4-原始数据'!G79),'Sheet4-原始数据'!G79,"")</x:f>
        <x:v>0.0381</x:v>
      </x:c>
      <x:c r="N94" s="47" t="n">
        <x:f>IF(ISNUMBER('Sheet4-原始数据'!H79),'Sheet4-原始数据'!H79,"")</x:f>
        <x:v>0.048</x:v>
      </x:c>
      <x:c r="O94" s="47" t="n">
        <x:f>IF(ISNUMBER('Sheet5-查询核对'!Q79),'Sheet5-查询核对'!Q79,"")</x:f>
        <x:v>0.0885</x:v>
      </x:c>
      <x:c r="P94" s="44" t="n">
        <x:f>IF($G94&lt;&gt;"入池","",IF($F94&gt;='Sheet1-指标体系'!$J$16,IF(COUNT(M94,N94)&lt;&gt;2,"",IF(OR(1+M94&lt;=0,1+N94&lt;0),"",((1+N94)^'Sheet1-指标体系'!$J$16/(1+M94))^(1/('Sheet1-指标体系'!$J$16-'Sheet1-指标体系'!$J$15))-1)),IF(COUNT(M94,O94)&lt;&gt;2,"",IF(OR(F94&lt;='Sheet1-指标体系'!$J$15,1+M94&lt;=0,1+O94&lt;0),"",((1+O94)^F94/(1+M94))^(1/(F94-'Sheet1-指标体系'!$J$15))-1))))</x:f>
        <x:v>0.05298534875249317</x:v>
      </x:c>
      <x:c r="Q94" s="52" t="n">
        <x:f>IF(OR($G94&lt;&gt;"入池",NOT(ISNUMBER(M94))),"",IF(COUNTIFS($G$17:$G$99,"入池",$M$17:$M$99,"&gt;=-1E+307",$M$17:$M$99,"&lt;=1E+307")&lt;=1,'Sheet1-指标体系'!$J$18,ROUND('Sheet1-指标体系'!$J$18*(COUNTIFS($G$17:$G$99,"入池",$M$17:$M$99,"&gt;=-1E+307",$M$17:$M$99,"&lt;"&amp;M94)+COUNTIFS($G$17:$G$99,"入池",$M$17:$M$99,"&gt;=-1E+307",$M$17:$M$99,"&lt;=1E+307",$M$17:$M$99,M94)/2-0.5)/(COUNTIFS($G$17:$G$99,"入池",$M$17:$M$99,"&gt;=-1E+307",$M$17:$M$99,"&lt;=1E+307")-1),2)))</x:f>
        <x:v>16.07</x:v>
      </x:c>
      <x:c r="R94" s="52" t="n">
        <x:f>IF(OR($G94&lt;&gt;"入池",NOT(ISNUMBER(P94))),"",IF(COUNTIFS($G$17:$G$99,"入池",$P$17:$P$99,"&gt;=-1E+307",$P$17:$P$99,"&lt;=1E+307")&lt;=1,'Sheet1-指标体系'!$J$18,ROUND('Sheet1-指标体系'!$J$18*(COUNTIFS($G$17:$G$99,"入池",$P$17:$P$99,"&gt;=-1E+307",$P$17:$P$99,"&lt;"&amp;P94)+COUNTIFS($G$17:$G$99,"入池",$P$17:$P$99,"&gt;=-1E+307",$P$17:$P$99,"&lt;=1E+307",$P$17:$P$99,P94)/2-0.5)/(COUNTIFS($G$17:$G$99,"入池",$P$17:$P$99,"&gt;=-1E+307",$P$17:$P$99,"&lt;=1E+307")-1),2)))</x:f>
        <x:v>24.07</x:v>
      </x:c>
      <x:c r="S94" s="52" t="n">
        <x:f>IF(COUNT(Q94,R94)=0,"",ROUND((IF(ISNUMBER(Q94),Q94*'Sheet1-指标体系'!$G$7*'Sheet1-指标体系'!$J$8,0)+IF(ISNUMBER(R94),R94*'Sheet1-指标体系'!$G$7*'Sheet1-指标体系'!$J$9,0))/(IF(ISNUMBER(Q94),'Sheet1-指标体系'!$G$7*'Sheet1-指标体系'!$J$8,0)+IF(ISNUMBER(R94),'Sheet1-指标体系'!$G$7*'Sheet1-指标体系'!$J$9,0)),2))</x:f>
        <x:v>19.27</x:v>
      </x:c>
      <x:c r="T94" s="47" t="n">
        <x:f>IF(ISNUMBER('Sheet4-原始数据'!J79),'Sheet4-原始数据'!J79,"")</x:f>
        <x:v>0.6923</x:v>
      </x:c>
      <x:c r="U94" s="47" t="n">
        <x:f>IF(ISNUMBER('Sheet4-原始数据'!I79),'Sheet4-原始数据'!I79,"")</x:f>
        <x:v>0.7837999999999999</x:v>
      </x:c>
      <x:c r="V94" s="44" t="n">
        <x:f>IF(COUNT(T94:U94)&lt;&gt;2,"",(U94*'Sheet1-指标体系'!$J$6-T94*'Sheet1-指标体系'!$J$5)/'Sheet1-指标体系'!$J$7)</x:f>
        <x:v>0.8333624999999999</x:v>
      </x:c>
      <x:c r="W94" s="52" t="n">
        <x:f>IF(NOT(ISNUMBER(T94)),"",T94*'Sheet1-指标体系'!$J$18)</x:f>
        <x:v>69.23</x:v>
      </x:c>
      <x:c r="X94" s="52" t="n">
        <x:f>IF(G94&lt;&gt;"入池","",IF(ISNUMBER(V94),IF(AND(V94&gt;=0,V94&lt;=1),V94*'Sheet1-指标体系'!$J$18,IF(MAX(0,(F94-'Sheet1-指标体系'!$J$15)*'Sheet1-指标体系'!$J$20)&lt;'Sheet1-指标体系'!$J$19,'Sheet1-指标体系'!$J$18,"")),IF(MAX(0,(F94-'Sheet1-指标体系'!$J$15)*'Sheet1-指标体系'!$J$20)&lt;'Sheet1-指标体系'!$J$19,'Sheet1-指标体系'!$J$18,"")))</x:f>
        <x:v>83.33624999999999</x:v>
      </x:c>
      <x:c r="Y94" s="52" t="n">
        <x:f>IF(NOT(ISNUMBER(W94)),"",IF(COUNT(W94,X94)=0,"",ROUND((IF(ISNUMBER(W94),W94*'Sheet1-指标体系'!$G$8*'Sheet1-指标体系'!$J$8,0)+IF(ISNUMBER(X94),X94*'Sheet1-指标体系'!$G$8*'Sheet1-指标体系'!$J$9,0))/(IF(ISNUMBER(W94),'Sheet1-指标体系'!$G$8*'Sheet1-指标体系'!$J$8,0)+IF(ISNUMBER(X94),'Sheet1-指标体系'!$G$8*'Sheet1-指标体系'!$J$9,0)),2)))</x:f>
        <x:v>74.87</x:v>
      </x:c>
      <x:c r="Z94" s="44" t="n">
        <x:f>IF(COUNT(M94,AD94)&lt;&gt;2,"",IF(AD94=0,"",ABS(M94/AD94)))</x:f>
        <x:v>0.013362794612794614</x:v>
      </x:c>
      <x:c r="AA94" s="47" t="n">
        <x:f>IF(ISNUMBER('Sheet4-原始数据'!K79),'Sheet4-原始数据'!K79,"")</x:f>
        <x:v>0.0134</x:v>
      </x:c>
      <x:c r="AB94" s="44" t="n">
        <x:f>IF(COUNT(Z94:AA94)=0,"",MAX(Z94:AA94))</x:f>
        <x:v>0.0134</x:v>
      </x:c>
      <x:c r="AC94" s="52" t="n">
        <x:f>IF(OR($G94&lt;&gt;"入池",NOT(ISNUMBER(AB94))),"",IF(COUNTIFS($G$17:$G$99,"入池",$AB$17:$AB$99,"&gt;=-1E+307",$AB$17:$AB$99,"&lt;=1E+307")&lt;=1,'Sheet1-指标体系'!$J$18,ROUND('Sheet1-指标体系'!$J$18*(COUNTIFS($G$17:$G$99,"入池",$AB$17:$AB$99,"&lt;=1E+307",$AB$17:$AB$99,"&gt;"&amp;AB94)+COUNTIFS($G$17:$G$99,"入池",$AB$17:$AB$99,"&gt;=-1E+307",$AB$17:$AB$99,"&lt;=1E+307",$AB$17:$AB$99,AB94)/2-0.5)/(COUNTIFS($G$17:$G$99,"入池",$AB$17:$AB$99,"&gt;=-1E+307",$AB$17:$AB$99,"&lt;=1E+307")-1),2)))</x:f>
        <x:v>67.24</x:v>
      </x:c>
      <x:c r="AD94" s="48" t="n">
        <x:f>IF(ISNUMBER('Sheet4-原始数据'!M79),'Sheet4-原始数据'!M79,"")</x:f>
        <x:v>2.8512</x:v>
      </x:c>
      <x:c r="AE94" s="44" t="str">
        <x:f>IF(COUNT(P94,AA94,Z94)&lt;&gt;3,"",IF(AA94&gt;Z94+'Sheet1-指标体系'!$J$11,AA94,""))</x:f>
      </x:c>
      <x:c r="AF94" s="52" t="str">
        <x:f>IF(COUNT(P94,AE94)&lt;&gt;2,"",IF(AE94=0,"",P94/AE94))</x:f>
      </x:c>
      <x:c r="AG94" s="52" t="n">
        <x:f>IF(OR($G94&lt;&gt;"入池",NOT(ISNUMBER(AD94))),"",IF(COUNTIFS($G$17:$G$99,"入池",$AD$17:$AD$99,"&gt;=-1E+307",$AD$17:$AD$99,"&lt;=1E+307")&lt;=1,'Sheet1-指标体系'!$J$18,ROUND('Sheet1-指标体系'!$J$18*(COUNTIFS($G$17:$G$99,"入池",$AD$17:$AD$99,"&gt;=-1E+307",$AD$17:$AD$99,"&lt;"&amp;AD94)+COUNTIFS($G$17:$G$99,"入池",$AD$17:$AD$99,"&gt;=-1E+307",$AD$17:$AD$99,"&lt;=1E+307",$AD$17:$AD$99,AD94)/2-0.5)/(COUNTIFS($G$17:$G$99,"入池",$AD$17:$AD$99,"&gt;=-1E+307",$AD$17:$AD$99,"&lt;=1E+307")-1),2)))</x:f>
        <x:v>25.45</x:v>
      </x:c>
      <x:c r="AH94" s="52" t="str">
        <x:f>IF(OR($G94&lt;&gt;"入池",NOT(ISNUMBER(AF94))),"",IF(COUNTIFS($G$17:$G$99,"入池",$AF$17:$AF$99,"&gt;=-1E+307",$AF$17:$AF$99,"&lt;=1E+307")&lt;=1,'Sheet1-指标体系'!$J$18,ROUND('Sheet1-指标体系'!$J$18*(COUNTIFS($G$17:$G$99,"入池",$AF$17:$AF$99,"&gt;=-1E+307",$AF$17:$AF$99,"&lt;"&amp;AF94)+COUNTIFS($G$17:$G$99,"入池",$AF$17:$AF$99,"&gt;=-1E+307",$AF$17:$AF$99,"&lt;=1E+307",$AF$17:$AF$99,AF94)/2-0.5)/(COUNTIFS($G$17:$G$99,"入池",$AF$17:$AF$99,"&gt;=-1E+307",$AF$17:$AF$99,"&lt;=1E+307")-1),2)))</x:f>
      </x:c>
      <x:c r="AI94" s="52" t="n">
        <x:f>IF(COUNT(AG94,AH94)=0,"",ROUND((IF(ISNUMBER(AG94),AG94*'Sheet1-指标体系'!$G$10*'Sheet1-指标体系'!$J$8,0)+IF(ISNUMBER(AH94),AH94*'Sheet1-指标体系'!$G$10*'Sheet1-指标体系'!$J$9,0))/(IF(ISNUMBER(AG94),'Sheet1-指标体系'!$G$10*'Sheet1-指标体系'!$J$8,0)+IF(ISNUMBER(AH94),'Sheet1-指标体系'!$G$10*'Sheet1-指标体系'!$J$9,0)),2))</x:f>
        <x:v>25.45</x:v>
      </x:c>
      <x:c r="AJ94" s="44" t="n">
        <x:f>IF(NOT(ISNUMBER(F94)),"",IF(F94&gt;='Sheet1-指标体系'!$J$16,IF(ISNUMBER(N94),N94,""),IF(ISNUMBER(O94),O94,"")))</x:f>
        <x:v>0.048</x:v>
      </x:c>
      <x:c r="AK94" s="52" t="n">
        <x:f>IF(OR(G94&lt;&gt;"入池",COUNT(M94,AJ94)&lt;&gt;2),"",IF(M94&gt;=AJ94,'Sheet1-指标体系'!$J$18,IF(AJ94-M94&lt;'Sheet1-指标体系'!$J$10,'Sheet1-指标体系'!$J$22,'Sheet1-指标体系'!$J$23)))</x:f>
        <x:v>80</x:v>
      </x:c>
      <x:c r="AL94" s="52" t="n">
        <x:f>IF(COUNT(I94,K94,L94)=0,"",ROUND((IF(ISNUMBER(I94),I94*'Sheet1-指标体系'!$G$4,0)+IF(ISNUMBER(K94),K94*'Sheet1-指标体系'!$G$5,0)+IF(ISNUMBER(L94),L94*'Sheet1-指标体系'!$G$6,0))/(IF(ISNUMBER(I94),'Sheet1-指标体系'!$G$4,0)+IF(ISNUMBER(K94),'Sheet1-指标体系'!$G$5,0)+IF(ISNUMBER(L94),'Sheet1-指标体系'!$G$6,0)),2))</x:f>
        <x:v>96</x:v>
      </x:c>
      <x:c r="AM94" s="52" t="n">
        <x:f>IF(COUNT(Q94,R94,W94,X94)=0,"",ROUND((IF(ISNUMBER(Q94),Q94*'Sheet1-指标体系'!$G$7*'Sheet1-指标体系'!$J$8,0)+IF(ISNUMBER(R94),R94*'Sheet1-指标体系'!$G$7*'Sheet1-指标体系'!$J$9,0)+IF(ISNUMBER(W94),W94*'Sheet1-指标体系'!$G$8*'Sheet1-指标体系'!$J$8,0)+IF(ISNUMBER(X94),X94*'Sheet1-指标体系'!$G$8*'Sheet1-指标体系'!$J$9,0))/(IF(ISNUMBER(Q94),'Sheet1-指标体系'!$G$7*'Sheet1-指标体系'!$J$8,0)+IF(ISNUMBER(R94),'Sheet1-指标体系'!$G$7*'Sheet1-指标体系'!$J$9,0)+IF(ISNUMBER(W94),'Sheet1-指标体系'!$G$8*'Sheet1-指标体系'!$J$8,0)+IF(ISNUMBER(X94),'Sheet1-指标体系'!$G$8*'Sheet1-指标体系'!$J$9,0)),2))</x:f>
        <x:v>35.95</x:v>
      </x:c>
      <x:c r="AN94" s="52" t="n">
        <x:f>IF(ISNUMBER(AC94),AC94,"")</x:f>
        <x:v>67.24</x:v>
      </x:c>
      <x:c r="AO94" s="52" t="n">
        <x:f>IF(COUNT(AG94,AH94)=0,"",ROUND((IF(ISNUMBER(AG94),AG94*'Sheet1-指标体系'!$G$10*'Sheet1-指标体系'!$J$8,0)+IF(ISNUMBER(AH94),AH94*'Sheet1-指标体系'!$G$10*'Sheet1-指标体系'!$J$9,0))/(IF(ISNUMBER(AG94),'Sheet1-指标体系'!$G$10*'Sheet1-指标体系'!$J$8,0)+IF(ISNUMBER(AH94),'Sheet1-指标体系'!$G$10*'Sheet1-指标体系'!$J$9,0)),2))</x:f>
        <x:v>25.45</x:v>
      </x:c>
      <x:c r="AP94" s="52" t="n">
        <x:f>IF(ISNUMBER(AK94),AK94,"")</x:f>
        <x:v>80</x:v>
      </x:c>
      <x:c r="AQ94" s="27" t="n">
        <x:f>IF(G94&lt;&gt;"入池",0,IF(ISNUMBER(I94),'Sheet1-指标体系'!$G$4,0)+IF(ISNUMBER(K94),'Sheet1-指标体系'!$G$5,0)+IF(ISNUMBER(L94),'Sheet1-指标体系'!$G$6,0)+IF(ISNUMBER(Q94),'Sheet1-指标体系'!$G$7*'Sheet1-指标体系'!$J$8,0)+IF(ISNUMBER(R94),'Sheet1-指标体系'!$G$7*'Sheet1-指标体系'!$J$9,0)+IF(ISNUMBER(W94),'Sheet1-指标体系'!$G$8*'Sheet1-指标体系'!$J$8,0)+IF(ISNUMBER(X94),'Sheet1-指标体系'!$G$8*'Sheet1-指标体系'!$J$9,0)+IF(ISNUMBER(AC94),'Sheet1-指标体系'!$G$9,0)+IF(ISNUMBER(AG94),'Sheet1-指标体系'!$G$10*'Sheet1-指标体系'!$J$8,0)+IF(ISNUMBER(AH94),'Sheet1-指标体系'!$G$10*'Sheet1-指标体系'!$J$9,0)+IF(ISNUMBER(AK94),'Sheet1-指标体系'!$G$11,0))</x:f>
        <x:v>0.88</x:v>
      </x:c>
      <x:c r="AR94" s="52" t="n">
        <x:f>IF(AQ94=0,"",IF(ISNUMBER(I94),I94*'Sheet1-指标体系'!$G$4,0)+IF(ISNUMBER(K94),K94*'Sheet1-指标体系'!$G$5,0)+IF(ISNUMBER(L94),L94*'Sheet1-指标体系'!$G$6,0)+IF(ISNUMBER(Q94),Q94*'Sheet1-指标体系'!$G$7*'Sheet1-指标体系'!$J$8,0)+IF(ISNUMBER(R94),R94*'Sheet1-指标体系'!$G$7*'Sheet1-指标体系'!$J$9,0)+IF(ISNUMBER(W94),W94*'Sheet1-指标体系'!$G$8*'Sheet1-指标体系'!$J$8,0)+IF(ISNUMBER(X94),X94*'Sheet1-指标体系'!$G$8*'Sheet1-指标体系'!$J$9,0)+IF(ISNUMBER(AC94),AC94*'Sheet1-指标体系'!$G$9,0)+IF(ISNUMBER(AG94),AG94*'Sheet1-指标体系'!$G$10*'Sheet1-指标体系'!$J$8,0)+IF(ISNUMBER(AH94),AH94*'Sheet1-指标体系'!$G$10*'Sheet1-指标体系'!$J$9,0)+IF(ISNUMBER(AK94),AK94*'Sheet1-指标体系'!$G$11,0))</x:f>
        <x:v>50.98115</x:v>
      </x:c>
      <x:c r="AS94" s="52" t="n">
        <x:f>IF(AQ94=0,"",ROUND(AR94/AQ94,2))</x:f>
        <x:v>57.93</x:v>
      </x:c>
      <x:c r="AT94" s="49" t="n">
        <x:f>IF(OR(G94&lt;&gt;"入池",NOT(ISNUMBER(AS94))),"",COUNTIFS($G$17:$G$99,"入池",$AS$17:$AS$99,"&gt;"&amp;AS94)+COUNTIFS($G$17:$G$99,"入池",$AS$17:$AS$99,AS94,$AQ$17:$AQ$99,"&gt;"&amp;AQ94)+COUNTIFS($G$17:G94,"入池",$AS$17:AS94,AS94,$AQ$17:AQ94,AQ94))</x:f>
        <x:v>52</x:v>
      </x:c>
      <x:c r="AU94" s="53" t="str">
        <x:f>IF(NOT(ISNUMBER(I94)),"管理人规模；","")&amp;IF(NOT(ISNUMBER(K94)),"产品规模标识；","")&amp;IF(NOT(ISNUMBER(M94)),"近一年收益；","")&amp;IF(NOT(ISNUMBER(T94)),"近一年胜率；","")&amp;IF(NOT(ISNUMBER(N94)),"近三年收益；","")&amp;IF(NOT(ISNUMBER(U94)),"近三年胜率；","")&amp;IF(NOT(ISNUMBER(AA94)),"近三年回撤；","")&amp;IF(NOT(ISNUMBER(AD94)),"近一年卡玛；","")&amp;IF(ISNUMBER(F94),IF(AND(F94&lt;'Sheet1-指标体系'!$J$16,NOT(ISNUMBER(O94))),"成立以来年化；",""),"成立日期；")&amp;IF(ISNUMBER(V94),IF(OR(V94&lt;0,V94&gt;1),"胜率窗口口径不一致；",""),"")&amp;IF(ISNUMBER(P94),IF(NOT(ISNUMBER(AE94)),"DD_long不可识别；",""),"")</x:f>
        <x:v>DD_long不可识别；</x:v>
      </x:c>
      <x:c r="AV94" s="52" t="str">
        <x:f>IF(ROUND(AQ94,10)=ROUND('Sheet1-指标体系'!$J$25,10),AR94,"")</x:f>
      </x:c>
      <x:c r="AW94" s="14" t="str">
        <x:f>IF(G94&lt;&gt;"入池",G94,IF(AQ94=0,"无有效评分数据",IF(ROUND(AQ94,10)=ROUND('Sheet1-指标体系'!$J$25,10),"完整赋分", "暂定分／数据不完整")))</x:f>
        <x:v>暂定分／数据不完整</x:v>
      </x:c>
      <x:c r="AX94" s="45" t="str">
        <x:f>IF('Sheet4-原始数据'!C79="","",'Sheet4-原始数据'!C79)</x:f>
        <x:v>套利策略</x:v>
      </x:c>
      <x:c r="AY94" s="45" t="str">
        <x:f>IF('Sheet4-原始数据'!D79="","",'Sheet4-原始数据'!D79)</x:f>
        <x:v>期货套利</x:v>
      </x:c>
      <x:c r="AZ94" s="45" t="str">
        <x:f>IF('Sheet5-查询核对'!S79="","",'Sheet5-查询核对'!S79)</x:f>
        <x:v>套利策略—期货套利</x:v>
      </x:c>
      <x:c r="BA94" s="51" t="n">
        <x:f>IF('Sheet5-查询核对'!A79="","",'Sheet5-查询核对'!A79)</x:f>
        <x:v>79</x:v>
      </x:c>
      <x:c r="BB94" s="45" t="str">
        <x:f>IF('Sheet5-查询核对'!F79="","",'Sheet5-查询核对'!F79)</x:f>
        <x:v>备案号匹配</x:v>
      </x:c>
      <x:c r="BC94" s="50" t="str">
        <x:f>IF('Sheet5-查询核对'!I79="","",'Sheet5-查询核对'!I79)</x:f>
        <x:v>https://mp.fof99.com/fund/view/691a98bba5e4cde6</x:v>
      </x:c>
      <x:c r="BD94" s="46" t="n">
        <x:f>IF('Sheet5-查询核对'!H79="","",'Sheet5-查询核对'!H79)</x:f>
        <x:v>46269</x:v>
      </x:c>
      <x:c r="BE94" s="50" t="str">
        <x:f>IF('Sheet5-查询核对'!L79="","",'Sheet5-查询核对'!L79)</x:f>
        <x:v>https://mp.fof99.com/fund/view/691a98bba5e4cde6</x:v>
      </x:c>
      <x:c r="BF94" s="46" t="n">
        <x:f>IF('Sheet5-查询核对'!M79="","",'Sheet5-查询核对'!M79)</x:f>
        <x:v>46275</x:v>
      </x:c>
      <x:c r="BG94" s="50" t="str">
        <x:f>IF('Sheet5-查询核对'!O79="","",'Sheet5-查询核对'!O79)</x:f>
        <x:v>https://gs.amac.org.cn/amac-infodisc/res/pof/fund/1705051025108658.html</x:v>
      </x:c>
      <x:c r="BH94" s="46" t="n">
        <x:f>IF('Sheet5-查询核对'!P79="","",'Sheet5-查询核对'!P79)</x:f>
        <x:v>46275</x:v>
      </x:c>
      <x:c r="BI94" s="45" t="str">
        <x:f>IF('Sheet5-查询核对'!D79="","",'Sheet5-查询核对'!D79)</x:f>
        <x:v>SS8645</x:v>
      </x:c>
      <x:c r="BJ94" t="n">
        <x:f>IF(ISNUMBER(AT94),AT94,COUNT($AT$17:$AT$99)+ROWS($AT$17:AT94)-COUNT($AT$17:AT94))</x:f>
        <x:v>52</x:v>
      </x:c>
    </x:row>
    <x:row r="95" ht="44" customHeight="1">
      <x:c r="A95" s="49" t="n">
        <x:f>'Sheet5-查询核对'!A80-1</x:f>
        <x:v>79</x:v>
      </x:c>
      <x:c r="B95" s="50" t="str">
        <x:f>IF('Sheet4-原始数据'!A80="",'Sheet5-查询核对'!B80,'Sheet4-原始数据'!A80)</x:f>
        <x:v>致远投资昆仑1号</x:v>
      </x:c>
      <x:c r="C95" s="45" t="str">
        <x:f>IF('Sheet4-原始数据'!B80="","",'Sheet4-原始数据'!B80)</x:f>
        <x:v>SSD863</x:v>
      </x:c>
      <x:c r="D95" s="45" t="str">
        <x:f>IF('Sheet4-原始数据'!E80="","",'Sheet4-原始数据'!E80)</x:f>
        <x:v>广州致远</x:v>
      </x:c>
      <x:c r="E95" s="46" t="n">
        <x:f>IF('Sheet4-原始数据'!F80="","",'Sheet4-原始数据'!F80)</x:f>
        <x:v>44550</x:v>
      </x:c>
      <x:c r="F95" s="52" t="n">
        <x:f>IF(ISNUMBER(E95),ROUND(('Sheet1-指标体系'!$J$12-E95)/'Sheet1-指标体系'!$J$14,4),"")</x:f>
        <x:v>4.7228</x:v>
      </x:c>
      <x:c r="G95" s="14" t="str">
        <x:f>IF(C95="","未匹配",IF(NOT(ISNUMBER(F95)),"缺成立日期",IF(F95&lt;'Sheet1-指标体系'!$J$15,"不入池","入池")))</x:f>
        <x:v>入池</x:v>
      </x:c>
      <x:c r="H95" s="45" t="str">
        <x:f>IF('Sheet5-查询核对'!K80="","",'Sheet5-查询核对'!K80)</x:f>
        <x:v>20-50亿元</x:v>
      </x:c>
      <x:c r="I95" s="52" t="n">
        <x:f>IF(H95="","",IF(COUNTIF('Sheet1-指标体系'!$P$4:$P$10,H95)=0,"",INDEX('Sheet1-指标体系'!$Q$4:$Q$10,MATCH(H95,'Sheet1-指标体系'!$P$4:$P$10,0))))</x:f>
        <x:v>90</x:v>
      </x:c>
      <x:c r="J95" s="54" t="str">
        <x:f>IF(NOT(ISNUMBER('Sheet5-查询核对'!N80)),"",IF('Sheet5-查询核对'!N80=1,"低于"&amp;'Sheet1-指标体系'!$J$4&amp;"万元",IF('Sheet5-查询核对'!N80=0,"无低于"&amp;'Sheet1-指标体系'!$J$4&amp;"万元标识","")))</x:f>
        <x:v>无低于1000万元标识</x:v>
      </x:c>
      <x:c r="K95" s="52" t="n">
        <x:f>IF(NOT(ISNUMBER('Sheet5-查询核对'!N80)),"",IF('Sheet5-查询核对'!N80=1,'Sheet1-指标体系'!$J$21,IF('Sheet5-查询核对'!N80=0,'Sheet1-指标体系'!$J$18,"")))</x:f>
        <x:v>100</x:v>
      </x:c>
      <x:c r="L95" s="52" t="n">
        <x:f>IF(NOT(ISNUMBER(F95)),"",IF(F95&lt;'Sheet1-指标体系'!$J$15,"",IF(F95&lt;'Sheet1-指标体系'!$J$16,'Sheet1-指标体系'!$J$17,'Sheet1-指标体系'!$J$18)))</x:f>
        <x:v>100</x:v>
      </x:c>
      <x:c r="M95" s="47" t="n">
        <x:f>IF(ISNUMBER('Sheet4-原始数据'!G80),'Sheet4-原始数据'!G80,"")</x:f>
        <x:v>0.030899999999999997</x:v>
      </x:c>
      <x:c r="N95" s="47" t="n">
        <x:f>IF(ISNUMBER('Sheet4-原始数据'!H80),'Sheet4-原始数据'!H80,"")</x:f>
        <x:v>0.048600000000000004</x:v>
      </x:c>
      <x:c r="O95" s="47" t="n">
        <x:f>IF(ISNUMBER('Sheet5-查询核对'!Q80),'Sheet5-查询核对'!Q80,"")</x:f>
        <x:v>0.055099999999999996</x:v>
      </x:c>
      <x:c r="P95" s="44" t="n">
        <x:f>IF($G95&lt;&gt;"入池","",IF($F95&gt;='Sheet1-指标体系'!$J$16,IF(COUNT(M95,N95)&lt;&gt;2,"",IF(OR(1+M95&lt;=0,1+N95&lt;0),"",((1+N95)^'Sheet1-指标体系'!$J$16/(1+M95))^(1/('Sheet1-指标体系'!$J$16-'Sheet1-指标体系'!$J$15))-1)),IF(COUNT(M95,O95)&lt;&gt;2,"",IF(OR(F95&lt;='Sheet1-指标体系'!$J$15,1+M95&lt;=0,1+O95&lt;0),"",((1+O95)^F95/(1+M95))^(1/(F95-'Sheet1-指标体系'!$J$15))-1))))</x:f>
        <x:v>0.057563638284355845</x:v>
      </x:c>
      <x:c r="Q95" s="52" t="n">
        <x:f>IF(OR($G95&lt;&gt;"入池",NOT(ISNUMBER(M95))),"",IF(COUNTIFS($G$17:$G$99,"入池",$M$17:$M$99,"&gt;=-1E+307",$M$17:$M$99,"&lt;=1E+307")&lt;=1,'Sheet1-指标体系'!$J$18,ROUND('Sheet1-指标体系'!$J$18*(COUNTIFS($G$17:$G$99,"入池",$M$17:$M$99,"&gt;=-1E+307",$M$17:$M$99,"&lt;"&amp;M95)+COUNTIFS($G$17:$G$99,"入池",$M$17:$M$99,"&gt;=-1E+307",$M$17:$M$99,"&lt;=1E+307",$M$17:$M$99,M95)/2-0.5)/(COUNTIFS($G$17:$G$99,"入池",$M$17:$M$99,"&gt;=-1E+307",$M$17:$M$99,"&lt;=1E+307")-1),2)))</x:f>
        <x:v>12.5</x:v>
      </x:c>
      <x:c r="R95" s="52" t="n">
        <x:f>IF(OR($G95&lt;&gt;"入池",NOT(ISNUMBER(P95))),"",IF(COUNTIFS($G$17:$G$99,"入池",$P$17:$P$99,"&gt;=-1E+307",$P$17:$P$99,"&lt;=1E+307")&lt;=1,'Sheet1-指标体系'!$J$18,ROUND('Sheet1-指标体系'!$J$18*(COUNTIFS($G$17:$G$99,"入池",$P$17:$P$99,"&gt;=-1E+307",$P$17:$P$99,"&lt;"&amp;P95)+COUNTIFS($G$17:$G$99,"入池",$P$17:$P$99,"&gt;=-1E+307",$P$17:$P$99,"&lt;=1E+307",$P$17:$P$99,P95)/2-0.5)/(COUNTIFS($G$17:$G$99,"入池",$P$17:$P$99,"&gt;=-1E+307",$P$17:$P$99,"&lt;=1E+307")-1),2)))</x:f>
        <x:v>29.63</x:v>
      </x:c>
      <x:c r="S95" s="52" t="n">
        <x:f>IF(COUNT(Q95,R95)=0,"",ROUND((IF(ISNUMBER(Q95),Q95*'Sheet1-指标体系'!$G$7*'Sheet1-指标体系'!$J$8,0)+IF(ISNUMBER(R95),R95*'Sheet1-指标体系'!$G$7*'Sheet1-指标体系'!$J$9,0))/(IF(ISNUMBER(Q95),'Sheet1-指标体系'!$G$7*'Sheet1-指标体系'!$J$8,0)+IF(ISNUMBER(R95),'Sheet1-指标体系'!$G$7*'Sheet1-指标体系'!$J$9,0)),2))</x:f>
        <x:v>19.35</x:v>
      </x:c>
      <x:c r="T95" s="47" t="n">
        <x:f>IF(ISNUMBER('Sheet4-原始数据'!J80),'Sheet4-原始数据'!J80,"")</x:f>
        <x:v>0.46149999999999997</x:v>
      </x:c>
      <x:c r="U95" s="47" t="n">
        <x:f>IF(ISNUMBER('Sheet4-原始数据'!I80),'Sheet4-原始数据'!I80,"")</x:f>
        <x:v>0.6215999999999999</x:v>
      </x:c>
      <x:c r="V95" s="44" t="n">
        <x:f>IF(COUNT(T95:U95)&lt;&gt;2,"",(U95*'Sheet1-指标体系'!$J$6-T95*'Sheet1-指标体系'!$J$5)/'Sheet1-指标体系'!$J$7)</x:f>
        <x:v>0.7083208333333332</x:v>
      </x:c>
      <x:c r="W95" s="52" t="n">
        <x:f>IF(NOT(ISNUMBER(T95)),"",T95*'Sheet1-指标体系'!$J$18)</x:f>
        <x:v>46.15</x:v>
      </x:c>
      <x:c r="X95" s="52" t="n">
        <x:f>IF(G95&lt;&gt;"入池","",IF(ISNUMBER(V95),IF(AND(V95&gt;=0,V95&lt;=1),V95*'Sheet1-指标体系'!$J$18,IF(MAX(0,(F95-'Sheet1-指标体系'!$J$15)*'Sheet1-指标体系'!$J$20)&lt;'Sheet1-指标体系'!$J$19,'Sheet1-指标体系'!$J$18,"")),IF(MAX(0,(F95-'Sheet1-指标体系'!$J$15)*'Sheet1-指标体系'!$J$20)&lt;'Sheet1-指标体系'!$J$19,'Sheet1-指标体系'!$J$18,"")))</x:f>
        <x:v>70.83208333333332</x:v>
      </x:c>
      <x:c r="Y95" s="52" t="n">
        <x:f>IF(NOT(ISNUMBER(W95)),"",IF(COUNT(W95,X95)=0,"",ROUND((IF(ISNUMBER(W95),W95*'Sheet1-指标体系'!$G$8*'Sheet1-指标体系'!$J$8,0)+IF(ISNUMBER(X95),X95*'Sheet1-指标体系'!$G$8*'Sheet1-指标体系'!$J$9,0))/(IF(ISNUMBER(W95),'Sheet1-指标体系'!$G$8*'Sheet1-指标体系'!$J$8,0)+IF(ISNUMBER(X95),'Sheet1-指标体系'!$G$8*'Sheet1-指标体系'!$J$9,0)),2)))</x:f>
        <x:v>56.02</x:v>
      </x:c>
      <x:c r="Z95" s="44" t="n">
        <x:f>IF(COUNT(M95,AD95)&lt;&gt;2,"",IF(AD95=0,"",ABS(M95/AD95)))</x:f>
        <x:v>0.02221423436376707</x:v>
      </x:c>
      <x:c r="AA95" s="47" t="n">
        <x:f>IF(ISNUMBER('Sheet4-原始数据'!K80),'Sheet4-原始数据'!K80,"")</x:f>
        <x:v>0.040999999999999995</x:v>
      </x:c>
      <x:c r="AB95" s="44" t="n">
        <x:f>IF(COUNT(Z95:AA95)=0,"",MAX(Z95:AA95))</x:f>
        <x:v>0.040999999999999995</x:v>
      </x:c>
      <x:c r="AC95" s="52" t="n">
        <x:f>IF(OR($G95&lt;&gt;"入池",NOT(ISNUMBER(AB95))),"",IF(COUNTIFS($G$17:$G$99,"入池",$AB$17:$AB$99,"&gt;=-1E+307",$AB$17:$AB$99,"&lt;=1E+307")&lt;=1,'Sheet1-指标体系'!$J$18,ROUND('Sheet1-指标体系'!$J$18*(COUNTIFS($G$17:$G$99,"入池",$AB$17:$AB$99,"&lt;=1E+307",$AB$17:$AB$99,"&gt;"&amp;AB95)+COUNTIFS($G$17:$G$99,"入池",$AB$17:$AB$99,"&gt;=-1E+307",$AB$17:$AB$99,"&lt;=1E+307",$AB$17:$AB$99,AB95)/2-0.5)/(COUNTIFS($G$17:$G$99,"入池",$AB$17:$AB$99,"&gt;=-1E+307",$AB$17:$AB$99,"&lt;=1E+307")-1),2)))</x:f>
        <x:v>24.14</x:v>
      </x:c>
      <x:c r="AD95" s="48" t="n">
        <x:f>IF(ISNUMBER('Sheet4-原始数据'!M80),'Sheet4-原始数据'!M80,"")</x:f>
        <x:v>1.391</x:v>
      </x:c>
      <x:c r="AE95" s="44" t="n">
        <x:f>IF(COUNT(P95,AA95,Z95)&lt;&gt;3,"",IF(AA95&gt;Z95+'Sheet1-指标体系'!$J$11,AA95,""))</x:f>
        <x:v>0.040999999999999995</x:v>
      </x:c>
      <x:c r="AF95" s="52" t="n">
        <x:f>IF(COUNT(P95,AE95)&lt;&gt;2,"",IF(AE95=0,"",P95/AE95))</x:f>
        <x:v>1.4039911776672158</x:v>
      </x:c>
      <x:c r="AG95" s="52" t="n">
        <x:f>IF(OR($G95&lt;&gt;"入池",NOT(ISNUMBER(AD95))),"",IF(COUNTIFS($G$17:$G$99,"入池",$AD$17:$AD$99,"&gt;=-1E+307",$AD$17:$AD$99,"&lt;=1E+307")&lt;=1,'Sheet1-指标体系'!$J$18,ROUND('Sheet1-指标体系'!$J$18*(COUNTIFS($G$17:$G$99,"入池",$AD$17:$AD$99,"&gt;=-1E+307",$AD$17:$AD$99,"&lt;"&amp;AD95)+COUNTIFS($G$17:$G$99,"入池",$AD$17:$AD$99,"&gt;=-1E+307",$AD$17:$AD$99,"&lt;=1E+307",$AD$17:$AD$99,AD95)/2-0.5)/(COUNTIFS($G$17:$G$99,"入池",$AD$17:$AD$99,"&gt;=-1E+307",$AD$17:$AD$99,"&lt;=1E+307")-1),2)))</x:f>
        <x:v>9.09</x:v>
      </x:c>
      <x:c r="AH95" s="52" t="n">
        <x:f>IF(OR($G95&lt;&gt;"入池",NOT(ISNUMBER(AF95))),"",IF(COUNTIFS($G$17:$G$99,"入池",$AF$17:$AF$99,"&gt;=-1E+307",$AF$17:$AF$99,"&lt;=1E+307")&lt;=1,'Sheet1-指标体系'!$J$18,ROUND('Sheet1-指标体系'!$J$18*(COUNTIFS($G$17:$G$99,"入池",$AF$17:$AF$99,"&gt;=-1E+307",$AF$17:$AF$99,"&lt;"&amp;AF95)+COUNTIFS($G$17:$G$99,"入池",$AF$17:$AF$99,"&gt;=-1E+307",$AF$17:$AF$99,"&lt;=1E+307",$AF$17:$AF$99,AF95)/2-0.5)/(COUNTIFS($G$17:$G$99,"入池",$AF$17:$AF$99,"&gt;=-1E+307",$AF$17:$AF$99,"&lt;=1E+307")-1),2)))</x:f>
        <x:v>21.43</x:v>
      </x:c>
      <x:c r="AI95" s="52" t="n">
        <x:f>IF(COUNT(AG95,AH95)=0,"",ROUND((IF(ISNUMBER(AG95),AG95*'Sheet1-指标体系'!$G$10*'Sheet1-指标体系'!$J$8,0)+IF(ISNUMBER(AH95),AH95*'Sheet1-指标体系'!$G$10*'Sheet1-指标体系'!$J$9,0))/(IF(ISNUMBER(AG95),'Sheet1-指标体系'!$G$10*'Sheet1-指标体系'!$J$8,0)+IF(ISNUMBER(AH95),'Sheet1-指标体系'!$G$10*'Sheet1-指标体系'!$J$9,0)),2))</x:f>
        <x:v>14.03</x:v>
      </x:c>
      <x:c r="AJ95" s="44" t="n">
        <x:f>IF(NOT(ISNUMBER(F95)),"",IF(F95&gt;='Sheet1-指标体系'!$J$16,IF(ISNUMBER(N95),N95,""),IF(ISNUMBER(O95),O95,"")))</x:f>
        <x:v>0.048600000000000004</x:v>
      </x:c>
      <x:c r="AK95" s="52" t="n">
        <x:f>IF(OR(G95&lt;&gt;"入池",COUNT(M95,AJ95)&lt;&gt;2),"",IF(M95&gt;=AJ95,'Sheet1-指标体系'!$J$18,IF(AJ95-M95&lt;'Sheet1-指标体系'!$J$10,'Sheet1-指标体系'!$J$22,'Sheet1-指标体系'!$J$23)))</x:f>
        <x:v>80</x:v>
      </x:c>
      <x:c r="AL95" s="52" t="n">
        <x:f>IF(COUNT(I95,K95,L95)=0,"",ROUND((IF(ISNUMBER(I95),I95*'Sheet1-指标体系'!$G$4,0)+IF(ISNUMBER(K95),K95*'Sheet1-指标体系'!$G$5,0)+IF(ISNUMBER(L95),L95*'Sheet1-指标体系'!$G$6,0))/(IF(ISNUMBER(I95),'Sheet1-指标体系'!$G$4,0)+IF(ISNUMBER(K95),'Sheet1-指标体系'!$G$5,0)+IF(ISNUMBER(L95),'Sheet1-指标体系'!$G$6,0)),2))</x:f>
        <x:v>96</x:v>
      </x:c>
      <x:c r="AM95" s="52" t="n">
        <x:f>IF(COUNT(Q95,R95,W95,X95)=0,"",ROUND((IF(ISNUMBER(Q95),Q95*'Sheet1-指标体系'!$G$7*'Sheet1-指标体系'!$J$8,0)+IF(ISNUMBER(R95),R95*'Sheet1-指标体系'!$G$7*'Sheet1-指标体系'!$J$9,0)+IF(ISNUMBER(W95),W95*'Sheet1-指标体系'!$G$8*'Sheet1-指标体系'!$J$8,0)+IF(ISNUMBER(X95),X95*'Sheet1-指标体系'!$G$8*'Sheet1-指标体系'!$J$9,0))/(IF(ISNUMBER(Q95),'Sheet1-指标体系'!$G$7*'Sheet1-指标体系'!$J$8,0)+IF(ISNUMBER(R95),'Sheet1-指标体系'!$G$7*'Sheet1-指标体系'!$J$9,0)+IF(ISNUMBER(W95),'Sheet1-指标体系'!$G$8*'Sheet1-指标体系'!$J$8,0)+IF(ISNUMBER(X95),'Sheet1-指标体系'!$G$8*'Sheet1-指标体系'!$J$9,0)),2))</x:f>
        <x:v>30.35</x:v>
      </x:c>
      <x:c r="AN95" s="52" t="n">
        <x:f>IF(ISNUMBER(AC95),AC95,"")</x:f>
        <x:v>24.14</x:v>
      </x:c>
      <x:c r="AO95" s="52" t="n">
        <x:f>IF(COUNT(AG95,AH95)=0,"",ROUND((IF(ISNUMBER(AG95),AG95*'Sheet1-指标体系'!$G$10*'Sheet1-指标体系'!$J$8,0)+IF(ISNUMBER(AH95),AH95*'Sheet1-指标体系'!$G$10*'Sheet1-指标体系'!$J$9,0))/(IF(ISNUMBER(AG95),'Sheet1-指标体系'!$G$10*'Sheet1-指标体系'!$J$8,0)+IF(ISNUMBER(AH95),'Sheet1-指标体系'!$G$10*'Sheet1-指标体系'!$J$9,0)),2))</x:f>
        <x:v>14.03</x:v>
      </x:c>
      <x:c r="AP95" s="52" t="n">
        <x:f>IF(ISNUMBER(AK95),AK95,"")</x:f>
        <x:v>80</x:v>
      </x:c>
      <x:c r="AQ95" s="27" t="n">
        <x:f>IF(G95&lt;&gt;"入池",0,IF(ISNUMBER(I95),'Sheet1-指标体系'!$G$4,0)+IF(ISNUMBER(K95),'Sheet1-指标体系'!$G$5,0)+IF(ISNUMBER(L95),'Sheet1-指标体系'!$G$6,0)+IF(ISNUMBER(Q95),'Sheet1-指标体系'!$G$7*'Sheet1-指标体系'!$J$8,0)+IF(ISNUMBER(R95),'Sheet1-指标体系'!$G$7*'Sheet1-指标体系'!$J$9,0)+IF(ISNUMBER(W95),'Sheet1-指标体系'!$G$8*'Sheet1-指标体系'!$J$8,0)+IF(ISNUMBER(X95),'Sheet1-指标体系'!$G$8*'Sheet1-指标体系'!$J$9,0)+IF(ISNUMBER(AC95),'Sheet1-指标体系'!$G$9,0)+IF(ISNUMBER(AG95),'Sheet1-指标体系'!$G$10*'Sheet1-指标体系'!$J$8,0)+IF(ISNUMBER(AH95),'Sheet1-指标体系'!$G$10*'Sheet1-指标体系'!$J$9,0)+IF(ISNUMBER(AK95),'Sheet1-指标体系'!$G$11,0))</x:f>
        <x:v>1</x:v>
      </x:c>
      <x:c r="AR95" s="52" t="n">
        <x:f>IF(AQ95=0,"",IF(ISNUMBER(I95),I95*'Sheet1-指标体系'!$G$4,0)+IF(ISNUMBER(K95),K95*'Sheet1-指标体系'!$G$5,0)+IF(ISNUMBER(L95),L95*'Sheet1-指标体系'!$G$6,0)+IF(ISNUMBER(Q95),Q95*'Sheet1-指标体系'!$G$7*'Sheet1-指标体系'!$J$8,0)+IF(ISNUMBER(R95),R95*'Sheet1-指标体系'!$G$7*'Sheet1-指标体系'!$J$9,0)+IF(ISNUMBER(W95),W95*'Sheet1-指标体系'!$G$8*'Sheet1-指标体系'!$J$8,0)+IF(ISNUMBER(X95),X95*'Sheet1-指标体系'!$G$8*'Sheet1-指标体系'!$J$9,0)+IF(ISNUMBER(AC95),AC95*'Sheet1-指标体系'!$G$9,0)+IF(ISNUMBER(AG95),AG95*'Sheet1-指标体系'!$G$10*'Sheet1-指标体系'!$J$8,0)+IF(ISNUMBER(AH95),AH95*'Sheet1-指标体系'!$G$10*'Sheet1-指标体系'!$J$9,0)+IF(ISNUMBER(AK95),AK95*'Sheet1-指标体系'!$G$11,0))</x:f>
        <x:v>38.713449999999995</x:v>
      </x:c>
      <x:c r="AS95" s="52" t="n">
        <x:f>IF(AQ95=0,"",ROUND(AR95/AQ95,2))</x:f>
        <x:v>38.71</x:v>
      </x:c>
      <x:c r="AT95" s="49" t="n">
        <x:f>IF(OR(G95&lt;&gt;"入池",NOT(ISNUMBER(AS95))),"",COUNTIFS($G$17:$G$99,"入池",$AS$17:$AS$99,"&gt;"&amp;AS95)+COUNTIFS($G$17:$G$99,"入池",$AS$17:$AS$99,AS95,$AQ$17:$AQ$99,"&gt;"&amp;AQ95)+COUNTIFS($G$17:G95,"入池",$AS$17:AS95,AS95,$AQ$17:AQ95,AQ95))</x:f>
        <x:v>75</x:v>
      </x:c>
      <x:c r="AU95" s="53" t="str">
        <x:f>IF(NOT(ISNUMBER(I95)),"管理人规模；","")&amp;IF(NOT(ISNUMBER(K95)),"产品规模标识；","")&amp;IF(NOT(ISNUMBER(M95)),"近一年收益；","")&amp;IF(NOT(ISNUMBER(T95)),"近一年胜率；","")&amp;IF(NOT(ISNUMBER(N95)),"近三年收益；","")&amp;IF(NOT(ISNUMBER(U95)),"近三年胜率；","")&amp;IF(NOT(ISNUMBER(AA95)),"近三年回撤；","")&amp;IF(NOT(ISNUMBER(AD95)),"近一年卡玛；","")&amp;IF(ISNUMBER(F95),IF(AND(F95&lt;'Sheet1-指标体系'!$J$16,NOT(ISNUMBER(O95))),"成立以来年化；",""),"成立日期；")&amp;IF(ISNUMBER(V95),IF(OR(V95&lt;0,V95&gt;1),"胜率窗口口径不一致；",""),"")&amp;IF(ISNUMBER(P95),IF(NOT(ISNUMBER(AE95)),"DD_long不可识别；",""),"")</x:f>
      </x:c>
      <x:c r="AV95" s="52" t="n">
        <x:f>IF(ROUND(AQ95,10)=ROUND('Sheet1-指标体系'!$J$25,10),AR95,"")</x:f>
        <x:v>38.713449999999995</x:v>
      </x:c>
      <x:c r="AW95" s="14" t="str">
        <x:f>IF(G95&lt;&gt;"入池",G95,IF(AQ95=0,"无有效评分数据",IF(ROUND(AQ95,10)=ROUND('Sheet1-指标体系'!$J$25,10),"完整赋分", "暂定分／数据不完整")))</x:f>
        <x:v>完整赋分</x:v>
      </x:c>
      <x:c r="AX95" s="45" t="str">
        <x:f>IF('Sheet4-原始数据'!C80="","",'Sheet4-原始数据'!C80)</x:f>
        <x:v>期权策略</x:v>
      </x:c>
      <x:c r="AY95" s="45" t="str">
        <x:f>IF('Sheet4-原始数据'!D80="","",'Sheet4-原始数据'!D80)</x:f>
        <x:v>场内期权</x:v>
      </x:c>
      <x:c r="AZ95" s="45" t="str">
        <x:f>IF('Sheet5-查询核对'!S80="","",'Sheet5-查询核对'!S80)</x:f>
        <x:v>期权策略</x:v>
      </x:c>
      <x:c r="BA95" s="51" t="n">
        <x:f>IF('Sheet5-查询核对'!A80="","",'Sheet5-查询核对'!A80)</x:f>
        <x:v>80</x:v>
      </x:c>
      <x:c r="BB95" s="45" t="str">
        <x:f>IF('Sheet5-查询核对'!F80="","",'Sheet5-查询核对'!F80)</x:f>
        <x:v>备案号匹配</x:v>
      </x:c>
      <x:c r="BC95" s="50" t="str">
        <x:f>IF('Sheet5-查询核对'!I80="","",'Sheet5-查询核对'!I80)</x:f>
        <x:v>https://mp.fof99.com/fund/view/134f91eefa4596c1</x:v>
      </x:c>
      <x:c r="BD95" s="46" t="n">
        <x:f>IF('Sheet5-查询核对'!H80="","",'Sheet5-查询核对'!H80)</x:f>
        <x:v>46269</x:v>
      </x:c>
      <x:c r="BE95" s="50" t="str">
        <x:f>IF('Sheet5-查询核对'!L80="","",'Sheet5-查询核对'!L80)</x:f>
        <x:v>https://mp.fof99.com/fund/view/134f91eefa4596c1</x:v>
      </x:c>
      <x:c r="BF95" s="46" t="n">
        <x:f>IF('Sheet5-查询核对'!M80="","",'Sheet5-查询核对'!M80)</x:f>
        <x:v>46275</x:v>
      </x:c>
      <x:c r="BG95" s="50" t="str">
        <x:f>IF('Sheet5-查询核对'!O80="","",'Sheet5-查询核对'!O80)</x:f>
        <x:v>https://gs.amac.org.cn/amac-infodisc/res/pof/fund/2112231704112625.html</x:v>
      </x:c>
      <x:c r="BH95" s="46" t="n">
        <x:f>IF('Sheet5-查询核对'!P80="","",'Sheet5-查询核对'!P80)</x:f>
        <x:v>46275</x:v>
      </x:c>
      <x:c r="BI95" s="45" t="str">
        <x:f>IF('Sheet5-查询核对'!D80="","",'Sheet5-查询核对'!D80)</x:f>
        <x:v>SSD863</x:v>
      </x:c>
      <x:c r="BJ95" t="n">
        <x:f>IF(ISNUMBER(AT95),AT95,COUNT($AT$17:$AT$99)+ROWS($AT$17:AT95)-COUNT($AT$17:AT95))</x:f>
        <x:v>75</x:v>
      </x:c>
    </x:row>
    <x:row r="96" ht="44" customHeight="1">
      <x:c r="A96" s="49" t="n">
        <x:f>'Sheet5-查询核对'!A81-1</x:f>
        <x:v>80</x:v>
      </x:c>
      <x:c r="B96" s="50" t="str">
        <x:f>IF('Sheet4-原始数据'!A81="",'Sheet5-查询核对'!B81,'Sheet4-原始数据'!A81)</x:f>
        <x:v>智领泽临套利六号</x:v>
      </x:c>
      <x:c r="C96" s="45" t="str">
        <x:f>IF('Sheet4-原始数据'!B81="","",'Sheet4-原始数据'!B81)</x:f>
        <x:v>SAYU23</x:v>
      </x:c>
      <x:c r="D96" s="45" t="str">
        <x:f>IF('Sheet4-原始数据'!E81="","",'Sheet4-原始数据'!E81)</x:f>
        <x:v>福州智领三联</x:v>
      </x:c>
      <x:c r="E96" s="46" t="n">
        <x:f>IF('Sheet4-原始数据'!F81="","",'Sheet4-原始数据'!F81)</x:f>
        <x:v>45800</x:v>
      </x:c>
      <x:c r="F96" s="52" t="n">
        <x:f>IF(ISNUMBER(E96),ROUND(('Sheet1-指标体系'!$J$12-E96)/'Sheet1-指标体系'!$J$14,4),"")</x:f>
        <x:v>1.3005</x:v>
      </x:c>
      <x:c r="G96" s="14" t="str">
        <x:f>IF(C96="","未匹配",IF(NOT(ISNUMBER(F96)),"缺成立日期",IF(F96&lt;'Sheet1-指标体系'!$J$15,"不入池","入池")))</x:f>
        <x:v>入池</x:v>
      </x:c>
      <x:c r="H96" s="45" t="str">
        <x:f>IF('Sheet5-查询核对'!K81="","",'Sheet5-查询核对'!K81)</x:f>
        <x:v>20-50亿元</x:v>
      </x:c>
      <x:c r="I96" s="52" t="n">
        <x:f>IF(H96="","",IF(COUNTIF('Sheet1-指标体系'!$P$4:$P$10,H96)=0,"",INDEX('Sheet1-指标体系'!$Q$4:$Q$10,MATCH(H96,'Sheet1-指标体系'!$P$4:$P$10,0))))</x:f>
        <x:v>90</x:v>
      </x:c>
      <x:c r="J96" s="54" t="str">
        <x:f>IF(NOT(ISNUMBER('Sheet5-查询核对'!N81)),"",IF('Sheet5-查询核对'!N81=1,"低于"&amp;'Sheet1-指标体系'!$J$4&amp;"万元",IF('Sheet5-查询核对'!N81=0,"无低于"&amp;'Sheet1-指标体系'!$J$4&amp;"万元标识","")))</x:f>
        <x:v>无低于1000万元标识</x:v>
      </x:c>
      <x:c r="K96" s="52" t="n">
        <x:f>IF(NOT(ISNUMBER('Sheet5-查询核对'!N81)),"",IF('Sheet5-查询核对'!N81=1,'Sheet1-指标体系'!$J$21,IF('Sheet5-查询核对'!N81=0,'Sheet1-指标体系'!$J$18,"")))</x:f>
        <x:v>100</x:v>
      </x:c>
      <x:c r="L96" s="52" t="n">
        <x:f>IF(NOT(ISNUMBER(F96)),"",IF(F96&lt;'Sheet1-指标体系'!$J$15,"",IF(F96&lt;'Sheet1-指标体系'!$J$16,'Sheet1-指标体系'!$J$17,'Sheet1-指标体系'!$J$18)))</x:f>
        <x:v>70</x:v>
      </x:c>
      <x:c r="M96" s="47" t="n">
        <x:f>IF(ISNUMBER('Sheet4-原始数据'!G81),'Sheet4-原始数据'!G81,"")</x:f>
        <x:v>0.11720000000000001</x:v>
      </x:c>
      <x:c r="N96" s="47" t="str">
        <x:f>IF(ISNUMBER('Sheet4-原始数据'!H81),'Sheet4-原始数据'!H81,"")</x:f>
      </x:c>
      <x:c r="O96" s="47" t="n">
        <x:f>IF(ISNUMBER('Sheet5-查询核对'!Q81),'Sheet5-查询核对'!Q81,"")</x:f>
        <x:v>0.1223</x:v>
      </x:c>
      <x:c r="P96" s="44" t="n">
        <x:f>IF($G96&lt;&gt;"入池","",IF($F96&gt;='Sheet1-指标体系'!$J$16,IF(COUNT(M96,N96)&lt;&gt;2,"",IF(OR(1+M96&lt;=0,1+N96&lt;0),"",((1+N96)^'Sheet1-指标体系'!$J$16/(1+M96))^(1/('Sheet1-指标体系'!$J$16-'Sheet1-指标体系'!$J$15))-1)),IF(COUNT(M96,O96)&lt;&gt;2,"",IF(OR(F96&lt;='Sheet1-指标体系'!$J$15,1+M96&lt;=0,1+O96&lt;0),"",((1+O96)^F96/(1+M96))^(1/(F96-'Sheet1-指标体系'!$J$15))-1))))</x:f>
        <x:v>0.1394399574886518</x:v>
      </x:c>
      <x:c r="Q96" s="52" t="n">
        <x:f>IF(OR($G96&lt;&gt;"入池",NOT(ISNUMBER(M96))),"",IF(COUNTIFS($G$17:$G$99,"入池",$M$17:$M$99,"&gt;=-1E+307",$M$17:$M$99,"&lt;=1E+307")&lt;=1,'Sheet1-指标体系'!$J$18,ROUND('Sheet1-指标体系'!$J$18*(COUNTIFS($G$17:$G$99,"入池",$M$17:$M$99,"&gt;=-1E+307",$M$17:$M$99,"&lt;"&amp;M96)+COUNTIFS($G$17:$G$99,"入池",$M$17:$M$99,"&gt;=-1E+307",$M$17:$M$99,"&lt;=1E+307",$M$17:$M$99,M96)/2-0.5)/(COUNTIFS($G$17:$G$99,"入池",$M$17:$M$99,"&gt;=-1E+307",$M$17:$M$99,"&lt;=1E+307")-1),2)))</x:f>
        <x:v>71.43</x:v>
      </x:c>
      <x:c r="R96" s="52" t="n">
        <x:f>IF(OR($G96&lt;&gt;"入池",NOT(ISNUMBER(P96))),"",IF(COUNTIFS($G$17:$G$99,"入池",$P$17:$P$99,"&gt;=-1E+307",$P$17:$P$99,"&lt;=1E+307")&lt;=1,'Sheet1-指标体系'!$J$18,ROUND('Sheet1-指标体系'!$J$18*(COUNTIFS($G$17:$G$99,"入池",$P$17:$P$99,"&gt;=-1E+307",$P$17:$P$99,"&lt;"&amp;P96)+COUNTIFS($G$17:$G$99,"入池",$P$17:$P$99,"&gt;=-1E+307",$P$17:$P$99,"&lt;=1E+307",$P$17:$P$99,P96)/2-0.5)/(COUNTIFS($G$17:$G$99,"入池",$P$17:$P$99,"&gt;=-1E+307",$P$17:$P$99,"&lt;=1E+307")-1),2)))</x:f>
        <x:v>85.19</x:v>
      </x:c>
      <x:c r="S96" s="52" t="n">
        <x:f>IF(COUNT(Q96,R96)=0,"",ROUND((IF(ISNUMBER(Q96),Q96*'Sheet1-指标体系'!$G$7*'Sheet1-指标体系'!$J$8,0)+IF(ISNUMBER(R96),R96*'Sheet1-指标体系'!$G$7*'Sheet1-指标体系'!$J$9,0))/(IF(ISNUMBER(Q96),'Sheet1-指标体系'!$G$7*'Sheet1-指标体系'!$J$8,0)+IF(ISNUMBER(R96),'Sheet1-指标体系'!$G$7*'Sheet1-指标体系'!$J$9,0)),2))</x:f>
        <x:v>76.93</x:v>
      </x:c>
      <x:c r="T96" s="47" t="n">
        <x:f>IF(ISNUMBER('Sheet4-原始数据'!J81),'Sheet4-原始数据'!J81,"")</x:f>
        <x:v>0.9231</x:v>
      </x:c>
      <x:c r="U96" s="47" t="str">
        <x:f>IF(ISNUMBER('Sheet4-原始数据'!I81),'Sheet4-原始数据'!I81,"")</x:f>
      </x:c>
      <x:c r="V96" s="44" t="str">
        <x:f>IF(COUNT(T96:U96)&lt;&gt;2,"",(U96*'Sheet1-指标体系'!$J$6-T96*'Sheet1-指标体系'!$J$5)/'Sheet1-指标体系'!$J$7)</x:f>
      </x:c>
      <x:c r="W96" s="52" t="n">
        <x:f>IF(NOT(ISNUMBER(T96)),"",T96*'Sheet1-指标体系'!$J$18)</x:f>
        <x:v>92.31</x:v>
      </x:c>
      <x:c r="X96" s="52" t="n">
        <x:f>IF(G96&lt;&gt;"入池","",IF(ISNUMBER(V96),IF(AND(V96&gt;=0,V96&lt;=1),V96*'Sheet1-指标体系'!$J$18,IF(MAX(0,(F96-'Sheet1-指标体系'!$J$15)*'Sheet1-指标体系'!$J$20)&lt;'Sheet1-指标体系'!$J$19,'Sheet1-指标体系'!$J$18,"")),IF(MAX(0,(F96-'Sheet1-指标体系'!$J$15)*'Sheet1-指标体系'!$J$20)&lt;'Sheet1-指标体系'!$J$19,'Sheet1-指标体系'!$J$18,"")))</x:f>
        <x:v>100</x:v>
      </x:c>
      <x:c r="Y96" s="52" t="n">
        <x:f>IF(NOT(ISNUMBER(W96)),"",IF(COUNT(W96,X96)=0,"",ROUND((IF(ISNUMBER(W96),W96*'Sheet1-指标体系'!$G$8*'Sheet1-指标体系'!$J$8,0)+IF(ISNUMBER(X96),X96*'Sheet1-指标体系'!$G$8*'Sheet1-指标体系'!$J$9,0))/(IF(ISNUMBER(W96),'Sheet1-指标体系'!$G$8*'Sheet1-指标体系'!$J$8,0)+IF(ISNUMBER(X96),'Sheet1-指标体系'!$G$8*'Sheet1-指标体系'!$J$9,0)),2)))</x:f>
        <x:v>95.39</x:v>
      </x:c>
      <x:c r="Z96" s="44" t="n">
        <x:f>IF(COUNT(M96,AD96)&lt;&gt;2,"",IF(AD96=0,"",ABS(M96/AD96)))</x:f>
        <x:v>0.005564338854942625</x:v>
      </x:c>
      <x:c r="AA96" s="47" t="str">
        <x:f>IF(ISNUMBER('Sheet4-原始数据'!K81),'Sheet4-原始数据'!K81,"")</x:f>
      </x:c>
      <x:c r="AB96" s="44" t="n">
        <x:f>IF(COUNT(Z96:AA96)=0,"",MAX(Z96:AA96))</x:f>
        <x:v>0.005564338854942625</x:v>
      </x:c>
      <x:c r="AC96" s="52" t="n">
        <x:f>IF(OR($G96&lt;&gt;"入池",NOT(ISNUMBER(AB96))),"",IF(COUNTIFS($G$17:$G$99,"入池",$AB$17:$AB$99,"&gt;=-1E+307",$AB$17:$AB$99,"&lt;=1E+307")&lt;=1,'Sheet1-指标体系'!$J$18,ROUND('Sheet1-指标体系'!$J$18*(COUNTIFS($G$17:$G$99,"入池",$AB$17:$AB$99,"&lt;=1E+307",$AB$17:$AB$99,"&gt;"&amp;AB96)+COUNTIFS($G$17:$G$99,"入池",$AB$17:$AB$99,"&gt;=-1E+307",$AB$17:$AB$99,"&lt;=1E+307",$AB$17:$AB$99,AB96)/2-0.5)/(COUNTIFS($G$17:$G$99,"入池",$AB$17:$AB$99,"&gt;=-1E+307",$AB$17:$AB$99,"&lt;=1E+307")-1),2)))</x:f>
        <x:v>89.66</x:v>
      </x:c>
      <x:c r="AD96" s="48" t="n">
        <x:f>IF(ISNUMBER('Sheet4-原始数据'!M81),'Sheet4-原始数据'!M81,"")</x:f>
        <x:v>21.0627</x:v>
      </x:c>
      <x:c r="AE96" s="44" t="str">
        <x:f>IF(COUNT(P96,AA96,Z96)&lt;&gt;3,"",IF(AA96&gt;Z96+'Sheet1-指标体系'!$J$11,AA96,""))</x:f>
      </x:c>
      <x:c r="AF96" s="52" t="str">
        <x:f>IF(COUNT(P96,AE96)&lt;&gt;2,"",IF(AE96=0,"",P96/AE96))</x:f>
      </x:c>
      <x:c r="AG96" s="52" t="n">
        <x:f>IF(OR($G96&lt;&gt;"入池",NOT(ISNUMBER(AD96))),"",IF(COUNTIFS($G$17:$G$99,"入池",$AD$17:$AD$99,"&gt;=-1E+307",$AD$17:$AD$99,"&lt;=1E+307")&lt;=1,'Sheet1-指标体系'!$J$18,ROUND('Sheet1-指标体系'!$J$18*(COUNTIFS($G$17:$G$99,"入池",$AD$17:$AD$99,"&gt;=-1E+307",$AD$17:$AD$99,"&lt;"&amp;AD96)+COUNTIFS($G$17:$G$99,"入池",$AD$17:$AD$99,"&gt;=-1E+307",$AD$17:$AD$99,"&lt;=1E+307",$AD$17:$AD$99,AD96)/2-0.5)/(COUNTIFS($G$17:$G$99,"入池",$AD$17:$AD$99,"&gt;=-1E+307",$AD$17:$AD$99,"&lt;=1E+307")-1),2)))</x:f>
        <x:v>83.64</x:v>
      </x:c>
      <x:c r="AH96" s="52" t="str">
        <x:f>IF(OR($G96&lt;&gt;"入池",NOT(ISNUMBER(AF96))),"",IF(COUNTIFS($G$17:$G$99,"入池",$AF$17:$AF$99,"&gt;=-1E+307",$AF$17:$AF$99,"&lt;=1E+307")&lt;=1,'Sheet1-指标体系'!$J$18,ROUND('Sheet1-指标体系'!$J$18*(COUNTIFS($G$17:$G$99,"入池",$AF$17:$AF$99,"&gt;=-1E+307",$AF$17:$AF$99,"&lt;"&amp;AF96)+COUNTIFS($G$17:$G$99,"入池",$AF$17:$AF$99,"&gt;=-1E+307",$AF$17:$AF$99,"&lt;=1E+307",$AF$17:$AF$99,AF96)/2-0.5)/(COUNTIFS($G$17:$G$99,"入池",$AF$17:$AF$99,"&gt;=-1E+307",$AF$17:$AF$99,"&lt;=1E+307")-1),2)))</x:f>
      </x:c>
      <x:c r="AI96" s="52" t="n">
        <x:f>IF(COUNT(AG96,AH96)=0,"",ROUND((IF(ISNUMBER(AG96),AG96*'Sheet1-指标体系'!$G$10*'Sheet1-指标体系'!$J$8,0)+IF(ISNUMBER(AH96),AH96*'Sheet1-指标体系'!$G$10*'Sheet1-指标体系'!$J$9,0))/(IF(ISNUMBER(AG96),'Sheet1-指标体系'!$G$10*'Sheet1-指标体系'!$J$8,0)+IF(ISNUMBER(AH96),'Sheet1-指标体系'!$G$10*'Sheet1-指标体系'!$J$9,0)),2))</x:f>
        <x:v>83.64</x:v>
      </x:c>
      <x:c r="AJ96" s="44" t="n">
        <x:f>IF(NOT(ISNUMBER(F96)),"",IF(F96&gt;='Sheet1-指标体系'!$J$16,IF(ISNUMBER(N96),N96,""),IF(ISNUMBER(O96),O96,"")))</x:f>
        <x:v>0.1223</x:v>
      </x:c>
      <x:c r="AK96" s="52" t="n">
        <x:f>IF(OR(G96&lt;&gt;"入池",COUNT(M96,AJ96)&lt;&gt;2),"",IF(M96&gt;=AJ96,'Sheet1-指标体系'!$J$18,IF(AJ96-M96&lt;'Sheet1-指标体系'!$J$10,'Sheet1-指标体系'!$J$22,'Sheet1-指标体系'!$J$23)))</x:f>
        <x:v>80</x:v>
      </x:c>
      <x:c r="AL96" s="52" t="n">
        <x:f>IF(COUNT(I96,K96,L96)=0,"",ROUND((IF(ISNUMBER(I96),I96*'Sheet1-指标体系'!$G$4,0)+IF(ISNUMBER(K96),K96*'Sheet1-指标体系'!$G$5,0)+IF(ISNUMBER(L96),L96*'Sheet1-指标体系'!$G$6,0))/(IF(ISNUMBER(I96),'Sheet1-指标体系'!$G$4,0)+IF(ISNUMBER(K96),'Sheet1-指标体系'!$G$5,0)+IF(ISNUMBER(L96),'Sheet1-指标体系'!$G$6,0)),2))</x:f>
        <x:v>87</x:v>
      </x:c>
      <x:c r="AM96" s="52" t="n">
        <x:f>IF(COUNT(Q96,R96,W96,X96)=0,"",ROUND((IF(ISNUMBER(Q96),Q96*'Sheet1-指标体系'!$G$7*'Sheet1-指标体系'!$J$8,0)+IF(ISNUMBER(R96),R96*'Sheet1-指标体系'!$G$7*'Sheet1-指标体系'!$J$9,0)+IF(ISNUMBER(W96),W96*'Sheet1-指标体系'!$G$8*'Sheet1-指标体系'!$J$8,0)+IF(ISNUMBER(X96),X96*'Sheet1-指标体系'!$G$8*'Sheet1-指标体系'!$J$9,0))/(IF(ISNUMBER(Q96),'Sheet1-指标体系'!$G$7*'Sheet1-指标体系'!$J$8,0)+IF(ISNUMBER(R96),'Sheet1-指标体系'!$G$7*'Sheet1-指标体系'!$J$9,0)+IF(ISNUMBER(W96),'Sheet1-指标体系'!$G$8*'Sheet1-指标体系'!$J$8,0)+IF(ISNUMBER(X96),'Sheet1-指标体系'!$G$8*'Sheet1-指标体系'!$J$9,0)),2))</x:f>
        <x:v>82.47</x:v>
      </x:c>
      <x:c r="AN96" s="52" t="n">
        <x:f>IF(ISNUMBER(AC96),AC96,"")</x:f>
        <x:v>89.66</x:v>
      </x:c>
      <x:c r="AO96" s="52" t="n">
        <x:f>IF(COUNT(AG96,AH96)=0,"",ROUND((IF(ISNUMBER(AG96),AG96*'Sheet1-指标体系'!$G$10*'Sheet1-指标体系'!$J$8,0)+IF(ISNUMBER(AH96),AH96*'Sheet1-指标体系'!$G$10*'Sheet1-指标体系'!$J$9,0))/(IF(ISNUMBER(AG96),'Sheet1-指标体系'!$G$10*'Sheet1-指标体系'!$J$8,0)+IF(ISNUMBER(AH96),'Sheet1-指标体系'!$G$10*'Sheet1-指标体系'!$J$9,0)),2))</x:f>
        <x:v>83.64</x:v>
      </x:c>
      <x:c r="AP96" s="52" t="n">
        <x:f>IF(ISNUMBER(AK96),AK96,"")</x:f>
        <x:v>80</x:v>
      </x:c>
      <x:c r="AQ96" s="27" t="n">
        <x:f>IF(G96&lt;&gt;"入池",0,IF(ISNUMBER(I96),'Sheet1-指标体系'!$G$4,0)+IF(ISNUMBER(K96),'Sheet1-指标体系'!$G$5,0)+IF(ISNUMBER(L96),'Sheet1-指标体系'!$G$6,0)+IF(ISNUMBER(Q96),'Sheet1-指标体系'!$G$7*'Sheet1-指标体系'!$J$8,0)+IF(ISNUMBER(R96),'Sheet1-指标体系'!$G$7*'Sheet1-指标体系'!$J$9,0)+IF(ISNUMBER(W96),'Sheet1-指标体系'!$G$8*'Sheet1-指标体系'!$J$8,0)+IF(ISNUMBER(X96),'Sheet1-指标体系'!$G$8*'Sheet1-指标体系'!$J$9,0)+IF(ISNUMBER(AC96),'Sheet1-指标体系'!$G$9,0)+IF(ISNUMBER(AG96),'Sheet1-指标体系'!$G$10*'Sheet1-指标体系'!$J$8,0)+IF(ISNUMBER(AH96),'Sheet1-指标体系'!$G$10*'Sheet1-指标体系'!$J$9,0)+IF(ISNUMBER(AK96),'Sheet1-指标体系'!$G$11,0))</x:f>
        <x:v>0.88</x:v>
      </x:c>
      <x:c r="AR96" s="52" t="n">
        <x:f>IF(AQ96=0,"",IF(ISNUMBER(I96),I96*'Sheet1-指标体系'!$G$4,0)+IF(ISNUMBER(K96),K96*'Sheet1-指标体系'!$G$5,0)+IF(ISNUMBER(L96),L96*'Sheet1-指标体系'!$G$6,0)+IF(ISNUMBER(Q96),Q96*'Sheet1-指标体系'!$G$7*'Sheet1-指标体系'!$J$8,0)+IF(ISNUMBER(R96),R96*'Sheet1-指标体系'!$G$7*'Sheet1-指标体系'!$J$9,0)+IF(ISNUMBER(W96),W96*'Sheet1-指标体系'!$G$8*'Sheet1-指标体系'!$J$8,0)+IF(ISNUMBER(X96),X96*'Sheet1-指标体系'!$G$8*'Sheet1-指标体系'!$J$9,0)+IF(ISNUMBER(AC96),AC96*'Sheet1-指标体系'!$G$9,0)+IF(ISNUMBER(AG96),AG96*'Sheet1-指标体系'!$G$10*'Sheet1-指标体系'!$J$8,0)+IF(ISNUMBER(AH96),AH96*'Sheet1-指标体系'!$G$10*'Sheet1-指标体系'!$J$9,0)+IF(ISNUMBER(AK96),AK96*'Sheet1-指标体系'!$G$11,0))</x:f>
        <x:v>75.01411999999999</x:v>
      </x:c>
      <x:c r="AS96" s="52" t="n">
        <x:f>IF(AQ96=0,"",ROUND(AR96/AQ96,2))</x:f>
        <x:v>85.24</x:v>
      </x:c>
      <x:c r="AT96" s="49" t="n">
        <x:f>IF(OR(G96&lt;&gt;"入池",NOT(ISNUMBER(AS96))),"",COUNTIFS($G$17:$G$99,"入池",$AS$17:$AS$99,"&gt;"&amp;AS96)+COUNTIFS($G$17:$G$99,"入池",$AS$17:$AS$99,AS96,$AQ$17:$AQ$99,"&gt;"&amp;AQ96)+COUNTIFS($G$17:G96,"入池",$AS$17:AS96,AS96,$AQ$17:AQ96,AQ96))</x:f>
        <x:v>15</x:v>
      </x:c>
      <x:c r="AU96" s="53" t="str">
        <x:f>IF(NOT(ISNUMBER(I96)),"管理人规模；","")&amp;IF(NOT(ISNUMBER(K96)),"产品规模标识；","")&amp;IF(NOT(ISNUMBER(M96)),"近一年收益；","")&amp;IF(NOT(ISNUMBER(T96)),"近一年胜率；","")&amp;IF(NOT(ISNUMBER(N96)),"近三年收益；","")&amp;IF(NOT(ISNUMBER(U96)),"近三年胜率；","")&amp;IF(NOT(ISNUMBER(AA96)),"近三年回撤；","")&amp;IF(NOT(ISNUMBER(AD96)),"近一年卡玛；","")&amp;IF(ISNUMBER(F96),IF(AND(F96&lt;'Sheet1-指标体系'!$J$16,NOT(ISNUMBER(O96))),"成立以来年化；",""),"成立日期；")&amp;IF(ISNUMBER(V96),IF(OR(V96&lt;0,V96&gt;1),"胜率窗口口径不一致；",""),"")&amp;IF(ISNUMBER(P96),IF(NOT(ISNUMBER(AE96)),"DD_long不可识别；",""),"")</x:f>
        <x:v>近三年收益；近三年胜率；近三年回撤；DD_long不可识别；</x:v>
      </x:c>
      <x:c r="AV96" s="52" t="str">
        <x:f>IF(ROUND(AQ96,10)=ROUND('Sheet1-指标体系'!$J$25,10),AR96,"")</x:f>
      </x:c>
      <x:c r="AW96" s="14" t="str">
        <x:f>IF(G96&lt;&gt;"入池",G96,IF(AQ96=0,"无有效评分数据",IF(ROUND(AQ96,10)=ROUND('Sheet1-指标体系'!$J$25,10),"完整赋分", "暂定分／数据不完整")))</x:f>
        <x:v>暂定分／数据不完整</x:v>
      </x:c>
      <x:c r="AX96" s="45" t="str">
        <x:f>IF('Sheet4-原始数据'!C81="","",'Sheet4-原始数据'!C81)</x:f>
        <x:v>套利策略</x:v>
      </x:c>
      <x:c r="AY96" s="45" t="str">
        <x:f>IF('Sheet4-原始数据'!D81="","",'Sheet4-原始数据'!D81)</x:f>
      </x:c>
      <x:c r="AZ96" s="45" t="str">
        <x:f>IF('Sheet5-查询核对'!S81="","",'Sheet5-查询核对'!S81)</x:f>
        <x:v>套利策略—未细分</x:v>
      </x:c>
      <x:c r="BA96" s="51" t="n">
        <x:f>IF('Sheet5-查询核对'!A81="","",'Sheet5-查询核对'!A81)</x:f>
        <x:v>81</x:v>
      </x:c>
      <x:c r="BB96" s="45" t="str">
        <x:f>IF('Sheet5-查询核对'!F81="","",'Sheet5-查询核对'!F81)</x:f>
        <x:v>备案号匹配</x:v>
      </x:c>
      <x:c r="BC96" s="50" t="str">
        <x:f>IF('Sheet5-查询核对'!I81="","",'Sheet5-查询核对'!I81)</x:f>
        <x:v>https://mp.fof99.com/fund/view/e4ab70da8204cae4</x:v>
      </x:c>
      <x:c r="BD96" s="46" t="n">
        <x:f>IF('Sheet5-查询核对'!H81="","",'Sheet5-查询核对'!H81)</x:f>
        <x:v>46269</x:v>
      </x:c>
      <x:c r="BE96" s="50" t="str">
        <x:f>IF('Sheet5-查询核对'!L81="","",'Sheet5-查询核对'!L81)</x:f>
        <x:v>https://mp.fof99.com/fund/view/e4ab70da8204cae4</x:v>
      </x:c>
      <x:c r="BF96" s="46" t="n">
        <x:f>IF('Sheet5-查询核对'!M81="","",'Sheet5-查询核对'!M81)</x:f>
        <x:v>46275</x:v>
      </x:c>
      <x:c r="BG96" s="50" t="str">
        <x:f>IF('Sheet5-查询核对'!O81="","",'Sheet5-查询核对'!O81)</x:f>
        <x:v>https://gs.amac.org.cn/amac-infodisc/res/pof/fund/2505301433104256.html</x:v>
      </x:c>
      <x:c r="BH96" s="46" t="n">
        <x:f>IF('Sheet5-查询核对'!P81="","",'Sheet5-查询核对'!P81)</x:f>
        <x:v>46275</x:v>
      </x:c>
      <x:c r="BI96" s="45" t="str">
        <x:f>IF('Sheet5-查询核对'!D81="","",'Sheet5-查询核对'!D81)</x:f>
        <x:v>SAYU23</x:v>
      </x:c>
      <x:c r="BJ96" t="n">
        <x:f>IF(ISNUMBER(AT96),AT96,COUNT($AT$17:$AT$99)+ROWS($AT$17:AT96)-COUNT($AT$17:AT96))</x:f>
        <x:v>15</x:v>
      </x:c>
    </x:row>
    <x:row r="97" ht="44" customHeight="1">
      <x:c r="A97" s="49" t="n">
        <x:f>'Sheet5-查询核对'!A82-1</x:f>
        <x:v>81</x:v>
      </x:c>
      <x:c r="B97" s="50" t="str">
        <x:f>IF('Sheet4-原始数据'!A82="",'Sheet5-查询核对'!B82,'Sheet4-原始数据'!A82)</x:f>
        <x:v>中益仁梅香千寒</x:v>
      </x:c>
      <x:c r="C97" s="45" t="str">
        <x:f>IF('Sheet4-原始数据'!B82="","",'Sheet4-原始数据'!B82)</x:f>
        <x:v>SBAF26</x:v>
      </x:c>
      <x:c r="D97" s="45" t="str">
        <x:f>IF('Sheet4-原始数据'!E82="","",'Sheet4-原始数据'!E82)</x:f>
        <x:v>日照中益仁</x:v>
      </x:c>
      <x:c r="E97" s="46" t="n">
        <x:f>IF('Sheet4-原始数据'!F82="","",'Sheet4-原始数据'!F82)</x:f>
        <x:v>45826</x:v>
      </x:c>
      <x:c r="F97" s="52" t="n">
        <x:f>IF(ISNUMBER(E97),ROUND(('Sheet1-指标体系'!$J$12-E97)/'Sheet1-指标体系'!$J$14,4),"")</x:f>
        <x:v>1.2293</x:v>
      </x:c>
      <x:c r="G97" s="14" t="str">
        <x:f>IF(C97="","未匹配",IF(NOT(ISNUMBER(F97)),"缺成立日期",IF(F97&lt;'Sheet1-指标体系'!$J$15,"不入池","入池")))</x:f>
        <x:v>入池</x:v>
      </x:c>
      <x:c r="H97" s="45" t="str">
        <x:f>IF('Sheet5-查询核对'!K82="","",'Sheet5-查询核对'!K82)</x:f>
        <x:v>10-20亿元</x:v>
      </x:c>
      <x:c r="I97" s="52" t="n">
        <x:f>IF(H97="","",IF(COUNTIF('Sheet1-指标体系'!$P$4:$P$10,H97)=0,"",INDEX('Sheet1-指标体系'!$Q$4:$Q$10,MATCH(H97,'Sheet1-指标体系'!$P$4:$P$10,0))))</x:f>
        <x:v>80</x:v>
      </x:c>
      <x:c r="J97" s="54" t="str">
        <x:f>IF(NOT(ISNUMBER('Sheet5-查询核对'!N82)),"",IF('Sheet5-查询核对'!N82=1,"低于"&amp;'Sheet1-指标体系'!$J$4&amp;"万元",IF('Sheet5-查询核对'!N82=0,"无低于"&amp;'Sheet1-指标体系'!$J$4&amp;"万元标识","")))</x:f>
        <x:v>无低于1000万元标识</x:v>
      </x:c>
      <x:c r="K97" s="52" t="n">
        <x:f>IF(NOT(ISNUMBER('Sheet5-查询核对'!N82)),"",IF('Sheet5-查询核对'!N82=1,'Sheet1-指标体系'!$J$21,IF('Sheet5-查询核对'!N82=0,'Sheet1-指标体系'!$J$18,"")))</x:f>
        <x:v>100</x:v>
      </x:c>
      <x:c r="L97" s="52" t="n">
        <x:f>IF(NOT(ISNUMBER(F97)),"",IF(F97&lt;'Sheet1-指标体系'!$J$15,"",IF(F97&lt;'Sheet1-指标体系'!$J$16,'Sheet1-指标体系'!$J$17,'Sheet1-指标体系'!$J$18)))</x:f>
        <x:v>70</x:v>
      </x:c>
      <x:c r="M97" s="47" t="n">
        <x:f>IF(ISNUMBER('Sheet4-原始数据'!G82),'Sheet4-原始数据'!G82,"")</x:f>
        <x:v>0.3154</x:v>
      </x:c>
      <x:c r="N97" s="47" t="str">
        <x:f>IF(ISNUMBER('Sheet4-原始数据'!H82),'Sheet4-原始数据'!H82,"")</x:f>
      </x:c>
      <x:c r="O97" s="47" t="n">
        <x:f>IF(ISNUMBER('Sheet5-查询核对'!Q82),'Sheet5-查询核对'!Q82,"")</x:f>
        <x:v>0.2683</x:v>
      </x:c>
      <x:c r="P97" s="44" t="n">
        <x:f>IF($G97&lt;&gt;"入池","",IF($F97&gt;='Sheet1-指标体系'!$J$16,IF(COUNT(M97,N97)&lt;&gt;2,"",IF(OR(1+M97&lt;=0,1+N97&lt;0),"",((1+N97)^'Sheet1-指标体系'!$J$16/(1+M97))^(1/('Sheet1-指标体系'!$J$16-'Sheet1-指标体系'!$J$15))-1)),IF(COUNT(M97,O97)&lt;&gt;2,"",IF(OR(F97&lt;='Sheet1-指标体系'!$J$15,1+M97&lt;=0,1+O97&lt;0),"",((1+O97)^F97/(1+M97))^(1/(F97-'Sheet1-指标体系'!$J$15))-1))))</x:f>
        <x:v>0.08183319795545985</x:v>
      </x:c>
      <x:c r="Q97" s="52" t="n">
        <x:f>IF(OR($G97&lt;&gt;"入池",NOT(ISNUMBER(M97))),"",IF(COUNTIFS($G$17:$G$99,"入池",$M$17:$M$99,"&gt;=-1E+307",$M$17:$M$99,"&lt;=1E+307")&lt;=1,'Sheet1-指标体系'!$J$18,ROUND('Sheet1-指标体系'!$J$18*(COUNTIFS($G$17:$G$99,"入池",$M$17:$M$99,"&gt;=-1E+307",$M$17:$M$99,"&lt;"&amp;M97)+COUNTIFS($G$17:$G$99,"入池",$M$17:$M$99,"&gt;=-1E+307",$M$17:$M$99,"&lt;=1E+307",$M$17:$M$99,M97)/2-0.5)/(COUNTIFS($G$17:$G$99,"入池",$M$17:$M$99,"&gt;=-1E+307",$M$17:$M$99,"&lt;=1E+307")-1),2)))</x:f>
        <x:v>96.43</x:v>
      </x:c>
      <x:c r="R97" s="52" t="n">
        <x:f>IF(OR($G97&lt;&gt;"入池",NOT(ISNUMBER(P97))),"",IF(COUNTIFS($G$17:$G$99,"入池",$P$17:$P$99,"&gt;=-1E+307",$P$17:$P$99,"&lt;=1E+307")&lt;=1,'Sheet1-指标体系'!$J$18,ROUND('Sheet1-指标体系'!$J$18*(COUNTIFS($G$17:$G$99,"入池",$P$17:$P$99,"&gt;=-1E+307",$P$17:$P$99,"&lt;"&amp;P97)+COUNTIFS($G$17:$G$99,"入池",$P$17:$P$99,"&gt;=-1E+307",$P$17:$P$99,"&lt;=1E+307",$P$17:$P$99,P97)/2-0.5)/(COUNTIFS($G$17:$G$99,"入池",$P$17:$P$99,"&gt;=-1E+307",$P$17:$P$99,"&lt;=1E+307")-1),2)))</x:f>
        <x:v>57.41</x:v>
      </x:c>
      <x:c r="S97" s="52" t="n">
        <x:f>IF(COUNT(Q97,R97)=0,"",ROUND((IF(ISNUMBER(Q97),Q97*'Sheet1-指标体系'!$G$7*'Sheet1-指标体系'!$J$8,0)+IF(ISNUMBER(R97),R97*'Sheet1-指标体系'!$G$7*'Sheet1-指标体系'!$J$9,0))/(IF(ISNUMBER(Q97),'Sheet1-指标体系'!$G$7*'Sheet1-指标体系'!$J$8,0)+IF(ISNUMBER(R97),'Sheet1-指标体系'!$G$7*'Sheet1-指标体系'!$J$9,0)),2))</x:f>
        <x:v>80.82</x:v>
      </x:c>
      <x:c r="T97" s="47" t="n">
        <x:f>IF(ISNUMBER('Sheet4-原始数据'!J82),'Sheet4-原始数据'!J82,"")</x:f>
        <x:v>0.8462000000000001</x:v>
      </x:c>
      <x:c r="U97" s="47" t="str">
        <x:f>IF(ISNUMBER('Sheet4-原始数据'!I82),'Sheet4-原始数据'!I82,"")</x:f>
      </x:c>
      <x:c r="V97" s="44" t="str">
        <x:f>IF(COUNT(T97:U97)&lt;&gt;2,"",(U97*'Sheet1-指标体系'!$J$6-T97*'Sheet1-指标体系'!$J$5)/'Sheet1-指标体系'!$J$7)</x:f>
      </x:c>
      <x:c r="W97" s="52" t="n">
        <x:f>IF(NOT(ISNUMBER(T97)),"",T97*'Sheet1-指标体系'!$J$18)</x:f>
        <x:v>84.62</x:v>
      </x:c>
      <x:c r="X97" s="52" t="n">
        <x:f>IF(G97&lt;&gt;"入池","",IF(ISNUMBER(V97),IF(AND(V97&gt;=0,V97&lt;=1),V97*'Sheet1-指标体系'!$J$18,IF(MAX(0,(F97-'Sheet1-指标体系'!$J$15)*'Sheet1-指标体系'!$J$20)&lt;'Sheet1-指标体系'!$J$19,'Sheet1-指标体系'!$J$18,"")),IF(MAX(0,(F97-'Sheet1-指标体系'!$J$15)*'Sheet1-指标体系'!$J$20)&lt;'Sheet1-指标体系'!$J$19,'Sheet1-指标体系'!$J$18,"")))</x:f>
        <x:v>100</x:v>
      </x:c>
      <x:c r="Y97" s="52" t="n">
        <x:f>IF(NOT(ISNUMBER(W97)),"",IF(COUNT(W97,X97)=0,"",ROUND((IF(ISNUMBER(W97),W97*'Sheet1-指标体系'!$G$8*'Sheet1-指标体系'!$J$8,0)+IF(ISNUMBER(X97),X97*'Sheet1-指标体系'!$G$8*'Sheet1-指标体系'!$J$9,0))/(IF(ISNUMBER(W97),'Sheet1-指标体系'!$G$8*'Sheet1-指标体系'!$J$8,0)+IF(ISNUMBER(X97),'Sheet1-指标体系'!$G$8*'Sheet1-指标体系'!$J$9,0)),2)))</x:f>
        <x:v>90.77</x:v>
      </x:c>
      <x:c r="Z97" s="44" t="n">
        <x:f>IF(COUNT(M97,AD97)&lt;&gt;2,"",IF(AD97=0,"",ABS(M97/AD97)))</x:f>
        <x:v>0.06684327646497829</x:v>
      </x:c>
      <x:c r="AA97" s="47" t="str">
        <x:f>IF(ISNUMBER('Sheet4-原始数据'!K82),'Sheet4-原始数据'!K82,"")</x:f>
      </x:c>
      <x:c r="AB97" s="44" t="n">
        <x:f>IF(COUNT(Z97:AA97)=0,"",MAX(Z97:AA97))</x:f>
        <x:v>0.06684327646497829</x:v>
      </x:c>
      <x:c r="AC97" s="52" t="n">
        <x:f>IF(OR($G97&lt;&gt;"入池",NOT(ISNUMBER(AB97))),"",IF(COUNTIFS($G$17:$G$99,"入池",$AB$17:$AB$99,"&gt;=-1E+307",$AB$17:$AB$99,"&lt;=1E+307")&lt;=1,'Sheet1-指标体系'!$J$18,ROUND('Sheet1-指标体系'!$J$18*(COUNTIFS($G$17:$G$99,"入池",$AB$17:$AB$99,"&lt;=1E+307",$AB$17:$AB$99,"&gt;"&amp;AB97)+COUNTIFS($G$17:$G$99,"入池",$AB$17:$AB$99,"&gt;=-1E+307",$AB$17:$AB$99,"&lt;=1E+307",$AB$17:$AB$99,AB97)/2-0.5)/(COUNTIFS($G$17:$G$99,"入池",$AB$17:$AB$99,"&gt;=-1E+307",$AB$17:$AB$99,"&lt;=1E+307")-1),2)))</x:f>
        <x:v>8.62</x:v>
      </x:c>
      <x:c r="AD97" s="48" t="n">
        <x:f>IF(ISNUMBER('Sheet4-原始数据'!M82),'Sheet4-原始数据'!M82,"")</x:f>
        <x:v>4.7185</x:v>
      </x:c>
      <x:c r="AE97" s="44" t="str">
        <x:f>IF(COUNT(P97,AA97,Z97)&lt;&gt;3,"",IF(AA97&gt;Z97+'Sheet1-指标体系'!$J$11,AA97,""))</x:f>
      </x:c>
      <x:c r="AF97" s="52" t="str">
        <x:f>IF(COUNT(P97,AE97)&lt;&gt;2,"",IF(AE97=0,"",P97/AE97))</x:f>
      </x:c>
      <x:c r="AG97" s="52" t="n">
        <x:f>IF(OR($G97&lt;&gt;"入池",NOT(ISNUMBER(AD97))),"",IF(COUNTIFS($G$17:$G$99,"入池",$AD$17:$AD$99,"&gt;=-1E+307",$AD$17:$AD$99,"&lt;=1E+307")&lt;=1,'Sheet1-指标体系'!$J$18,ROUND('Sheet1-指标体系'!$J$18*(COUNTIFS($G$17:$G$99,"入池",$AD$17:$AD$99,"&gt;=-1E+307",$AD$17:$AD$99,"&lt;"&amp;AD97)+COUNTIFS($G$17:$G$99,"入池",$AD$17:$AD$99,"&gt;=-1E+307",$AD$17:$AD$99,"&lt;=1E+307",$AD$17:$AD$99,AD97)/2-0.5)/(COUNTIFS($G$17:$G$99,"入池",$AD$17:$AD$99,"&gt;=-1E+307",$AD$17:$AD$99,"&lt;=1E+307")-1),2)))</x:f>
        <x:v>32.73</x:v>
      </x:c>
      <x:c r="AH97" s="52" t="str">
        <x:f>IF(OR($G97&lt;&gt;"入池",NOT(ISNUMBER(AF97))),"",IF(COUNTIFS($G$17:$G$99,"入池",$AF$17:$AF$99,"&gt;=-1E+307",$AF$17:$AF$99,"&lt;=1E+307")&lt;=1,'Sheet1-指标体系'!$J$18,ROUND('Sheet1-指标体系'!$J$18*(COUNTIFS($G$17:$G$99,"入池",$AF$17:$AF$99,"&gt;=-1E+307",$AF$17:$AF$99,"&lt;"&amp;AF97)+COUNTIFS($G$17:$G$99,"入池",$AF$17:$AF$99,"&gt;=-1E+307",$AF$17:$AF$99,"&lt;=1E+307",$AF$17:$AF$99,AF97)/2-0.5)/(COUNTIFS($G$17:$G$99,"入池",$AF$17:$AF$99,"&gt;=-1E+307",$AF$17:$AF$99,"&lt;=1E+307")-1),2)))</x:f>
      </x:c>
      <x:c r="AI97" s="52" t="n">
        <x:f>IF(COUNT(AG97,AH97)=0,"",ROUND((IF(ISNUMBER(AG97),AG97*'Sheet1-指标体系'!$G$10*'Sheet1-指标体系'!$J$8,0)+IF(ISNUMBER(AH97),AH97*'Sheet1-指标体系'!$G$10*'Sheet1-指标体系'!$J$9,0))/(IF(ISNUMBER(AG97),'Sheet1-指标体系'!$G$10*'Sheet1-指标体系'!$J$8,0)+IF(ISNUMBER(AH97),'Sheet1-指标体系'!$G$10*'Sheet1-指标体系'!$J$9,0)),2))</x:f>
        <x:v>32.73</x:v>
      </x:c>
      <x:c r="AJ97" s="44" t="n">
        <x:f>IF(NOT(ISNUMBER(F97)),"",IF(F97&gt;='Sheet1-指标体系'!$J$16,IF(ISNUMBER(N97),N97,""),IF(ISNUMBER(O97),O97,"")))</x:f>
        <x:v>0.2683</x:v>
      </x:c>
      <x:c r="AK97" s="52" t="n">
        <x:f>IF(OR(G97&lt;&gt;"入池",COUNT(M97,AJ97)&lt;&gt;2),"",IF(M97&gt;=AJ97,'Sheet1-指标体系'!$J$18,IF(AJ97-M97&lt;'Sheet1-指标体系'!$J$10,'Sheet1-指标体系'!$J$22,'Sheet1-指标体系'!$J$23)))</x:f>
        <x:v>100</x:v>
      </x:c>
      <x:c r="AL97" s="52" t="n">
        <x:f>IF(COUNT(I97,K97,L97)=0,"",ROUND((IF(ISNUMBER(I97),I97*'Sheet1-指标体系'!$G$4,0)+IF(ISNUMBER(K97),K97*'Sheet1-指标体系'!$G$5,0)+IF(ISNUMBER(L97),L97*'Sheet1-指标体系'!$G$6,0))/(IF(ISNUMBER(I97),'Sheet1-指标体系'!$G$4,0)+IF(ISNUMBER(K97),'Sheet1-指标体系'!$G$5,0)+IF(ISNUMBER(L97),'Sheet1-指标体系'!$G$6,0)),2))</x:f>
        <x:v>83</x:v>
      </x:c>
      <x:c r="AM97" s="52" t="n">
        <x:f>IF(COUNT(Q97,R97,W97,X97)=0,"",ROUND((IF(ISNUMBER(Q97),Q97*'Sheet1-指标体系'!$G$7*'Sheet1-指标体系'!$J$8,0)+IF(ISNUMBER(R97),R97*'Sheet1-指标体系'!$G$7*'Sheet1-指标体系'!$J$9,0)+IF(ISNUMBER(W97),W97*'Sheet1-指标体系'!$G$8*'Sheet1-指标体系'!$J$8,0)+IF(ISNUMBER(X97),X97*'Sheet1-指标体系'!$G$8*'Sheet1-指标体系'!$J$9,0))/(IF(ISNUMBER(Q97),'Sheet1-指标体系'!$G$7*'Sheet1-指标体系'!$J$8,0)+IF(ISNUMBER(R97),'Sheet1-指标体系'!$G$7*'Sheet1-指标体系'!$J$9,0)+IF(ISNUMBER(W97),'Sheet1-指标体系'!$G$8*'Sheet1-指标体系'!$J$8,0)+IF(ISNUMBER(X97),'Sheet1-指标体系'!$G$8*'Sheet1-指标体系'!$J$9,0)),2))</x:f>
        <x:v>83.81</x:v>
      </x:c>
      <x:c r="AN97" s="52" t="n">
        <x:f>IF(ISNUMBER(AC97),AC97,"")</x:f>
        <x:v>8.62</x:v>
      </x:c>
      <x:c r="AO97" s="52" t="n">
        <x:f>IF(COUNT(AG97,AH97)=0,"",ROUND((IF(ISNUMBER(AG97),AG97*'Sheet1-指标体系'!$G$10*'Sheet1-指标体系'!$J$8,0)+IF(ISNUMBER(AH97),AH97*'Sheet1-指标体系'!$G$10*'Sheet1-指标体系'!$J$9,0))/(IF(ISNUMBER(AG97),'Sheet1-指标体系'!$G$10*'Sheet1-指标体系'!$J$8,0)+IF(ISNUMBER(AH97),'Sheet1-指标体系'!$G$10*'Sheet1-指标体系'!$J$9,0)),2))</x:f>
        <x:v>32.73</x:v>
      </x:c>
      <x:c r="AP97" s="52" t="n">
        <x:f>IF(ISNUMBER(AK97),AK97,"")</x:f>
        <x:v>100</x:v>
      </x:c>
      <x:c r="AQ97" s="27" t="n">
        <x:f>IF(G97&lt;&gt;"入池",0,IF(ISNUMBER(I97),'Sheet1-指标体系'!$G$4,0)+IF(ISNUMBER(K97),'Sheet1-指标体系'!$G$5,0)+IF(ISNUMBER(L97),'Sheet1-指标体系'!$G$6,0)+IF(ISNUMBER(Q97),'Sheet1-指标体系'!$G$7*'Sheet1-指标体系'!$J$8,0)+IF(ISNUMBER(R97),'Sheet1-指标体系'!$G$7*'Sheet1-指标体系'!$J$9,0)+IF(ISNUMBER(W97),'Sheet1-指标体系'!$G$8*'Sheet1-指标体系'!$J$8,0)+IF(ISNUMBER(X97),'Sheet1-指标体系'!$G$8*'Sheet1-指标体系'!$J$9,0)+IF(ISNUMBER(AC97),'Sheet1-指标体系'!$G$9,0)+IF(ISNUMBER(AG97),'Sheet1-指标体系'!$G$10*'Sheet1-指标体系'!$J$8,0)+IF(ISNUMBER(AH97),'Sheet1-指标体系'!$G$10*'Sheet1-指标体系'!$J$9,0)+IF(ISNUMBER(AK97),'Sheet1-指标体系'!$G$11,0))</x:f>
        <x:v>0.88</x:v>
      </x:c>
      <x:c r="AR97" s="52" t="n">
        <x:f>IF(AQ97=0,"",IF(ISNUMBER(I97),I97*'Sheet1-指标体系'!$G$4,0)+IF(ISNUMBER(K97),K97*'Sheet1-指标体系'!$G$5,0)+IF(ISNUMBER(L97),L97*'Sheet1-指标体系'!$G$6,0)+IF(ISNUMBER(Q97),Q97*'Sheet1-指标体系'!$G$7*'Sheet1-指标体系'!$J$8,0)+IF(ISNUMBER(R97),R97*'Sheet1-指标体系'!$G$7*'Sheet1-指标体系'!$J$9,0)+IF(ISNUMBER(W97),W97*'Sheet1-指标体系'!$G$8*'Sheet1-指标体系'!$J$8,0)+IF(ISNUMBER(X97),X97*'Sheet1-指标体系'!$G$8*'Sheet1-指标体系'!$J$9,0)+IF(ISNUMBER(AC97),AC97*'Sheet1-指标体系'!$G$9,0)+IF(ISNUMBER(AG97),AG97*'Sheet1-指标体系'!$G$10*'Sheet1-指标体系'!$J$8,0)+IF(ISNUMBER(AH97),AH97*'Sheet1-指标体系'!$G$10*'Sheet1-指标体系'!$J$9,0)+IF(ISNUMBER(AK97),AK97*'Sheet1-指标体系'!$G$11,0))</x:f>
        <x:v>47.257799999999996</x:v>
      </x:c>
      <x:c r="AS97" s="52" t="n">
        <x:f>IF(AQ97=0,"",ROUND(AR97/AQ97,2))</x:f>
        <x:v>53.7</x:v>
      </x:c>
      <x:c r="AT97" s="49" t="n">
        <x:f>IF(OR(G97&lt;&gt;"入池",NOT(ISNUMBER(AS97))),"",COUNTIFS($G$17:$G$99,"入池",$AS$17:$AS$99,"&gt;"&amp;AS97)+COUNTIFS($G$17:$G$99,"入池",$AS$17:$AS$99,AS97,$AQ$17:$AQ$99,"&gt;"&amp;AQ97)+COUNTIFS($G$17:G97,"入池",$AS$17:AS97,AS97,$AQ$17:AQ97,AQ97))</x:f>
        <x:v>59</x:v>
      </x:c>
      <x:c r="AU97" s="53" t="str">
        <x:f>IF(NOT(ISNUMBER(I97)),"管理人规模；","")&amp;IF(NOT(ISNUMBER(K97)),"产品规模标识；","")&amp;IF(NOT(ISNUMBER(M97)),"近一年收益；","")&amp;IF(NOT(ISNUMBER(T97)),"近一年胜率；","")&amp;IF(NOT(ISNUMBER(N97)),"近三年收益；","")&amp;IF(NOT(ISNUMBER(U97)),"近三年胜率；","")&amp;IF(NOT(ISNUMBER(AA97)),"近三年回撤；","")&amp;IF(NOT(ISNUMBER(AD97)),"近一年卡玛；","")&amp;IF(ISNUMBER(F97),IF(AND(F97&lt;'Sheet1-指标体系'!$J$16,NOT(ISNUMBER(O97))),"成立以来年化；",""),"成立日期；")&amp;IF(ISNUMBER(V97),IF(OR(V97&lt;0,V97&gt;1),"胜率窗口口径不一致；",""),"")&amp;IF(ISNUMBER(P97),IF(NOT(ISNUMBER(AE97)),"DD_long不可识别；",""),"")</x:f>
        <x:v>近三年收益；近三年胜率；近三年回撤；DD_long不可识别；</x:v>
      </x:c>
      <x:c r="AV97" s="52" t="str">
        <x:f>IF(ROUND(AQ97,10)=ROUND('Sheet1-指标体系'!$J$25,10),AR97,"")</x:f>
      </x:c>
      <x:c r="AW97" s="14" t="str">
        <x:f>IF(G97&lt;&gt;"入池",G97,IF(AQ97=0,"无有效评分数据",IF(ROUND(AQ97,10)=ROUND('Sheet1-指标体系'!$J$25,10),"完整赋分", "暂定分／数据不完整")))</x:f>
        <x:v>暂定分／数据不完整</x:v>
      </x:c>
      <x:c r="AX97" s="45" t="str">
        <x:f>IF('Sheet4-原始数据'!C82="","",'Sheet4-原始数据'!C82)</x:f>
        <x:v>套利策略</x:v>
      </x:c>
      <x:c r="AY97" s="45" t="str">
        <x:f>IF('Sheet4-原始数据'!D82="","",'Sheet4-原始数据'!D82)</x:f>
        <x:v>期货套利</x:v>
      </x:c>
      <x:c r="AZ97" s="45" t="str">
        <x:f>IF('Sheet5-查询核对'!S82="","",'Sheet5-查询核对'!S82)</x:f>
        <x:v>套利策略—期货套利</x:v>
      </x:c>
      <x:c r="BA97" s="51" t="n">
        <x:f>IF('Sheet5-查询核对'!A82="","",'Sheet5-查询核对'!A82)</x:f>
        <x:v>82</x:v>
      </x:c>
      <x:c r="BB97" s="45" t="str">
        <x:f>IF('Sheet5-查询核对'!F82="","",'Sheet5-查询核对'!F82)</x:f>
        <x:v>备案号匹配</x:v>
      </x:c>
      <x:c r="BC97" s="50" t="str">
        <x:f>IF('Sheet5-查询核对'!I82="","",'Sheet5-查询核对'!I82)</x:f>
        <x:v>https://mp.fof99.com/fund/view/bd503e768e8f0dca</x:v>
      </x:c>
      <x:c r="BD97" s="46" t="n">
        <x:f>IF('Sheet5-查询核对'!H82="","",'Sheet5-查询核对'!H82)</x:f>
        <x:v>46269</x:v>
      </x:c>
      <x:c r="BE97" s="50" t="str">
        <x:f>IF('Sheet5-查询核对'!L82="","",'Sheet5-查询核对'!L82)</x:f>
        <x:v>https://mp.fof99.com/fund/view/bd503e768e8f0dca</x:v>
      </x:c>
      <x:c r="BF97" s="46" t="n">
        <x:f>IF('Sheet5-查询核对'!M82="","",'Sheet5-查询核对'!M82)</x:f>
        <x:v>46275</x:v>
      </x:c>
      <x:c r="BG97" s="50" t="str">
        <x:f>IF('Sheet5-查询核对'!O82="","",'Sheet5-查询核对'!O82)</x:f>
        <x:v>https://gs.amac.org.cn/amac-infodisc/res/pof/fund/2506231616104006.html</x:v>
      </x:c>
      <x:c r="BH97" s="46" t="n">
        <x:f>IF('Sheet5-查询核对'!P82="","",'Sheet5-查询核对'!P82)</x:f>
        <x:v>46275</x:v>
      </x:c>
      <x:c r="BI97" s="45" t="str">
        <x:f>IF('Sheet5-查询核对'!D82="","",'Sheet5-查询核对'!D82)</x:f>
        <x:v>SBAF26</x:v>
      </x:c>
      <x:c r="BJ97" t="n">
        <x:f>IF(ISNUMBER(AT97),AT97,COUNT($AT$17:$AT$99)+ROWS($AT$17:AT97)-COUNT($AT$17:AT97))</x:f>
        <x:v>59</x:v>
      </x:c>
    </x:row>
    <x:row r="98" ht="44" customHeight="1">
      <x:c r="A98" s="49" t="n">
        <x:f>'Sheet5-查询核对'!A83-1</x:f>
        <x:v>82</x:v>
      </x:c>
      <x:c r="B98" s="50" t="str">
        <x:f>IF('Sheet4-原始数据'!A83="",'Sheet5-查询核对'!B83,'Sheet4-原始数据'!A83)</x:f>
        <x:v>庄贤对冲3号</x:v>
      </x:c>
      <x:c r="C98" s="45" t="str">
        <x:f>IF('Sheet4-原始数据'!B83="","",'Sheet4-原始数据'!B83)</x:f>
        <x:v>SGW091</x:v>
      </x:c>
      <x:c r="D98" s="45" t="str">
        <x:f>IF('Sheet4-原始数据'!E83="","",'Sheet4-原始数据'!E83)</x:f>
        <x:v>杭州庄贤投资</x:v>
      </x:c>
      <x:c r="E98" s="46" t="n">
        <x:f>IF('Sheet4-原始数据'!F83="","",'Sheet4-原始数据'!F83)</x:f>
        <x:v>43665</x:v>
      </x:c>
      <x:c r="F98" s="52" t="n">
        <x:f>IF(ISNUMBER(E98),ROUND(('Sheet1-指标体系'!$J$12-E98)/'Sheet1-指标体系'!$J$14,4),"")</x:f>
        <x:v>7.1458</x:v>
      </x:c>
      <x:c r="G98" s="14" t="str">
        <x:f>IF(C98="","未匹配",IF(NOT(ISNUMBER(F98)),"缺成立日期",IF(F98&lt;'Sheet1-指标体系'!$J$15,"不入池","入池")))</x:f>
        <x:v>入池</x:v>
      </x:c>
      <x:c r="H98" s="45" t="str">
        <x:f>IF('Sheet5-查询核对'!K83="","",'Sheet5-查询核对'!K83)</x:f>
        <x:v>20-50亿元</x:v>
      </x:c>
      <x:c r="I98" s="52" t="n">
        <x:f>IF(H98="","",IF(COUNTIF('Sheet1-指标体系'!$P$4:$P$10,H98)=0,"",INDEX('Sheet1-指标体系'!$Q$4:$Q$10,MATCH(H98,'Sheet1-指标体系'!$P$4:$P$10,0))))</x:f>
        <x:v>90</x:v>
      </x:c>
      <x:c r="J98" s="54" t="str">
        <x:f>IF(NOT(ISNUMBER('Sheet5-查询核对'!N83)),"",IF('Sheet5-查询核对'!N83=1,"低于"&amp;'Sheet1-指标体系'!$J$4&amp;"万元",IF('Sheet5-查询核对'!N83=0,"无低于"&amp;'Sheet1-指标体系'!$J$4&amp;"万元标识","")))</x:f>
        <x:v>无低于1000万元标识</x:v>
      </x:c>
      <x:c r="K98" s="52" t="n">
        <x:f>IF(NOT(ISNUMBER('Sheet5-查询核对'!N83)),"",IF('Sheet5-查询核对'!N83=1,'Sheet1-指标体系'!$J$21,IF('Sheet5-查询核对'!N83=0,'Sheet1-指标体系'!$J$18,"")))</x:f>
        <x:v>100</x:v>
      </x:c>
      <x:c r="L98" s="52" t="n">
        <x:f>IF(NOT(ISNUMBER(F98)),"",IF(F98&lt;'Sheet1-指标体系'!$J$15,"",IF(F98&lt;'Sheet1-指标体系'!$J$16,'Sheet1-指标体系'!$J$17,'Sheet1-指标体系'!$J$18)))</x:f>
        <x:v>100</x:v>
      </x:c>
      <x:c r="M98" s="47" t="n">
        <x:f>IF(ISNUMBER('Sheet4-原始数据'!G83),'Sheet4-原始数据'!G83,"")</x:f>
        <x:v>0.0433</x:v>
      </x:c>
      <x:c r="N98" s="47" t="n">
        <x:f>IF(ISNUMBER('Sheet4-原始数据'!H83),'Sheet4-原始数据'!H83,"")</x:f>
        <x:v>0.0463</x:v>
      </x:c>
      <x:c r="O98" s="47" t="n">
        <x:f>IF(ISNUMBER('Sheet5-查询核对'!Q83),'Sheet5-查询核对'!Q83,"")</x:f>
        <x:v>0.0572</x:v>
      </x:c>
      <x:c r="P98" s="44" t="n">
        <x:f>IF($G98&lt;&gt;"入池","",IF($F98&gt;='Sheet1-指标体系'!$J$16,IF(COUNT(M98,N98)&lt;&gt;2,"",IF(OR(1+M98&lt;=0,1+N98&lt;0),"",((1+N98)^'Sheet1-指标体系'!$J$16/(1+M98))^(1/('Sheet1-指标体系'!$J$16-'Sheet1-指标体系'!$J$15))-1)),IF(COUNT(M98,O98)&lt;&gt;2,"",IF(OR(F98&lt;='Sheet1-指标体系'!$J$15,1+M98&lt;=0,1+O98&lt;0),"",((1+O98)^F98/(1+M98))^(1/(F98-'Sheet1-指标体系'!$J$15))-1))))</x:f>
        <x:v>0.047803233378968635</x:v>
      </x:c>
      <x:c r="Q98" s="52" t="n">
        <x:f>IF(OR($G98&lt;&gt;"入池",NOT(ISNUMBER(M98))),"",IF(COUNTIFS($G$17:$G$99,"入池",$M$17:$M$99,"&gt;=-1E+307",$M$17:$M$99,"&lt;=1E+307")&lt;=1,'Sheet1-指标体系'!$J$18,ROUND('Sheet1-指标体系'!$J$18*(COUNTIFS($G$17:$G$99,"入池",$M$17:$M$99,"&gt;=-1E+307",$M$17:$M$99,"&lt;"&amp;M98)+COUNTIFS($G$17:$G$99,"入池",$M$17:$M$99,"&gt;=-1E+307",$M$17:$M$99,"&lt;=1E+307",$M$17:$M$99,M98)/2-0.5)/(COUNTIFS($G$17:$G$99,"入池",$M$17:$M$99,"&gt;=-1E+307",$M$17:$M$99,"&lt;=1E+307")-1),2)))</x:f>
        <x:v>19.64</x:v>
      </x:c>
      <x:c r="R98" s="52" t="n">
        <x:f>IF(OR($G98&lt;&gt;"入池",NOT(ISNUMBER(P98))),"",IF(COUNTIFS($G$17:$G$99,"入池",$P$17:$P$99,"&gt;=-1E+307",$P$17:$P$99,"&lt;=1E+307")&lt;=1,'Sheet1-指标体系'!$J$18,ROUND('Sheet1-指标体系'!$J$18*(COUNTIFS($G$17:$G$99,"入池",$P$17:$P$99,"&gt;=-1E+307",$P$17:$P$99,"&lt;"&amp;P98)+COUNTIFS($G$17:$G$99,"入池",$P$17:$P$99,"&gt;=-1E+307",$P$17:$P$99,"&lt;=1E+307",$P$17:$P$99,P98)/2-0.5)/(COUNTIFS($G$17:$G$99,"入池",$P$17:$P$99,"&gt;=-1E+307",$P$17:$P$99,"&lt;=1E+307")-1),2)))</x:f>
        <x:v>18.52</x:v>
      </x:c>
      <x:c r="S98" s="52" t="n">
        <x:f>IF(COUNT(Q98,R98)=0,"",ROUND((IF(ISNUMBER(Q98),Q98*'Sheet1-指标体系'!$G$7*'Sheet1-指标体系'!$J$8,0)+IF(ISNUMBER(R98),R98*'Sheet1-指标体系'!$G$7*'Sheet1-指标体系'!$J$9,0))/(IF(ISNUMBER(Q98),'Sheet1-指标体系'!$G$7*'Sheet1-指标体系'!$J$8,0)+IF(ISNUMBER(R98),'Sheet1-指标体系'!$G$7*'Sheet1-指标体系'!$J$9,0)),2))</x:f>
        <x:v>19.19</x:v>
      </x:c>
      <x:c r="T98" s="47" t="n">
        <x:f>IF(ISNUMBER('Sheet4-原始数据'!J83),'Sheet4-原始数据'!J83,"")</x:f>
        <x:v>0.6923</x:v>
      </x:c>
      <x:c r="U98" s="47" t="n">
        <x:f>IF(ISNUMBER('Sheet4-原始数据'!I83),'Sheet4-原始数据'!I83,"")</x:f>
        <x:v>0.7568</x:v>
      </x:c>
      <x:c r="V98" s="44" t="n">
        <x:f>IF(COUNT(T98:U98)&lt;&gt;2,"",(U98*'Sheet1-指标体系'!$J$6-T98*'Sheet1-指标体系'!$J$5)/'Sheet1-指标体系'!$J$7)</x:f>
        <x:v>0.7917375</x:v>
      </x:c>
      <x:c r="W98" s="52" t="n">
        <x:f>IF(NOT(ISNUMBER(T98)),"",T98*'Sheet1-指标体系'!$J$18)</x:f>
        <x:v>69.23</x:v>
      </x:c>
      <x:c r="X98" s="52" t="n">
        <x:f>IF(G98&lt;&gt;"入池","",IF(ISNUMBER(V98),IF(AND(V98&gt;=0,V98&lt;=1),V98*'Sheet1-指标体系'!$J$18,IF(MAX(0,(F98-'Sheet1-指标体系'!$J$15)*'Sheet1-指标体系'!$J$20)&lt;'Sheet1-指标体系'!$J$19,'Sheet1-指标体系'!$J$18,"")),IF(MAX(0,(F98-'Sheet1-指标体系'!$J$15)*'Sheet1-指标体系'!$J$20)&lt;'Sheet1-指标体系'!$J$19,'Sheet1-指标体系'!$J$18,"")))</x:f>
        <x:v>79.17375</x:v>
      </x:c>
      <x:c r="Y98" s="52" t="n">
        <x:f>IF(NOT(ISNUMBER(W98)),"",IF(COUNT(W98,X98)=0,"",ROUND((IF(ISNUMBER(W98),W98*'Sheet1-指标体系'!$G$8*'Sheet1-指标体系'!$J$8,0)+IF(ISNUMBER(X98),X98*'Sheet1-指标体系'!$G$8*'Sheet1-指标体系'!$J$9,0))/(IF(ISNUMBER(W98),'Sheet1-指标体系'!$G$8*'Sheet1-指标体系'!$J$8,0)+IF(ISNUMBER(X98),'Sheet1-指标体系'!$G$8*'Sheet1-指标体系'!$J$9,0)),2)))</x:f>
        <x:v>73.21</x:v>
      </x:c>
      <x:c r="Z98" s="44" t="n">
        <x:f>IF(COUNT(M98,AD98)&lt;&gt;2,"",IF(AD98=0,"",ABS(M98/AD98)))</x:f>
        <x:v>0.007625656017752103</x:v>
      </x:c>
      <x:c r="AA98" s="47" t="n">
        <x:f>IF(ISNUMBER('Sheet4-原始数据'!K83),'Sheet4-原始数据'!K83,"")</x:f>
        <x:v>0.0268</x:v>
      </x:c>
      <x:c r="AB98" s="44" t="n">
        <x:f>IF(COUNT(Z98:AA98)=0,"",MAX(Z98:AA98))</x:f>
        <x:v>0.0268</x:v>
      </x:c>
      <x:c r="AC98" s="52" t="n">
        <x:f>IF(OR($G98&lt;&gt;"入池",NOT(ISNUMBER(AB98))),"",IF(COUNTIFS($G$17:$G$99,"入池",$AB$17:$AB$99,"&gt;=-1E+307",$AB$17:$AB$99,"&lt;=1E+307")&lt;=1,'Sheet1-指标体系'!$J$18,ROUND('Sheet1-指标体系'!$J$18*(COUNTIFS($G$17:$G$99,"入池",$AB$17:$AB$99,"&lt;=1E+307",$AB$17:$AB$99,"&gt;"&amp;AB98)+COUNTIFS($G$17:$G$99,"入池",$AB$17:$AB$99,"&gt;=-1E+307",$AB$17:$AB$99,"&lt;=1E+307",$AB$17:$AB$99,AB98)/2-0.5)/(COUNTIFS($G$17:$G$99,"入池",$AB$17:$AB$99,"&gt;=-1E+307",$AB$17:$AB$99,"&lt;=1E+307")-1),2)))</x:f>
        <x:v>39.66</x:v>
      </x:c>
      <x:c r="AD98" s="48" t="n">
        <x:f>IF(ISNUMBER('Sheet4-原始数据'!M83),'Sheet4-原始数据'!M83,"")</x:f>
        <x:v>5.6782</x:v>
      </x:c>
      <x:c r="AE98" s="44" t="n">
        <x:f>IF(COUNT(P98,AA98,Z98)&lt;&gt;3,"",IF(AA98&gt;Z98+'Sheet1-指标体系'!$J$11,AA98,""))</x:f>
        <x:v>0.0268</x:v>
      </x:c>
      <x:c r="AF98" s="52" t="n">
        <x:f>IF(COUNT(P98,AE98)&lt;&gt;2,"",IF(AE98=0,"",P98/AE98))</x:f>
        <x:v>1.7837027380212176</x:v>
      </x:c>
      <x:c r="AG98" s="52" t="n">
        <x:f>IF(OR($G98&lt;&gt;"入池",NOT(ISNUMBER(AD98))),"",IF(COUNTIFS($G$17:$G$99,"入池",$AD$17:$AD$99,"&gt;=-1E+307",$AD$17:$AD$99,"&lt;=1E+307")&lt;=1,'Sheet1-指标体系'!$J$18,ROUND('Sheet1-指标体系'!$J$18*(COUNTIFS($G$17:$G$99,"入池",$AD$17:$AD$99,"&gt;=-1E+307",$AD$17:$AD$99,"&lt;"&amp;AD98)+COUNTIFS($G$17:$G$99,"入池",$AD$17:$AD$99,"&gt;=-1E+307",$AD$17:$AD$99,"&lt;=1E+307",$AD$17:$AD$99,AD98)/2-0.5)/(COUNTIFS($G$17:$G$99,"入池",$AD$17:$AD$99,"&gt;=-1E+307",$AD$17:$AD$99,"&lt;=1E+307")-1),2)))</x:f>
        <x:v>36.36</x:v>
      </x:c>
      <x:c r="AH98" s="52" t="n">
        <x:f>IF(OR($G98&lt;&gt;"入池",NOT(ISNUMBER(AF98))),"",IF(COUNTIFS($G$17:$G$99,"入池",$AF$17:$AF$99,"&gt;=-1E+307",$AF$17:$AF$99,"&lt;=1E+307")&lt;=1,'Sheet1-指标体系'!$J$18,ROUND('Sheet1-指标体系'!$J$18*(COUNTIFS($G$17:$G$99,"入池",$AF$17:$AF$99,"&gt;=-1E+307",$AF$17:$AF$99,"&lt;"&amp;AF98)+COUNTIFS($G$17:$G$99,"入池",$AF$17:$AF$99,"&gt;=-1E+307",$AF$17:$AF$99,"&lt;=1E+307",$AF$17:$AF$99,AF98)/2-0.5)/(COUNTIFS($G$17:$G$99,"入池",$AF$17:$AF$99,"&gt;=-1E+307",$AF$17:$AF$99,"&lt;=1E+307")-1),2)))</x:f>
        <x:v>32.14</x:v>
      </x:c>
      <x:c r="AI98" s="52" t="n">
        <x:f>IF(COUNT(AG98,AH98)=0,"",ROUND((IF(ISNUMBER(AG98),AG98*'Sheet1-指标体系'!$G$10*'Sheet1-指标体系'!$J$8,0)+IF(ISNUMBER(AH98),AH98*'Sheet1-指标体系'!$G$10*'Sheet1-指标体系'!$J$9,0))/(IF(ISNUMBER(AG98),'Sheet1-指标体系'!$G$10*'Sheet1-指标体系'!$J$8,0)+IF(ISNUMBER(AH98),'Sheet1-指标体系'!$G$10*'Sheet1-指标体系'!$J$9,0)),2))</x:f>
        <x:v>34.67</x:v>
      </x:c>
      <x:c r="AJ98" s="44" t="n">
        <x:f>IF(NOT(ISNUMBER(F98)),"",IF(F98&gt;='Sheet1-指标体系'!$J$16,IF(ISNUMBER(N98),N98,""),IF(ISNUMBER(O98),O98,"")))</x:f>
        <x:v>0.0463</x:v>
      </x:c>
      <x:c r="AK98" s="52" t="n">
        <x:f>IF(OR(G98&lt;&gt;"入池",COUNT(M98,AJ98)&lt;&gt;2),"",IF(M98&gt;=AJ98,'Sheet1-指标体系'!$J$18,IF(AJ98-M98&lt;'Sheet1-指标体系'!$J$10,'Sheet1-指标体系'!$J$22,'Sheet1-指标体系'!$J$23)))</x:f>
        <x:v>80</x:v>
      </x:c>
      <x:c r="AL98" s="52" t="n">
        <x:f>IF(COUNT(I98,K98,L98)=0,"",ROUND((IF(ISNUMBER(I98),I98*'Sheet1-指标体系'!$G$4,0)+IF(ISNUMBER(K98),K98*'Sheet1-指标体系'!$G$5,0)+IF(ISNUMBER(L98),L98*'Sheet1-指标体系'!$G$6,0))/(IF(ISNUMBER(I98),'Sheet1-指标体系'!$G$4,0)+IF(ISNUMBER(K98),'Sheet1-指标体系'!$G$5,0)+IF(ISNUMBER(L98),'Sheet1-指标体系'!$G$6,0)),2))</x:f>
        <x:v>96</x:v>
      </x:c>
      <x:c r="AM98" s="52" t="n">
        <x:f>IF(COUNT(Q98,R98,W98,X98)=0,"",ROUND((IF(ISNUMBER(Q98),Q98*'Sheet1-指标体系'!$G$7*'Sheet1-指标体系'!$J$8,0)+IF(ISNUMBER(R98),R98*'Sheet1-指标体系'!$G$7*'Sheet1-指标体系'!$J$9,0)+IF(ISNUMBER(W98),W98*'Sheet1-指标体系'!$G$8*'Sheet1-指标体系'!$J$8,0)+IF(ISNUMBER(X98),X98*'Sheet1-指标体系'!$G$8*'Sheet1-指标体系'!$J$9,0))/(IF(ISNUMBER(Q98),'Sheet1-指标体系'!$G$7*'Sheet1-指标体系'!$J$8,0)+IF(ISNUMBER(R98),'Sheet1-指标体系'!$G$7*'Sheet1-指标体系'!$J$9,0)+IF(ISNUMBER(W98),'Sheet1-指标体系'!$G$8*'Sheet1-指标体系'!$J$8,0)+IF(ISNUMBER(X98),'Sheet1-指标体系'!$G$8*'Sheet1-指标体系'!$J$9,0)),2))</x:f>
        <x:v>35.4</x:v>
      </x:c>
      <x:c r="AN98" s="52" t="n">
        <x:f>IF(ISNUMBER(AC98),AC98,"")</x:f>
        <x:v>39.66</x:v>
      </x:c>
      <x:c r="AO98" s="52" t="n">
        <x:f>IF(COUNT(AG98,AH98)=0,"",ROUND((IF(ISNUMBER(AG98),AG98*'Sheet1-指标体系'!$G$10*'Sheet1-指标体系'!$J$8,0)+IF(ISNUMBER(AH98),AH98*'Sheet1-指标体系'!$G$10*'Sheet1-指标体系'!$J$9,0))/(IF(ISNUMBER(AG98),'Sheet1-指标体系'!$G$10*'Sheet1-指标体系'!$J$8,0)+IF(ISNUMBER(AH98),'Sheet1-指标体系'!$G$10*'Sheet1-指标体系'!$J$9,0)),2))</x:f>
        <x:v>34.67</x:v>
      </x:c>
      <x:c r="AP98" s="52" t="n">
        <x:f>IF(ISNUMBER(AK98),AK98,"")</x:f>
        <x:v>80</x:v>
      </x:c>
      <x:c r="AQ98" s="27" t="n">
        <x:f>IF(G98&lt;&gt;"入池",0,IF(ISNUMBER(I98),'Sheet1-指标体系'!$G$4,0)+IF(ISNUMBER(K98),'Sheet1-指标体系'!$G$5,0)+IF(ISNUMBER(L98),'Sheet1-指标体系'!$G$6,0)+IF(ISNUMBER(Q98),'Sheet1-指标体系'!$G$7*'Sheet1-指标体系'!$J$8,0)+IF(ISNUMBER(R98),'Sheet1-指标体系'!$G$7*'Sheet1-指标体系'!$J$9,0)+IF(ISNUMBER(W98),'Sheet1-指标体系'!$G$8*'Sheet1-指标体系'!$J$8,0)+IF(ISNUMBER(X98),'Sheet1-指标体系'!$G$8*'Sheet1-指标体系'!$J$9,0)+IF(ISNUMBER(AC98),'Sheet1-指标体系'!$G$9,0)+IF(ISNUMBER(AG98),'Sheet1-指标体系'!$G$10*'Sheet1-指标体系'!$J$8,0)+IF(ISNUMBER(AH98),'Sheet1-指标体系'!$G$10*'Sheet1-指标体系'!$J$9,0)+IF(ISNUMBER(AK98),'Sheet1-指标体系'!$G$11,0))</x:f>
        <x:v>1</x:v>
      </x:c>
      <x:c r="AR98" s="52" t="n">
        <x:f>IF(AQ98=0,"",IF(ISNUMBER(I98),I98*'Sheet1-指标体系'!$G$4,0)+IF(ISNUMBER(K98),K98*'Sheet1-指标体系'!$G$5,0)+IF(ISNUMBER(L98),L98*'Sheet1-指标体系'!$G$6,0)+IF(ISNUMBER(Q98),Q98*'Sheet1-指标体系'!$G$7*'Sheet1-指标体系'!$J$8,0)+IF(ISNUMBER(R98),R98*'Sheet1-指标体系'!$G$7*'Sheet1-指标体系'!$J$9,0)+IF(ISNUMBER(W98),W98*'Sheet1-指标体系'!$G$8*'Sheet1-指标体系'!$J$8,0)+IF(ISNUMBER(X98),X98*'Sheet1-指标体系'!$G$8*'Sheet1-指标体系'!$J$9,0)+IF(ISNUMBER(AC98),AC98*'Sheet1-指标体系'!$G$9,0)+IF(ISNUMBER(AG98),AG98*'Sheet1-指标体系'!$G$10*'Sheet1-指标体系'!$J$8,0)+IF(ISNUMBER(AH98),AH98*'Sheet1-指标体系'!$G$10*'Sheet1-指标体系'!$J$9,0)+IF(ISNUMBER(AK98),AK98*'Sheet1-指标体系'!$G$11,0))</x:f>
        <x:v>49.79593</x:v>
      </x:c>
      <x:c r="AS98" s="52" t="n">
        <x:f>IF(AQ98=0,"",ROUND(AR98/AQ98,2))</x:f>
        <x:v>49.8</x:v>
      </x:c>
      <x:c r="AT98" s="49" t="n">
        <x:f>IF(OR(G98&lt;&gt;"入池",NOT(ISNUMBER(AS98))),"",COUNTIFS($G$17:$G$99,"入池",$AS$17:$AS$99,"&gt;"&amp;AS98)+COUNTIFS($G$17:$G$99,"入池",$AS$17:$AS$99,AS98,$AQ$17:$AQ$99,"&gt;"&amp;AQ98)+COUNTIFS($G$17:G98,"入池",$AS$17:AS98,AS98,$AQ$17:AQ98,AQ98))</x:f>
        <x:v>62</x:v>
      </x:c>
      <x:c r="AU98" s="53" t="str">
        <x:f>IF(NOT(ISNUMBER(I98)),"管理人规模；","")&amp;IF(NOT(ISNUMBER(K98)),"产品规模标识；","")&amp;IF(NOT(ISNUMBER(M98)),"近一年收益；","")&amp;IF(NOT(ISNUMBER(T98)),"近一年胜率；","")&amp;IF(NOT(ISNUMBER(N98)),"近三年收益；","")&amp;IF(NOT(ISNUMBER(U98)),"近三年胜率；","")&amp;IF(NOT(ISNUMBER(AA98)),"近三年回撤；","")&amp;IF(NOT(ISNUMBER(AD98)),"近一年卡玛；","")&amp;IF(ISNUMBER(F98),IF(AND(F98&lt;'Sheet1-指标体系'!$J$16,NOT(ISNUMBER(O98))),"成立以来年化；",""),"成立日期；")&amp;IF(ISNUMBER(V98),IF(OR(V98&lt;0,V98&gt;1),"胜率窗口口径不一致；",""),"")&amp;IF(ISNUMBER(P98),IF(NOT(ISNUMBER(AE98)),"DD_long不可识别；",""),"")</x:f>
      </x:c>
      <x:c r="AV98" s="52" t="n">
        <x:f>IF(ROUND(AQ98,10)=ROUND('Sheet1-指标体系'!$J$25,10),AR98,"")</x:f>
        <x:v>49.79593</x:v>
      </x:c>
      <x:c r="AW98" s="14" t="str">
        <x:f>IF(G98&lt;&gt;"入池",G98,IF(AQ98=0,"无有效评分数据",IF(ROUND(AQ98,10)=ROUND('Sheet1-指标体系'!$J$25,10),"完整赋分", "暂定分／数据不完整")))</x:f>
        <x:v>完整赋分</x:v>
      </x:c>
      <x:c r="AX98" s="45" t="str">
        <x:f>IF('Sheet4-原始数据'!C83="","",'Sheet4-原始数据'!C83)</x:f>
        <x:v>期权策略</x:v>
      </x:c>
      <x:c r="AY98" s="45" t="str">
        <x:f>IF('Sheet4-原始数据'!D83="","",'Sheet4-原始数据'!D83)</x:f>
        <x:v>场内期权</x:v>
      </x:c>
      <x:c r="AZ98" s="45" t="str">
        <x:f>IF('Sheet5-查询核对'!S83="","",'Sheet5-查询核对'!S83)</x:f>
        <x:v>期权策略</x:v>
      </x:c>
      <x:c r="BA98" s="51" t="n">
        <x:f>IF('Sheet5-查询核对'!A83="","",'Sheet5-查询核对'!A83)</x:f>
        <x:v>83</x:v>
      </x:c>
      <x:c r="BB98" s="45" t="str">
        <x:f>IF('Sheet5-查询核对'!F83="","",'Sheet5-查询核对'!F83)</x:f>
        <x:v>备案号匹配</x:v>
      </x:c>
      <x:c r="BC98" s="50" t="str">
        <x:f>IF('Sheet5-查询核对'!I83="","",'Sheet5-查询核对'!I83)</x:f>
        <x:v>https://mp.fof99.com/fund/view/a96d179026030f2d</x:v>
      </x:c>
      <x:c r="BD98" s="46" t="n">
        <x:f>IF('Sheet5-查询核对'!H83="","",'Sheet5-查询核对'!H83)</x:f>
        <x:v>46269</x:v>
      </x:c>
      <x:c r="BE98" s="50" t="str">
        <x:f>IF('Sheet5-查询核对'!L83="","",'Sheet5-查询核对'!L83)</x:f>
        <x:v>https://mp.fof99.com/fund/view/a96d179026030f2d</x:v>
      </x:c>
      <x:c r="BF98" s="46" t="n">
        <x:f>IF('Sheet5-查询核对'!M83="","",'Sheet5-查询核对'!M83)</x:f>
        <x:v>46275</x:v>
      </x:c>
      <x:c r="BG98" s="50" t="str">
        <x:f>IF('Sheet5-查询核对'!O83="","",'Sheet5-查询核对'!O83)</x:f>
        <x:v>https://gs.amac.org.cn/amac-infodisc/res/pof/fund/1907301828105618.html</x:v>
      </x:c>
      <x:c r="BH98" s="46" t="n">
        <x:f>IF('Sheet5-查询核对'!P83="","",'Sheet5-查询核对'!P83)</x:f>
        <x:v>46275</x:v>
      </x:c>
      <x:c r="BI98" s="45" t="str">
        <x:f>IF('Sheet5-查询核对'!D83="","",'Sheet5-查询核对'!D83)</x:f>
        <x:v>SGW091</x:v>
      </x:c>
      <x:c r="BJ98" t="n">
        <x:f>IF(ISNUMBER(AT98),AT98,COUNT($AT$17:$AT$99)+ROWS($AT$17:AT98)-COUNT($AT$17:AT98))</x:f>
        <x:v>62</x:v>
      </x:c>
    </x:row>
    <x:row r="99" ht="44" customHeight="1">
      <x:c r="A99" s="49" t="n">
        <x:f>'Sheet5-查询核对'!A84-1</x:f>
        <x:v>83</x:v>
      </x:c>
      <x:c r="B99" s="50" t="str">
        <x:f>IF('Sheet4-原始数据'!A84="",'Sheet5-查询核对'!B84,'Sheet4-原始数据'!A84)</x:f>
        <x:v>合绎塑造者10号</x:v>
      </x:c>
      <x:c r="C99" s="45" t="str">
        <x:f>IF('Sheet4-原始数据'!B84="","",'Sheet4-原始数据'!B84)</x:f>
        <x:v>SAHP82</x:v>
      </x:c>
      <x:c r="D99" s="45" t="str">
        <x:f>IF('Sheet4-原始数据'!E84="","",'Sheet4-原始数据'!E84)</x:f>
        <x:v>上海合绎投资</x:v>
      </x:c>
      <x:c r="E99" s="46" t="n">
        <x:f>IF('Sheet4-原始数据'!F84="","",'Sheet4-原始数据'!F84)</x:f>
        <x:v>45363</x:v>
      </x:c>
      <x:c r="F99" s="52" t="n">
        <x:f>IF(ISNUMBER(E99),ROUND(('Sheet1-指标体系'!$J$12-E99)/'Sheet1-指标体系'!$J$14,4),"")</x:f>
        <x:v>2.4969</x:v>
      </x:c>
      <x:c r="G99" s="14" t="str">
        <x:f>IF(C99="","未匹配",IF(NOT(ISNUMBER(F99)),"缺成立日期",IF(F99&lt;'Sheet1-指标体系'!$J$15,"不入池","入池")))</x:f>
        <x:v>入池</x:v>
      </x:c>
      <x:c r="H99" s="45" t="str">
        <x:f>IF('Sheet5-查询核对'!K84="","",'Sheet5-查询核对'!K84)</x:f>
        <x:v>50-100亿元</x:v>
      </x:c>
      <x:c r="I99" s="52" t="n">
        <x:f>IF(H99="","",IF(COUNTIF('Sheet1-指标体系'!$P$4:$P$10,H99)=0,"",INDEX('Sheet1-指标体系'!$Q$4:$Q$10,MATCH(H99,'Sheet1-指标体系'!$P$4:$P$10,0))))</x:f>
        <x:v>90</x:v>
      </x:c>
      <x:c r="J99" s="54" t="str">
        <x:f>IF(NOT(ISNUMBER('Sheet5-查询核对'!N84)),"",IF('Sheet5-查询核对'!N84=1,"低于"&amp;'Sheet1-指标体系'!$J$4&amp;"万元",IF('Sheet5-查询核对'!N84=0,"无低于"&amp;'Sheet1-指标体系'!$J$4&amp;"万元标识","")))</x:f>
        <x:v>无低于1000万元标识</x:v>
      </x:c>
      <x:c r="K99" s="52" t="n">
        <x:f>IF(NOT(ISNUMBER('Sheet5-查询核对'!N84)),"",IF('Sheet5-查询核对'!N84=1,'Sheet1-指标体系'!$J$21,IF('Sheet5-查询核对'!N84=0,'Sheet1-指标体系'!$J$18,"")))</x:f>
        <x:v>100</x:v>
      </x:c>
      <x:c r="L99" s="52" t="n">
        <x:f>IF(NOT(ISNUMBER(F99)),"",IF(F99&lt;'Sheet1-指标体系'!$J$15,"",IF(F99&lt;'Sheet1-指标体系'!$J$16,'Sheet1-指标体系'!$J$17,'Sheet1-指标体系'!$J$18)))</x:f>
        <x:v>70</x:v>
      </x:c>
      <x:c r="M99" s="47" t="str">
        <x:f>IF(ISNUMBER('Sheet4-原始数据'!G84),'Sheet4-原始数据'!G84,"")</x:f>
      </x:c>
      <x:c r="N99" s="47" t="str">
        <x:f>IF(ISNUMBER('Sheet4-原始数据'!H84),'Sheet4-原始数据'!H84,"")</x:f>
      </x:c>
      <x:c r="O99" s="47" t="str">
        <x:f>IF(ISNUMBER('Sheet5-查询核对'!Q84),'Sheet5-查询核对'!Q84,"")</x:f>
      </x:c>
      <x:c r="P99" s="44" t="str">
        <x:f>IF($G99&lt;&gt;"入池","",IF($F99&gt;='Sheet1-指标体系'!$J$16,IF(COUNT(M99,N99)&lt;&gt;2,"",IF(OR(1+M99&lt;=0,1+N99&lt;0),"",((1+N99)^'Sheet1-指标体系'!$J$16/(1+M99))^(1/('Sheet1-指标体系'!$J$16-'Sheet1-指标体系'!$J$15))-1)),IF(COUNT(M99,O99)&lt;&gt;2,"",IF(OR(F99&lt;='Sheet1-指标体系'!$J$15,1+M99&lt;=0,1+O99&lt;0),"",((1+O99)^F99/(1+M99))^(1/(F99-'Sheet1-指标体系'!$J$15))-1))))</x:f>
      </x:c>
      <x:c r="Q99" s="52" t="str">
        <x:f>IF(OR($G99&lt;&gt;"入池",NOT(ISNUMBER(M99))),"",IF(COUNTIFS($G$17:$G$99,"入池",$M$17:$M$99,"&gt;=-1E+307",$M$17:$M$99,"&lt;=1E+307")&lt;=1,'Sheet1-指标体系'!$J$18,ROUND('Sheet1-指标体系'!$J$18*(COUNTIFS($G$17:$G$99,"入池",$M$17:$M$99,"&gt;=-1E+307",$M$17:$M$99,"&lt;"&amp;M99)+COUNTIFS($G$17:$G$99,"入池",$M$17:$M$99,"&gt;=-1E+307",$M$17:$M$99,"&lt;=1E+307",$M$17:$M$99,M99)/2-0.5)/(COUNTIFS($G$17:$G$99,"入池",$M$17:$M$99,"&gt;=-1E+307",$M$17:$M$99,"&lt;=1E+307")-1),2)))</x:f>
      </x:c>
      <x:c r="R99" s="52" t="str">
        <x:f>IF(OR($G99&lt;&gt;"入池",NOT(ISNUMBER(P99))),"",IF(COUNTIFS($G$17:$G$99,"入池",$P$17:$P$99,"&gt;=-1E+307",$P$17:$P$99,"&lt;=1E+307")&lt;=1,'Sheet1-指标体系'!$J$18,ROUND('Sheet1-指标体系'!$J$18*(COUNTIFS($G$17:$G$99,"入池",$P$17:$P$99,"&gt;=-1E+307",$P$17:$P$99,"&lt;"&amp;P99)+COUNTIFS($G$17:$G$99,"入池",$P$17:$P$99,"&gt;=-1E+307",$P$17:$P$99,"&lt;=1E+307",$P$17:$P$99,P99)/2-0.5)/(COUNTIFS($G$17:$G$99,"入池",$P$17:$P$99,"&gt;=-1E+307",$P$17:$P$99,"&lt;=1E+307")-1),2)))</x:f>
      </x:c>
      <x:c r="S99" s="52" t="str">
        <x:f>IF(COUNT(Q99,R99)=0,"",ROUND((IF(ISNUMBER(Q99),Q99*'Sheet1-指标体系'!$G$7*'Sheet1-指标体系'!$J$8,0)+IF(ISNUMBER(R99),R99*'Sheet1-指标体系'!$G$7*'Sheet1-指标体系'!$J$9,0))/(IF(ISNUMBER(Q99),'Sheet1-指标体系'!$G$7*'Sheet1-指标体系'!$J$8,0)+IF(ISNUMBER(R99),'Sheet1-指标体系'!$G$7*'Sheet1-指标体系'!$J$9,0)),2))</x:f>
      </x:c>
      <x:c r="T99" s="47" t="str">
        <x:f>IF(ISNUMBER('Sheet4-原始数据'!J84),'Sheet4-原始数据'!J84,"")</x:f>
      </x:c>
      <x:c r="U99" s="47" t="str">
        <x:f>IF(ISNUMBER('Sheet4-原始数据'!I84),'Sheet4-原始数据'!I84,"")</x:f>
      </x:c>
      <x:c r="V99" s="44" t="str">
        <x:f>IF(COUNT(T99:U99)&lt;&gt;2,"",(U99*'Sheet1-指标体系'!$J$6-T99*'Sheet1-指标体系'!$J$5)/'Sheet1-指标体系'!$J$7)</x:f>
      </x:c>
      <x:c r="W99" s="52" t="str">
        <x:f>IF(NOT(ISNUMBER(T99)),"",T99*'Sheet1-指标体系'!$J$18)</x:f>
      </x:c>
      <x:c r="X99" s="52" t="str">
        <x:f>IF(G99&lt;&gt;"入池","",IF(ISNUMBER(V99),IF(AND(V99&gt;=0,V99&lt;=1),V99*'Sheet1-指标体系'!$J$18,IF(MAX(0,(F99-'Sheet1-指标体系'!$J$15)*'Sheet1-指标体系'!$J$20)&lt;'Sheet1-指标体系'!$J$19,'Sheet1-指标体系'!$J$18,"")),IF(MAX(0,(F99-'Sheet1-指标体系'!$J$15)*'Sheet1-指标体系'!$J$20)&lt;'Sheet1-指标体系'!$J$19,'Sheet1-指标体系'!$J$18,"")))</x:f>
      </x:c>
      <x:c r="Y99" s="52" t="str">
        <x:f>IF(NOT(ISNUMBER(W99)),"",IF(COUNT(W99,X99)=0,"",ROUND((IF(ISNUMBER(W99),W99*'Sheet1-指标体系'!$G$8*'Sheet1-指标体系'!$J$8,0)+IF(ISNUMBER(X99),X99*'Sheet1-指标体系'!$G$8*'Sheet1-指标体系'!$J$9,0))/(IF(ISNUMBER(W99),'Sheet1-指标体系'!$G$8*'Sheet1-指标体系'!$J$8,0)+IF(ISNUMBER(X99),'Sheet1-指标体系'!$G$8*'Sheet1-指标体系'!$J$9,0)),2)))</x:f>
      </x:c>
      <x:c r="Z99" s="44" t="str">
        <x:f>IF(COUNT(M99,AD99)&lt;&gt;2,"",IF(AD99=0,"",ABS(M99/AD99)))</x:f>
      </x:c>
      <x:c r="AA99" s="47" t="str">
        <x:f>IF(ISNUMBER('Sheet4-原始数据'!K84),'Sheet4-原始数据'!K84,"")</x:f>
      </x:c>
      <x:c r="AB99" s="44" t="str">
        <x:f>IF(COUNT(Z99:AA99)=0,"",MAX(Z99:AA99))</x:f>
      </x:c>
      <x:c r="AC99" s="52" t="str">
        <x:f>IF(OR($G99&lt;&gt;"入池",NOT(ISNUMBER(AB99))),"",IF(COUNTIFS($G$17:$G$99,"入池",$AB$17:$AB$99,"&gt;=-1E+307",$AB$17:$AB$99,"&lt;=1E+307")&lt;=1,'Sheet1-指标体系'!$J$18,ROUND('Sheet1-指标体系'!$J$18*(COUNTIFS($G$17:$G$99,"入池",$AB$17:$AB$99,"&lt;=1E+307",$AB$17:$AB$99,"&gt;"&amp;AB99)+COUNTIFS($G$17:$G$99,"入池",$AB$17:$AB$99,"&gt;=-1E+307",$AB$17:$AB$99,"&lt;=1E+307",$AB$17:$AB$99,AB99)/2-0.5)/(COUNTIFS($G$17:$G$99,"入池",$AB$17:$AB$99,"&gt;=-1E+307",$AB$17:$AB$99,"&lt;=1E+307")-1),2)))</x:f>
      </x:c>
      <x:c r="AD99" s="48" t="str">
        <x:f>IF(ISNUMBER('Sheet4-原始数据'!M84),'Sheet4-原始数据'!M84,"")</x:f>
      </x:c>
      <x:c r="AE99" s="44" t="str">
        <x:f>IF(COUNT(P99,AA99,Z99)&lt;&gt;3,"",IF(AA99&gt;Z99+'Sheet1-指标体系'!$J$11,AA99,""))</x:f>
      </x:c>
      <x:c r="AF99" s="52" t="str">
        <x:f>IF(COUNT(P99,AE99)&lt;&gt;2,"",IF(AE99=0,"",P99/AE99))</x:f>
      </x:c>
      <x:c r="AG99" s="52" t="str">
        <x:f>IF(OR($G99&lt;&gt;"入池",NOT(ISNUMBER(AD99))),"",IF(COUNTIFS($G$17:$G$99,"入池",$AD$17:$AD$99,"&gt;=-1E+307",$AD$17:$AD$99,"&lt;=1E+307")&lt;=1,'Sheet1-指标体系'!$J$18,ROUND('Sheet1-指标体系'!$J$18*(COUNTIFS($G$17:$G$99,"入池",$AD$17:$AD$99,"&gt;=-1E+307",$AD$17:$AD$99,"&lt;"&amp;AD99)+COUNTIFS($G$17:$G$99,"入池",$AD$17:$AD$99,"&gt;=-1E+307",$AD$17:$AD$99,"&lt;=1E+307",$AD$17:$AD$99,AD99)/2-0.5)/(COUNTIFS($G$17:$G$99,"入池",$AD$17:$AD$99,"&gt;=-1E+307",$AD$17:$AD$99,"&lt;=1E+307")-1),2)))</x:f>
      </x:c>
      <x:c r="AH99" s="52" t="str">
        <x:f>IF(OR($G99&lt;&gt;"入池",NOT(ISNUMBER(AF99))),"",IF(COUNTIFS($G$17:$G$99,"入池",$AF$17:$AF$99,"&gt;=-1E+307",$AF$17:$AF$99,"&lt;=1E+307")&lt;=1,'Sheet1-指标体系'!$J$18,ROUND('Sheet1-指标体系'!$J$18*(COUNTIFS($G$17:$G$99,"入池",$AF$17:$AF$99,"&gt;=-1E+307",$AF$17:$AF$99,"&lt;"&amp;AF99)+COUNTIFS($G$17:$G$99,"入池",$AF$17:$AF$99,"&gt;=-1E+307",$AF$17:$AF$99,"&lt;=1E+307",$AF$17:$AF$99,AF99)/2-0.5)/(COUNTIFS($G$17:$G$99,"入池",$AF$17:$AF$99,"&gt;=-1E+307",$AF$17:$AF$99,"&lt;=1E+307")-1),2)))</x:f>
      </x:c>
      <x:c r="AI99" s="52" t="str">
        <x:f>IF(COUNT(AG99,AH99)=0,"",ROUND((IF(ISNUMBER(AG99),AG99*'Sheet1-指标体系'!$G$10*'Sheet1-指标体系'!$J$8,0)+IF(ISNUMBER(AH99),AH99*'Sheet1-指标体系'!$G$10*'Sheet1-指标体系'!$J$9,0))/(IF(ISNUMBER(AG99),'Sheet1-指标体系'!$G$10*'Sheet1-指标体系'!$J$8,0)+IF(ISNUMBER(AH99),'Sheet1-指标体系'!$G$10*'Sheet1-指标体系'!$J$9,0)),2))</x:f>
      </x:c>
      <x:c r="AJ99" s="44" t="str">
        <x:f>IF(NOT(ISNUMBER(F99)),"",IF(F99&gt;='Sheet1-指标体系'!$J$16,IF(ISNUMBER(N99),N99,""),IF(ISNUMBER(O99),O99,"")))</x:f>
      </x:c>
      <x:c r="AK99" s="52" t="str">
        <x:f>IF(OR(G99&lt;&gt;"入池",COUNT(M99,AJ99)&lt;&gt;2),"",IF(M99&gt;=AJ99,'Sheet1-指标体系'!$J$18,IF(AJ99-M99&lt;'Sheet1-指标体系'!$J$10,'Sheet1-指标体系'!$J$22,'Sheet1-指标体系'!$J$23)))</x:f>
      </x:c>
      <x:c r="AL99" s="52" t="n">
        <x:f>IF(COUNT(I99,K99,L99)=0,"",ROUND((IF(ISNUMBER(I99),I99*'Sheet1-指标体系'!$G$4,0)+IF(ISNUMBER(K99),K99*'Sheet1-指标体系'!$G$5,0)+IF(ISNUMBER(L99),L99*'Sheet1-指标体系'!$G$6,0))/(IF(ISNUMBER(I99),'Sheet1-指标体系'!$G$4,0)+IF(ISNUMBER(K99),'Sheet1-指标体系'!$G$5,0)+IF(ISNUMBER(L99),'Sheet1-指标体系'!$G$6,0)),2))</x:f>
        <x:v>87</x:v>
      </x:c>
      <x:c r="AM99" s="52" t="str">
        <x:f>IF(COUNT(Q99,R99,W99,X99)=0,"",ROUND((IF(ISNUMBER(Q99),Q99*'Sheet1-指标体系'!$G$7*'Sheet1-指标体系'!$J$8,0)+IF(ISNUMBER(R99),R99*'Sheet1-指标体系'!$G$7*'Sheet1-指标体系'!$J$9,0)+IF(ISNUMBER(W99),W99*'Sheet1-指标体系'!$G$8*'Sheet1-指标体系'!$J$8,0)+IF(ISNUMBER(X99),X99*'Sheet1-指标体系'!$G$8*'Sheet1-指标体系'!$J$9,0))/(IF(ISNUMBER(Q99),'Sheet1-指标体系'!$G$7*'Sheet1-指标体系'!$J$8,0)+IF(ISNUMBER(R99),'Sheet1-指标体系'!$G$7*'Sheet1-指标体系'!$J$9,0)+IF(ISNUMBER(W99),'Sheet1-指标体系'!$G$8*'Sheet1-指标体系'!$J$8,0)+IF(ISNUMBER(X99),'Sheet1-指标体系'!$G$8*'Sheet1-指标体系'!$J$9,0)),2))</x:f>
      </x:c>
      <x:c r="AN99" s="52" t="str">
        <x:f>IF(ISNUMBER(AC99),AC99,"")</x:f>
      </x:c>
      <x:c r="AO99" s="52" t="str">
        <x:f>IF(COUNT(AG99,AH99)=0,"",ROUND((IF(ISNUMBER(AG99),AG99*'Sheet1-指标体系'!$G$10*'Sheet1-指标体系'!$J$8,0)+IF(ISNUMBER(AH99),AH99*'Sheet1-指标体系'!$G$10*'Sheet1-指标体系'!$J$9,0))/(IF(ISNUMBER(AG99),'Sheet1-指标体系'!$G$10*'Sheet1-指标体系'!$J$8,0)+IF(ISNUMBER(AH99),'Sheet1-指标体系'!$G$10*'Sheet1-指标体系'!$J$9,0)),2))</x:f>
      </x:c>
      <x:c r="AP99" s="52" t="str">
        <x:f>IF(ISNUMBER(AK99),AK99,"")</x:f>
      </x:c>
      <x:c r="AQ99" s="27" t="n">
        <x:f>IF(G99&lt;&gt;"入池",0,IF(ISNUMBER(I99),'Sheet1-指标体系'!$G$4,0)+IF(ISNUMBER(K99),'Sheet1-指标体系'!$G$5,0)+IF(ISNUMBER(L99),'Sheet1-指标体系'!$G$6,0)+IF(ISNUMBER(Q99),'Sheet1-指标体系'!$G$7*'Sheet1-指标体系'!$J$8,0)+IF(ISNUMBER(R99),'Sheet1-指标体系'!$G$7*'Sheet1-指标体系'!$J$9,0)+IF(ISNUMBER(W99),'Sheet1-指标体系'!$G$8*'Sheet1-指标体系'!$J$8,0)+IF(ISNUMBER(X99),'Sheet1-指标体系'!$G$8*'Sheet1-指标体系'!$J$9,0)+IF(ISNUMBER(AC99),'Sheet1-指标体系'!$G$9,0)+IF(ISNUMBER(AG99),'Sheet1-指标体系'!$G$10*'Sheet1-指标体系'!$J$8,0)+IF(ISNUMBER(AH99),'Sheet1-指标体系'!$G$10*'Sheet1-指标体系'!$J$9,0)+IF(ISNUMBER(AK99),'Sheet1-指标体系'!$G$11,0))</x:f>
        <x:v>0.15</x:v>
      </x:c>
      <x:c r="AR99" s="52" t="n">
        <x:f>IF(AQ99=0,"",IF(ISNUMBER(I99),I99*'Sheet1-指标体系'!$G$4,0)+IF(ISNUMBER(K99),K99*'Sheet1-指标体系'!$G$5,0)+IF(ISNUMBER(L99),L99*'Sheet1-指标体系'!$G$6,0)+IF(ISNUMBER(Q99),Q99*'Sheet1-指标体系'!$G$7*'Sheet1-指标体系'!$J$8,0)+IF(ISNUMBER(R99),R99*'Sheet1-指标体系'!$G$7*'Sheet1-指标体系'!$J$9,0)+IF(ISNUMBER(W99),W99*'Sheet1-指标体系'!$G$8*'Sheet1-指标体系'!$J$8,0)+IF(ISNUMBER(X99),X99*'Sheet1-指标体系'!$G$8*'Sheet1-指标体系'!$J$9,0)+IF(ISNUMBER(AC99),AC99*'Sheet1-指标体系'!$G$9,0)+IF(ISNUMBER(AG99),AG99*'Sheet1-指标体系'!$G$10*'Sheet1-指标体系'!$J$8,0)+IF(ISNUMBER(AH99),AH99*'Sheet1-指标体系'!$G$10*'Sheet1-指标体系'!$J$9,0)+IF(ISNUMBER(AK99),AK99*'Sheet1-指标体系'!$G$11,0))</x:f>
        <x:v>13.049999999999999</x:v>
      </x:c>
      <x:c r="AS99" s="52" t="n">
        <x:f>IF(AQ99=0,"",ROUND(AR99/AQ99,2))</x:f>
        <x:v>87</x:v>
      </x:c>
      <x:c r="AT99" s="49" t="n">
        <x:f>IF(OR(G99&lt;&gt;"入池",NOT(ISNUMBER(AS99))),"",COUNTIFS($G$17:$G$99,"入池",$AS$17:$AS$99,"&gt;"&amp;AS99)+COUNTIFS($G$17:$G$99,"入池",$AS$17:$AS$99,AS99,$AQ$17:$AQ$99,"&gt;"&amp;AQ99)+COUNTIFS($G$17:G99,"入池",$AS$17:AS99,AS99,$AQ$17:AQ99,AQ99))</x:f>
        <x:v>12</x:v>
      </x:c>
      <x:c r="AU99" s="53" t="str">
        <x:f>IF(NOT(ISNUMBER(I99)),"管理人规模；","")&amp;IF(NOT(ISNUMBER(K99)),"产品规模标识；","")&amp;IF(NOT(ISNUMBER(M99)),"近一年收益；","")&amp;IF(NOT(ISNUMBER(T99)),"近一年胜率；","")&amp;IF(NOT(ISNUMBER(N99)),"近三年收益；","")&amp;IF(NOT(ISNUMBER(U99)),"近三年胜率；","")&amp;IF(NOT(ISNUMBER(AA99)),"近三年回撤；","")&amp;IF(NOT(ISNUMBER(AD99)),"近一年卡玛；","")&amp;IF(ISNUMBER(F99),IF(AND(F99&lt;'Sheet1-指标体系'!$J$16,NOT(ISNUMBER(O99))),"成立以来年化；",""),"成立日期；")&amp;IF(ISNUMBER(V99),IF(OR(V99&lt;0,V99&gt;1),"胜率窗口口径不一致；",""),"")&amp;IF(ISNUMBER(P99),IF(NOT(ISNUMBER(AE99)),"DD_long不可识别；",""),"")</x:f>
        <x:v>近一年收益；近一年胜率；近三年收益；近三年胜率；近三年回撤；近一年卡玛；成立以来年化；</x:v>
      </x:c>
      <x:c r="AV99" s="52" t="str">
        <x:f>IF(ROUND(AQ99,10)=ROUND('Sheet1-指标体系'!$J$25,10),AR99,"")</x:f>
      </x:c>
      <x:c r="AW99" s="14" t="str">
        <x:f>IF(G99&lt;&gt;"入池",G99,IF(AQ99=0,"无有效评分数据",IF(ROUND(AQ99,10)=ROUND('Sheet1-指标体系'!$J$25,10),"完整赋分", "暂定分／数据不完整")))</x:f>
        <x:v>暂定分／数据不完整</x:v>
      </x:c>
      <x:c r="AX99" s="45" t="str">
        <x:f>IF('Sheet4-原始数据'!C84="","",'Sheet4-原始数据'!C84)</x:f>
        <x:v>期权策略</x:v>
      </x:c>
      <x:c r="AY99" s="45" t="str">
        <x:f>IF('Sheet4-原始数据'!D84="","",'Sheet4-原始数据'!D84)</x:f>
      </x:c>
      <x:c r="AZ99" s="45" t="str">
        <x:f>IF('Sheet5-查询核对'!S84="","",'Sheet5-查询核对'!S84)</x:f>
        <x:v>管理期货—量化期权—期权复合套利-R4</x:v>
      </x:c>
      <x:c r="BA99" s="51" t="n">
        <x:f>IF('Sheet5-查询核对'!A84="","",'Sheet5-查询核对'!A84)</x:f>
        <x:v>84</x:v>
      </x:c>
      <x:c r="BB99" s="45" t="str">
        <x:f>IF('Sheet5-查询核对'!F84="","",'Sheet5-查询核对'!F84)</x:f>
        <x:v>备案号匹配</x:v>
      </x:c>
      <x:c r="BC99" s="50" t="str">
        <x:f>IF('Sheet5-查询核对'!I84="","",'Sheet5-查询核对'!I84)</x:f>
        <x:v>https://mp.fof99.com/fund/view/acbdbde1b1c49c01</x:v>
      </x:c>
      <x:c r="BD99" s="46" t="n">
        <x:f>IF('Sheet5-查询核对'!H84="","",'Sheet5-查询核对'!H84)</x:f>
        <x:v>46269</x:v>
      </x:c>
      <x:c r="BE99" s="50" t="str">
        <x:f>IF('Sheet5-查询核对'!L84="","",'Sheet5-查询核对'!L84)</x:f>
        <x:v>https://mp.fof99.com/fund/view/acbdbde1b1c49c01</x:v>
      </x:c>
      <x:c r="BF99" s="46" t="n">
        <x:f>IF('Sheet5-查询核对'!M84="","",'Sheet5-查询核对'!M84)</x:f>
        <x:v>46275</x:v>
      </x:c>
      <x:c r="BG99" s="50" t="str">
        <x:f>IF('Sheet5-查询核对'!O84="","",'Sheet5-查询核对'!O84)</x:f>
        <x:v>https://gs.amac.org.cn/amac-infodisc/res/pof/fund/2403251636103185.html</x:v>
      </x:c>
      <x:c r="BH99" s="46" t="n">
        <x:f>IF('Sheet5-查询核对'!P84="","",'Sheet5-查询核对'!P84)</x:f>
        <x:v>46275</x:v>
      </x:c>
      <x:c r="BI99" s="45" t="str">
        <x:f>IF('Sheet5-查询核对'!D84="","",'Sheet5-查询核对'!D84)</x:f>
        <x:v>SAHP82</x:v>
      </x:c>
      <x:c r="BJ99" t="n">
        <x:f>IF(ISNUMBER(AT99),AT99,COUNT($AT$17:$AT$99)+ROWS($AT$17:AT99)-COUNT($AT$17:AT99))</x:f>
        <x:v>12</x:v>
      </x:c>
    </x:row>
  </x:sheetData>
  <x:conditionalFormatting sqref="AW17:AW99">
    <x:cfRule type="containsText" dxfId="0" priority="1" operator="containsText" text="暂定"/>
  </x:conditionalFormatting>
  <x:pageMargins left="0.7" right="0.7" top="0.75" bottom="0.75" header="0.3" footer="0.3"/>
  <x:tableParts count="1">
    <x:tablePart xmlns:r="http://schemas.openxmlformats.org/officeDocument/2006/relationships" r:id="Rd46235fe9f6c4a6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5" hidden="0" customWidth="1"/>
    <x:col min="2" max="2" width="28" hidden="0" customWidth="1"/>
    <x:col min="3" max="3" width="15" hidden="0" customWidth="1"/>
    <x:col min="4" max="4" width="2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76" hidden="0" customWidth="1"/>
    <x:col min="24" max="24" width="15" hidden="0" customWidth="1"/>
    <x:col min="25" max="25" width="28" hidden="0" customWidth="1"/>
    <x:col min="26" max="26" width="28" hidden="0" customWidth="1"/>
    <x:col min="27" max="27" width="28" hidden="0" customWidth="1"/>
    <x:col min="28" max="28" width="15" hidden="0" customWidth="1"/>
  </x:cols>
  <x:sheetData>
    <x:row r="1" ht="24" customHeight="1">
      <x:c r="A1" s="24" t="str">
        <x:v>私募基金分类汇总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  <x:c r="AB1" s="14"/>
    </x:row>
    <x:row r="2" ht="24" customHeight="1">
      <x:c r="A2" s="14" t="str">
        <x:v>评价日 2026-09-10；按可比总分降序，同分按有效权重、原表次序。全部83条保留。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  <x:c r="AB2" s="14"/>
    </x:row>
    <x:row r="3" ht="24" customHeight="1">
      <x:c r="A3" s="14" t="str">
        <x:v>可比总分含暂定分，须同时查看有效权重和数据缺口；仅完整权重记录提供严格总分。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  <x:c r="AA3" s="14"/>
      <x:c r="AB3" s="14"/>
    </x:row>
    <x:row r="4" ht="24" customHeight="1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</x:row>
    <x:row r="5" ht="44" customHeight="1">
      <x:c r="A5" s="20" t="str">
        <x:v>排名</x:v>
      </x:c>
      <x:c r="B5" s="21" t="str">
        <x:v>产品名称</x:v>
      </x:c>
      <x:c r="C5" s="21" t="str">
        <x:v>备案号</x:v>
      </x:c>
      <x:c r="D5" s="21" t="str">
        <x:v>管理人</x:v>
      </x:c>
      <x:c r="E5" s="21" t="str">
        <x:v>入池状态</x:v>
      </x:c>
      <x:c r="F5" s="21" t="str">
        <x:v>管理人规模分</x:v>
      </x:c>
      <x:c r="G5" s="21" t="str">
        <x:v>产品规模分</x:v>
      </x:c>
      <x:c r="H5" s="21" t="str">
        <x:v>成立年限分</x:v>
      </x:c>
      <x:c r="I5" s="21" t="str">
        <x:v>年化收益分（可用折算）</x:v>
      </x:c>
      <x:c r="J5" s="21" t="str">
        <x:v>月度胜率分（可用折算）</x:v>
      </x:c>
      <x:c r="K5" s="21" t="str">
        <x:v>最大回撤分</x:v>
      </x:c>
      <x:c r="L5" s="21" t="str">
        <x:v>卡玛比率分（可用折算）</x:v>
      </x:c>
      <x:c r="M5" s="21" t="str">
        <x:v>收益趋势分</x:v>
      </x:c>
      <x:c r="N5" s="21" t="str">
        <x:v>管理人及产品</x:v>
      </x:c>
      <x:c r="O5" s="21" t="str">
        <x:v>收益能力</x:v>
      </x:c>
      <x:c r="P5" s="21" t="str">
        <x:v>风险控制</x:v>
      </x:c>
      <x:c r="Q5" s="21" t="str">
        <x:v>风险调整收益</x:v>
      </x:c>
      <x:c r="R5" s="21" t="str">
        <x:v>业绩一致性/趋势</x:v>
      </x:c>
      <x:c r="S5" s="21" t="str">
        <x:v>有效权重</x:v>
      </x:c>
      <x:c r="T5" s="21" t="str">
        <x:v>加权总分（不补缺）</x:v>
      </x:c>
      <x:c r="U5" s="21" t="str">
        <x:v>可比总分</x:v>
      </x:c>
      <x:c r="V5" s="21" t="str">
        <x:v>严格总分</x:v>
      </x:c>
      <x:c r="W5" s="21" t="str">
        <x:v>数据缺口</x:v>
      </x:c>
      <x:c r="X5" s="21" t="str">
        <x:v>明细相对行</x:v>
      </x:c>
      <x:c r="Y5" s="21" t="str">
        <x:v>平台一级策略</x:v>
      </x:c>
      <x:c r="Z5" s="21" t="str">
        <x:v>平台二级策略</x:v>
      </x:c>
      <x:c r="AA5" s="21" t="str">
        <x:v>数据完整性</x:v>
      </x:c>
      <x:c r="AB5" s="22" t="str">
        <x:v>原表序号</x:v>
      </x:c>
    </x:row>
    <x:row r="6" ht="44" customHeight="1">
      <x:c r="A6" s="14" t="n">
        <x:f>IF(ISNUMBER(INDEX('Sheet2-计算明细'!$AT$17:$AT$99,$X6)),INDEX('Sheet2-计算明细'!$AT$17:$AT$99,$X6),"")</x:f>
        <x:v>1</x:v>
      </x:c>
      <x:c r="B6" s="14" t="str">
        <x:f>IF(INDEX('Sheet2-计算明细'!$B$17:$B$99,$X6)="","",INDEX('Sheet2-计算明细'!$B$17:$B$99,$X6))</x:f>
        <x:v>量客投资金选套利1号</x:v>
      </x:c>
      <x:c r="C6" s="14" t="str">
        <x:f>IF(INDEX('Sheet2-计算明细'!$C$17:$C$99,$X6)="","",INDEX('Sheet2-计算明细'!$C$17:$C$99,$X6))</x:f>
        <x:v>SNH457</x:v>
      </x:c>
      <x:c r="D6" s="14" t="str">
        <x:f>IF(INDEX('Sheet2-计算明细'!$D$17:$D$99,$X6)="","",INDEX('Sheet2-计算明细'!$D$17:$D$99,$X6))</x:f>
        <x:v>上海量客</x:v>
      </x:c>
      <x:c r="E6" s="14" t="str">
        <x:f>IF(INDEX('Sheet2-计算明细'!$G$17:$G$99,$X6)="","",INDEX('Sheet2-计算明细'!$G$17:$G$99,$X6))</x:f>
        <x:v>入池</x:v>
      </x:c>
      <x:c r="F6" s="52" t="n">
        <x:f>IF(ISNUMBER(INDEX('Sheet2-计算明细'!$I$17:$I$99,$X6)),INDEX('Sheet2-计算明细'!$I$17:$I$99,$X6),"")</x:f>
        <x:v>90</x:v>
      </x:c>
      <x:c r="G6" s="52" t="n">
        <x:f>IF(ISNUMBER(INDEX('Sheet2-计算明细'!$K$17:$K$99,$X6)),INDEX('Sheet2-计算明细'!$K$17:$K$99,$X6),"")</x:f>
        <x:v>100</x:v>
      </x:c>
      <x:c r="H6" s="52" t="n">
        <x:f>IF(ISNUMBER(INDEX('Sheet2-计算明细'!$L$17:$L$99,$X6)),INDEX('Sheet2-计算明细'!$L$17:$L$99,$X6),"")</x:f>
        <x:v>100</x:v>
      </x:c>
      <x:c r="I6" s="52" t="str">
        <x:f>IF(ISNUMBER(INDEX('Sheet2-计算明细'!$S$17:$S$99,$X6)),INDEX('Sheet2-计算明细'!$S$17:$S$99,$X6),"")</x:f>
      </x:c>
      <x:c r="J6" s="52" t="str">
        <x:f>IF(ISNUMBER(INDEX('Sheet2-计算明细'!$Y$17:$Y$99,$X6)),INDEX('Sheet2-计算明细'!$Y$17:$Y$99,$X6),"")</x:f>
      </x:c>
      <x:c r="K6" s="52" t="str">
        <x:f>IF(ISNUMBER(INDEX('Sheet2-计算明细'!$AC$17:$AC$99,$X6)),INDEX('Sheet2-计算明细'!$AC$17:$AC$99,$X6),"")</x:f>
      </x:c>
      <x:c r="L6" s="52" t="str">
        <x:f>IF(ISNUMBER(INDEX('Sheet2-计算明细'!$AI$17:$AI$99,$X6)),INDEX('Sheet2-计算明细'!$AI$17:$AI$99,$X6),"")</x:f>
      </x:c>
      <x:c r="M6" s="52" t="str">
        <x:f>IF(ISNUMBER(INDEX('Sheet2-计算明细'!$AK$17:$AK$99,$X6)),INDEX('Sheet2-计算明细'!$AK$17:$AK$99,$X6),"")</x:f>
      </x:c>
      <x:c r="N6" s="52" t="n">
        <x:f>IF(ISNUMBER(INDEX('Sheet2-计算明细'!$AL$17:$AL$99,$X6)),INDEX('Sheet2-计算明细'!$AL$17:$AL$99,$X6),"")</x:f>
        <x:v>96</x:v>
      </x:c>
      <x:c r="O6" s="52" t="str">
        <x:f>IF(ISNUMBER(INDEX('Sheet2-计算明细'!$AM$17:$AM$99,$X6)),INDEX('Sheet2-计算明细'!$AM$17:$AM$99,$X6),"")</x:f>
      </x:c>
      <x:c r="P6" s="52" t="str">
        <x:f>IF(ISNUMBER(INDEX('Sheet2-计算明细'!$AN$17:$AN$99,$X6)),INDEX('Sheet2-计算明细'!$AN$17:$AN$99,$X6),"")</x:f>
      </x:c>
      <x:c r="Q6" s="52" t="str">
        <x:f>IF(ISNUMBER(INDEX('Sheet2-计算明细'!$AO$17:$AO$99,$X6)),INDEX('Sheet2-计算明细'!$AO$17:$AO$99,$X6),"")</x:f>
      </x:c>
      <x:c r="R6" s="52" t="str">
        <x:f>IF(ISNUMBER(INDEX('Sheet2-计算明细'!$AP$17:$AP$99,$X6)),INDEX('Sheet2-计算明细'!$AP$17:$AP$99,$X6),"")</x:f>
      </x:c>
      <x:c r="S6" s="27" t="n">
        <x:f>IF(ISNUMBER(INDEX('Sheet2-计算明细'!$AQ$17:$AQ$99,$X6)),INDEX('Sheet2-计算明细'!$AQ$17:$AQ$99,$X6),"")</x:f>
        <x:v>0.15</x:v>
      </x:c>
      <x:c r="T6" s="52" t="n">
        <x:f>IF(ISNUMBER(INDEX('Sheet2-计算明细'!$AR$17:$AR$99,$X6)),INDEX('Sheet2-计算明细'!$AR$17:$AR$99,$X6),"")</x:f>
        <x:v>14.399999999999999</x:v>
      </x:c>
      <x:c r="U6" s="52" t="n">
        <x:f>IF(ISNUMBER(INDEX('Sheet2-计算明细'!$AS$17:$AS$99,$X6)),INDEX('Sheet2-计算明细'!$AS$17:$AS$99,$X6),"")</x:f>
        <x:v>96</x:v>
      </x:c>
      <x:c r="V6" s="52" t="str">
        <x:f>IF(ISNUMBER(INDEX('Sheet2-计算明细'!$AV$17:$AV$99,$X6)),INDEX('Sheet2-计算明细'!$AV$17:$AV$99,$X6),"")</x:f>
      </x:c>
      <x:c r="W6" s="40" t="str">
        <x:f>IF(INDEX('Sheet2-计算明细'!$AU$17:$AU$99,$X6)="","",INDEX('Sheet2-计算明细'!$AU$17:$AU$99,$X6))</x:f>
        <x:v>近一年收益；近一年胜率；近三年收益；近三年胜率；近三年回撤；近一年卡玛；</x:v>
      </x:c>
      <x:c r="X6" s="49" t="n">
        <x:f>MATCH(ROWS($X$6:X6),'Sheet2-计算明细'!$BJ$17:$BJ$99,0)</x:f>
        <x:v>34</x:v>
      </x:c>
      <x:c r="Y6" s="14" t="str">
        <x:f>IF(INDEX('Sheet2-计算明细'!$AX$17:$AX$99,$X6)="","",INDEX('Sheet2-计算明细'!$AX$17:$AX$99,$X6))</x:f>
        <x:v>套利策略</x:v>
      </x:c>
      <x:c r="Z6" s="14" t="str">
        <x:f>IF(INDEX('Sheet2-计算明细'!$AY$17:$AY$99,$X6)="","",INDEX('Sheet2-计算明细'!$AY$17:$AY$99,$X6))</x:f>
        <x:v>期权套利</x:v>
      </x:c>
      <x:c r="AA6" s="14" t="str">
        <x:f>IF(INDEX('Sheet2-计算明细'!$AW$17:$AW$99,$X6)="","",INDEX('Sheet2-计算明细'!$AW$17:$AW$99,$X6))</x:f>
        <x:v>暂定分／数据不完整</x:v>
      </x:c>
      <x:c r="AB6" s="49" t="n">
        <x:f>IF(ISNUMBER(INDEX('Sheet2-计算明细'!$A$17:$A$99,$X6)),INDEX('Sheet2-计算明细'!$A$17:$A$99,$X6),"")</x:f>
        <x:v>34</x:v>
      </x:c>
    </x:row>
    <x:row r="7" ht="44" customHeight="1">
      <x:c r="A7" s="14" t="n">
        <x:f>IF(ISNUMBER(INDEX('Sheet2-计算明细'!$AT$17:$AT$99,$X7)),INDEX('Sheet2-计算明细'!$AT$17:$AT$99,$X7),"")</x:f>
        <x:v>2</x:v>
      </x:c>
      <x:c r="B7" s="14" t="str">
        <x:f>IF(INDEX('Sheet2-计算明细'!$B$17:$B$99,$X7)="","",INDEX('Sheet2-计算明细'!$B$17:$B$99,$X7))</x:f>
        <x:v>锐耐复利倍增2号C类</x:v>
      </x:c>
      <x:c r="C7" s="14" t="str">
        <x:f>IF(INDEX('Sheet2-计算明细'!$C$17:$C$99,$X7)="","",INDEX('Sheet2-计算明细'!$C$17:$C$99,$X7))</x:f>
        <x:v>XV513C</x:v>
      </x:c>
      <x:c r="D7" s="14" t="str">
        <x:f>IF(INDEX('Sheet2-计算明细'!$D$17:$D$99,$X7)="","",INDEX('Sheet2-计算明细'!$D$17:$D$99,$X7))</x:f>
        <x:v>上海锐耐</x:v>
      </x:c>
      <x:c r="E7" s="14" t="str">
        <x:f>IF(INDEX('Sheet2-计算明细'!$G$17:$G$99,$X7)="","",INDEX('Sheet2-计算明细'!$G$17:$G$99,$X7))</x:f>
        <x:v>入池</x:v>
      </x:c>
      <x:c r="F7" s="52" t="n">
        <x:f>IF(ISNUMBER(INDEX('Sheet2-计算明细'!$I$17:$I$99,$X7)),INDEX('Sheet2-计算明细'!$I$17:$I$99,$X7),"")</x:f>
        <x:v>90</x:v>
      </x:c>
      <x:c r="G7" s="52" t="str">
        <x:f>IF(ISNUMBER(INDEX('Sheet2-计算明细'!$K$17:$K$99,$X7)),INDEX('Sheet2-计算明细'!$K$17:$K$99,$X7),"")</x:f>
      </x:c>
      <x:c r="H7" s="52" t="n">
        <x:f>IF(ISNUMBER(INDEX('Sheet2-计算明细'!$L$17:$L$99,$X7)),INDEX('Sheet2-计算明细'!$L$17:$L$99,$X7),"")</x:f>
        <x:v>100</x:v>
      </x:c>
      <x:c r="I7" s="52" t="str">
        <x:f>IF(ISNUMBER(INDEX('Sheet2-计算明细'!$S$17:$S$99,$X7)),INDEX('Sheet2-计算明细'!$S$17:$S$99,$X7),"")</x:f>
      </x:c>
      <x:c r="J7" s="52" t="str">
        <x:f>IF(ISNUMBER(INDEX('Sheet2-计算明细'!$Y$17:$Y$99,$X7)),INDEX('Sheet2-计算明细'!$Y$17:$Y$99,$X7),"")</x:f>
      </x:c>
      <x:c r="K7" s="52" t="str">
        <x:f>IF(ISNUMBER(INDEX('Sheet2-计算明细'!$AC$17:$AC$99,$X7)),INDEX('Sheet2-计算明细'!$AC$17:$AC$99,$X7),"")</x:f>
      </x:c>
      <x:c r="L7" s="52" t="str">
        <x:f>IF(ISNUMBER(INDEX('Sheet2-计算明细'!$AI$17:$AI$99,$X7)),INDEX('Sheet2-计算明细'!$AI$17:$AI$99,$X7),"")</x:f>
      </x:c>
      <x:c r="M7" s="52" t="str">
        <x:f>IF(ISNUMBER(INDEX('Sheet2-计算明细'!$AK$17:$AK$99,$X7)),INDEX('Sheet2-计算明细'!$AK$17:$AK$99,$X7),"")</x:f>
      </x:c>
      <x:c r="N7" s="52" t="n">
        <x:f>IF(ISNUMBER(INDEX('Sheet2-计算明细'!$AL$17:$AL$99,$X7)),INDEX('Sheet2-计算明细'!$AL$17:$AL$99,$X7),"")</x:f>
        <x:v>94.29</x:v>
      </x:c>
      <x:c r="O7" s="52" t="str">
        <x:f>IF(ISNUMBER(INDEX('Sheet2-计算明细'!$AM$17:$AM$99,$X7)),INDEX('Sheet2-计算明细'!$AM$17:$AM$99,$X7),"")</x:f>
      </x:c>
      <x:c r="P7" s="52" t="str">
        <x:f>IF(ISNUMBER(INDEX('Sheet2-计算明细'!$AN$17:$AN$99,$X7)),INDEX('Sheet2-计算明细'!$AN$17:$AN$99,$X7),"")</x:f>
      </x:c>
      <x:c r="Q7" s="52" t="str">
        <x:f>IF(ISNUMBER(INDEX('Sheet2-计算明细'!$AO$17:$AO$99,$X7)),INDEX('Sheet2-计算明细'!$AO$17:$AO$99,$X7),"")</x:f>
      </x:c>
      <x:c r="R7" s="52" t="str">
        <x:f>IF(ISNUMBER(INDEX('Sheet2-计算明细'!$AP$17:$AP$99,$X7)),INDEX('Sheet2-计算明细'!$AP$17:$AP$99,$X7),"")</x:f>
      </x:c>
      <x:c r="S7" s="27" t="n">
        <x:f>IF(ISNUMBER(INDEX('Sheet2-计算明细'!$AQ$17:$AQ$99,$X7)),INDEX('Sheet2-计算明细'!$AQ$17:$AQ$99,$X7),"")</x:f>
        <x:v>0.105</x:v>
      </x:c>
      <x:c r="T7" s="52" t="n">
        <x:f>IF(ISNUMBER(INDEX('Sheet2-计算明细'!$AR$17:$AR$99,$X7)),INDEX('Sheet2-计算明细'!$AR$17:$AR$99,$X7),"")</x:f>
        <x:v>9.899999999999999</x:v>
      </x:c>
      <x:c r="U7" s="52" t="n">
        <x:f>IF(ISNUMBER(INDEX('Sheet2-计算明细'!$AS$17:$AS$99,$X7)),INDEX('Sheet2-计算明细'!$AS$17:$AS$99,$X7),"")</x:f>
        <x:v>94.29</x:v>
      </x:c>
      <x:c r="V7" s="52" t="str">
        <x:f>IF(ISNUMBER(INDEX('Sheet2-计算明细'!$AV$17:$AV$99,$X7)),INDEX('Sheet2-计算明细'!$AV$17:$AV$99,$X7),"")</x:f>
      </x:c>
      <x:c r="W7" s="40" t="str">
        <x:f>IF(INDEX('Sheet2-计算明细'!$AU$17:$AU$99,$X7)="","",INDEX('Sheet2-计算明细'!$AU$17:$AU$99,$X7))</x:f>
        <x:v>产品规模标识；近一年收益；近一年胜率；近三年收益；近三年胜率；近三年回撤；近一年卡玛；</x:v>
      </x:c>
      <x:c r="X7" s="49" t="n">
        <x:f>MATCH(ROWS($X$6:X7),'Sheet2-计算明细'!$BJ$17:$BJ$99,0)</x:f>
        <x:v>51</x:v>
      </x:c>
      <x:c r="Y7" s="14" t="str">
        <x:f>IF(INDEX('Sheet2-计算明细'!$AX$17:$AX$99,$X7)="","",INDEX('Sheet2-计算明细'!$AX$17:$AX$99,$X7))</x:f>
        <x:v>套利策略</x:v>
      </x:c>
      <x:c r="Z7" s="14" t="str">
        <x:f>IF(INDEX('Sheet2-计算明细'!$AY$17:$AY$99,$X7)="","",INDEX('Sheet2-计算明细'!$AY$17:$AY$99,$X7))</x:f>
        <x:v>期货套利</x:v>
      </x:c>
      <x:c r="AA7" s="14" t="str">
        <x:f>IF(INDEX('Sheet2-计算明细'!$AW$17:$AW$99,$X7)="","",INDEX('Sheet2-计算明细'!$AW$17:$AW$99,$X7))</x:f>
        <x:v>暂定分／数据不完整</x:v>
      </x:c>
      <x:c r="AB7" s="49" t="n">
        <x:f>IF(ISNUMBER(INDEX('Sheet2-计算明细'!$A$17:$A$99,$X7)),INDEX('Sheet2-计算明细'!$A$17:$A$99,$X7),"")</x:f>
        <x:v>51</x:v>
      </x:c>
    </x:row>
    <x:row r="8" ht="44" customHeight="1">
      <x:c r="A8" s="14" t="n">
        <x:f>IF(ISNUMBER(INDEX('Sheet2-计算明细'!$AT$17:$AT$99,$X8)),INDEX('Sheet2-计算明细'!$AT$17:$AT$99,$X8),"")</x:f>
        <x:v>3</x:v>
      </x:c>
      <x:c r="B8" s="14" t="str">
        <x:f>IF(INDEX('Sheet2-计算明细'!$B$17:$B$99,$X8)="","",INDEX('Sheet2-计算明细'!$B$17:$B$99,$X8))</x:f>
        <x:v>惠隆金选套利1号</x:v>
      </x:c>
      <x:c r="C8" s="14" t="str">
        <x:f>IF(INDEX('Sheet2-计算明细'!$C$17:$C$99,$X8)="","",INDEX('Sheet2-计算明细'!$C$17:$C$99,$X8))</x:f>
        <x:v>SQG026</x:v>
      </x:c>
      <x:c r="D8" s="14" t="str">
        <x:f>IF(INDEX('Sheet2-计算明细'!$D$17:$D$99,$X8)="","",INDEX('Sheet2-计算明细'!$D$17:$D$99,$X8))</x:f>
        <x:v>北京惠隆资管</x:v>
      </x:c>
      <x:c r="E8" s="14" t="str">
        <x:f>IF(INDEX('Sheet2-计算明细'!$G$17:$G$99,$X8)="","",INDEX('Sheet2-计算明细'!$G$17:$G$99,$X8))</x:f>
        <x:v>入池</x:v>
      </x:c>
      <x:c r="F8" s="52" t="n">
        <x:f>IF(ISNUMBER(INDEX('Sheet2-计算明细'!$I$17:$I$99,$X8)),INDEX('Sheet2-计算明细'!$I$17:$I$99,$X8),"")</x:f>
        <x:v>80</x:v>
      </x:c>
      <x:c r="G8" s="52" t="n">
        <x:f>IF(ISNUMBER(INDEX('Sheet2-计算明细'!$K$17:$K$99,$X8)),INDEX('Sheet2-计算明细'!$K$17:$K$99,$X8),"")</x:f>
        <x:v>100</x:v>
      </x:c>
      <x:c r="H8" s="52" t="n">
        <x:f>IF(ISNUMBER(INDEX('Sheet2-计算明细'!$L$17:$L$99,$X8)),INDEX('Sheet2-计算明细'!$L$17:$L$99,$X8),"")</x:f>
        <x:v>100</x:v>
      </x:c>
      <x:c r="I8" s="52" t="n">
        <x:f>IF(ISNUMBER(INDEX('Sheet2-计算明细'!$S$17:$S$99,$X8)),INDEX('Sheet2-计算明细'!$S$17:$S$99,$X8),"")</x:f>
        <x:v>85.87</x:v>
      </x:c>
      <x:c r="J8" s="52" t="n">
        <x:f>IF(ISNUMBER(INDEX('Sheet2-计算明细'!$Y$17:$Y$99,$X8)),INDEX('Sheet2-计算明细'!$Y$17:$Y$99,$X8),"")</x:f>
        <x:v>100</x:v>
      </x:c>
      <x:c r="K8" s="52" t="n">
        <x:f>IF(ISNUMBER(INDEX('Sheet2-计算明细'!$AC$17:$AC$99,$X8)),INDEX('Sheet2-计算明细'!$AC$17:$AC$99,$X8),"")</x:f>
        <x:v>98.28</x:v>
      </x:c>
      <x:c r="L8" s="52" t="n">
        <x:f>IF(ISNUMBER(INDEX('Sheet2-计算明细'!$AI$17:$AI$99,$X8)),INDEX('Sheet2-计算明细'!$AI$17:$AI$99,$X8),"")</x:f>
        <x:v>94.55</x:v>
      </x:c>
      <x:c r="M8" s="52" t="n">
        <x:f>IF(ISNUMBER(INDEX('Sheet2-计算明细'!$AK$17:$AK$99,$X8)),INDEX('Sheet2-计算明细'!$AK$17:$AK$99,$X8),"")</x:f>
        <x:v>80</x:v>
      </x:c>
      <x:c r="N8" s="52" t="n">
        <x:f>IF(ISNUMBER(INDEX('Sheet2-计算明细'!$AL$17:$AL$99,$X8)),INDEX('Sheet2-计算明细'!$AL$17:$AL$99,$X8),"")</x:f>
        <x:v>92</x:v>
      </x:c>
      <x:c r="O8" s="52" t="n">
        <x:f>IF(ISNUMBER(INDEX('Sheet2-计算明细'!$AM$17:$AM$99,$X8)),INDEX('Sheet2-计算明细'!$AM$17:$AM$99,$X8),"")</x:f>
        <x:v>90.11</x:v>
      </x:c>
      <x:c r="P8" s="52" t="n">
        <x:f>IF(ISNUMBER(INDEX('Sheet2-计算明细'!$AN$17:$AN$99,$X8)),INDEX('Sheet2-计算明细'!$AN$17:$AN$99,$X8),"")</x:f>
        <x:v>98.28</x:v>
      </x:c>
      <x:c r="Q8" s="52" t="n">
        <x:f>IF(ISNUMBER(INDEX('Sheet2-计算明细'!$AO$17:$AO$99,$X8)),INDEX('Sheet2-计算明细'!$AO$17:$AO$99,$X8),"")</x:f>
        <x:v>94.55</x:v>
      </x:c>
      <x:c r="R8" s="52" t="n">
        <x:f>IF(ISNUMBER(INDEX('Sheet2-计算明细'!$AP$17:$AP$99,$X8)),INDEX('Sheet2-计算明细'!$AP$17:$AP$99,$X8),"")</x:f>
        <x:v>80</x:v>
      </x:c>
      <x:c r="S8" s="27" t="n">
        <x:f>IF(ISNUMBER(INDEX('Sheet2-计算明细'!$AQ$17:$AQ$99,$X8)),INDEX('Sheet2-计算明细'!$AQ$17:$AQ$99,$X8),"")</x:f>
        <x:v>0.88</x:v>
      </x:c>
      <x:c r="T8" s="52" t="n">
        <x:f>IF(ISNUMBER(INDEX('Sheet2-计算明细'!$AR$17:$AR$99,$X8)),INDEX('Sheet2-计算明细'!$AR$17:$AR$99,$X8),"")</x:f>
        <x:v>81.41051999999999</x:v>
      </x:c>
      <x:c r="U8" s="52" t="n">
        <x:f>IF(ISNUMBER(INDEX('Sheet2-计算明细'!$AS$17:$AS$99,$X8)),INDEX('Sheet2-计算明细'!$AS$17:$AS$99,$X8),"")</x:f>
        <x:v>92.51</x:v>
      </x:c>
      <x:c r="V8" s="52" t="str">
        <x:f>IF(ISNUMBER(INDEX('Sheet2-计算明细'!$AV$17:$AV$99,$X8)),INDEX('Sheet2-计算明细'!$AV$17:$AV$99,$X8),"")</x:f>
      </x:c>
      <x:c r="W8" s="40" t="str">
        <x:f>IF(INDEX('Sheet2-计算明细'!$AU$17:$AU$99,$X8)="","",INDEX('Sheet2-计算明细'!$AU$17:$AU$99,$X8))</x:f>
        <x:v>DD_long不可识别；</x:v>
      </x:c>
      <x:c r="X8" s="49" t="n">
        <x:f>MATCH(ROWS($X$6:X8),'Sheet2-计算明细'!$BJ$17:$BJ$99,0)</x:f>
        <x:v>21</x:v>
      </x:c>
      <x:c r="Y8" s="14" t="str">
        <x:f>IF(INDEX('Sheet2-计算明细'!$AX$17:$AX$99,$X8)="","",INDEX('Sheet2-计算明细'!$AX$17:$AX$99,$X8))</x:f>
        <x:v>套利策略</x:v>
      </x:c>
      <x:c r="Z8" s="14" t="str">
        <x:f>IF(INDEX('Sheet2-计算明细'!$AY$17:$AY$99,$X8)="","",INDEX('Sheet2-计算明细'!$AY$17:$AY$99,$X8))</x:f>
        <x:v>期货套利</x:v>
      </x:c>
      <x:c r="AA8" s="14" t="str">
        <x:f>IF(INDEX('Sheet2-计算明细'!$AW$17:$AW$99,$X8)="","",INDEX('Sheet2-计算明细'!$AW$17:$AW$99,$X8))</x:f>
        <x:v>暂定分／数据不完整</x:v>
      </x:c>
      <x:c r="AB8" s="49" t="n">
        <x:f>IF(ISNUMBER(INDEX('Sheet2-计算明细'!$A$17:$A$99,$X8)),INDEX('Sheet2-计算明细'!$A$17:$A$99,$X8),"")</x:f>
        <x:v>21</x:v>
      </x:c>
    </x:row>
    <x:row r="9" ht="44" customHeight="1">
      <x:c r="A9" s="14" t="n">
        <x:f>IF(ISNUMBER(INDEX('Sheet2-计算明细'!$AT$17:$AT$99,$X9)),INDEX('Sheet2-计算明细'!$AT$17:$AT$99,$X9),"")</x:f>
        <x:v>4</x:v>
      </x:c>
      <x:c r="B9" s="14" t="str">
        <x:f>IF(INDEX('Sheet2-计算明细'!$B$17:$B$99,$X9)="","",INDEX('Sheet2-计算明细'!$B$17:$B$99,$X9))</x:f>
        <x:v>龙壹盛善时1号</x:v>
      </x:c>
      <x:c r="C9" s="14" t="str">
        <x:f>IF(INDEX('Sheet2-计算明细'!$C$17:$C$99,$X9)="","",INDEX('Sheet2-计算明细'!$C$17:$C$99,$X9))</x:f>
        <x:v>SB1261</x:v>
      </x:c>
      <x:c r="D9" s="14" t="str">
        <x:f>IF(INDEX('Sheet2-计算明细'!$D$17:$D$99,$X9)="","",INDEX('Sheet2-计算明细'!$D$17:$D$99,$X9))</x:f>
        <x:v>杭州龙壹盛</x:v>
      </x:c>
      <x:c r="E9" s="14" t="str">
        <x:f>IF(INDEX('Sheet2-计算明细'!$G$17:$G$99,$X9)="","",INDEX('Sheet2-计算明细'!$G$17:$G$99,$X9))</x:f>
        <x:v>入池</x:v>
      </x:c>
      <x:c r="F9" s="52" t="n">
        <x:f>IF(ISNUMBER(INDEX('Sheet2-计算明细'!$I$17:$I$99,$X9)),INDEX('Sheet2-计算明细'!$I$17:$I$99,$X9),"")</x:f>
        <x:v>80</x:v>
      </x:c>
      <x:c r="G9" s="52" t="n">
        <x:f>IF(ISNUMBER(INDEX('Sheet2-计算明细'!$K$17:$K$99,$X9)),INDEX('Sheet2-计算明细'!$K$17:$K$99,$X9),"")</x:f>
        <x:v>100</x:v>
      </x:c>
      <x:c r="H9" s="52" t="n">
        <x:f>IF(ISNUMBER(INDEX('Sheet2-计算明细'!$L$17:$L$99,$X9)),INDEX('Sheet2-计算明细'!$L$17:$L$99,$X9),"")</x:f>
        <x:v>100</x:v>
      </x:c>
      <x:c r="I9" s="52" t="str">
        <x:f>IF(ISNUMBER(INDEX('Sheet2-计算明细'!$S$17:$S$99,$X9)),INDEX('Sheet2-计算明细'!$S$17:$S$99,$X9),"")</x:f>
      </x:c>
      <x:c r="J9" s="52" t="str">
        <x:f>IF(ISNUMBER(INDEX('Sheet2-计算明细'!$Y$17:$Y$99,$X9)),INDEX('Sheet2-计算明细'!$Y$17:$Y$99,$X9),"")</x:f>
      </x:c>
      <x:c r="K9" s="52" t="str">
        <x:f>IF(ISNUMBER(INDEX('Sheet2-计算明细'!$AC$17:$AC$99,$X9)),INDEX('Sheet2-计算明细'!$AC$17:$AC$99,$X9),"")</x:f>
      </x:c>
      <x:c r="L9" s="52" t="str">
        <x:f>IF(ISNUMBER(INDEX('Sheet2-计算明细'!$AI$17:$AI$99,$X9)),INDEX('Sheet2-计算明细'!$AI$17:$AI$99,$X9),"")</x:f>
      </x:c>
      <x:c r="M9" s="52" t="str">
        <x:f>IF(ISNUMBER(INDEX('Sheet2-计算明细'!$AK$17:$AK$99,$X9)),INDEX('Sheet2-计算明细'!$AK$17:$AK$99,$X9),"")</x:f>
      </x:c>
      <x:c r="N9" s="52" t="n">
        <x:f>IF(ISNUMBER(INDEX('Sheet2-计算明细'!$AL$17:$AL$99,$X9)),INDEX('Sheet2-计算明细'!$AL$17:$AL$99,$X9),"")</x:f>
        <x:v>92</x:v>
      </x:c>
      <x:c r="O9" s="52" t="str">
        <x:f>IF(ISNUMBER(INDEX('Sheet2-计算明细'!$AM$17:$AM$99,$X9)),INDEX('Sheet2-计算明细'!$AM$17:$AM$99,$X9),"")</x:f>
      </x:c>
      <x:c r="P9" s="52" t="str">
        <x:f>IF(ISNUMBER(INDEX('Sheet2-计算明细'!$AN$17:$AN$99,$X9)),INDEX('Sheet2-计算明细'!$AN$17:$AN$99,$X9),"")</x:f>
      </x:c>
      <x:c r="Q9" s="52" t="str">
        <x:f>IF(ISNUMBER(INDEX('Sheet2-计算明细'!$AO$17:$AO$99,$X9)),INDEX('Sheet2-计算明细'!$AO$17:$AO$99,$X9),"")</x:f>
      </x:c>
      <x:c r="R9" s="52" t="str">
        <x:f>IF(ISNUMBER(INDEX('Sheet2-计算明细'!$AP$17:$AP$99,$X9)),INDEX('Sheet2-计算明细'!$AP$17:$AP$99,$X9),"")</x:f>
      </x:c>
      <x:c r="S9" s="27" t="n">
        <x:f>IF(ISNUMBER(INDEX('Sheet2-计算明细'!$AQ$17:$AQ$99,$X9)),INDEX('Sheet2-计算明细'!$AQ$17:$AQ$99,$X9),"")</x:f>
        <x:v>0.15</x:v>
      </x:c>
      <x:c r="T9" s="52" t="n">
        <x:f>IF(ISNUMBER(INDEX('Sheet2-计算明细'!$AR$17:$AR$99,$X9)),INDEX('Sheet2-计算明细'!$AR$17:$AR$99,$X9),"")</x:f>
        <x:v>13.8</x:v>
      </x:c>
      <x:c r="U9" s="52" t="n">
        <x:f>IF(ISNUMBER(INDEX('Sheet2-计算明细'!$AS$17:$AS$99,$X9)),INDEX('Sheet2-计算明细'!$AS$17:$AS$99,$X9),"")</x:f>
        <x:v>92</x:v>
      </x:c>
      <x:c r="V9" s="52" t="str">
        <x:f>IF(ISNUMBER(INDEX('Sheet2-计算明细'!$AV$17:$AV$99,$X9)),INDEX('Sheet2-计算明细'!$AV$17:$AV$99,$X9),"")</x:f>
      </x:c>
      <x:c r="W9" s="40" t="str">
        <x:f>IF(INDEX('Sheet2-计算明细'!$AU$17:$AU$99,$X9)="","",INDEX('Sheet2-计算明细'!$AU$17:$AU$99,$X9))</x:f>
        <x:v>近一年收益；近一年胜率；近三年收益；近三年胜率；近三年回撤；近一年卡玛；</x:v>
      </x:c>
      <x:c r="X9" s="49" t="n">
        <x:f>MATCH(ROWS($X$6:X9),'Sheet2-计算明细'!$BJ$17:$BJ$99,0)</x:f>
        <x:v>36</x:v>
      </x:c>
      <x:c r="Y9" s="14" t="str">
        <x:f>IF(INDEX('Sheet2-计算明细'!$AX$17:$AX$99,$X9)="","",INDEX('Sheet2-计算明细'!$AX$17:$AX$99,$X9))</x:f>
        <x:v>套利策略</x:v>
      </x:c>
      <x:c r="Z9" s="14" t="str">
        <x:f>IF(INDEX('Sheet2-计算明细'!$AY$17:$AY$99,$X9)="","",INDEX('Sheet2-计算明细'!$AY$17:$AY$99,$X9))</x:f>
        <x:v>期货套利</x:v>
      </x:c>
      <x:c r="AA9" s="14" t="str">
        <x:f>IF(INDEX('Sheet2-计算明细'!$AW$17:$AW$99,$X9)="","",INDEX('Sheet2-计算明细'!$AW$17:$AW$99,$X9))</x:f>
        <x:v>暂定分／数据不完整</x:v>
      </x:c>
      <x:c r="AB9" s="49" t="n">
        <x:f>IF(ISNUMBER(INDEX('Sheet2-计算明细'!$A$17:$A$99,$X9)),INDEX('Sheet2-计算明细'!$A$17:$A$99,$X9),"")</x:f>
        <x:v>36</x:v>
      </x:c>
    </x:row>
    <x:row r="10" ht="44" customHeight="1">
      <x:c r="A10" s="14" t="n">
        <x:f>IF(ISNUMBER(INDEX('Sheet2-计算明细'!$AT$17:$AT$99,$X10)),INDEX('Sheet2-计算明细'!$AT$17:$AT$99,$X10),"")</x:f>
        <x:v>5</x:v>
      </x:c>
      <x:c r="B10" s="14" t="str">
        <x:f>IF(INDEX('Sheet2-计算明细'!$B$17:$B$99,$X10)="","",INDEX('Sheet2-计算明细'!$B$17:$B$99,$X10))</x:f>
        <x:v>深度梦扬量化套利0号</x:v>
      </x:c>
      <x:c r="C10" s="14" t="str">
        <x:f>IF(INDEX('Sheet2-计算明细'!$C$17:$C$99,$X10)="","",INDEX('Sheet2-计算明细'!$C$17:$C$99,$X10))</x:f>
        <x:v>SQD620</x:v>
      </x:c>
      <x:c r="D10" s="14" t="str">
        <x:f>IF(INDEX('Sheet2-计算明细'!$D$17:$D$99,$X10)="","",INDEX('Sheet2-计算明细'!$D$17:$D$99,$X10))</x:f>
        <x:v>杭州深度资管</x:v>
      </x:c>
      <x:c r="E10" s="14" t="str">
        <x:f>IF(INDEX('Sheet2-计算明细'!$G$17:$G$99,$X10)="","",INDEX('Sheet2-计算明细'!$G$17:$G$99,$X10))</x:f>
        <x:v>入池</x:v>
      </x:c>
      <x:c r="F10" s="52" t="n">
        <x:f>IF(ISNUMBER(INDEX('Sheet2-计算明细'!$I$17:$I$99,$X10)),INDEX('Sheet2-计算明细'!$I$17:$I$99,$X10),"")</x:f>
        <x:v>80</x:v>
      </x:c>
      <x:c r="G10" s="52" t="n">
        <x:f>IF(ISNUMBER(INDEX('Sheet2-计算明细'!$K$17:$K$99,$X10)),INDEX('Sheet2-计算明细'!$K$17:$K$99,$X10),"")</x:f>
        <x:v>100</x:v>
      </x:c>
      <x:c r="H10" s="52" t="n">
        <x:f>IF(ISNUMBER(INDEX('Sheet2-计算明细'!$L$17:$L$99,$X10)),INDEX('Sheet2-计算明细'!$L$17:$L$99,$X10),"")</x:f>
        <x:v>100</x:v>
      </x:c>
      <x:c r="I10" s="52" t="str">
        <x:f>IF(ISNUMBER(INDEX('Sheet2-计算明细'!$S$17:$S$99,$X10)),INDEX('Sheet2-计算明细'!$S$17:$S$99,$X10),"")</x:f>
      </x:c>
      <x:c r="J10" s="52" t="str">
        <x:f>IF(ISNUMBER(INDEX('Sheet2-计算明细'!$Y$17:$Y$99,$X10)),INDEX('Sheet2-计算明细'!$Y$17:$Y$99,$X10),"")</x:f>
      </x:c>
      <x:c r="K10" s="52" t="str">
        <x:f>IF(ISNUMBER(INDEX('Sheet2-计算明细'!$AC$17:$AC$99,$X10)),INDEX('Sheet2-计算明细'!$AC$17:$AC$99,$X10),"")</x:f>
      </x:c>
      <x:c r="L10" s="52" t="str">
        <x:f>IF(ISNUMBER(INDEX('Sheet2-计算明细'!$AI$17:$AI$99,$X10)),INDEX('Sheet2-计算明细'!$AI$17:$AI$99,$X10),"")</x:f>
      </x:c>
      <x:c r="M10" s="52" t="str">
        <x:f>IF(ISNUMBER(INDEX('Sheet2-计算明细'!$AK$17:$AK$99,$X10)),INDEX('Sheet2-计算明细'!$AK$17:$AK$99,$X10),"")</x:f>
      </x:c>
      <x:c r="N10" s="52" t="n">
        <x:f>IF(ISNUMBER(INDEX('Sheet2-计算明细'!$AL$17:$AL$99,$X10)),INDEX('Sheet2-计算明细'!$AL$17:$AL$99,$X10),"")</x:f>
        <x:v>92</x:v>
      </x:c>
      <x:c r="O10" s="52" t="str">
        <x:f>IF(ISNUMBER(INDEX('Sheet2-计算明细'!$AM$17:$AM$99,$X10)),INDEX('Sheet2-计算明细'!$AM$17:$AM$99,$X10),"")</x:f>
      </x:c>
      <x:c r="P10" s="52" t="str">
        <x:f>IF(ISNUMBER(INDEX('Sheet2-计算明细'!$AN$17:$AN$99,$X10)),INDEX('Sheet2-计算明细'!$AN$17:$AN$99,$X10),"")</x:f>
      </x:c>
      <x:c r="Q10" s="52" t="str">
        <x:f>IF(ISNUMBER(INDEX('Sheet2-计算明细'!$AO$17:$AO$99,$X10)),INDEX('Sheet2-计算明细'!$AO$17:$AO$99,$X10),"")</x:f>
      </x:c>
      <x:c r="R10" s="52" t="str">
        <x:f>IF(ISNUMBER(INDEX('Sheet2-计算明细'!$AP$17:$AP$99,$X10)),INDEX('Sheet2-计算明细'!$AP$17:$AP$99,$X10),"")</x:f>
      </x:c>
      <x:c r="S10" s="27" t="n">
        <x:f>IF(ISNUMBER(INDEX('Sheet2-计算明细'!$AQ$17:$AQ$99,$X10)),INDEX('Sheet2-计算明细'!$AQ$17:$AQ$99,$X10),"")</x:f>
        <x:v>0.15</x:v>
      </x:c>
      <x:c r="T10" s="52" t="n">
        <x:f>IF(ISNUMBER(INDEX('Sheet2-计算明细'!$AR$17:$AR$99,$X10)),INDEX('Sheet2-计算明细'!$AR$17:$AR$99,$X10),"")</x:f>
        <x:v>13.8</x:v>
      </x:c>
      <x:c r="U10" s="52" t="n">
        <x:f>IF(ISNUMBER(INDEX('Sheet2-计算明细'!$AS$17:$AS$99,$X10)),INDEX('Sheet2-计算明细'!$AS$17:$AS$99,$X10),"")</x:f>
        <x:v>92</x:v>
      </x:c>
      <x:c r="V10" s="52" t="str">
        <x:f>IF(ISNUMBER(INDEX('Sheet2-计算明细'!$AV$17:$AV$99,$X10)),INDEX('Sheet2-计算明细'!$AV$17:$AV$99,$X10),"")</x:f>
      </x:c>
      <x:c r="W10" s="40" t="str">
        <x:f>IF(INDEX('Sheet2-计算明细'!$AU$17:$AU$99,$X10)="","",INDEX('Sheet2-计算明细'!$AU$17:$AU$99,$X10))</x:f>
        <x:v>近一年收益；近一年胜率；近三年收益；近三年胜率；近三年回撤；近一年卡玛；</x:v>
      </x:c>
      <x:c r="X10" s="49" t="n">
        <x:f>MATCH(ROWS($X$6:X10),'Sheet2-计算明细'!$BJ$17:$BJ$99,0)</x:f>
        <x:v>56</x:v>
      </x:c>
      <x:c r="Y10" s="14" t="str">
        <x:f>IF(INDEX('Sheet2-计算明细'!$AX$17:$AX$99,$X10)="","",INDEX('Sheet2-计算明细'!$AX$17:$AX$99,$X10))</x:f>
        <x:v>期权策略</x:v>
      </x:c>
      <x:c r="Z10" s="14" t="str">
        <x:f>IF(INDEX('Sheet2-计算明细'!$AY$17:$AY$99,$X10)="","",INDEX('Sheet2-计算明细'!$AY$17:$AY$99,$X10))</x:f>
        <x:v>场内期权</x:v>
      </x:c>
      <x:c r="AA10" s="14" t="str">
        <x:f>IF(INDEX('Sheet2-计算明细'!$AW$17:$AW$99,$X10)="","",INDEX('Sheet2-计算明细'!$AW$17:$AW$99,$X10))</x:f>
        <x:v>暂定分／数据不完整</x:v>
      </x:c>
      <x:c r="AB10" s="49" t="n">
        <x:f>IF(ISNUMBER(INDEX('Sheet2-计算明细'!$A$17:$A$99,$X10)),INDEX('Sheet2-计算明细'!$A$17:$A$99,$X10),"")</x:f>
        <x:v>56</x:v>
      </x:c>
    </x:row>
    <x:row r="11" ht="44" customHeight="1">
      <x:c r="A11" s="14" t="n">
        <x:f>IF(ISNUMBER(INDEX('Sheet2-计算明细'!$AT$17:$AT$99,$X11)),INDEX('Sheet2-计算明细'!$AT$17:$AT$99,$X11),"")</x:f>
        <x:v>6</x:v>
      </x:c>
      <x:c r="B11" s="14" t="str">
        <x:f>IF(INDEX('Sheet2-计算明细'!$B$17:$B$99,$X11)="","",INDEX('Sheet2-计算明细'!$B$17:$B$99,$X11))</x:f>
        <x:v>放牛人5号</x:v>
      </x:c>
      <x:c r="C11" s="14" t="str">
        <x:f>IF(INDEX('Sheet2-计算明细'!$C$17:$C$99,$X11)="","",INDEX('Sheet2-计算明细'!$C$17:$C$99,$X11))</x:f>
        <x:v>SVH487</x:v>
      </x:c>
      <x:c r="D11" s="14" t="str">
        <x:f>IF(INDEX('Sheet2-计算明细'!$D$17:$D$99,$X11)="","",INDEX('Sheet2-计算明细'!$D$17:$D$99,$X11))</x:f>
        <x:v>上海放牛人</x:v>
      </x:c>
      <x:c r="E11" s="14" t="str">
        <x:f>IF(INDEX('Sheet2-计算明细'!$G$17:$G$99,$X11)="","",INDEX('Sheet2-计算明细'!$G$17:$G$99,$X11))</x:f>
        <x:v>入池</x:v>
      </x:c>
      <x:c r="F11" s="52" t="n">
        <x:f>IF(ISNUMBER(INDEX('Sheet2-计算明细'!$I$17:$I$99,$X11)),INDEX('Sheet2-计算明细'!$I$17:$I$99,$X11),"")</x:f>
        <x:v>60</x:v>
      </x:c>
      <x:c r="G11" s="52" t="n">
        <x:f>IF(ISNUMBER(INDEX('Sheet2-计算明细'!$K$17:$K$99,$X11)),INDEX('Sheet2-计算明细'!$K$17:$K$99,$X11),"")</x:f>
        <x:v>100</x:v>
      </x:c>
      <x:c r="H11" s="52" t="n">
        <x:f>IF(ISNUMBER(INDEX('Sheet2-计算明细'!$L$17:$L$99,$X11)),INDEX('Sheet2-计算明细'!$L$17:$L$99,$X11),"")</x:f>
        <x:v>100</x:v>
      </x:c>
      <x:c r="I11" s="52" t="n">
        <x:f>IF(ISNUMBER(INDEX('Sheet2-计算明细'!$S$17:$S$99,$X11)),INDEX('Sheet2-计算明细'!$S$17:$S$99,$X11),"")</x:f>
        <x:v>56.97</x:v>
      </x:c>
      <x:c r="J11" s="52" t="n">
        <x:f>IF(ISNUMBER(INDEX('Sheet2-计算明细'!$Y$17:$Y$99,$X11)),INDEX('Sheet2-计算明细'!$Y$17:$Y$99,$X11),"")</x:f>
        <x:v>96.66</x:v>
      </x:c>
      <x:c r="K11" s="52" t="n">
        <x:f>IF(ISNUMBER(INDEX('Sheet2-计算明细'!$AC$17:$AC$99,$X11)),INDEX('Sheet2-计算明细'!$AC$17:$AC$99,$X11),"")</x:f>
        <x:v>96.55</x:v>
      </x:c>
      <x:c r="L11" s="52" t="n">
        <x:f>IF(ISNUMBER(INDEX('Sheet2-计算明细'!$AI$17:$AI$99,$X11)),INDEX('Sheet2-计算明细'!$AI$17:$AI$99,$X11),"")</x:f>
        <x:v>100</x:v>
      </x:c>
      <x:c r="M11" s="52" t="n">
        <x:f>IF(ISNUMBER(INDEX('Sheet2-计算明细'!$AK$17:$AK$99,$X11)),INDEX('Sheet2-计算明细'!$AK$17:$AK$99,$X11),"")</x:f>
        <x:v>100</x:v>
      </x:c>
      <x:c r="N11" s="52" t="n">
        <x:f>IF(ISNUMBER(INDEX('Sheet2-计算明细'!$AL$17:$AL$99,$X11)),INDEX('Sheet2-计算明细'!$AL$17:$AL$99,$X11),"")</x:f>
        <x:v>84</x:v>
      </x:c>
      <x:c r="O11" s="52" t="n">
        <x:f>IF(ISNUMBER(INDEX('Sheet2-计算明细'!$AM$17:$AM$99,$X11)),INDEX('Sheet2-计算明细'!$AM$17:$AM$99,$X11),"")</x:f>
        <x:v>68.88</x:v>
      </x:c>
      <x:c r="P11" s="52" t="n">
        <x:f>IF(ISNUMBER(INDEX('Sheet2-计算明细'!$AN$17:$AN$99,$X11)),INDEX('Sheet2-计算明细'!$AN$17:$AN$99,$X11),"")</x:f>
        <x:v>96.55</x:v>
      </x:c>
      <x:c r="Q11" s="52" t="n">
        <x:f>IF(ISNUMBER(INDEX('Sheet2-计算明细'!$AO$17:$AO$99,$X11)),INDEX('Sheet2-计算明细'!$AO$17:$AO$99,$X11),"")</x:f>
        <x:v>100</x:v>
      </x:c>
      <x:c r="R11" s="52" t="n">
        <x:f>IF(ISNUMBER(INDEX('Sheet2-计算明细'!$AP$17:$AP$99,$X11)),INDEX('Sheet2-计算明细'!$AP$17:$AP$99,$X11),"")</x:f>
        <x:v>100</x:v>
      </x:c>
      <x:c r="S11" s="27" t="n">
        <x:f>IF(ISNUMBER(INDEX('Sheet2-计算明细'!$AQ$17:$AQ$99,$X11)),INDEX('Sheet2-计算明细'!$AQ$17:$AQ$99,$X11),"")</x:f>
        <x:v>1</x:v>
      </x:c>
      <x:c r="T11" s="52" t="n">
        <x:f>IF(ISNUMBER(INDEX('Sheet2-计算明细'!$AR$17:$AR$99,$X11)),INDEX('Sheet2-计算明细'!$AR$17:$AR$99,$X11),"")</x:f>
        <x:v>90.51257</x:v>
      </x:c>
      <x:c r="U11" s="52" t="n">
        <x:f>IF(ISNUMBER(INDEX('Sheet2-计算明细'!$AS$17:$AS$99,$X11)),INDEX('Sheet2-计算明细'!$AS$17:$AS$99,$X11),"")</x:f>
        <x:v>90.51</x:v>
      </x:c>
      <x:c r="V11" s="52" t="n">
        <x:f>IF(ISNUMBER(INDEX('Sheet2-计算明细'!$AV$17:$AV$99,$X11)),INDEX('Sheet2-计算明细'!$AV$17:$AV$99,$X11),"")</x:f>
        <x:v>90.51257</x:v>
      </x:c>
      <x:c r="W11" s="40" t="str">
        <x:f>IF(INDEX('Sheet2-计算明细'!$AU$17:$AU$99,$X11)="","",INDEX('Sheet2-计算明细'!$AU$17:$AU$99,$X11))</x:f>
      </x:c>
      <x:c r="X11" s="49" t="n">
        <x:f>MATCH(ROWS($X$6:X11),'Sheet2-计算明细'!$BJ$17:$BJ$99,0)</x:f>
        <x:v>16</x:v>
      </x:c>
      <x:c r="Y11" s="14" t="str">
        <x:f>IF(INDEX('Sheet2-计算明细'!$AX$17:$AX$99,$X11)="","",INDEX('Sheet2-计算明细'!$AX$17:$AX$99,$X11))</x:f>
        <x:v>套利策略</x:v>
      </x:c>
      <x:c r="Z11" s="14" t="str">
        <x:f>IF(INDEX('Sheet2-计算明细'!$AY$17:$AY$99,$X11)="","",INDEX('Sheet2-计算明细'!$AY$17:$AY$99,$X11))</x:f>
        <x:v>期货套利</x:v>
      </x:c>
      <x:c r="AA11" s="14" t="str">
        <x:f>IF(INDEX('Sheet2-计算明细'!$AW$17:$AW$99,$X11)="","",INDEX('Sheet2-计算明细'!$AW$17:$AW$99,$X11))</x:f>
        <x:v>完整赋分</x:v>
      </x:c>
      <x:c r="AB11" s="49" t="n">
        <x:f>IF(ISNUMBER(INDEX('Sheet2-计算明细'!$A$17:$A$99,$X11)),INDEX('Sheet2-计算明细'!$A$17:$A$99,$X11),"")</x:f>
        <x:v>16</x:v>
      </x:c>
    </x:row>
    <x:row r="12" ht="44" customHeight="1">
      <x:c r="A12" s="14" t="n">
        <x:f>IF(ISNUMBER(INDEX('Sheet2-计算明细'!$AT$17:$AT$99,$X12)),INDEX('Sheet2-计算明细'!$AT$17:$AT$99,$X12),"")</x:f>
        <x:v>7</x:v>
      </x:c>
      <x:c r="B12" s="14" t="str">
        <x:f>IF(INDEX('Sheet2-计算明细'!$B$17:$B$99,$X12)="","",INDEX('Sheet2-计算明细'!$B$17:$B$99,$X12))</x:f>
        <x:v>裕锦量化专享1号</x:v>
      </x:c>
      <x:c r="C12" s="14" t="str">
        <x:f>IF(INDEX('Sheet2-计算明细'!$C$17:$C$99,$X12)="","",INDEX('Sheet2-计算明细'!$C$17:$C$99,$X12))</x:f>
        <x:v>SNE165</x:v>
      </x:c>
      <x:c r="D12" s="14" t="str">
        <x:f>IF(INDEX('Sheet2-计算明细'!$D$17:$D$99,$X12)="","",INDEX('Sheet2-计算明细'!$D$17:$D$99,$X12))</x:f>
        <x:v>深圳裕锦</x:v>
      </x:c>
      <x:c r="E12" s="14" t="str">
        <x:f>IF(INDEX('Sheet2-计算明细'!$G$17:$G$99,$X12)="","",INDEX('Sheet2-计算明细'!$G$17:$G$99,$X12))</x:f>
        <x:v>入池</x:v>
      </x:c>
      <x:c r="F12" s="52" t="n">
        <x:f>IF(ISNUMBER(INDEX('Sheet2-计算明细'!$I$17:$I$99,$X12)),INDEX('Sheet2-计算明细'!$I$17:$I$99,$X12),"")</x:f>
        <x:v>80</x:v>
      </x:c>
      <x:c r="G12" s="52" t="n">
        <x:f>IF(ISNUMBER(INDEX('Sheet2-计算明细'!$K$17:$K$99,$X12)),INDEX('Sheet2-计算明细'!$K$17:$K$99,$X12),"")</x:f>
        <x:v>100</x:v>
      </x:c>
      <x:c r="H12" s="52" t="n">
        <x:f>IF(ISNUMBER(INDEX('Sheet2-计算明细'!$L$17:$L$99,$X12)),INDEX('Sheet2-计算明细'!$L$17:$L$99,$X12),"")</x:f>
        <x:v>100</x:v>
      </x:c>
      <x:c r="I12" s="52" t="n">
        <x:f>IF(ISNUMBER(INDEX('Sheet2-计算明细'!$S$17:$S$99,$X12)),INDEX('Sheet2-计算明细'!$S$17:$S$99,$X12),"")</x:f>
        <x:v>90.28</x:v>
      </x:c>
      <x:c r="J12" s="52" t="n">
        <x:f>IF(ISNUMBER(INDEX('Sheet2-计算明细'!$Y$17:$Y$99,$X12)),INDEX('Sheet2-计算明细'!$Y$17:$Y$99,$X12),"")</x:f>
        <x:v>81.15</x:v>
      </x:c>
      <x:c r="K12" s="52" t="n">
        <x:f>IF(ISNUMBER(INDEX('Sheet2-计算明细'!$AC$17:$AC$99,$X12)),INDEX('Sheet2-计算明细'!$AC$17:$AC$99,$X12),"")</x:f>
        <x:v>77.59</x:v>
      </x:c>
      <x:c r="L12" s="52" t="n">
        <x:f>IF(ISNUMBER(INDEX('Sheet2-计算明细'!$AI$17:$AI$99,$X12)),INDEX('Sheet2-计算明细'!$AI$17:$AI$99,$X12),"")</x:f>
        <x:v>94.21</x:v>
      </x:c>
      <x:c r="M12" s="52" t="n">
        <x:f>IF(ISNUMBER(INDEX('Sheet2-计算明细'!$AK$17:$AK$99,$X12)),INDEX('Sheet2-计算明细'!$AK$17:$AK$99,$X12),"")</x:f>
        <x:v>100</x:v>
      </x:c>
      <x:c r="N12" s="52" t="n">
        <x:f>IF(ISNUMBER(INDEX('Sheet2-计算明细'!$AL$17:$AL$99,$X12)),INDEX('Sheet2-计算明细'!$AL$17:$AL$99,$X12),"")</x:f>
        <x:v>92</x:v>
      </x:c>
      <x:c r="O12" s="52" t="n">
        <x:f>IF(ISNUMBER(INDEX('Sheet2-计算明细'!$AM$17:$AM$99,$X12)),INDEX('Sheet2-计算明细'!$AM$17:$AM$99,$X12),"")</x:f>
        <x:v>87.54</x:v>
      </x:c>
      <x:c r="P12" s="52" t="n">
        <x:f>IF(ISNUMBER(INDEX('Sheet2-计算明细'!$AN$17:$AN$99,$X12)),INDEX('Sheet2-计算明细'!$AN$17:$AN$99,$X12),"")</x:f>
        <x:v>77.59</x:v>
      </x:c>
      <x:c r="Q12" s="52" t="n">
        <x:f>IF(ISNUMBER(INDEX('Sheet2-计算明细'!$AO$17:$AO$99,$X12)),INDEX('Sheet2-计算明细'!$AO$17:$AO$99,$X12),"")</x:f>
        <x:v>94.21</x:v>
      </x:c>
      <x:c r="R12" s="52" t="n">
        <x:f>IF(ISNUMBER(INDEX('Sheet2-计算明细'!$AP$17:$AP$99,$X12)),INDEX('Sheet2-计算明细'!$AP$17:$AP$99,$X12),"")</x:f>
        <x:v>100</x:v>
      </x:c>
      <x:c r="S12" s="27" t="n">
        <x:f>IF(ISNUMBER(INDEX('Sheet2-计算明细'!$AQ$17:$AQ$99,$X12)),INDEX('Sheet2-计算明细'!$AQ$17:$AQ$99,$X12),"")</x:f>
        <x:v>1</x:v>
      </x:c>
      <x:c r="T12" s="52" t="n">
        <x:f>IF(ISNUMBER(INDEX('Sheet2-计算明细'!$AR$17:$AR$99,$X12)),INDEX('Sheet2-计算明细'!$AR$17:$AR$99,$X12),"")</x:f>
        <x:v>88.96816</x:v>
      </x:c>
      <x:c r="U12" s="52" t="n">
        <x:f>IF(ISNUMBER(INDEX('Sheet2-计算明细'!$AS$17:$AS$99,$X12)),INDEX('Sheet2-计算明细'!$AS$17:$AS$99,$X12),"")</x:f>
        <x:v>88.97</x:v>
      </x:c>
      <x:c r="V12" s="52" t="n">
        <x:f>IF(ISNUMBER(INDEX('Sheet2-计算明细'!$AV$17:$AV$99,$X12)),INDEX('Sheet2-计算明细'!$AV$17:$AV$99,$X12),"")</x:f>
        <x:v>88.96816</x:v>
      </x:c>
      <x:c r="W12" s="40" t="str">
        <x:f>IF(INDEX('Sheet2-计算明细'!$AU$17:$AU$99,$X12)="","",INDEX('Sheet2-计算明细'!$AU$17:$AU$99,$X12))</x:f>
      </x:c>
      <x:c r="X12" s="49" t="n">
        <x:f>MATCH(ROWS($X$6:X12),'Sheet2-计算明细'!$BJ$17:$BJ$99,0)</x:f>
        <x:v>73</x:v>
      </x:c>
      <x:c r="Y12" s="14" t="str">
        <x:f>IF(INDEX('Sheet2-计算明细'!$AX$17:$AX$99,$X12)="","",INDEX('Sheet2-计算明细'!$AX$17:$AX$99,$X12))</x:f>
        <x:v>套利策略</x:v>
      </x:c>
      <x:c r="Z12" s="14" t="str">
        <x:f>IF(INDEX('Sheet2-计算明细'!$AY$17:$AY$99,$X12)="","",INDEX('Sheet2-计算明细'!$AY$17:$AY$99,$X12))</x:f>
        <x:v>期货套利</x:v>
      </x:c>
      <x:c r="AA12" s="14" t="str">
        <x:f>IF(INDEX('Sheet2-计算明细'!$AW$17:$AW$99,$X12)="","",INDEX('Sheet2-计算明细'!$AW$17:$AW$99,$X12))</x:f>
        <x:v>完整赋分</x:v>
      </x:c>
      <x:c r="AB12" s="49" t="n">
        <x:f>IF(ISNUMBER(INDEX('Sheet2-计算明细'!$A$17:$A$99,$X12)),INDEX('Sheet2-计算明细'!$A$17:$A$99,$X12),"")</x:f>
        <x:v>73</x:v>
      </x:c>
    </x:row>
    <x:row r="13" ht="44" customHeight="1">
      <x:c r="A13" s="14" t="n">
        <x:f>IF(ISNUMBER(INDEX('Sheet2-计算明细'!$AT$17:$AT$99,$X13)),INDEX('Sheet2-计算明细'!$AT$17:$AT$99,$X13),"")</x:f>
        <x:v>8</x:v>
      </x:c>
      <x:c r="B13" s="14" t="str">
        <x:f>IF(INDEX('Sheet2-计算明细'!$B$17:$B$99,$X13)="","",INDEX('Sheet2-计算明细'!$B$17:$B$99,$X13))</x:f>
        <x:v>滨风风云瑞丰1号</x:v>
      </x:c>
      <x:c r="C13" s="14" t="str">
        <x:f>IF(INDEX('Sheet2-计算明细'!$C$17:$C$99,$X13)="","",INDEX('Sheet2-计算明细'!$C$17:$C$99,$X13))</x:f>
        <x:v>SXL267</x:v>
      </x:c>
      <x:c r="D13" s="14" t="str">
        <x:f>IF(INDEX('Sheet2-计算明细'!$D$17:$D$99,$X13)="","",INDEX('Sheet2-计算明细'!$D$17:$D$99,$X13))</x:f>
        <x:v>鹰潭滨风投资</x:v>
      </x:c>
      <x:c r="E13" s="14" t="str">
        <x:f>IF(INDEX('Sheet2-计算明细'!$G$17:$G$99,$X13)="","",INDEX('Sheet2-计算明细'!$G$17:$G$99,$X13))</x:f>
        <x:v>入池</x:v>
      </x:c>
      <x:c r="F13" s="52" t="n">
        <x:f>IF(ISNUMBER(INDEX('Sheet2-计算明细'!$I$17:$I$99,$X13)),INDEX('Sheet2-计算明细'!$I$17:$I$99,$X13),"")</x:f>
        <x:v>70</x:v>
      </x:c>
      <x:c r="G13" s="52" t="n">
        <x:f>IF(ISNUMBER(INDEX('Sheet2-计算明细'!$K$17:$K$99,$X13)),INDEX('Sheet2-计算明细'!$K$17:$K$99,$X13),"")</x:f>
        <x:v>100</x:v>
      </x:c>
      <x:c r="H13" s="52" t="n">
        <x:f>IF(ISNUMBER(INDEX('Sheet2-计算明细'!$L$17:$L$99,$X13)),INDEX('Sheet2-计算明细'!$L$17:$L$99,$X13),"")</x:f>
        <x:v>100</x:v>
      </x:c>
      <x:c r="I13" s="52" t="str">
        <x:f>IF(ISNUMBER(INDEX('Sheet2-计算明细'!$S$17:$S$99,$X13)),INDEX('Sheet2-计算明细'!$S$17:$S$99,$X13),"")</x:f>
      </x:c>
      <x:c r="J13" s="52" t="str">
        <x:f>IF(ISNUMBER(INDEX('Sheet2-计算明细'!$Y$17:$Y$99,$X13)),INDEX('Sheet2-计算明细'!$Y$17:$Y$99,$X13),"")</x:f>
      </x:c>
      <x:c r="K13" s="52" t="str">
        <x:f>IF(ISNUMBER(INDEX('Sheet2-计算明细'!$AC$17:$AC$99,$X13)),INDEX('Sheet2-计算明细'!$AC$17:$AC$99,$X13),"")</x:f>
      </x:c>
      <x:c r="L13" s="52" t="str">
        <x:f>IF(ISNUMBER(INDEX('Sheet2-计算明细'!$AI$17:$AI$99,$X13)),INDEX('Sheet2-计算明细'!$AI$17:$AI$99,$X13),"")</x:f>
      </x:c>
      <x:c r="M13" s="52" t="str">
        <x:f>IF(ISNUMBER(INDEX('Sheet2-计算明细'!$AK$17:$AK$99,$X13)),INDEX('Sheet2-计算明细'!$AK$17:$AK$99,$X13),"")</x:f>
      </x:c>
      <x:c r="N13" s="52" t="n">
        <x:f>IF(ISNUMBER(INDEX('Sheet2-计算明细'!$AL$17:$AL$99,$X13)),INDEX('Sheet2-计算明细'!$AL$17:$AL$99,$X13),"")</x:f>
        <x:v>88</x:v>
      </x:c>
      <x:c r="O13" s="52" t="str">
        <x:f>IF(ISNUMBER(INDEX('Sheet2-计算明细'!$AM$17:$AM$99,$X13)),INDEX('Sheet2-计算明细'!$AM$17:$AM$99,$X13),"")</x:f>
      </x:c>
      <x:c r="P13" s="52" t="str">
        <x:f>IF(ISNUMBER(INDEX('Sheet2-计算明细'!$AN$17:$AN$99,$X13)),INDEX('Sheet2-计算明细'!$AN$17:$AN$99,$X13),"")</x:f>
      </x:c>
      <x:c r="Q13" s="52" t="str">
        <x:f>IF(ISNUMBER(INDEX('Sheet2-计算明细'!$AO$17:$AO$99,$X13)),INDEX('Sheet2-计算明细'!$AO$17:$AO$99,$X13),"")</x:f>
      </x:c>
      <x:c r="R13" s="52" t="str">
        <x:f>IF(ISNUMBER(INDEX('Sheet2-计算明细'!$AP$17:$AP$99,$X13)),INDEX('Sheet2-计算明细'!$AP$17:$AP$99,$X13),"")</x:f>
      </x:c>
      <x:c r="S13" s="27" t="n">
        <x:f>IF(ISNUMBER(INDEX('Sheet2-计算明细'!$AQ$17:$AQ$99,$X13)),INDEX('Sheet2-计算明细'!$AQ$17:$AQ$99,$X13),"")</x:f>
        <x:v>0.15</x:v>
      </x:c>
      <x:c r="T13" s="52" t="n">
        <x:f>IF(ISNUMBER(INDEX('Sheet2-计算明细'!$AR$17:$AR$99,$X13)),INDEX('Sheet2-计算明细'!$AR$17:$AR$99,$X13),"")</x:f>
        <x:v>13.2</x:v>
      </x:c>
      <x:c r="U13" s="52" t="n">
        <x:f>IF(ISNUMBER(INDEX('Sheet2-计算明细'!$AS$17:$AS$99,$X13)),INDEX('Sheet2-计算明细'!$AS$17:$AS$99,$X13),"")</x:f>
        <x:v>88</x:v>
      </x:c>
      <x:c r="V13" s="52" t="str">
        <x:f>IF(ISNUMBER(INDEX('Sheet2-计算明细'!$AV$17:$AV$99,$X13)),INDEX('Sheet2-计算明细'!$AV$17:$AV$99,$X13),"")</x:f>
      </x:c>
      <x:c r="W13" s="40" t="str">
        <x:f>IF(INDEX('Sheet2-计算明细'!$AU$17:$AU$99,$X13)="","",INDEX('Sheet2-计算明细'!$AU$17:$AU$99,$X13))</x:f>
        <x:v>近一年收益；近一年胜率；近三年收益；近三年胜率；近三年回撤；近一年卡玛；</x:v>
      </x:c>
      <x:c r="X13" s="49" t="n">
        <x:f>MATCH(ROWS($X$6:X13),'Sheet2-计算明细'!$BJ$17:$BJ$99,0)</x:f>
        <x:v>2</x:v>
      </x:c>
      <x:c r="Y13" s="14" t="str">
        <x:f>IF(INDEX('Sheet2-计算明细'!$AX$17:$AX$99,$X13)="","",INDEX('Sheet2-计算明细'!$AX$17:$AX$99,$X13))</x:f>
        <x:v>期货策略</x:v>
      </x:c>
      <x:c r="Z13" s="14" t="str">
        <x:f>IF(INDEX('Sheet2-计算明细'!$AY$17:$AY$99,$X13)="","",INDEX('Sheet2-计算明细'!$AY$17:$AY$99,$X13))</x:f>
        <x:v>量化期货</x:v>
      </x:c>
      <x:c r="AA13" s="14" t="str">
        <x:f>IF(INDEX('Sheet2-计算明细'!$AW$17:$AW$99,$X13)="","",INDEX('Sheet2-计算明细'!$AW$17:$AW$99,$X13))</x:f>
        <x:v>暂定分／数据不完整</x:v>
      </x:c>
      <x:c r="AB13" s="49" t="n">
        <x:f>IF(ISNUMBER(INDEX('Sheet2-计算明细'!$A$17:$A$99,$X13)),INDEX('Sheet2-计算明细'!$A$17:$A$99,$X13),"")</x:f>
        <x:v>2</x:v>
      </x:c>
    </x:row>
    <x:row r="14" ht="44" customHeight="1">
      <x:c r="A14" s="14" t="n">
        <x:f>IF(ISNUMBER(INDEX('Sheet2-计算明细'!$AT$17:$AT$99,$X14)),INDEX('Sheet2-计算明细'!$AT$17:$AT$99,$X14),"")</x:f>
        <x:v>9</x:v>
      </x:c>
      <x:c r="B14" s="14" t="str">
        <x:f>IF(INDEX('Sheet2-计算明细'!$B$17:$B$99,$X14)="","",INDEX('Sheet2-计算明细'!$B$17:$B$99,$X14))</x:f>
        <x:v>常行7号</x:v>
      </x:c>
      <x:c r="C14" s="14" t="str">
        <x:f>IF(INDEX('Sheet2-计算明细'!$C$17:$C$99,$X14)="","",INDEX('Sheet2-计算明细'!$C$17:$C$99,$X14))</x:f>
        <x:v>SQH214</x:v>
      </x:c>
      <x:c r="D14" s="14" t="str">
        <x:f>IF(INDEX('Sheet2-计算明细'!$D$17:$D$99,$X14)="","",INDEX('Sheet2-计算明细'!$D$17:$D$99,$X14))</x:f>
        <x:v>江苏常行投资</x:v>
      </x:c>
      <x:c r="E14" s="14" t="str">
        <x:f>IF(INDEX('Sheet2-计算明细'!$G$17:$G$99,$X14)="","",INDEX('Sheet2-计算明细'!$G$17:$G$99,$X14))</x:f>
        <x:v>入池</x:v>
      </x:c>
      <x:c r="F14" s="52" t="n">
        <x:f>IF(ISNUMBER(INDEX('Sheet2-计算明细'!$I$17:$I$99,$X14)),INDEX('Sheet2-计算明细'!$I$17:$I$99,$X14),"")</x:f>
        <x:v>70</x:v>
      </x:c>
      <x:c r="G14" s="52" t="n">
        <x:f>IF(ISNUMBER(INDEX('Sheet2-计算明细'!$K$17:$K$99,$X14)),INDEX('Sheet2-计算明细'!$K$17:$K$99,$X14),"")</x:f>
        <x:v>100</x:v>
      </x:c>
      <x:c r="H14" s="52" t="n">
        <x:f>IF(ISNUMBER(INDEX('Sheet2-计算明细'!$L$17:$L$99,$X14)),INDEX('Sheet2-计算明细'!$L$17:$L$99,$X14),"")</x:f>
        <x:v>100</x:v>
      </x:c>
      <x:c r="I14" s="52" t="str">
        <x:f>IF(ISNUMBER(INDEX('Sheet2-计算明细'!$S$17:$S$99,$X14)),INDEX('Sheet2-计算明细'!$S$17:$S$99,$X14),"")</x:f>
      </x:c>
      <x:c r="J14" s="52" t="str">
        <x:f>IF(ISNUMBER(INDEX('Sheet2-计算明细'!$Y$17:$Y$99,$X14)),INDEX('Sheet2-计算明细'!$Y$17:$Y$99,$X14),"")</x:f>
      </x:c>
      <x:c r="K14" s="52" t="str">
        <x:f>IF(ISNUMBER(INDEX('Sheet2-计算明细'!$AC$17:$AC$99,$X14)),INDEX('Sheet2-计算明细'!$AC$17:$AC$99,$X14),"")</x:f>
      </x:c>
      <x:c r="L14" s="52" t="str">
        <x:f>IF(ISNUMBER(INDEX('Sheet2-计算明细'!$AI$17:$AI$99,$X14)),INDEX('Sheet2-计算明细'!$AI$17:$AI$99,$X14),"")</x:f>
      </x:c>
      <x:c r="M14" s="52" t="str">
        <x:f>IF(ISNUMBER(INDEX('Sheet2-计算明细'!$AK$17:$AK$99,$X14)),INDEX('Sheet2-计算明细'!$AK$17:$AK$99,$X14),"")</x:f>
      </x:c>
      <x:c r="N14" s="52" t="n">
        <x:f>IF(ISNUMBER(INDEX('Sheet2-计算明细'!$AL$17:$AL$99,$X14)),INDEX('Sheet2-计算明细'!$AL$17:$AL$99,$X14),"")</x:f>
        <x:v>88</x:v>
      </x:c>
      <x:c r="O14" s="52" t="str">
        <x:f>IF(ISNUMBER(INDEX('Sheet2-计算明细'!$AM$17:$AM$99,$X14)),INDEX('Sheet2-计算明细'!$AM$17:$AM$99,$X14),"")</x:f>
      </x:c>
      <x:c r="P14" s="52" t="str">
        <x:f>IF(ISNUMBER(INDEX('Sheet2-计算明细'!$AN$17:$AN$99,$X14)),INDEX('Sheet2-计算明细'!$AN$17:$AN$99,$X14),"")</x:f>
      </x:c>
      <x:c r="Q14" s="52" t="str">
        <x:f>IF(ISNUMBER(INDEX('Sheet2-计算明细'!$AO$17:$AO$99,$X14)),INDEX('Sheet2-计算明细'!$AO$17:$AO$99,$X14),"")</x:f>
      </x:c>
      <x:c r="R14" s="52" t="str">
        <x:f>IF(ISNUMBER(INDEX('Sheet2-计算明细'!$AP$17:$AP$99,$X14)),INDEX('Sheet2-计算明细'!$AP$17:$AP$99,$X14),"")</x:f>
      </x:c>
      <x:c r="S14" s="27" t="n">
        <x:f>IF(ISNUMBER(INDEX('Sheet2-计算明细'!$AQ$17:$AQ$99,$X14)),INDEX('Sheet2-计算明细'!$AQ$17:$AQ$99,$X14),"")</x:f>
        <x:v>0.15</x:v>
      </x:c>
      <x:c r="T14" s="52" t="n">
        <x:f>IF(ISNUMBER(INDEX('Sheet2-计算明细'!$AR$17:$AR$99,$X14)),INDEX('Sheet2-计算明细'!$AR$17:$AR$99,$X14),"")</x:f>
        <x:v>13.2</x:v>
      </x:c>
      <x:c r="U14" s="52" t="n">
        <x:f>IF(ISNUMBER(INDEX('Sheet2-计算明细'!$AS$17:$AS$99,$X14)),INDEX('Sheet2-计算明细'!$AS$17:$AS$99,$X14),"")</x:f>
        <x:v>88</x:v>
      </x:c>
      <x:c r="V14" s="52" t="str">
        <x:f>IF(ISNUMBER(INDEX('Sheet2-计算明细'!$AV$17:$AV$99,$X14)),INDEX('Sheet2-计算明细'!$AV$17:$AV$99,$X14),"")</x:f>
      </x:c>
      <x:c r="W14" s="40" t="str">
        <x:f>IF(INDEX('Sheet2-计算明细'!$AU$17:$AU$99,$X14)="","",INDEX('Sheet2-计算明细'!$AU$17:$AU$99,$X14))</x:f>
        <x:v>近一年收益；近一年胜率；近三年收益；近三年胜率；近三年回撤；近一年卡玛；</x:v>
      </x:c>
      <x:c r="X14" s="49" t="n">
        <x:f>MATCH(ROWS($X$6:X14),'Sheet2-计算明细'!$BJ$17:$BJ$99,0)</x:f>
        <x:v>7</x:v>
      </x:c>
      <x:c r="Y14" s="14" t="str">
        <x:f>IF(INDEX('Sheet2-计算明细'!$AX$17:$AX$99,$X14)="","",INDEX('Sheet2-计算明细'!$AX$17:$AX$99,$X14))</x:f>
        <x:v>套利策略</x:v>
      </x:c>
      <x:c r="Z14" s="14" t="str">
        <x:f>IF(INDEX('Sheet2-计算明细'!$AY$17:$AY$99,$X14)="","",INDEX('Sheet2-计算明细'!$AY$17:$AY$99,$X14))</x:f>
        <x:v>期货套利</x:v>
      </x:c>
      <x:c r="AA14" s="14" t="str">
        <x:f>IF(INDEX('Sheet2-计算明细'!$AW$17:$AW$99,$X14)="","",INDEX('Sheet2-计算明细'!$AW$17:$AW$99,$X14))</x:f>
        <x:v>暂定分／数据不完整</x:v>
      </x:c>
      <x:c r="AB14" s="49" t="n">
        <x:f>IF(ISNUMBER(INDEX('Sheet2-计算明细'!$A$17:$A$99,$X14)),INDEX('Sheet2-计算明细'!$A$17:$A$99,$X14),"")</x:f>
        <x:v>7</x:v>
      </x:c>
    </x:row>
    <x:row r="15" ht="44" customHeight="1">
      <x:c r="A15" s="14" t="n">
        <x:f>IF(ISNUMBER(INDEX('Sheet2-计算明细'!$AT$17:$AT$99,$X15)),INDEX('Sheet2-计算明细'!$AT$17:$AT$99,$X15),"")</x:f>
        <x:v>10</x:v>
      </x:c>
      <x:c r="B15" s="14" t="str">
        <x:f>IF(INDEX('Sheet2-计算明细'!$B$17:$B$99,$X15)="","",INDEX('Sheet2-计算明细'!$B$17:$B$99,$X15))</x:f>
        <x:v>金锝牵星1号C类</x:v>
      </x:c>
      <x:c r="C15" s="14" t="str">
        <x:f>IF(INDEX('Sheet2-计算明细'!$C$17:$C$99,$X15)="","",INDEX('Sheet2-计算明细'!$C$17:$C$99,$X15))</x:f>
        <x:v>ASB89C</x:v>
      </x:c>
      <x:c r="D15" s="14" t="str">
        <x:f>IF(INDEX('Sheet2-计算明细'!$D$17:$D$99,$X15)="","",INDEX('Sheet2-计算明细'!$D$17:$D$99,$X15))</x:f>
        <x:v>上海金锝资管</x:v>
      </x:c>
      <x:c r="E15" s="14" t="str">
        <x:f>IF(INDEX('Sheet2-计算明细'!$G$17:$G$99,$X15)="","",INDEX('Sheet2-计算明细'!$G$17:$G$99,$X15))</x:f>
        <x:v>入池</x:v>
      </x:c>
      <x:c r="F15" s="52" t="n">
        <x:f>IF(ISNUMBER(INDEX('Sheet2-计算明细'!$I$17:$I$99,$X15)),INDEX('Sheet2-计算明细'!$I$17:$I$99,$X15),"")</x:f>
        <x:v>100</x:v>
      </x:c>
      <x:c r="G15" s="52" t="str">
        <x:f>IF(ISNUMBER(INDEX('Sheet2-计算明细'!$K$17:$K$99,$X15)),INDEX('Sheet2-计算明细'!$K$17:$K$99,$X15),"")</x:f>
      </x:c>
      <x:c r="H15" s="52" t="n">
        <x:f>IF(ISNUMBER(INDEX('Sheet2-计算明细'!$L$17:$L$99,$X15)),INDEX('Sheet2-计算明细'!$L$17:$L$99,$X15),"")</x:f>
        <x:v>70</x:v>
      </x:c>
      <x:c r="I15" s="52" t="str">
        <x:f>IF(ISNUMBER(INDEX('Sheet2-计算明细'!$S$17:$S$99,$X15)),INDEX('Sheet2-计算明细'!$S$17:$S$99,$X15),"")</x:f>
      </x:c>
      <x:c r="J15" s="52" t="str">
        <x:f>IF(ISNUMBER(INDEX('Sheet2-计算明细'!$Y$17:$Y$99,$X15)),INDEX('Sheet2-计算明细'!$Y$17:$Y$99,$X15),"")</x:f>
      </x:c>
      <x:c r="K15" s="52" t="str">
        <x:f>IF(ISNUMBER(INDEX('Sheet2-计算明细'!$AC$17:$AC$99,$X15)),INDEX('Sheet2-计算明细'!$AC$17:$AC$99,$X15),"")</x:f>
      </x:c>
      <x:c r="L15" s="52" t="str">
        <x:f>IF(ISNUMBER(INDEX('Sheet2-计算明细'!$AI$17:$AI$99,$X15)),INDEX('Sheet2-计算明细'!$AI$17:$AI$99,$X15),"")</x:f>
      </x:c>
      <x:c r="M15" s="52" t="str">
        <x:f>IF(ISNUMBER(INDEX('Sheet2-计算明细'!$AK$17:$AK$99,$X15)),INDEX('Sheet2-计算明细'!$AK$17:$AK$99,$X15),"")</x:f>
      </x:c>
      <x:c r="N15" s="52" t="n">
        <x:f>IF(ISNUMBER(INDEX('Sheet2-计算明细'!$AL$17:$AL$99,$X15)),INDEX('Sheet2-计算明细'!$AL$17:$AL$99,$X15),"")</x:f>
        <x:v>87.14</x:v>
      </x:c>
      <x:c r="O15" s="52" t="str">
        <x:f>IF(ISNUMBER(INDEX('Sheet2-计算明细'!$AM$17:$AM$99,$X15)),INDEX('Sheet2-计算明细'!$AM$17:$AM$99,$X15),"")</x:f>
      </x:c>
      <x:c r="P15" s="52" t="str">
        <x:f>IF(ISNUMBER(INDEX('Sheet2-计算明细'!$AN$17:$AN$99,$X15)),INDEX('Sheet2-计算明细'!$AN$17:$AN$99,$X15),"")</x:f>
      </x:c>
      <x:c r="Q15" s="52" t="str">
        <x:f>IF(ISNUMBER(INDEX('Sheet2-计算明细'!$AO$17:$AO$99,$X15)),INDEX('Sheet2-计算明细'!$AO$17:$AO$99,$X15),"")</x:f>
      </x:c>
      <x:c r="R15" s="52" t="str">
        <x:f>IF(ISNUMBER(INDEX('Sheet2-计算明细'!$AP$17:$AP$99,$X15)),INDEX('Sheet2-计算明细'!$AP$17:$AP$99,$X15),"")</x:f>
      </x:c>
      <x:c r="S15" s="27" t="n">
        <x:f>IF(ISNUMBER(INDEX('Sheet2-计算明细'!$AQ$17:$AQ$99,$X15)),INDEX('Sheet2-计算明细'!$AQ$17:$AQ$99,$X15),"")</x:f>
        <x:v>0.105</x:v>
      </x:c>
      <x:c r="T15" s="52" t="n">
        <x:f>IF(ISNUMBER(INDEX('Sheet2-计算明细'!$AR$17:$AR$99,$X15)),INDEX('Sheet2-计算明细'!$AR$17:$AR$99,$X15),"")</x:f>
        <x:v>9.15</x:v>
      </x:c>
      <x:c r="U15" s="52" t="n">
        <x:f>IF(ISNUMBER(INDEX('Sheet2-计算明细'!$AS$17:$AS$99,$X15)),INDEX('Sheet2-计算明细'!$AS$17:$AS$99,$X15),"")</x:f>
        <x:v>87.14</x:v>
      </x:c>
      <x:c r="V15" s="52" t="str">
        <x:f>IF(ISNUMBER(INDEX('Sheet2-计算明细'!$AV$17:$AV$99,$X15)),INDEX('Sheet2-计算明细'!$AV$17:$AV$99,$X15),"")</x:f>
      </x:c>
      <x:c r="W15" s="40" t="str">
        <x:f>IF(INDEX('Sheet2-计算明细'!$AU$17:$AU$99,$X15)="","",INDEX('Sheet2-计算明细'!$AU$17:$AU$99,$X15))</x:f>
        <x:v>产品规模标识；近一年收益；近一年胜率；近三年收益；近三年胜率；近三年回撤；近一年卡玛；成立以来年化；</x:v>
      </x:c>
      <x:c r="X15" s="49" t="n">
        <x:f>MATCH(ROWS($X$6:X15),'Sheet2-计算明细'!$BJ$17:$BJ$99,0)</x:f>
        <x:v>27</x:v>
      </x:c>
      <x:c r="Y15" s="14" t="str">
        <x:f>IF(INDEX('Sheet2-计算明细'!$AX$17:$AX$99,$X15)="","",INDEX('Sheet2-计算明细'!$AX$17:$AX$99,$X15))</x:f>
        <x:v>套利策略</x:v>
      </x:c>
      <x:c r="Z15" s="14" t="str">
        <x:f>IF(INDEX('Sheet2-计算明细'!$AY$17:$AY$99,$X15)="","",INDEX('Sheet2-计算明细'!$AY$17:$AY$99,$X15))</x:f>
        <x:v>期权套利</x:v>
      </x:c>
      <x:c r="AA15" s="14" t="str">
        <x:f>IF(INDEX('Sheet2-计算明细'!$AW$17:$AW$99,$X15)="","",INDEX('Sheet2-计算明细'!$AW$17:$AW$99,$X15))</x:f>
        <x:v>暂定分／数据不完整</x:v>
      </x:c>
      <x:c r="AB15" s="49" t="n">
        <x:f>IF(ISNUMBER(INDEX('Sheet2-计算明细'!$A$17:$A$99,$X15)),INDEX('Sheet2-计算明细'!$A$17:$A$99,$X15),"")</x:f>
        <x:v>27</x:v>
      </x:c>
    </x:row>
    <x:row r="16" ht="44" customHeight="1">
      <x:c r="A16" s="14" t="n">
        <x:f>IF(ISNUMBER(INDEX('Sheet2-计算明细'!$AT$17:$AT$99,$X16)),INDEX('Sheet2-计算明细'!$AT$17:$AT$99,$X16),"")</x:f>
        <x:v>11</x:v>
      </x:c>
      <x:c r="B16" s="14" t="str">
        <x:f>IF(INDEX('Sheet2-计算明细'!$B$17:$B$99,$X16)="","",INDEX('Sheet2-计算明细'!$B$17:$B$99,$X16))</x:f>
        <x:v>量金灵瑞1号</x:v>
      </x:c>
      <x:c r="C16" s="14" t="str">
        <x:f>IF(INDEX('Sheet2-计算明细'!$C$17:$C$99,$X16)="","",INDEX('Sheet2-计算明细'!$C$17:$C$99,$X16))</x:f>
        <x:v>SAPV10</x:v>
      </x:c>
      <x:c r="D16" s="14" t="str">
        <x:f>IF(INDEX('Sheet2-计算明细'!$D$17:$D$99,$X16)="","",INDEX('Sheet2-计算明细'!$D$17:$D$99,$X16))</x:f>
        <x:v>上海坤灵</x:v>
      </x:c>
      <x:c r="E16" s="14" t="str">
        <x:f>IF(INDEX('Sheet2-计算明细'!$G$17:$G$99,$X16)="","",INDEX('Sheet2-计算明细'!$G$17:$G$99,$X16))</x:f>
        <x:v>入池</x:v>
      </x:c>
      <x:c r="F16" s="52" t="n">
        <x:f>IF(ISNUMBER(INDEX('Sheet2-计算明细'!$I$17:$I$99,$X16)),INDEX('Sheet2-计算明细'!$I$17:$I$99,$X16),"")</x:f>
        <x:v>90</x:v>
      </x:c>
      <x:c r="G16" s="52" t="n">
        <x:f>IF(ISNUMBER(INDEX('Sheet2-计算明细'!$K$17:$K$99,$X16)),INDEX('Sheet2-计算明细'!$K$17:$K$99,$X16),"")</x:f>
        <x:v>100</x:v>
      </x:c>
      <x:c r="H16" s="52" t="n">
        <x:f>IF(ISNUMBER(INDEX('Sheet2-计算明细'!$L$17:$L$99,$X16)),INDEX('Sheet2-计算明细'!$L$17:$L$99,$X16),"")</x:f>
        <x:v>70</x:v>
      </x:c>
      <x:c r="I16" s="52" t="str">
        <x:f>IF(ISNUMBER(INDEX('Sheet2-计算明细'!$S$17:$S$99,$X16)),INDEX('Sheet2-计算明细'!$S$17:$S$99,$X16),"")</x:f>
      </x:c>
      <x:c r="J16" s="52" t="str">
        <x:f>IF(ISNUMBER(INDEX('Sheet2-计算明细'!$Y$17:$Y$99,$X16)),INDEX('Sheet2-计算明细'!$Y$17:$Y$99,$X16),"")</x:f>
      </x:c>
      <x:c r="K16" s="52" t="str">
        <x:f>IF(ISNUMBER(INDEX('Sheet2-计算明细'!$AC$17:$AC$99,$X16)),INDEX('Sheet2-计算明细'!$AC$17:$AC$99,$X16),"")</x:f>
      </x:c>
      <x:c r="L16" s="52" t="str">
        <x:f>IF(ISNUMBER(INDEX('Sheet2-计算明细'!$AI$17:$AI$99,$X16)),INDEX('Sheet2-计算明细'!$AI$17:$AI$99,$X16),"")</x:f>
      </x:c>
      <x:c r="M16" s="52" t="str">
        <x:f>IF(ISNUMBER(INDEX('Sheet2-计算明细'!$AK$17:$AK$99,$X16)),INDEX('Sheet2-计算明细'!$AK$17:$AK$99,$X16),"")</x:f>
      </x:c>
      <x:c r="N16" s="52" t="n">
        <x:f>IF(ISNUMBER(INDEX('Sheet2-计算明细'!$AL$17:$AL$99,$X16)),INDEX('Sheet2-计算明细'!$AL$17:$AL$99,$X16),"")</x:f>
        <x:v>87</x:v>
      </x:c>
      <x:c r="O16" s="52" t="str">
        <x:f>IF(ISNUMBER(INDEX('Sheet2-计算明细'!$AM$17:$AM$99,$X16)),INDEX('Sheet2-计算明细'!$AM$17:$AM$99,$X16),"")</x:f>
      </x:c>
      <x:c r="P16" s="52" t="str">
        <x:f>IF(ISNUMBER(INDEX('Sheet2-计算明细'!$AN$17:$AN$99,$X16)),INDEX('Sheet2-计算明细'!$AN$17:$AN$99,$X16),"")</x:f>
      </x:c>
      <x:c r="Q16" s="52" t="str">
        <x:f>IF(ISNUMBER(INDEX('Sheet2-计算明细'!$AO$17:$AO$99,$X16)),INDEX('Sheet2-计算明细'!$AO$17:$AO$99,$X16),"")</x:f>
      </x:c>
      <x:c r="R16" s="52" t="str">
        <x:f>IF(ISNUMBER(INDEX('Sheet2-计算明细'!$AP$17:$AP$99,$X16)),INDEX('Sheet2-计算明细'!$AP$17:$AP$99,$X16),"")</x:f>
      </x:c>
      <x:c r="S16" s="27" t="n">
        <x:f>IF(ISNUMBER(INDEX('Sheet2-计算明细'!$AQ$17:$AQ$99,$X16)),INDEX('Sheet2-计算明细'!$AQ$17:$AQ$99,$X16),"")</x:f>
        <x:v>0.15</x:v>
      </x:c>
      <x:c r="T16" s="52" t="n">
        <x:f>IF(ISNUMBER(INDEX('Sheet2-计算明细'!$AR$17:$AR$99,$X16)),INDEX('Sheet2-计算明细'!$AR$17:$AR$99,$X16),"")</x:f>
        <x:v>13.049999999999999</x:v>
      </x:c>
      <x:c r="U16" s="52" t="n">
        <x:f>IF(ISNUMBER(INDEX('Sheet2-计算明细'!$AS$17:$AS$99,$X16)),INDEX('Sheet2-计算明细'!$AS$17:$AS$99,$X16),"")</x:f>
        <x:v>87</x:v>
      </x:c>
      <x:c r="V16" s="52" t="str">
        <x:f>IF(ISNUMBER(INDEX('Sheet2-计算明细'!$AV$17:$AV$99,$X16)),INDEX('Sheet2-计算明细'!$AV$17:$AV$99,$X16),"")</x:f>
      </x:c>
      <x:c r="W16" s="40" t="str">
        <x:f>IF(INDEX('Sheet2-计算明细'!$AU$17:$AU$99,$X16)="","",INDEX('Sheet2-计算明细'!$AU$17:$AU$99,$X16))</x:f>
        <x:v>近一年收益；近一年胜率；近三年收益；近三年胜率；近三年回撤；近一年卡玛；成立以来年化；</x:v>
      </x:c>
      <x:c r="X16" s="49" t="n">
        <x:f>MATCH(ROWS($X$6:X16),'Sheet2-计算明细'!$BJ$17:$BJ$99,0)</x:f>
        <x:v>33</x:v>
      </x:c>
      <x:c r="Y16" s="14" t="str">
        <x:f>IF(INDEX('Sheet2-计算明细'!$AX$17:$AX$99,$X16)="","",INDEX('Sheet2-计算明细'!$AX$17:$AX$99,$X16))</x:f>
        <x:v>套利策略</x:v>
      </x:c>
      <x:c r="Z16" s="14" t="str">
        <x:f>IF(INDEX('Sheet2-计算明细'!$AY$17:$AY$99,$X16)="","",INDEX('Sheet2-计算明细'!$AY$17:$AY$99,$X16))</x:f>
        <x:v>期货套利</x:v>
      </x:c>
      <x:c r="AA16" s="14" t="str">
        <x:f>IF(INDEX('Sheet2-计算明细'!$AW$17:$AW$99,$X16)="","",INDEX('Sheet2-计算明细'!$AW$17:$AW$99,$X16))</x:f>
        <x:v>暂定分／数据不完整</x:v>
      </x:c>
      <x:c r="AB16" s="49" t="n">
        <x:f>IF(ISNUMBER(INDEX('Sheet2-计算明细'!$A$17:$A$99,$X16)),INDEX('Sheet2-计算明细'!$A$17:$A$99,$X16),"")</x:f>
        <x:v>33</x:v>
      </x:c>
    </x:row>
    <x:row r="17" ht="44" customHeight="1">
      <x:c r="A17" s="14" t="n">
        <x:f>IF(ISNUMBER(INDEX('Sheet2-计算明细'!$AT$17:$AT$99,$X17)),INDEX('Sheet2-计算明细'!$AT$17:$AT$99,$X17),"")</x:f>
        <x:v>12</x:v>
      </x:c>
      <x:c r="B17" s="14" t="str">
        <x:f>IF(INDEX('Sheet2-计算明细'!$B$17:$B$99,$X17)="","",INDEX('Sheet2-计算明细'!$B$17:$B$99,$X17))</x:f>
        <x:v>合绎塑造者10号</x:v>
      </x:c>
      <x:c r="C17" s="14" t="str">
        <x:f>IF(INDEX('Sheet2-计算明细'!$C$17:$C$99,$X17)="","",INDEX('Sheet2-计算明细'!$C$17:$C$99,$X17))</x:f>
        <x:v>SAHP82</x:v>
      </x:c>
      <x:c r="D17" s="14" t="str">
        <x:f>IF(INDEX('Sheet2-计算明细'!$D$17:$D$99,$X17)="","",INDEX('Sheet2-计算明细'!$D$17:$D$99,$X17))</x:f>
        <x:v>上海合绎投资</x:v>
      </x:c>
      <x:c r="E17" s="14" t="str">
        <x:f>IF(INDEX('Sheet2-计算明细'!$G$17:$G$99,$X17)="","",INDEX('Sheet2-计算明细'!$G$17:$G$99,$X17))</x:f>
        <x:v>入池</x:v>
      </x:c>
      <x:c r="F17" s="52" t="n">
        <x:f>IF(ISNUMBER(INDEX('Sheet2-计算明细'!$I$17:$I$99,$X17)),INDEX('Sheet2-计算明细'!$I$17:$I$99,$X17),"")</x:f>
        <x:v>90</x:v>
      </x:c>
      <x:c r="G17" s="52" t="n">
        <x:f>IF(ISNUMBER(INDEX('Sheet2-计算明细'!$K$17:$K$99,$X17)),INDEX('Sheet2-计算明细'!$K$17:$K$99,$X17),"")</x:f>
        <x:v>100</x:v>
      </x:c>
      <x:c r="H17" s="52" t="n">
        <x:f>IF(ISNUMBER(INDEX('Sheet2-计算明细'!$L$17:$L$99,$X17)),INDEX('Sheet2-计算明细'!$L$17:$L$99,$X17),"")</x:f>
        <x:v>70</x:v>
      </x:c>
      <x:c r="I17" s="52" t="str">
        <x:f>IF(ISNUMBER(INDEX('Sheet2-计算明细'!$S$17:$S$99,$X17)),INDEX('Sheet2-计算明细'!$S$17:$S$99,$X17),"")</x:f>
      </x:c>
      <x:c r="J17" s="52" t="str">
        <x:f>IF(ISNUMBER(INDEX('Sheet2-计算明细'!$Y$17:$Y$99,$X17)),INDEX('Sheet2-计算明细'!$Y$17:$Y$99,$X17),"")</x:f>
      </x:c>
      <x:c r="K17" s="52" t="str">
        <x:f>IF(ISNUMBER(INDEX('Sheet2-计算明细'!$AC$17:$AC$99,$X17)),INDEX('Sheet2-计算明细'!$AC$17:$AC$99,$X17),"")</x:f>
      </x:c>
      <x:c r="L17" s="52" t="str">
        <x:f>IF(ISNUMBER(INDEX('Sheet2-计算明细'!$AI$17:$AI$99,$X17)),INDEX('Sheet2-计算明细'!$AI$17:$AI$99,$X17),"")</x:f>
      </x:c>
      <x:c r="M17" s="52" t="str">
        <x:f>IF(ISNUMBER(INDEX('Sheet2-计算明细'!$AK$17:$AK$99,$X17)),INDEX('Sheet2-计算明细'!$AK$17:$AK$99,$X17),"")</x:f>
      </x:c>
      <x:c r="N17" s="52" t="n">
        <x:f>IF(ISNUMBER(INDEX('Sheet2-计算明细'!$AL$17:$AL$99,$X17)),INDEX('Sheet2-计算明细'!$AL$17:$AL$99,$X17),"")</x:f>
        <x:v>87</x:v>
      </x:c>
      <x:c r="O17" s="52" t="str">
        <x:f>IF(ISNUMBER(INDEX('Sheet2-计算明细'!$AM$17:$AM$99,$X17)),INDEX('Sheet2-计算明细'!$AM$17:$AM$99,$X17),"")</x:f>
      </x:c>
      <x:c r="P17" s="52" t="str">
        <x:f>IF(ISNUMBER(INDEX('Sheet2-计算明细'!$AN$17:$AN$99,$X17)),INDEX('Sheet2-计算明细'!$AN$17:$AN$99,$X17),"")</x:f>
      </x:c>
      <x:c r="Q17" s="52" t="str">
        <x:f>IF(ISNUMBER(INDEX('Sheet2-计算明细'!$AO$17:$AO$99,$X17)),INDEX('Sheet2-计算明细'!$AO$17:$AO$99,$X17),"")</x:f>
      </x:c>
      <x:c r="R17" s="52" t="str">
        <x:f>IF(ISNUMBER(INDEX('Sheet2-计算明细'!$AP$17:$AP$99,$X17)),INDEX('Sheet2-计算明细'!$AP$17:$AP$99,$X17),"")</x:f>
      </x:c>
      <x:c r="S17" s="27" t="n">
        <x:f>IF(ISNUMBER(INDEX('Sheet2-计算明细'!$AQ$17:$AQ$99,$X17)),INDEX('Sheet2-计算明细'!$AQ$17:$AQ$99,$X17),"")</x:f>
        <x:v>0.15</x:v>
      </x:c>
      <x:c r="T17" s="52" t="n">
        <x:f>IF(ISNUMBER(INDEX('Sheet2-计算明细'!$AR$17:$AR$99,$X17)),INDEX('Sheet2-计算明细'!$AR$17:$AR$99,$X17),"")</x:f>
        <x:v>13.049999999999999</x:v>
      </x:c>
      <x:c r="U17" s="52" t="n">
        <x:f>IF(ISNUMBER(INDEX('Sheet2-计算明细'!$AS$17:$AS$99,$X17)),INDEX('Sheet2-计算明细'!$AS$17:$AS$99,$X17),"")</x:f>
        <x:v>87</x:v>
      </x:c>
      <x:c r="V17" s="52" t="str">
        <x:f>IF(ISNUMBER(INDEX('Sheet2-计算明细'!$AV$17:$AV$99,$X17)),INDEX('Sheet2-计算明细'!$AV$17:$AV$99,$X17),"")</x:f>
      </x:c>
      <x:c r="W17" s="40" t="str">
        <x:f>IF(INDEX('Sheet2-计算明细'!$AU$17:$AU$99,$X17)="","",INDEX('Sheet2-计算明细'!$AU$17:$AU$99,$X17))</x:f>
        <x:v>近一年收益；近一年胜率；近三年收益；近三年胜率；近三年回撤；近一年卡玛；成立以来年化；</x:v>
      </x:c>
      <x:c r="X17" s="49" t="n">
        <x:f>MATCH(ROWS($X$6:X17),'Sheet2-计算明细'!$BJ$17:$BJ$99,0)</x:f>
        <x:v>83</x:v>
      </x:c>
      <x:c r="Y17" s="14" t="str">
        <x:f>IF(INDEX('Sheet2-计算明细'!$AX$17:$AX$99,$X17)="","",INDEX('Sheet2-计算明细'!$AX$17:$AX$99,$X17))</x:f>
        <x:v>期权策略</x:v>
      </x:c>
      <x:c r="Z17" s="14" t="str">
        <x:f>IF(INDEX('Sheet2-计算明细'!$AY$17:$AY$99,$X17)="","",INDEX('Sheet2-计算明细'!$AY$17:$AY$99,$X17))</x:f>
      </x:c>
      <x:c r="AA17" s="14" t="str">
        <x:f>IF(INDEX('Sheet2-计算明细'!$AW$17:$AW$99,$X17)="","",INDEX('Sheet2-计算明细'!$AW$17:$AW$99,$X17))</x:f>
        <x:v>暂定分／数据不完整</x:v>
      </x:c>
      <x:c r="AB17" s="49" t="n">
        <x:f>IF(ISNUMBER(INDEX('Sheet2-计算明细'!$A$17:$A$99,$X17)),INDEX('Sheet2-计算明细'!$A$17:$A$99,$X17),"")</x:f>
        <x:v>83</x:v>
      </x:c>
    </x:row>
    <x:row r="18" ht="44" customHeight="1">
      <x:c r="A18" s="14" t="n">
        <x:f>IF(ISNUMBER(INDEX('Sheet2-计算明细'!$AT$17:$AT$99,$X18)),INDEX('Sheet2-计算明细'!$AT$17:$AT$99,$X18),"")</x:f>
        <x:v>13</x:v>
      </x:c>
      <x:c r="B18" s="14" t="str">
        <x:f>IF(INDEX('Sheet2-计算明细'!$B$17:$B$99,$X18)="","",INDEX('Sheet2-计算明细'!$B$17:$B$99,$X18))</x:f>
        <x:v>哲石君顺易安贰号</x:v>
      </x:c>
      <x:c r="C18" s="14" t="str">
        <x:f>IF(INDEX('Sheet2-计算明细'!$C$17:$C$99,$X18)="","",INDEX('Sheet2-计算明细'!$C$17:$C$99,$X18))</x:f>
        <x:v>SBBC37</x:v>
      </x:c>
      <x:c r="D18" s="14" t="str">
        <x:f>IF(INDEX('Sheet2-计算明细'!$D$17:$D$99,$X18)="","",INDEX('Sheet2-计算明细'!$D$17:$D$99,$X18))</x:f>
        <x:v>杭州哲石</x:v>
      </x:c>
      <x:c r="E18" s="14" t="str">
        <x:f>IF(INDEX('Sheet2-计算明细'!$G$17:$G$99,$X18)="","",INDEX('Sheet2-计算明细'!$G$17:$G$99,$X18))</x:f>
        <x:v>入池</x:v>
      </x:c>
      <x:c r="F18" s="52" t="n">
        <x:f>IF(ISNUMBER(INDEX('Sheet2-计算明细'!$I$17:$I$99,$X18)),INDEX('Sheet2-计算明细'!$I$17:$I$99,$X18),"")</x:f>
        <x:v>80</x:v>
      </x:c>
      <x:c r="G18" s="52" t="n">
        <x:f>IF(ISNUMBER(INDEX('Sheet2-计算明细'!$K$17:$K$99,$X18)),INDEX('Sheet2-计算明细'!$K$17:$K$99,$X18),"")</x:f>
        <x:v>100</x:v>
      </x:c>
      <x:c r="H18" s="52" t="n">
        <x:f>IF(ISNUMBER(INDEX('Sheet2-计算明细'!$L$17:$L$99,$X18)),INDEX('Sheet2-计算明细'!$L$17:$L$99,$X18),"")</x:f>
        <x:v>70</x:v>
      </x:c>
      <x:c r="I18" s="52" t="str">
        <x:f>IF(ISNUMBER(INDEX('Sheet2-计算明细'!$S$17:$S$99,$X18)),INDEX('Sheet2-计算明细'!$S$17:$S$99,$X18),"")</x:f>
      </x:c>
      <x:c r="J18" s="52" t="str">
        <x:f>IF(ISNUMBER(INDEX('Sheet2-计算明细'!$Y$17:$Y$99,$X18)),INDEX('Sheet2-计算明细'!$Y$17:$Y$99,$X18),"")</x:f>
      </x:c>
      <x:c r="K18" s="52" t="str">
        <x:f>IF(ISNUMBER(INDEX('Sheet2-计算明细'!$AC$17:$AC$99,$X18)),INDEX('Sheet2-计算明细'!$AC$17:$AC$99,$X18),"")</x:f>
      </x:c>
      <x:c r="L18" s="52" t="str">
        <x:f>IF(ISNUMBER(INDEX('Sheet2-计算明细'!$AI$17:$AI$99,$X18)),INDEX('Sheet2-计算明细'!$AI$17:$AI$99,$X18),"")</x:f>
      </x:c>
      <x:c r="M18" s="52" t="str">
        <x:f>IF(ISNUMBER(INDEX('Sheet2-计算明细'!$AK$17:$AK$99,$X18)),INDEX('Sheet2-计算明细'!$AK$17:$AK$99,$X18),"")</x:f>
      </x:c>
      <x:c r="N18" s="52" t="n">
        <x:f>IF(ISNUMBER(INDEX('Sheet2-计算明细'!$AL$17:$AL$99,$X18)),INDEX('Sheet2-计算明细'!$AL$17:$AL$99,$X18),"")</x:f>
        <x:v>83</x:v>
      </x:c>
      <x:c r="O18" s="52" t="n">
        <x:f>IF(ISNUMBER(INDEX('Sheet2-计算明细'!$AM$17:$AM$99,$X18)),INDEX('Sheet2-计算明细'!$AM$17:$AM$99,$X18),"")</x:f>
        <x:v>100</x:v>
      </x:c>
      <x:c r="P18" s="52" t="str">
        <x:f>IF(ISNUMBER(INDEX('Sheet2-计算明细'!$AN$17:$AN$99,$X18)),INDEX('Sheet2-计算明细'!$AN$17:$AN$99,$X18),"")</x:f>
      </x:c>
      <x:c r="Q18" s="52" t="str">
        <x:f>IF(ISNUMBER(INDEX('Sheet2-计算明细'!$AO$17:$AO$99,$X18)),INDEX('Sheet2-计算明细'!$AO$17:$AO$99,$X18),"")</x:f>
      </x:c>
      <x:c r="R18" s="52" t="str">
        <x:f>IF(ISNUMBER(INDEX('Sheet2-计算明细'!$AP$17:$AP$99,$X18)),INDEX('Sheet2-计算明细'!$AP$17:$AP$99,$X18),"")</x:f>
      </x:c>
      <x:c r="S18" s="27" t="n">
        <x:f>IF(ISNUMBER(INDEX('Sheet2-计算明细'!$AQ$17:$AQ$99,$X18)),INDEX('Sheet2-计算明细'!$AQ$17:$AQ$99,$X18),"")</x:f>
        <x:v>0.174</x:v>
      </x:c>
      <x:c r="T18" s="52" t="n">
        <x:f>IF(ISNUMBER(INDEX('Sheet2-计算明细'!$AR$17:$AR$99,$X18)),INDEX('Sheet2-计算明细'!$AR$17:$AR$99,$X18),"")</x:f>
        <x:v>14.850000000000001</x:v>
      </x:c>
      <x:c r="U18" s="52" t="n">
        <x:f>IF(ISNUMBER(INDEX('Sheet2-计算明细'!$AS$17:$AS$99,$X18)),INDEX('Sheet2-计算明细'!$AS$17:$AS$99,$X18),"")</x:f>
        <x:v>85.34</x:v>
      </x:c>
      <x:c r="V18" s="52" t="str">
        <x:f>IF(ISNUMBER(INDEX('Sheet2-计算明细'!$AV$17:$AV$99,$X18)),INDEX('Sheet2-计算明细'!$AV$17:$AV$99,$X18),"")</x:f>
      </x:c>
      <x:c r="W18" s="40" t="str">
        <x:f>IF(INDEX('Sheet2-计算明细'!$AU$17:$AU$99,$X18)="","",INDEX('Sheet2-计算明细'!$AU$17:$AU$99,$X18))</x:f>
        <x:v>近一年收益；近一年胜率；近三年收益；近三年胜率；近三年回撤；近一年卡玛；成立以来年化；</x:v>
      </x:c>
      <x:c r="X18" s="49" t="n">
        <x:f>MATCH(ROWS($X$6:X18),'Sheet2-计算明细'!$BJ$17:$BJ$99,0)</x:f>
        <x:v>75</x:v>
      </x:c>
      <x:c r="Y18" s="14" t="str">
        <x:f>IF(INDEX('Sheet2-计算明细'!$AX$17:$AX$99,$X18)="","",INDEX('Sheet2-计算明细'!$AX$17:$AX$99,$X18))</x:f>
        <x:v>套利策略</x:v>
      </x:c>
      <x:c r="Z18" s="14" t="str">
        <x:f>IF(INDEX('Sheet2-计算明细'!$AY$17:$AY$99,$X18)="","",INDEX('Sheet2-计算明细'!$AY$17:$AY$99,$X18))</x:f>
        <x:v>期货套利</x:v>
      </x:c>
      <x:c r="AA18" s="14" t="str">
        <x:f>IF(INDEX('Sheet2-计算明细'!$AW$17:$AW$99,$X18)="","",INDEX('Sheet2-计算明细'!$AW$17:$AW$99,$X18))</x:f>
        <x:v>暂定分／数据不完整</x:v>
      </x:c>
      <x:c r="AB18" s="49" t="n">
        <x:f>IF(ISNUMBER(INDEX('Sheet2-计算明细'!$A$17:$A$99,$X18)),INDEX('Sheet2-计算明细'!$A$17:$A$99,$X18),"")</x:f>
        <x:v>75</x:v>
      </x:c>
    </x:row>
    <x:row r="19" ht="44" customHeight="1">
      <x:c r="A19" s="14" t="n">
        <x:f>IF(ISNUMBER(INDEX('Sheet2-计算明细'!$AT$17:$AT$99,$X19)),INDEX('Sheet2-计算明细'!$AT$17:$AT$99,$X19),"")</x:f>
        <x:v>14</x:v>
      </x:c>
      <x:c r="B19" s="14" t="str">
        <x:f>IF(INDEX('Sheet2-计算明细'!$B$17:$B$99,$X19)="","",INDEX('Sheet2-计算明细'!$B$17:$B$99,$X19))</x:f>
        <x:v>哲石君顺易安壹号</x:v>
      </x:c>
      <x:c r="C19" s="14" t="str">
        <x:f>IF(INDEX('Sheet2-计算明细'!$C$17:$C$99,$X19)="","",INDEX('Sheet2-计算明细'!$C$17:$C$99,$X19))</x:f>
        <x:v>SAVN21</x:v>
      </x:c>
      <x:c r="D19" s="14" t="str">
        <x:f>IF(INDEX('Sheet2-计算明细'!$D$17:$D$99,$X19)="","",INDEX('Sheet2-计算明细'!$D$17:$D$99,$X19))</x:f>
        <x:v>杭州哲石</x:v>
      </x:c>
      <x:c r="E19" s="14" t="str">
        <x:f>IF(INDEX('Sheet2-计算明细'!$G$17:$G$99,$X19)="","",INDEX('Sheet2-计算明细'!$G$17:$G$99,$X19))</x:f>
        <x:v>入池</x:v>
      </x:c>
      <x:c r="F19" s="52" t="n">
        <x:f>IF(ISNUMBER(INDEX('Sheet2-计算明细'!$I$17:$I$99,$X19)),INDEX('Sheet2-计算明细'!$I$17:$I$99,$X19),"")</x:f>
        <x:v>80</x:v>
      </x:c>
      <x:c r="G19" s="52" t="n">
        <x:f>IF(ISNUMBER(INDEX('Sheet2-计算明细'!$K$17:$K$99,$X19)),INDEX('Sheet2-计算明细'!$K$17:$K$99,$X19),"")</x:f>
        <x:v>100</x:v>
      </x:c>
      <x:c r="H19" s="52" t="n">
        <x:f>IF(ISNUMBER(INDEX('Sheet2-计算明细'!$L$17:$L$99,$X19)),INDEX('Sheet2-计算明细'!$L$17:$L$99,$X19),"")</x:f>
        <x:v>70</x:v>
      </x:c>
      <x:c r="I19" s="52" t="str">
        <x:f>IF(ISNUMBER(INDEX('Sheet2-计算明细'!$S$17:$S$99,$X19)),INDEX('Sheet2-计算明细'!$S$17:$S$99,$X19),"")</x:f>
      </x:c>
      <x:c r="J19" s="52" t="str">
        <x:f>IF(ISNUMBER(INDEX('Sheet2-计算明细'!$Y$17:$Y$99,$X19)),INDEX('Sheet2-计算明细'!$Y$17:$Y$99,$X19),"")</x:f>
      </x:c>
      <x:c r="K19" s="52" t="str">
        <x:f>IF(ISNUMBER(INDEX('Sheet2-计算明细'!$AC$17:$AC$99,$X19)),INDEX('Sheet2-计算明细'!$AC$17:$AC$99,$X19),"")</x:f>
      </x:c>
      <x:c r="L19" s="52" t="str">
        <x:f>IF(ISNUMBER(INDEX('Sheet2-计算明细'!$AI$17:$AI$99,$X19)),INDEX('Sheet2-计算明细'!$AI$17:$AI$99,$X19),"")</x:f>
      </x:c>
      <x:c r="M19" s="52" t="str">
        <x:f>IF(ISNUMBER(INDEX('Sheet2-计算明细'!$AK$17:$AK$99,$X19)),INDEX('Sheet2-计算明细'!$AK$17:$AK$99,$X19),"")</x:f>
      </x:c>
      <x:c r="N19" s="52" t="n">
        <x:f>IF(ISNUMBER(INDEX('Sheet2-计算明细'!$AL$17:$AL$99,$X19)),INDEX('Sheet2-计算明细'!$AL$17:$AL$99,$X19),"")</x:f>
        <x:v>83</x:v>
      </x:c>
      <x:c r="O19" s="52" t="n">
        <x:f>IF(ISNUMBER(INDEX('Sheet2-计算明细'!$AM$17:$AM$99,$X19)),INDEX('Sheet2-计算明细'!$AM$17:$AM$99,$X19),"")</x:f>
        <x:v>100</x:v>
      </x:c>
      <x:c r="P19" s="52" t="str">
        <x:f>IF(ISNUMBER(INDEX('Sheet2-计算明细'!$AN$17:$AN$99,$X19)),INDEX('Sheet2-计算明细'!$AN$17:$AN$99,$X19),"")</x:f>
      </x:c>
      <x:c r="Q19" s="52" t="str">
        <x:f>IF(ISNUMBER(INDEX('Sheet2-计算明细'!$AO$17:$AO$99,$X19)),INDEX('Sheet2-计算明细'!$AO$17:$AO$99,$X19),"")</x:f>
      </x:c>
      <x:c r="R19" s="52" t="str">
        <x:f>IF(ISNUMBER(INDEX('Sheet2-计算明细'!$AP$17:$AP$99,$X19)),INDEX('Sheet2-计算明细'!$AP$17:$AP$99,$X19),"")</x:f>
      </x:c>
      <x:c r="S19" s="27" t="n">
        <x:f>IF(ISNUMBER(INDEX('Sheet2-计算明细'!$AQ$17:$AQ$99,$X19)),INDEX('Sheet2-计算明细'!$AQ$17:$AQ$99,$X19),"")</x:f>
        <x:v>0.174</x:v>
      </x:c>
      <x:c r="T19" s="52" t="n">
        <x:f>IF(ISNUMBER(INDEX('Sheet2-计算明细'!$AR$17:$AR$99,$X19)),INDEX('Sheet2-计算明细'!$AR$17:$AR$99,$X19),"")</x:f>
        <x:v>14.850000000000001</x:v>
      </x:c>
      <x:c r="U19" s="52" t="n">
        <x:f>IF(ISNUMBER(INDEX('Sheet2-计算明细'!$AS$17:$AS$99,$X19)),INDEX('Sheet2-计算明细'!$AS$17:$AS$99,$X19),"")</x:f>
        <x:v>85.34</x:v>
      </x:c>
      <x:c r="V19" s="52" t="str">
        <x:f>IF(ISNUMBER(INDEX('Sheet2-计算明细'!$AV$17:$AV$99,$X19)),INDEX('Sheet2-计算明细'!$AV$17:$AV$99,$X19),"")</x:f>
      </x:c>
      <x:c r="W19" s="40" t="str">
        <x:f>IF(INDEX('Sheet2-计算明细'!$AU$17:$AU$99,$X19)="","",INDEX('Sheet2-计算明细'!$AU$17:$AU$99,$X19))</x:f>
        <x:v>近一年收益；近一年胜率；近三年收益；近三年胜率；近三年回撤；近一年卡玛；成立以来年化；</x:v>
      </x:c>
      <x:c r="X19" s="49" t="n">
        <x:f>MATCH(ROWS($X$6:X19),'Sheet2-计算明细'!$BJ$17:$BJ$99,0)</x:f>
        <x:v>76</x:v>
      </x:c>
      <x:c r="Y19" s="14" t="str">
        <x:f>IF(INDEX('Sheet2-计算明细'!$AX$17:$AX$99,$X19)="","",INDEX('Sheet2-计算明细'!$AX$17:$AX$99,$X19))</x:f>
        <x:v>套利策略</x:v>
      </x:c>
      <x:c r="Z19" s="14" t="str">
        <x:f>IF(INDEX('Sheet2-计算明细'!$AY$17:$AY$99,$X19)="","",INDEX('Sheet2-计算明细'!$AY$17:$AY$99,$X19))</x:f>
        <x:v>期货套利</x:v>
      </x:c>
      <x:c r="AA19" s="14" t="str">
        <x:f>IF(INDEX('Sheet2-计算明细'!$AW$17:$AW$99,$X19)="","",INDEX('Sheet2-计算明细'!$AW$17:$AW$99,$X19))</x:f>
        <x:v>暂定分／数据不完整</x:v>
      </x:c>
      <x:c r="AB19" s="49" t="n">
        <x:f>IF(ISNUMBER(INDEX('Sheet2-计算明细'!$A$17:$A$99,$X19)),INDEX('Sheet2-计算明细'!$A$17:$A$99,$X19),"")</x:f>
        <x:v>76</x:v>
      </x:c>
    </x:row>
    <x:row r="20" ht="44" customHeight="1">
      <x:c r="A20" s="14" t="n">
        <x:f>IF(ISNUMBER(INDEX('Sheet2-计算明细'!$AT$17:$AT$99,$X20)),INDEX('Sheet2-计算明细'!$AT$17:$AT$99,$X20),"")</x:f>
        <x:v>15</x:v>
      </x:c>
      <x:c r="B20" s="14" t="str">
        <x:f>IF(INDEX('Sheet2-计算明细'!$B$17:$B$99,$X20)="","",INDEX('Sheet2-计算明细'!$B$17:$B$99,$X20))</x:f>
        <x:v>智领泽临套利六号</x:v>
      </x:c>
      <x:c r="C20" s="14" t="str">
        <x:f>IF(INDEX('Sheet2-计算明细'!$C$17:$C$99,$X20)="","",INDEX('Sheet2-计算明细'!$C$17:$C$99,$X20))</x:f>
        <x:v>SAYU23</x:v>
      </x:c>
      <x:c r="D20" s="14" t="str">
        <x:f>IF(INDEX('Sheet2-计算明细'!$D$17:$D$99,$X20)="","",INDEX('Sheet2-计算明细'!$D$17:$D$99,$X20))</x:f>
        <x:v>福州智领三联</x:v>
      </x:c>
      <x:c r="E20" s="14" t="str">
        <x:f>IF(INDEX('Sheet2-计算明细'!$G$17:$G$99,$X20)="","",INDEX('Sheet2-计算明细'!$G$17:$G$99,$X20))</x:f>
        <x:v>入池</x:v>
      </x:c>
      <x:c r="F20" s="52" t="n">
        <x:f>IF(ISNUMBER(INDEX('Sheet2-计算明细'!$I$17:$I$99,$X20)),INDEX('Sheet2-计算明细'!$I$17:$I$99,$X20),"")</x:f>
        <x:v>90</x:v>
      </x:c>
      <x:c r="G20" s="52" t="n">
        <x:f>IF(ISNUMBER(INDEX('Sheet2-计算明细'!$K$17:$K$99,$X20)),INDEX('Sheet2-计算明细'!$K$17:$K$99,$X20),"")</x:f>
        <x:v>100</x:v>
      </x:c>
      <x:c r="H20" s="52" t="n">
        <x:f>IF(ISNUMBER(INDEX('Sheet2-计算明细'!$L$17:$L$99,$X20)),INDEX('Sheet2-计算明细'!$L$17:$L$99,$X20),"")</x:f>
        <x:v>70</x:v>
      </x:c>
      <x:c r="I20" s="52" t="n">
        <x:f>IF(ISNUMBER(INDEX('Sheet2-计算明细'!$S$17:$S$99,$X20)),INDEX('Sheet2-计算明细'!$S$17:$S$99,$X20),"")</x:f>
        <x:v>76.93</x:v>
      </x:c>
      <x:c r="J20" s="52" t="n">
        <x:f>IF(ISNUMBER(INDEX('Sheet2-计算明细'!$Y$17:$Y$99,$X20)),INDEX('Sheet2-计算明细'!$Y$17:$Y$99,$X20),"")</x:f>
        <x:v>95.39</x:v>
      </x:c>
      <x:c r="K20" s="52" t="n">
        <x:f>IF(ISNUMBER(INDEX('Sheet2-计算明细'!$AC$17:$AC$99,$X20)),INDEX('Sheet2-计算明细'!$AC$17:$AC$99,$X20),"")</x:f>
        <x:v>89.66</x:v>
      </x:c>
      <x:c r="L20" s="52" t="n">
        <x:f>IF(ISNUMBER(INDEX('Sheet2-计算明细'!$AI$17:$AI$99,$X20)),INDEX('Sheet2-计算明细'!$AI$17:$AI$99,$X20),"")</x:f>
        <x:v>83.64</x:v>
      </x:c>
      <x:c r="M20" s="52" t="n">
        <x:f>IF(ISNUMBER(INDEX('Sheet2-计算明细'!$AK$17:$AK$99,$X20)),INDEX('Sheet2-计算明细'!$AK$17:$AK$99,$X20),"")</x:f>
        <x:v>80</x:v>
      </x:c>
      <x:c r="N20" s="52" t="n">
        <x:f>IF(ISNUMBER(INDEX('Sheet2-计算明细'!$AL$17:$AL$99,$X20)),INDEX('Sheet2-计算明细'!$AL$17:$AL$99,$X20),"")</x:f>
        <x:v>87</x:v>
      </x:c>
      <x:c r="O20" s="52" t="n">
        <x:f>IF(ISNUMBER(INDEX('Sheet2-计算明细'!$AM$17:$AM$99,$X20)),INDEX('Sheet2-计算明细'!$AM$17:$AM$99,$X20),"")</x:f>
        <x:v>82.47</x:v>
      </x:c>
      <x:c r="P20" s="52" t="n">
        <x:f>IF(ISNUMBER(INDEX('Sheet2-计算明细'!$AN$17:$AN$99,$X20)),INDEX('Sheet2-计算明细'!$AN$17:$AN$99,$X20),"")</x:f>
        <x:v>89.66</x:v>
      </x:c>
      <x:c r="Q20" s="52" t="n">
        <x:f>IF(ISNUMBER(INDEX('Sheet2-计算明细'!$AO$17:$AO$99,$X20)),INDEX('Sheet2-计算明细'!$AO$17:$AO$99,$X20),"")</x:f>
        <x:v>83.64</x:v>
      </x:c>
      <x:c r="R20" s="52" t="n">
        <x:f>IF(ISNUMBER(INDEX('Sheet2-计算明细'!$AP$17:$AP$99,$X20)),INDEX('Sheet2-计算明细'!$AP$17:$AP$99,$X20),"")</x:f>
        <x:v>80</x:v>
      </x:c>
      <x:c r="S20" s="27" t="n">
        <x:f>IF(ISNUMBER(INDEX('Sheet2-计算明细'!$AQ$17:$AQ$99,$X20)),INDEX('Sheet2-计算明细'!$AQ$17:$AQ$99,$X20),"")</x:f>
        <x:v>0.88</x:v>
      </x:c>
      <x:c r="T20" s="52" t="n">
        <x:f>IF(ISNUMBER(INDEX('Sheet2-计算明细'!$AR$17:$AR$99,$X20)),INDEX('Sheet2-计算明细'!$AR$17:$AR$99,$X20),"")</x:f>
        <x:v>75.01411999999999</x:v>
      </x:c>
      <x:c r="U20" s="52" t="n">
        <x:f>IF(ISNUMBER(INDEX('Sheet2-计算明细'!$AS$17:$AS$99,$X20)),INDEX('Sheet2-计算明细'!$AS$17:$AS$99,$X20),"")</x:f>
        <x:v>85.24</x:v>
      </x:c>
      <x:c r="V20" s="52" t="str">
        <x:f>IF(ISNUMBER(INDEX('Sheet2-计算明细'!$AV$17:$AV$99,$X20)),INDEX('Sheet2-计算明细'!$AV$17:$AV$99,$X20),"")</x:f>
      </x:c>
      <x:c r="W20" s="40" t="str">
        <x:f>IF(INDEX('Sheet2-计算明细'!$AU$17:$AU$99,$X20)="","",INDEX('Sheet2-计算明细'!$AU$17:$AU$99,$X20))</x:f>
        <x:v>近三年收益；近三年胜率；近三年回撤；DD_long不可识别；</x:v>
      </x:c>
      <x:c r="X20" s="49" t="n">
        <x:f>MATCH(ROWS($X$6:X20),'Sheet2-计算明细'!$BJ$17:$BJ$99,0)</x:f>
        <x:v>80</x:v>
      </x:c>
      <x:c r="Y20" s="14" t="str">
        <x:f>IF(INDEX('Sheet2-计算明细'!$AX$17:$AX$99,$X20)="","",INDEX('Sheet2-计算明细'!$AX$17:$AX$99,$X20))</x:f>
        <x:v>套利策略</x:v>
      </x:c>
      <x:c r="Z20" s="14" t="str">
        <x:f>IF(INDEX('Sheet2-计算明细'!$AY$17:$AY$99,$X20)="","",INDEX('Sheet2-计算明细'!$AY$17:$AY$99,$X20))</x:f>
      </x:c>
      <x:c r="AA20" s="14" t="str">
        <x:f>IF(INDEX('Sheet2-计算明细'!$AW$17:$AW$99,$X20)="","",INDEX('Sheet2-计算明细'!$AW$17:$AW$99,$X20))</x:f>
        <x:v>暂定分／数据不完整</x:v>
      </x:c>
      <x:c r="AB20" s="49" t="n">
        <x:f>IF(ISNUMBER(INDEX('Sheet2-计算明细'!$A$17:$A$99,$X20)),INDEX('Sheet2-计算明细'!$A$17:$A$99,$X20),"")</x:f>
        <x:v>80</x:v>
      </x:c>
    </x:row>
    <x:row r="21" ht="44" customHeight="1">
      <x:c r="A21" s="14" t="n">
        <x:f>IF(ISNUMBER(INDEX('Sheet2-计算明细'!$AT$17:$AT$99,$X21)),INDEX('Sheet2-计算明细'!$AT$17:$AT$99,$X21),"")</x:f>
        <x:v>16</x:v>
      </x:c>
      <x:c r="B21" s="14" t="str">
        <x:f>IF(INDEX('Sheet2-计算明细'!$B$17:$B$99,$X21)="","",INDEX('Sheet2-计算明细'!$B$17:$B$99,$X21))</x:f>
        <x:v>摩旗ETF套利1号</x:v>
      </x:c>
      <x:c r="C21" s="14" t="str">
        <x:f>IF(INDEX('Sheet2-计算明细'!$C$17:$C$99,$X21)="","",INDEX('Sheet2-计算明细'!$C$17:$C$99,$X21))</x:f>
        <x:v>STR466</x:v>
      </x:c>
      <x:c r="D21" s="14" t="str">
        <x:f>IF(INDEX('Sheet2-计算明细'!$D$17:$D$99,$X21)="","",INDEX('Sheet2-计算明细'!$D$17:$D$99,$X21))</x:f>
        <x:v>上海摩旗投资</x:v>
      </x:c>
      <x:c r="E21" s="14" t="str">
        <x:f>IF(INDEX('Sheet2-计算明细'!$G$17:$G$99,$X21)="","",INDEX('Sheet2-计算明细'!$G$17:$G$99,$X21))</x:f>
        <x:v>入池</x:v>
      </x:c>
      <x:c r="F21" s="52" t="n">
        <x:f>IF(ISNUMBER(INDEX('Sheet2-计算明细'!$I$17:$I$99,$X21)),INDEX('Sheet2-计算明细'!$I$17:$I$99,$X21),"")</x:f>
        <x:v>80</x:v>
      </x:c>
      <x:c r="G21" s="52" t="n">
        <x:f>IF(ISNUMBER(INDEX('Sheet2-计算明细'!$K$17:$K$99,$X21)),INDEX('Sheet2-计算明细'!$K$17:$K$99,$X21),"")</x:f>
        <x:v>100</x:v>
      </x:c>
      <x:c r="H21" s="52" t="n">
        <x:f>IF(ISNUMBER(INDEX('Sheet2-计算明细'!$L$17:$L$99,$X21)),INDEX('Sheet2-计算明细'!$L$17:$L$99,$X21),"")</x:f>
        <x:v>100</x:v>
      </x:c>
      <x:c r="I21" s="52" t="n">
        <x:f>IF(ISNUMBER(INDEX('Sheet2-计算明细'!$S$17:$S$99,$X21)),INDEX('Sheet2-计算明细'!$S$17:$S$99,$X21),"")</x:f>
        <x:v>77.75</x:v>
      </x:c>
      <x:c r="J21" s="52" t="n">
        <x:f>IF(ISNUMBER(INDEX('Sheet2-计算明细'!$Y$17:$Y$99,$X21)),INDEX('Sheet2-计算明细'!$Y$17:$Y$99,$X21),"")</x:f>
        <x:v>93.72</x:v>
      </x:c>
      <x:c r="K21" s="52" t="n">
        <x:f>IF(ISNUMBER(INDEX('Sheet2-计算明细'!$AC$17:$AC$99,$X21)),INDEX('Sheet2-计算明细'!$AC$17:$AC$99,$X21),"")</x:f>
        <x:v>87.93</x:v>
      </x:c>
      <x:c r="L21" s="52" t="n">
        <x:f>IF(ISNUMBER(INDEX('Sheet2-计算明细'!$AI$17:$AI$99,$X21)),INDEX('Sheet2-计算明细'!$AI$17:$AI$99,$X21),"")</x:f>
        <x:v>80</x:v>
      </x:c>
      <x:c r="M21" s="52" t="n">
        <x:f>IF(ISNUMBER(INDEX('Sheet2-计算明细'!$AK$17:$AK$99,$X21)),INDEX('Sheet2-计算明细'!$AK$17:$AK$99,$X21),"")</x:f>
        <x:v>80</x:v>
      </x:c>
      <x:c r="N21" s="52" t="n">
        <x:f>IF(ISNUMBER(INDEX('Sheet2-计算明细'!$AL$17:$AL$99,$X21)),INDEX('Sheet2-计算明细'!$AL$17:$AL$99,$X21),"")</x:f>
        <x:v>92</x:v>
      </x:c>
      <x:c r="O21" s="52" t="n">
        <x:f>IF(ISNUMBER(INDEX('Sheet2-计算明细'!$AM$17:$AM$99,$X21)),INDEX('Sheet2-计算明细'!$AM$17:$AM$99,$X21),"")</x:f>
        <x:v>82.54</x:v>
      </x:c>
      <x:c r="P21" s="52" t="n">
        <x:f>IF(ISNUMBER(INDEX('Sheet2-计算明细'!$AN$17:$AN$99,$X21)),INDEX('Sheet2-计算明细'!$AN$17:$AN$99,$X21),"")</x:f>
        <x:v>87.93</x:v>
      </x:c>
      <x:c r="Q21" s="52" t="n">
        <x:f>IF(ISNUMBER(INDEX('Sheet2-计算明细'!$AO$17:$AO$99,$X21)),INDEX('Sheet2-计算明细'!$AO$17:$AO$99,$X21),"")</x:f>
        <x:v>80</x:v>
      </x:c>
      <x:c r="R21" s="52" t="n">
        <x:f>IF(ISNUMBER(INDEX('Sheet2-计算明细'!$AP$17:$AP$99,$X21)),INDEX('Sheet2-计算明细'!$AP$17:$AP$99,$X21),"")</x:f>
        <x:v>80</x:v>
      </x:c>
      <x:c r="S21" s="27" t="n">
        <x:f>IF(ISNUMBER(INDEX('Sheet2-计算明细'!$AQ$17:$AQ$99,$X21)),INDEX('Sheet2-计算明细'!$AQ$17:$AQ$99,$X21),"")</x:f>
        <x:v>0.88</x:v>
      </x:c>
      <x:c r="T21" s="52" t="n">
        <x:f>IF(ISNUMBER(INDEX('Sheet2-计算明细'!$AR$17:$AR$99,$X21)),INDEX('Sheet2-计算明细'!$AR$17:$AR$99,$X21),"")</x:f>
        <x:v>74.69074</x:v>
      </x:c>
      <x:c r="U21" s="52" t="n">
        <x:f>IF(ISNUMBER(INDEX('Sheet2-计算明细'!$AS$17:$AS$99,$X21)),INDEX('Sheet2-计算明细'!$AS$17:$AS$99,$X21),"")</x:f>
        <x:v>84.88</x:v>
      </x:c>
      <x:c r="V21" s="52" t="str">
        <x:f>IF(ISNUMBER(INDEX('Sheet2-计算明细'!$AV$17:$AV$99,$X21)),INDEX('Sheet2-计算明细'!$AV$17:$AV$99,$X21),"")</x:f>
      </x:c>
      <x:c r="W21" s="40" t="str">
        <x:f>IF(INDEX('Sheet2-计算明细'!$AU$17:$AU$99,$X21)="","",INDEX('Sheet2-计算明细'!$AU$17:$AU$99,$X21))</x:f>
        <x:v>DD_long不可识别；</x:v>
      </x:c>
      <x:c r="X21" s="49" t="n">
        <x:f>MATCH(ROWS($X$6:X21),'Sheet2-计算明细'!$BJ$17:$BJ$99,0)</x:f>
        <x:v>39</x:v>
      </x:c>
      <x:c r="Y21" s="14" t="str">
        <x:f>IF(INDEX('Sheet2-计算明细'!$AX$17:$AX$99,$X21)="","",INDEX('Sheet2-计算明细'!$AX$17:$AX$99,$X21))</x:f>
        <x:v>套利策略</x:v>
      </x:c>
      <x:c r="Z21" s="14" t="str">
        <x:f>IF(INDEX('Sheet2-计算明细'!$AY$17:$AY$99,$X21)="","",INDEX('Sheet2-计算明细'!$AY$17:$AY$99,$X21))</x:f>
        <x:v>基金套利</x:v>
      </x:c>
      <x:c r="AA21" s="14" t="str">
        <x:f>IF(INDEX('Sheet2-计算明细'!$AW$17:$AW$99,$X21)="","",INDEX('Sheet2-计算明细'!$AW$17:$AW$99,$X21))</x:f>
        <x:v>暂定分／数据不完整</x:v>
      </x:c>
      <x:c r="AB21" s="49" t="n">
        <x:f>IF(ISNUMBER(INDEX('Sheet2-计算明细'!$A$17:$A$99,$X21)),INDEX('Sheet2-计算明细'!$A$17:$A$99,$X21),"")</x:f>
        <x:v>39</x:v>
      </x:c>
    </x:row>
    <x:row r="22" ht="44" customHeight="1">
      <x:c r="A22" s="14" t="n">
        <x:f>IF(ISNUMBER(INDEX('Sheet2-计算明细'!$AT$17:$AT$99,$X22)),INDEX('Sheet2-计算明细'!$AT$17:$AT$99,$X22),"")</x:f>
        <x:v>17</x:v>
      </x:c>
      <x:c r="B22" s="14" t="str">
        <x:f>IF(INDEX('Sheet2-计算明细'!$B$17:$B$99,$X22)="","",INDEX('Sheet2-计算明细'!$B$17:$B$99,$X22))</x:f>
        <x:v>爱凡哲九号</x:v>
      </x:c>
      <x:c r="C22" s="14" t="str">
        <x:f>IF(INDEX('Sheet2-计算明细'!$C$17:$C$99,$X22)="","",INDEX('Sheet2-计算明细'!$C$17:$C$99,$X22))</x:f>
        <x:v>SJA112</x:v>
      </x:c>
      <x:c r="D22" s="14" t="str">
        <x:f>IF(INDEX('Sheet2-计算明细'!$D$17:$D$99,$X22)="","",INDEX('Sheet2-计算明细'!$D$17:$D$99,$X22))</x:f>
        <x:v>爱凡哲投资</x:v>
      </x:c>
      <x:c r="E22" s="14" t="str">
        <x:f>IF(INDEX('Sheet2-计算明细'!$G$17:$G$99,$X22)="","",INDEX('Sheet2-计算明细'!$G$17:$G$99,$X22))</x:f>
        <x:v>入池</x:v>
      </x:c>
      <x:c r="F22" s="52" t="n">
        <x:f>IF(ISNUMBER(INDEX('Sheet2-计算明细'!$I$17:$I$99,$X22)),INDEX('Sheet2-计算明细'!$I$17:$I$99,$X22),"")</x:f>
        <x:v>90</x:v>
      </x:c>
      <x:c r="G22" s="52" t="n">
        <x:f>IF(ISNUMBER(INDEX('Sheet2-计算明细'!$K$17:$K$99,$X22)),INDEX('Sheet2-计算明细'!$K$17:$K$99,$X22),"")</x:f>
        <x:v>100</x:v>
      </x:c>
      <x:c r="H22" s="52" t="n">
        <x:f>IF(ISNUMBER(INDEX('Sheet2-计算明细'!$L$17:$L$99,$X22)),INDEX('Sheet2-计算明细'!$L$17:$L$99,$X22),"")</x:f>
        <x:v>100</x:v>
      </x:c>
      <x:c r="I22" s="52" t="n">
        <x:f>IF(ISNUMBER(INDEX('Sheet2-计算明细'!$S$17:$S$99,$X22)),INDEX('Sheet2-计算明细'!$S$17:$S$99,$X22),"")</x:f>
        <x:v>75.04</x:v>
      </x:c>
      <x:c r="J22" s="52" t="n">
        <x:f>IF(ISNUMBER(INDEX('Sheet2-计算明细'!$Y$17:$Y$99,$X22)),INDEX('Sheet2-计算明细'!$Y$17:$Y$99,$X22),"")</x:f>
        <x:v>87.44</x:v>
      </x:c>
      <x:c r="K22" s="52" t="n">
        <x:f>IF(ISNUMBER(INDEX('Sheet2-计算明细'!$AC$17:$AC$99,$X22)),INDEX('Sheet2-计算明细'!$AC$17:$AC$99,$X22),"")</x:f>
        <x:v>70.69</x:v>
      </x:c>
      <x:c r="L22" s="52" t="n">
        <x:f>IF(ISNUMBER(INDEX('Sheet2-计算明细'!$AI$17:$AI$99,$X22)),INDEX('Sheet2-计算明细'!$AI$17:$AI$99,$X22),"")</x:f>
        <x:v>87.4</x:v>
      </x:c>
      <x:c r="M22" s="52" t="n">
        <x:f>IF(ISNUMBER(INDEX('Sheet2-计算明细'!$AK$17:$AK$99,$X22)),INDEX('Sheet2-计算明细'!$AK$17:$AK$99,$X22),"")</x:f>
        <x:v>100</x:v>
      </x:c>
      <x:c r="N22" s="52" t="n">
        <x:f>IF(ISNUMBER(INDEX('Sheet2-计算明细'!$AL$17:$AL$99,$X22)),INDEX('Sheet2-计算明细'!$AL$17:$AL$99,$X22),"")</x:f>
        <x:v>96</x:v>
      </x:c>
      <x:c r="O22" s="52" t="n">
        <x:f>IF(ISNUMBER(INDEX('Sheet2-计算明细'!$AM$17:$AM$99,$X22)),INDEX('Sheet2-计算明细'!$AM$17:$AM$99,$X22),"")</x:f>
        <x:v>78.76</x:v>
      </x:c>
      <x:c r="P22" s="52" t="n">
        <x:f>IF(ISNUMBER(INDEX('Sheet2-计算明细'!$AN$17:$AN$99,$X22)),INDEX('Sheet2-计算明细'!$AN$17:$AN$99,$X22),"")</x:f>
        <x:v>70.69</x:v>
      </x:c>
      <x:c r="Q22" s="52" t="n">
        <x:f>IF(ISNUMBER(INDEX('Sheet2-计算明细'!$AO$17:$AO$99,$X22)),INDEX('Sheet2-计算明细'!$AO$17:$AO$99,$X22),"")</x:f>
        <x:v>87.4</x:v>
      </x:c>
      <x:c r="R22" s="52" t="n">
        <x:f>IF(ISNUMBER(INDEX('Sheet2-计算明细'!$AP$17:$AP$99,$X22)),INDEX('Sheet2-计算明细'!$AP$17:$AP$99,$X22),"")</x:f>
        <x:v>100</x:v>
      </x:c>
      <x:c r="S22" s="27" t="n">
        <x:f>IF(ISNUMBER(INDEX('Sheet2-计算明细'!$AQ$17:$AQ$99,$X22)),INDEX('Sheet2-计算明细'!$AQ$17:$AQ$99,$X22),"")</x:f>
        <x:v>1</x:v>
      </x:c>
      <x:c r="T22" s="52" t="n">
        <x:f>IF(ISNUMBER(INDEX('Sheet2-计算明细'!$AR$17:$AR$99,$X22)),INDEX('Sheet2-计算明细'!$AR$17:$AR$99,$X22),"")</x:f>
        <x:v>84.04470999999998</x:v>
      </x:c>
      <x:c r="U22" s="52" t="n">
        <x:f>IF(ISNUMBER(INDEX('Sheet2-计算明细'!$AS$17:$AS$99,$X22)),INDEX('Sheet2-计算明细'!$AS$17:$AS$99,$X22),"")</x:f>
        <x:v>84.04</x:v>
      </x:c>
      <x:c r="V22" s="52" t="n">
        <x:f>IF(ISNUMBER(INDEX('Sheet2-计算明细'!$AV$17:$AV$99,$X22)),INDEX('Sheet2-计算明细'!$AV$17:$AV$99,$X22),"")</x:f>
        <x:v>84.04470999999998</x:v>
      </x:c>
      <x:c r="W22" s="40" t="str">
        <x:f>IF(INDEX('Sheet2-计算明细'!$AU$17:$AU$99,$X22)="","",INDEX('Sheet2-计算明细'!$AU$17:$AU$99,$X22))</x:f>
      </x:c>
      <x:c r="X22" s="49" t="n">
        <x:f>MATCH(ROWS($X$6:X22),'Sheet2-计算明细'!$BJ$17:$BJ$99,0)</x:f>
        <x:v>1</x:v>
      </x:c>
      <x:c r="Y22" s="14" t="str">
        <x:f>IF(INDEX('Sheet2-计算明细'!$AX$17:$AX$99,$X22)="","",INDEX('Sheet2-计算明细'!$AX$17:$AX$99,$X22))</x:f>
        <x:v>套利策略</x:v>
      </x:c>
      <x:c r="Z22" s="14" t="str">
        <x:f>IF(INDEX('Sheet2-计算明细'!$AY$17:$AY$99,$X22)="","",INDEX('Sheet2-计算明细'!$AY$17:$AY$99,$X22))</x:f>
        <x:v>期货套利</x:v>
      </x:c>
      <x:c r="AA22" s="14" t="str">
        <x:f>IF(INDEX('Sheet2-计算明细'!$AW$17:$AW$99,$X22)="","",INDEX('Sheet2-计算明细'!$AW$17:$AW$99,$X22))</x:f>
        <x:v>完整赋分</x:v>
      </x:c>
      <x:c r="AB22" s="49" t="n">
        <x:f>IF(ISNUMBER(INDEX('Sheet2-计算明细'!$A$17:$A$99,$X22)),INDEX('Sheet2-计算明细'!$A$17:$A$99,$X22),"")</x:f>
        <x:v>1</x:v>
      </x:c>
    </x:row>
    <x:row r="23" ht="44" customHeight="1">
      <x:c r="A23" s="14" t="n">
        <x:f>IF(ISNUMBER(INDEX('Sheet2-计算明细'!$AT$17:$AT$99,$X23)),INDEX('Sheet2-计算明细'!$AT$17:$AT$99,$X23),"")</x:f>
        <x:v>18</x:v>
      </x:c>
      <x:c r="B23" s="14" t="str">
        <x:f>IF(INDEX('Sheet2-计算明细'!$B$17:$B$99,$X23)="","",INDEX('Sheet2-计算明细'!$B$17:$B$99,$X23))</x:f>
        <x:v>钧誉厚德量化对冲11号</x:v>
      </x:c>
      <x:c r="C23" s="14" t="str">
        <x:f>IF(INDEX('Sheet2-计算明细'!$C$17:$C$99,$X23)="","",INDEX('Sheet2-计算明细'!$C$17:$C$99,$X23))</x:f>
        <x:v>SQN453</x:v>
      </x:c>
      <x:c r="D23" s="14" t="str">
        <x:f>IF(INDEX('Sheet2-计算明细'!$D$17:$D$99,$X23)="","",INDEX('Sheet2-计算明细'!$D$17:$D$99,$X23))</x:f>
        <x:v>珠海钧誉资管</x:v>
      </x:c>
      <x:c r="E23" s="14" t="str">
        <x:f>IF(INDEX('Sheet2-计算明细'!$G$17:$G$99,$X23)="","",INDEX('Sheet2-计算明细'!$G$17:$G$99,$X23))</x:f>
        <x:v>入池</x:v>
      </x:c>
      <x:c r="F23" s="52" t="n">
        <x:f>IF(ISNUMBER(INDEX('Sheet2-计算明细'!$I$17:$I$99,$X23)),INDEX('Sheet2-计算明细'!$I$17:$I$99,$X23),"")</x:f>
        <x:v>60</x:v>
      </x:c>
      <x:c r="G23" s="52" t="n">
        <x:f>IF(ISNUMBER(INDEX('Sheet2-计算明细'!$K$17:$K$99,$X23)),INDEX('Sheet2-计算明细'!$K$17:$K$99,$X23),"")</x:f>
        <x:v>100</x:v>
      </x:c>
      <x:c r="H23" s="52" t="n">
        <x:f>IF(ISNUMBER(INDEX('Sheet2-计算明细'!$L$17:$L$99,$X23)),INDEX('Sheet2-计算明细'!$L$17:$L$99,$X23),"")</x:f>
        <x:v>100</x:v>
      </x:c>
      <x:c r="I23" s="52" t="str">
        <x:f>IF(ISNUMBER(INDEX('Sheet2-计算明细'!$S$17:$S$99,$X23)),INDEX('Sheet2-计算明细'!$S$17:$S$99,$X23),"")</x:f>
      </x:c>
      <x:c r="J23" s="52" t="str">
        <x:f>IF(ISNUMBER(INDEX('Sheet2-计算明细'!$Y$17:$Y$99,$X23)),INDEX('Sheet2-计算明细'!$Y$17:$Y$99,$X23),"")</x:f>
      </x:c>
      <x:c r="K23" s="52" t="str">
        <x:f>IF(ISNUMBER(INDEX('Sheet2-计算明细'!$AC$17:$AC$99,$X23)),INDEX('Sheet2-计算明细'!$AC$17:$AC$99,$X23),"")</x:f>
      </x:c>
      <x:c r="L23" s="52" t="str">
        <x:f>IF(ISNUMBER(INDEX('Sheet2-计算明细'!$AI$17:$AI$99,$X23)),INDEX('Sheet2-计算明细'!$AI$17:$AI$99,$X23),"")</x:f>
      </x:c>
      <x:c r="M23" s="52" t="str">
        <x:f>IF(ISNUMBER(INDEX('Sheet2-计算明细'!$AK$17:$AK$99,$X23)),INDEX('Sheet2-计算明细'!$AK$17:$AK$99,$X23),"")</x:f>
      </x:c>
      <x:c r="N23" s="52" t="n">
        <x:f>IF(ISNUMBER(INDEX('Sheet2-计算明细'!$AL$17:$AL$99,$X23)),INDEX('Sheet2-计算明细'!$AL$17:$AL$99,$X23),"")</x:f>
        <x:v>84</x:v>
      </x:c>
      <x:c r="O23" s="52" t="str">
        <x:f>IF(ISNUMBER(INDEX('Sheet2-计算明细'!$AM$17:$AM$99,$X23)),INDEX('Sheet2-计算明细'!$AM$17:$AM$99,$X23),"")</x:f>
      </x:c>
      <x:c r="P23" s="52" t="str">
        <x:f>IF(ISNUMBER(INDEX('Sheet2-计算明细'!$AN$17:$AN$99,$X23)),INDEX('Sheet2-计算明细'!$AN$17:$AN$99,$X23),"")</x:f>
      </x:c>
      <x:c r="Q23" s="52" t="str">
        <x:f>IF(ISNUMBER(INDEX('Sheet2-计算明细'!$AO$17:$AO$99,$X23)),INDEX('Sheet2-计算明细'!$AO$17:$AO$99,$X23),"")</x:f>
      </x:c>
      <x:c r="R23" s="52" t="str">
        <x:f>IF(ISNUMBER(INDEX('Sheet2-计算明细'!$AP$17:$AP$99,$X23)),INDEX('Sheet2-计算明细'!$AP$17:$AP$99,$X23),"")</x:f>
      </x:c>
      <x:c r="S23" s="27" t="n">
        <x:f>IF(ISNUMBER(INDEX('Sheet2-计算明细'!$AQ$17:$AQ$99,$X23)),INDEX('Sheet2-计算明细'!$AQ$17:$AQ$99,$X23),"")</x:f>
        <x:v>0.15</x:v>
      </x:c>
      <x:c r="T23" s="52" t="n">
        <x:f>IF(ISNUMBER(INDEX('Sheet2-计算明细'!$AR$17:$AR$99,$X23)),INDEX('Sheet2-计算明细'!$AR$17:$AR$99,$X23),"")</x:f>
        <x:v>12.6</x:v>
      </x:c>
      <x:c r="U23" s="52" t="n">
        <x:f>IF(ISNUMBER(INDEX('Sheet2-计算明细'!$AS$17:$AS$99,$X23)),INDEX('Sheet2-计算明细'!$AS$17:$AS$99,$X23),"")</x:f>
        <x:v>84</x:v>
      </x:c>
      <x:c r="V23" s="52" t="str">
        <x:f>IF(ISNUMBER(INDEX('Sheet2-计算明细'!$AV$17:$AV$99,$X23)),INDEX('Sheet2-计算明细'!$AV$17:$AV$99,$X23),"")</x:f>
      </x:c>
      <x:c r="W23" s="40" t="str">
        <x:f>IF(INDEX('Sheet2-计算明细'!$AU$17:$AU$99,$X23)="","",INDEX('Sheet2-计算明细'!$AU$17:$AU$99,$X23))</x:f>
        <x:v>近一年收益；近一年胜率；近三年收益；近三年胜率；近三年回撤；近一年卡玛；</x:v>
      </x:c>
      <x:c r="X23" s="49" t="n">
        <x:f>MATCH(ROWS($X$6:X23),'Sheet2-计算明细'!$BJ$17:$BJ$99,0)</x:f>
        <x:v>31</x:v>
      </x:c>
      <x:c r="Y23" s="14" t="str">
        <x:f>IF(INDEX('Sheet2-计算明细'!$AX$17:$AX$99,$X23)="","",INDEX('Sheet2-计算明细'!$AX$17:$AX$99,$X23))</x:f>
        <x:v>套利策略</x:v>
      </x:c>
      <x:c r="Z23" s="14" t="str">
        <x:f>IF(INDEX('Sheet2-计算明细'!$AY$17:$AY$99,$X23)="","",INDEX('Sheet2-计算明细'!$AY$17:$AY$99,$X23))</x:f>
        <x:v>期货套利</x:v>
      </x:c>
      <x:c r="AA23" s="14" t="str">
        <x:f>IF(INDEX('Sheet2-计算明细'!$AW$17:$AW$99,$X23)="","",INDEX('Sheet2-计算明细'!$AW$17:$AW$99,$X23))</x:f>
        <x:v>暂定分／数据不完整</x:v>
      </x:c>
      <x:c r="AB23" s="49" t="n">
        <x:f>IF(ISNUMBER(INDEX('Sheet2-计算明细'!$A$17:$A$99,$X23)),INDEX('Sheet2-计算明细'!$A$17:$A$99,$X23),"")</x:f>
        <x:v>31</x:v>
      </x:c>
    </x:row>
    <x:row r="24" ht="44" customHeight="1">
      <x:c r="A24" s="14" t="n">
        <x:f>IF(ISNUMBER(INDEX('Sheet2-计算明细'!$AT$17:$AT$99,$X24)),INDEX('Sheet2-计算明细'!$AT$17:$AT$99,$X24),"")</x:f>
        <x:v>19</x:v>
      </x:c>
      <x:c r="B24" s="14" t="str">
        <x:f>IF(INDEX('Sheet2-计算明细'!$B$17:$B$99,$X24)="","",INDEX('Sheet2-计算明细'!$B$17:$B$99,$X24))</x:f>
        <x:v>祁腾蜂赢1号</x:v>
      </x:c>
      <x:c r="C24" s="14" t="str">
        <x:f>IF(INDEX('Sheet2-计算明细'!$C$17:$C$99,$X24)="","",INDEX('Sheet2-计算明细'!$C$17:$C$99,$X24))</x:f>
        <x:v>SEV580</x:v>
      </x:c>
      <x:c r="D24" s="14" t="str">
        <x:f>IF(INDEX('Sheet2-计算明细'!$D$17:$D$99,$X24)="","",INDEX('Sheet2-计算明细'!$D$17:$D$99,$X24))</x:f>
        <x:v>宁波祁腾投资</x:v>
      </x:c>
      <x:c r="E24" s="14" t="str">
        <x:f>IF(INDEX('Sheet2-计算明细'!$G$17:$G$99,$X24)="","",INDEX('Sheet2-计算明细'!$G$17:$G$99,$X24))</x:f>
        <x:v>入池</x:v>
      </x:c>
      <x:c r="F24" s="52" t="n">
        <x:f>IF(ISNUMBER(INDEX('Sheet2-计算明细'!$I$17:$I$99,$X24)),INDEX('Sheet2-计算明细'!$I$17:$I$99,$X24),"")</x:f>
        <x:v>60</x:v>
      </x:c>
      <x:c r="G24" s="52" t="n">
        <x:f>IF(ISNUMBER(INDEX('Sheet2-计算明细'!$K$17:$K$99,$X24)),INDEX('Sheet2-计算明细'!$K$17:$K$99,$X24),"")</x:f>
        <x:v>100</x:v>
      </x:c>
      <x:c r="H24" s="52" t="n">
        <x:f>IF(ISNUMBER(INDEX('Sheet2-计算明细'!$L$17:$L$99,$X24)),INDEX('Sheet2-计算明细'!$L$17:$L$99,$X24),"")</x:f>
        <x:v>100</x:v>
      </x:c>
      <x:c r="I24" s="52" t="str">
        <x:f>IF(ISNUMBER(INDEX('Sheet2-计算明细'!$S$17:$S$99,$X24)),INDEX('Sheet2-计算明细'!$S$17:$S$99,$X24),"")</x:f>
      </x:c>
      <x:c r="J24" s="52" t="str">
        <x:f>IF(ISNUMBER(INDEX('Sheet2-计算明细'!$Y$17:$Y$99,$X24)),INDEX('Sheet2-计算明细'!$Y$17:$Y$99,$X24),"")</x:f>
      </x:c>
      <x:c r="K24" s="52" t="str">
        <x:f>IF(ISNUMBER(INDEX('Sheet2-计算明细'!$AC$17:$AC$99,$X24)),INDEX('Sheet2-计算明细'!$AC$17:$AC$99,$X24),"")</x:f>
      </x:c>
      <x:c r="L24" s="52" t="str">
        <x:f>IF(ISNUMBER(INDEX('Sheet2-计算明细'!$AI$17:$AI$99,$X24)),INDEX('Sheet2-计算明细'!$AI$17:$AI$99,$X24),"")</x:f>
      </x:c>
      <x:c r="M24" s="52" t="str">
        <x:f>IF(ISNUMBER(INDEX('Sheet2-计算明细'!$AK$17:$AK$99,$X24)),INDEX('Sheet2-计算明细'!$AK$17:$AK$99,$X24),"")</x:f>
      </x:c>
      <x:c r="N24" s="52" t="n">
        <x:f>IF(ISNUMBER(INDEX('Sheet2-计算明细'!$AL$17:$AL$99,$X24)),INDEX('Sheet2-计算明细'!$AL$17:$AL$99,$X24),"")</x:f>
        <x:v>84</x:v>
      </x:c>
      <x:c r="O24" s="52" t="str">
        <x:f>IF(ISNUMBER(INDEX('Sheet2-计算明细'!$AM$17:$AM$99,$X24)),INDEX('Sheet2-计算明细'!$AM$17:$AM$99,$X24),"")</x:f>
      </x:c>
      <x:c r="P24" s="52" t="str">
        <x:f>IF(ISNUMBER(INDEX('Sheet2-计算明细'!$AN$17:$AN$99,$X24)),INDEX('Sheet2-计算明细'!$AN$17:$AN$99,$X24),"")</x:f>
      </x:c>
      <x:c r="Q24" s="52" t="str">
        <x:f>IF(ISNUMBER(INDEX('Sheet2-计算明细'!$AO$17:$AO$99,$X24)),INDEX('Sheet2-计算明细'!$AO$17:$AO$99,$X24),"")</x:f>
      </x:c>
      <x:c r="R24" s="52" t="str">
        <x:f>IF(ISNUMBER(INDEX('Sheet2-计算明细'!$AP$17:$AP$99,$X24)),INDEX('Sheet2-计算明细'!$AP$17:$AP$99,$X24),"")</x:f>
      </x:c>
      <x:c r="S24" s="27" t="n">
        <x:f>IF(ISNUMBER(INDEX('Sheet2-计算明细'!$AQ$17:$AQ$99,$X24)),INDEX('Sheet2-计算明细'!$AQ$17:$AQ$99,$X24),"")</x:f>
        <x:v>0.15</x:v>
      </x:c>
      <x:c r="T24" s="52" t="n">
        <x:f>IF(ISNUMBER(INDEX('Sheet2-计算明细'!$AR$17:$AR$99,$X24)),INDEX('Sheet2-计算明细'!$AR$17:$AR$99,$X24),"")</x:f>
        <x:v>12.6</x:v>
      </x:c>
      <x:c r="U24" s="52" t="n">
        <x:f>IF(ISNUMBER(INDEX('Sheet2-计算明细'!$AS$17:$AS$99,$X24)),INDEX('Sheet2-计算明细'!$AS$17:$AS$99,$X24),"")</x:f>
        <x:v>84</x:v>
      </x:c>
      <x:c r="V24" s="52" t="str">
        <x:f>IF(ISNUMBER(INDEX('Sheet2-计算明细'!$AV$17:$AV$99,$X24)),INDEX('Sheet2-计算明细'!$AV$17:$AV$99,$X24),"")</x:f>
      </x:c>
      <x:c r="W24" s="40" t="str">
        <x:f>IF(INDEX('Sheet2-计算明细'!$AU$17:$AU$99,$X24)="","",INDEX('Sheet2-计算明细'!$AU$17:$AU$99,$X24))</x:f>
        <x:v>近一年收益；近一年胜率；近三年收益；近三年胜率；近三年回撤；近一年卡玛；</x:v>
      </x:c>
      <x:c r="X24" s="49" t="n">
        <x:f>MATCH(ROWS($X$6:X24),'Sheet2-计算明细'!$BJ$17:$BJ$99,0)</x:f>
        <x:v>49</x:v>
      </x:c>
      <x:c r="Y24" s="14" t="str">
        <x:f>IF(INDEX('Sheet2-计算明细'!$AX$17:$AX$99,$X24)="","",INDEX('Sheet2-计算明细'!$AX$17:$AX$99,$X24))</x:f>
        <x:v>套利策略</x:v>
      </x:c>
      <x:c r="Z24" s="14" t="str">
        <x:f>IF(INDEX('Sheet2-计算明细'!$AY$17:$AY$99,$X24)="","",INDEX('Sheet2-计算明细'!$AY$17:$AY$99,$X24))</x:f>
        <x:v>期货套利</x:v>
      </x:c>
      <x:c r="AA24" s="14" t="str">
        <x:f>IF(INDEX('Sheet2-计算明细'!$AW$17:$AW$99,$X24)="","",INDEX('Sheet2-计算明细'!$AW$17:$AW$99,$X24))</x:f>
        <x:v>暂定分／数据不完整</x:v>
      </x:c>
      <x:c r="AB24" s="49" t="n">
        <x:f>IF(ISNUMBER(INDEX('Sheet2-计算明细'!$A$17:$A$99,$X24)),INDEX('Sheet2-计算明细'!$A$17:$A$99,$X24),"")</x:f>
        <x:v>49</x:v>
      </x:c>
    </x:row>
    <x:row r="25" ht="44" customHeight="1">
      <x:c r="A25" s="14" t="n">
        <x:f>IF(ISNUMBER(INDEX('Sheet2-计算明细'!$AT$17:$AT$99,$X25)),INDEX('Sheet2-计算明细'!$AT$17:$AT$99,$X25),"")</x:f>
        <x:v>20</x:v>
      </x:c>
      <x:c r="B25" s="14" t="str">
        <x:f>IF(INDEX('Sheet2-计算明细'!$B$17:$B$99,$X25)="","",INDEX('Sheet2-计算明细'!$B$17:$B$99,$X25))</x:f>
        <x:v>世宽若水尘心3号</x:v>
      </x:c>
      <x:c r="C25" s="14" t="str">
        <x:f>IF(INDEX('Sheet2-计算明细'!$C$17:$C$99,$X25)="","",INDEX('Sheet2-计算明细'!$C$17:$C$99,$X25))</x:f>
        <x:v>SXT730</x:v>
      </x:c>
      <x:c r="D25" s="14" t="str">
        <x:f>IF(INDEX('Sheet2-计算明细'!$D$17:$D$99,$X25)="","",INDEX('Sheet2-计算明细'!$D$17:$D$99,$X25))</x:f>
        <x:v>厦门世宽</x:v>
      </x:c>
      <x:c r="E25" s="14" t="str">
        <x:f>IF(INDEX('Sheet2-计算明细'!$G$17:$G$99,$X25)="","",INDEX('Sheet2-计算明细'!$G$17:$G$99,$X25))</x:f>
        <x:v>入池</x:v>
      </x:c>
      <x:c r="F25" s="52" t="n">
        <x:f>IF(ISNUMBER(INDEX('Sheet2-计算明细'!$I$17:$I$99,$X25)),INDEX('Sheet2-计算明细'!$I$17:$I$99,$X25),"")</x:f>
        <x:v>60</x:v>
      </x:c>
      <x:c r="G25" s="52" t="n">
        <x:f>IF(ISNUMBER(INDEX('Sheet2-计算明细'!$K$17:$K$99,$X25)),INDEX('Sheet2-计算明细'!$K$17:$K$99,$X25),"")</x:f>
        <x:v>100</x:v>
      </x:c>
      <x:c r="H25" s="52" t="n">
        <x:f>IF(ISNUMBER(INDEX('Sheet2-计算明细'!$L$17:$L$99,$X25)),INDEX('Sheet2-计算明细'!$L$17:$L$99,$X25),"")</x:f>
        <x:v>100</x:v>
      </x:c>
      <x:c r="I25" s="52" t="str">
        <x:f>IF(ISNUMBER(INDEX('Sheet2-计算明细'!$S$17:$S$99,$X25)),INDEX('Sheet2-计算明细'!$S$17:$S$99,$X25),"")</x:f>
      </x:c>
      <x:c r="J25" s="52" t="str">
        <x:f>IF(ISNUMBER(INDEX('Sheet2-计算明细'!$Y$17:$Y$99,$X25)),INDEX('Sheet2-计算明细'!$Y$17:$Y$99,$X25),"")</x:f>
      </x:c>
      <x:c r="K25" s="52" t="str">
        <x:f>IF(ISNUMBER(INDEX('Sheet2-计算明细'!$AC$17:$AC$99,$X25)),INDEX('Sheet2-计算明细'!$AC$17:$AC$99,$X25),"")</x:f>
      </x:c>
      <x:c r="L25" s="52" t="str">
        <x:f>IF(ISNUMBER(INDEX('Sheet2-计算明细'!$AI$17:$AI$99,$X25)),INDEX('Sheet2-计算明细'!$AI$17:$AI$99,$X25),"")</x:f>
      </x:c>
      <x:c r="M25" s="52" t="str">
        <x:f>IF(ISNUMBER(INDEX('Sheet2-计算明细'!$AK$17:$AK$99,$X25)),INDEX('Sheet2-计算明细'!$AK$17:$AK$99,$X25),"")</x:f>
      </x:c>
      <x:c r="N25" s="52" t="n">
        <x:f>IF(ISNUMBER(INDEX('Sheet2-计算明细'!$AL$17:$AL$99,$X25)),INDEX('Sheet2-计算明细'!$AL$17:$AL$99,$X25),"")</x:f>
        <x:v>84</x:v>
      </x:c>
      <x:c r="O25" s="52" t="str">
        <x:f>IF(ISNUMBER(INDEX('Sheet2-计算明细'!$AM$17:$AM$99,$X25)),INDEX('Sheet2-计算明细'!$AM$17:$AM$99,$X25),"")</x:f>
      </x:c>
      <x:c r="P25" s="52" t="str">
        <x:f>IF(ISNUMBER(INDEX('Sheet2-计算明细'!$AN$17:$AN$99,$X25)),INDEX('Sheet2-计算明细'!$AN$17:$AN$99,$X25),"")</x:f>
      </x:c>
      <x:c r="Q25" s="52" t="str">
        <x:f>IF(ISNUMBER(INDEX('Sheet2-计算明细'!$AO$17:$AO$99,$X25)),INDEX('Sheet2-计算明细'!$AO$17:$AO$99,$X25),"")</x:f>
      </x:c>
      <x:c r="R25" s="52" t="str">
        <x:f>IF(ISNUMBER(INDEX('Sheet2-计算明细'!$AP$17:$AP$99,$X25)),INDEX('Sheet2-计算明细'!$AP$17:$AP$99,$X25),"")</x:f>
      </x:c>
      <x:c r="S25" s="27" t="n">
        <x:f>IF(ISNUMBER(INDEX('Sheet2-计算明细'!$AQ$17:$AQ$99,$X25)),INDEX('Sheet2-计算明细'!$AQ$17:$AQ$99,$X25),"")</x:f>
        <x:v>0.15</x:v>
      </x:c>
      <x:c r="T25" s="52" t="n">
        <x:f>IF(ISNUMBER(INDEX('Sheet2-计算明细'!$AR$17:$AR$99,$X25)),INDEX('Sheet2-计算明细'!$AR$17:$AR$99,$X25),"")</x:f>
        <x:v>12.6</x:v>
      </x:c>
      <x:c r="U25" s="52" t="n">
        <x:f>IF(ISNUMBER(INDEX('Sheet2-计算明细'!$AS$17:$AS$99,$X25)),INDEX('Sheet2-计算明细'!$AS$17:$AS$99,$X25),"")</x:f>
        <x:v>84</x:v>
      </x:c>
      <x:c r="V25" s="52" t="str">
        <x:f>IF(ISNUMBER(INDEX('Sheet2-计算明细'!$AV$17:$AV$99,$X25)),INDEX('Sheet2-计算明细'!$AV$17:$AV$99,$X25),"")</x:f>
      </x:c>
      <x:c r="W25" s="40" t="str">
        <x:f>IF(INDEX('Sheet2-计算明细'!$AU$17:$AU$99,$X25)="","",INDEX('Sheet2-计算明细'!$AU$17:$AU$99,$X25))</x:f>
        <x:v>近一年收益；近一年胜率；近三年收益；近三年胜率；近三年回撤；近一年卡玛；</x:v>
      </x:c>
      <x:c r="X25" s="49" t="n">
        <x:f>MATCH(ROWS($X$6:X25),'Sheet2-计算明细'!$BJ$17:$BJ$99,0)</x:f>
        <x:v>59</x:v>
      </x:c>
      <x:c r="Y25" s="14" t="str">
        <x:f>IF(INDEX('Sheet2-计算明细'!$AX$17:$AX$99,$X25)="","",INDEX('Sheet2-计算明细'!$AX$17:$AX$99,$X25))</x:f>
        <x:v>套利策略</x:v>
      </x:c>
      <x:c r="Z25" s="14" t="str">
        <x:f>IF(INDEX('Sheet2-计算明细'!$AY$17:$AY$99,$X25)="","",INDEX('Sheet2-计算明细'!$AY$17:$AY$99,$X25))</x:f>
        <x:v>期货套利</x:v>
      </x:c>
      <x:c r="AA25" s="14" t="str">
        <x:f>IF(INDEX('Sheet2-计算明细'!$AW$17:$AW$99,$X25)="","",INDEX('Sheet2-计算明细'!$AW$17:$AW$99,$X25))</x:f>
        <x:v>暂定分／数据不完整</x:v>
      </x:c>
      <x:c r="AB25" s="49" t="n">
        <x:f>IF(ISNUMBER(INDEX('Sheet2-计算明细'!$A$17:$A$99,$X25)),INDEX('Sheet2-计算明细'!$A$17:$A$99,$X25),"")</x:f>
        <x:v>59</x:v>
      </x:c>
    </x:row>
    <x:row r="26" ht="44" customHeight="1">
      <x:c r="A26" s="14" t="n">
        <x:f>IF(ISNUMBER(INDEX('Sheet2-计算明细'!$AT$17:$AT$99,$X26)),INDEX('Sheet2-计算明细'!$AT$17:$AT$99,$X26),"")</x:f>
        <x:v>21</x:v>
      </x:c>
      <x:c r="B26" s="14" t="str">
        <x:f>IF(INDEX('Sheet2-计算明细'!$B$17:$B$99,$X26)="","",INDEX('Sheet2-计算明细'!$B$17:$B$99,$X26))</x:f>
        <x:v>系数CTA套利五号</x:v>
      </x:c>
      <x:c r="C26" s="14" t="str">
        <x:f>IF(INDEX('Sheet2-计算明细'!$C$17:$C$99,$X26)="","",INDEX('Sheet2-计算明细'!$C$17:$C$99,$X26))</x:f>
        <x:v>SXT086</x:v>
      </x:c>
      <x:c r="D26" s="14" t="str">
        <x:f>IF(INDEX('Sheet2-计算明细'!$D$17:$D$99,$X26)="","",INDEX('Sheet2-计算明细'!$D$17:$D$99,$X26))</x:f>
        <x:v>上海系数投资</x:v>
      </x:c>
      <x:c r="E26" s="14" t="str">
        <x:f>IF(INDEX('Sheet2-计算明细'!$G$17:$G$99,$X26)="","",INDEX('Sheet2-计算明细'!$G$17:$G$99,$X26))</x:f>
        <x:v>入池</x:v>
      </x:c>
      <x:c r="F26" s="52" t="n">
        <x:f>IF(ISNUMBER(INDEX('Sheet2-计算明细'!$I$17:$I$99,$X26)),INDEX('Sheet2-计算明细'!$I$17:$I$99,$X26),"")</x:f>
        <x:v>60</x:v>
      </x:c>
      <x:c r="G26" s="52" t="n">
        <x:f>IF(ISNUMBER(INDEX('Sheet2-计算明细'!$K$17:$K$99,$X26)),INDEX('Sheet2-计算明细'!$K$17:$K$99,$X26),"")</x:f>
        <x:v>100</x:v>
      </x:c>
      <x:c r="H26" s="52" t="n">
        <x:f>IF(ISNUMBER(INDEX('Sheet2-计算明细'!$L$17:$L$99,$X26)),INDEX('Sheet2-计算明细'!$L$17:$L$99,$X26),"")</x:f>
        <x:v>100</x:v>
      </x:c>
      <x:c r="I26" s="52" t="str">
        <x:f>IF(ISNUMBER(INDEX('Sheet2-计算明细'!$S$17:$S$99,$X26)),INDEX('Sheet2-计算明细'!$S$17:$S$99,$X26),"")</x:f>
      </x:c>
      <x:c r="J26" s="52" t="str">
        <x:f>IF(ISNUMBER(INDEX('Sheet2-计算明细'!$Y$17:$Y$99,$X26)),INDEX('Sheet2-计算明细'!$Y$17:$Y$99,$X26),"")</x:f>
      </x:c>
      <x:c r="K26" s="52" t="str">
        <x:f>IF(ISNUMBER(INDEX('Sheet2-计算明细'!$AC$17:$AC$99,$X26)),INDEX('Sheet2-计算明细'!$AC$17:$AC$99,$X26),"")</x:f>
      </x:c>
      <x:c r="L26" s="52" t="str">
        <x:f>IF(ISNUMBER(INDEX('Sheet2-计算明细'!$AI$17:$AI$99,$X26)),INDEX('Sheet2-计算明细'!$AI$17:$AI$99,$X26),"")</x:f>
      </x:c>
      <x:c r="M26" s="52" t="str">
        <x:f>IF(ISNUMBER(INDEX('Sheet2-计算明细'!$AK$17:$AK$99,$X26)),INDEX('Sheet2-计算明细'!$AK$17:$AK$99,$X26),"")</x:f>
      </x:c>
      <x:c r="N26" s="52" t="n">
        <x:f>IF(ISNUMBER(INDEX('Sheet2-计算明细'!$AL$17:$AL$99,$X26)),INDEX('Sheet2-计算明细'!$AL$17:$AL$99,$X26),"")</x:f>
        <x:v>84</x:v>
      </x:c>
      <x:c r="O26" s="52" t="str">
        <x:f>IF(ISNUMBER(INDEX('Sheet2-计算明细'!$AM$17:$AM$99,$X26)),INDEX('Sheet2-计算明细'!$AM$17:$AM$99,$X26),"")</x:f>
      </x:c>
      <x:c r="P26" s="52" t="str">
        <x:f>IF(ISNUMBER(INDEX('Sheet2-计算明细'!$AN$17:$AN$99,$X26)),INDEX('Sheet2-计算明细'!$AN$17:$AN$99,$X26),"")</x:f>
      </x:c>
      <x:c r="Q26" s="52" t="str">
        <x:f>IF(ISNUMBER(INDEX('Sheet2-计算明细'!$AO$17:$AO$99,$X26)),INDEX('Sheet2-计算明细'!$AO$17:$AO$99,$X26),"")</x:f>
      </x:c>
      <x:c r="R26" s="52" t="str">
        <x:f>IF(ISNUMBER(INDEX('Sheet2-计算明细'!$AP$17:$AP$99,$X26)),INDEX('Sheet2-计算明细'!$AP$17:$AP$99,$X26),"")</x:f>
      </x:c>
      <x:c r="S26" s="27" t="n">
        <x:f>IF(ISNUMBER(INDEX('Sheet2-计算明细'!$AQ$17:$AQ$99,$X26)),INDEX('Sheet2-计算明细'!$AQ$17:$AQ$99,$X26),"")</x:f>
        <x:v>0.15</x:v>
      </x:c>
      <x:c r="T26" s="52" t="n">
        <x:f>IF(ISNUMBER(INDEX('Sheet2-计算明细'!$AR$17:$AR$99,$X26)),INDEX('Sheet2-计算明细'!$AR$17:$AR$99,$X26),"")</x:f>
        <x:v>12.6</x:v>
      </x:c>
      <x:c r="U26" s="52" t="n">
        <x:f>IF(ISNUMBER(INDEX('Sheet2-计算明细'!$AS$17:$AS$99,$X26)),INDEX('Sheet2-计算明细'!$AS$17:$AS$99,$X26),"")</x:f>
        <x:v>84</x:v>
      </x:c>
      <x:c r="V26" s="52" t="str">
        <x:f>IF(ISNUMBER(INDEX('Sheet2-计算明细'!$AV$17:$AV$99,$X26)),INDEX('Sheet2-计算明细'!$AV$17:$AV$99,$X26),"")</x:f>
      </x:c>
      <x:c r="W26" s="40" t="str">
        <x:f>IF(INDEX('Sheet2-计算明细'!$AU$17:$AU$99,$X26)="","",INDEX('Sheet2-计算明细'!$AU$17:$AU$99,$X26))</x:f>
        <x:v>近一年收益；近一年胜率；近三年收益；近三年胜率；近三年回撤；近一年卡玛；</x:v>
      </x:c>
      <x:c r="X26" s="49" t="n">
        <x:f>MATCH(ROWS($X$6:X26),'Sheet2-计算明细'!$BJ$17:$BJ$99,0)</x:f>
        <x:v>66</x:v>
      </x:c>
      <x:c r="Y26" s="14" t="str">
        <x:f>IF(INDEX('Sheet2-计算明细'!$AX$17:$AX$99,$X26)="","",INDEX('Sheet2-计算明细'!$AX$17:$AX$99,$X26))</x:f>
        <x:v>套利策略</x:v>
      </x:c>
      <x:c r="Z26" s="14" t="str">
        <x:f>IF(INDEX('Sheet2-计算明细'!$AY$17:$AY$99,$X26)="","",INDEX('Sheet2-计算明细'!$AY$17:$AY$99,$X26))</x:f>
        <x:v>期货套利</x:v>
      </x:c>
      <x:c r="AA26" s="14" t="str">
        <x:f>IF(INDEX('Sheet2-计算明细'!$AW$17:$AW$99,$X26)="","",INDEX('Sheet2-计算明细'!$AW$17:$AW$99,$X26))</x:f>
        <x:v>暂定分／数据不完整</x:v>
      </x:c>
      <x:c r="AB26" s="49" t="n">
        <x:f>IF(ISNUMBER(INDEX('Sheet2-计算明细'!$A$17:$A$99,$X26)),INDEX('Sheet2-计算明细'!$A$17:$A$99,$X26),"")</x:f>
        <x:v>66</x:v>
      </x:c>
    </x:row>
    <x:row r="27" ht="44" customHeight="1">
      <x:c r="A27" s="14" t="n">
        <x:f>IF(ISNUMBER(INDEX('Sheet2-计算明细'!$AT$17:$AT$99,$X27)),INDEX('Sheet2-计算明细'!$AT$17:$AT$99,$X27),"")</x:f>
        <x:v>22</x:v>
      </x:c>
      <x:c r="B27" s="14" t="str">
        <x:f>IF(INDEX('Sheet2-计算明细'!$B$17:$B$99,$X27)="","",INDEX('Sheet2-计算明细'!$B$17:$B$99,$X27))</x:f>
        <x:v>奶酪鑫鑫宝二号</x:v>
      </x:c>
      <x:c r="C27" s="14" t="str">
        <x:f>IF(INDEX('Sheet2-计算明细'!$C$17:$C$99,$X27)="","",INDEX('Sheet2-计算明细'!$C$17:$C$99,$X27))</x:f>
        <x:v>SB2838</x:v>
      </x:c>
      <x:c r="D27" s="14" t="str">
        <x:f>IF(INDEX('Sheet2-计算明细'!$D$17:$D$99,$X27)="","",INDEX('Sheet2-计算明细'!$D$17:$D$99,$X27))</x:f>
        <x:v>广东奶酪</x:v>
      </x:c>
      <x:c r="E27" s="14" t="str">
        <x:f>IF(INDEX('Sheet2-计算明细'!$G$17:$G$99,$X27)="","",INDEX('Sheet2-计算明细'!$G$17:$G$99,$X27))</x:f>
        <x:v>入池</x:v>
      </x:c>
      <x:c r="F27" s="52" t="n">
        <x:f>IF(ISNUMBER(INDEX('Sheet2-计算明细'!$I$17:$I$99,$X27)),INDEX('Sheet2-计算明细'!$I$17:$I$99,$X27),"")</x:f>
        <x:v>80</x:v>
      </x:c>
      <x:c r="G27" s="52" t="n">
        <x:f>IF(ISNUMBER(INDEX('Sheet2-计算明细'!$K$17:$K$99,$X27)),INDEX('Sheet2-计算明细'!$K$17:$K$99,$X27),"")</x:f>
        <x:v>100</x:v>
      </x:c>
      <x:c r="H27" s="52" t="n">
        <x:f>IF(ISNUMBER(INDEX('Sheet2-计算明细'!$L$17:$L$99,$X27)),INDEX('Sheet2-计算明细'!$L$17:$L$99,$X27),"")</x:f>
        <x:v>100</x:v>
      </x:c>
      <x:c r="I27" s="52" t="n">
        <x:f>IF(ISNUMBER(INDEX('Sheet2-计算明细'!$S$17:$S$99,$X27)),INDEX('Sheet2-计算明细'!$S$17:$S$99,$X27),"")</x:f>
        <x:v>22.66</x:v>
      </x:c>
      <x:c r="J27" s="52" t="n">
        <x:f>IF(ISNUMBER(INDEX('Sheet2-计算明细'!$Y$17:$Y$99,$X27)),INDEX('Sheet2-计算明细'!$Y$17:$Y$99,$X27),"")</x:f>
        <x:v>100</x:v>
      </x:c>
      <x:c r="K27" s="52" t="n">
        <x:f>IF(ISNUMBER(INDEX('Sheet2-计算明细'!$AC$17:$AC$99,$X27)),INDEX('Sheet2-计算明细'!$AC$17:$AC$99,$X27),"")</x:f>
        <x:v>100</x:v>
      </x:c>
      <x:c r="L27" s="52" t="str">
        <x:f>IF(ISNUMBER(INDEX('Sheet2-计算明细'!$AI$17:$AI$99,$X27)),INDEX('Sheet2-计算明细'!$AI$17:$AI$99,$X27),"")</x:f>
      </x:c>
      <x:c r="M27" s="52" t="n">
        <x:f>IF(ISNUMBER(INDEX('Sheet2-计算明细'!$AK$17:$AK$99,$X27)),INDEX('Sheet2-计算明细'!$AK$17:$AK$99,$X27),"")</x:f>
        <x:v>100</x:v>
      </x:c>
      <x:c r="N27" s="52" t="n">
        <x:f>IF(ISNUMBER(INDEX('Sheet2-计算明细'!$AL$17:$AL$99,$X27)),INDEX('Sheet2-计算明细'!$AL$17:$AL$99,$X27),"")</x:f>
        <x:v>92</x:v>
      </x:c>
      <x:c r="O27" s="52" t="n">
        <x:f>IF(ISNUMBER(INDEX('Sheet2-计算明细'!$AM$17:$AM$99,$X27)),INDEX('Sheet2-计算明细'!$AM$17:$AM$99,$X27),"")</x:f>
        <x:v>45.86</x:v>
      </x:c>
      <x:c r="P27" s="52" t="n">
        <x:f>IF(ISNUMBER(INDEX('Sheet2-计算明细'!$AN$17:$AN$99,$X27)),INDEX('Sheet2-计算明细'!$AN$17:$AN$99,$X27),"")</x:f>
        <x:v>100</x:v>
      </x:c>
      <x:c r="Q27" s="52" t="str">
        <x:f>IF(ISNUMBER(INDEX('Sheet2-计算明细'!$AO$17:$AO$99,$X27)),INDEX('Sheet2-计算明细'!$AO$17:$AO$99,$X27),"")</x:f>
      </x:c>
      <x:c r="R27" s="52" t="n">
        <x:f>IF(ISNUMBER(INDEX('Sheet2-计算明细'!$AP$17:$AP$99,$X27)),INDEX('Sheet2-计算明细'!$AP$17:$AP$99,$X27),"")</x:f>
        <x:v>100</x:v>
      </x:c>
      <x:c r="S27" s="27" t="n">
        <x:f>IF(ISNUMBER(INDEX('Sheet2-计算明细'!$AQ$17:$AQ$99,$X27)),INDEX('Sheet2-计算明细'!$AQ$17:$AQ$99,$X27),"")</x:f>
        <x:v>0.7</x:v>
      </x:c>
      <x:c r="T27" s="52" t="n">
        <x:f>IF(ISNUMBER(INDEX('Sheet2-计算明细'!$AR$17:$AR$99,$X27)),INDEX('Sheet2-计算明细'!$AR$17:$AR$99,$X27),"")</x:f>
        <x:v>57.9724</x:v>
      </x:c>
      <x:c r="U27" s="52" t="n">
        <x:f>IF(ISNUMBER(INDEX('Sheet2-计算明细'!$AS$17:$AS$99,$X27)),INDEX('Sheet2-计算明细'!$AS$17:$AS$99,$X27),"")</x:f>
        <x:v>82.82</x:v>
      </x:c>
      <x:c r="V27" s="52" t="str">
        <x:f>IF(ISNUMBER(INDEX('Sheet2-计算明细'!$AV$17:$AV$99,$X27)),INDEX('Sheet2-计算明细'!$AV$17:$AV$99,$X27),"")</x:f>
      </x:c>
      <x:c r="W27" s="40" t="str">
        <x:f>IF(INDEX('Sheet2-计算明细'!$AU$17:$AU$99,$X27)="","",INDEX('Sheet2-计算明细'!$AU$17:$AU$99,$X27))</x:f>
        <x:v>近一年卡玛；DD_long不可识别；</x:v>
      </x:c>
      <x:c r="X27" s="49" t="n">
        <x:f>MATCH(ROWS($X$6:X27),'Sheet2-计算明细'!$BJ$17:$BJ$99,0)</x:f>
        <x:v>45</x:v>
      </x:c>
      <x:c r="Y27" s="14" t="str">
        <x:f>IF(INDEX('Sheet2-计算明细'!$AX$17:$AX$99,$X27)="","",INDEX('Sheet2-计算明细'!$AX$17:$AX$99,$X27))</x:f>
        <x:v>套利策略</x:v>
      </x:c>
      <x:c r="Z27" s="14" t="str">
        <x:f>IF(INDEX('Sheet2-计算明细'!$AY$17:$AY$99,$X27)="","",INDEX('Sheet2-计算明细'!$AY$17:$AY$99,$X27))</x:f>
        <x:v>期货套利</x:v>
      </x:c>
      <x:c r="AA27" s="14" t="str">
        <x:f>IF(INDEX('Sheet2-计算明细'!$AW$17:$AW$99,$X27)="","",INDEX('Sheet2-计算明细'!$AW$17:$AW$99,$X27))</x:f>
        <x:v>暂定分／数据不完整</x:v>
      </x:c>
      <x:c r="AB27" s="49" t="n">
        <x:f>IF(ISNUMBER(INDEX('Sheet2-计算明细'!$A$17:$A$99,$X27)),INDEX('Sheet2-计算明细'!$A$17:$A$99,$X27),"")</x:f>
        <x:v>45</x:v>
      </x:c>
    </x:row>
    <x:row r="28" ht="44" customHeight="1">
      <x:c r="A28" s="14" t="n">
        <x:f>IF(ISNUMBER(INDEX('Sheet2-计算明细'!$AT$17:$AT$99,$X28)),INDEX('Sheet2-计算明细'!$AT$17:$AT$99,$X28),"")</x:f>
        <x:v>23</x:v>
      </x:c>
      <x:c r="B28" s="14" t="str">
        <x:f>IF(INDEX('Sheet2-计算明细'!$B$17:$B$99,$X28)="","",INDEX('Sheet2-计算明细'!$B$17:$B$99,$X28))</x:f>
        <x:v>慕途稳健1号</x:v>
      </x:c>
      <x:c r="C28" s="14" t="str">
        <x:f>IF(INDEX('Sheet2-计算明细'!$C$17:$C$99,$X28)="","",INDEX('Sheet2-计算明细'!$C$17:$C$99,$X28))</x:f>
        <x:v>SVM029</x:v>
      </x:c>
      <x:c r="D28" s="14" t="str">
        <x:f>IF(INDEX('Sheet2-计算明细'!$D$17:$D$99,$X28)="","",INDEX('Sheet2-计算明细'!$D$17:$D$99,$X28))</x:f>
        <x:v>慕途基金</x:v>
      </x:c>
      <x:c r="E28" s="14" t="str">
        <x:f>IF(INDEX('Sheet2-计算明细'!$G$17:$G$99,$X28)="","",INDEX('Sheet2-计算明细'!$G$17:$G$99,$X28))</x:f>
        <x:v>入池</x:v>
      </x:c>
      <x:c r="F28" s="52" t="n">
        <x:f>IF(ISNUMBER(INDEX('Sheet2-计算明细'!$I$17:$I$99,$X28)),INDEX('Sheet2-计算明细'!$I$17:$I$99,$X28),"")</x:f>
        <x:v>80</x:v>
      </x:c>
      <x:c r="G28" s="52" t="n">
        <x:f>IF(ISNUMBER(INDEX('Sheet2-计算明细'!$K$17:$K$99,$X28)),INDEX('Sheet2-计算明细'!$K$17:$K$99,$X28),"")</x:f>
        <x:v>100</x:v>
      </x:c>
      <x:c r="H28" s="52" t="n">
        <x:f>IF(ISNUMBER(INDEX('Sheet2-计算明细'!$L$17:$L$99,$X28)),INDEX('Sheet2-计算明细'!$L$17:$L$99,$X28),"")</x:f>
        <x:v>100</x:v>
      </x:c>
      <x:c r="I28" s="52" t="n">
        <x:f>IF(ISNUMBER(INDEX('Sheet2-计算明细'!$S$17:$S$99,$X28)),INDEX('Sheet2-计算明细'!$S$17:$S$99,$X28),"")</x:f>
        <x:v>47.2</x:v>
      </x:c>
      <x:c r="J28" s="52" t="n">
        <x:f>IF(ISNUMBER(INDEX('Sheet2-计算明细'!$Y$17:$Y$99,$X28)),INDEX('Sheet2-计算明细'!$Y$17:$Y$99,$X28),"")</x:f>
        <x:v>100</x:v>
      </x:c>
      <x:c r="K28" s="52" t="n">
        <x:f>IF(ISNUMBER(INDEX('Sheet2-计算明细'!$AC$17:$AC$99,$X28)),INDEX('Sheet2-计算明细'!$AC$17:$AC$99,$X28),"")</x:f>
        <x:v>81.03</x:v>
      </x:c>
      <x:c r="L28" s="52" t="n">
        <x:f>IF(ISNUMBER(INDEX('Sheet2-计算明细'!$AI$17:$AI$99,$X28)),INDEX('Sheet2-计算明细'!$AI$17:$AI$99,$X28),"")</x:f>
        <x:v>85.55</x:v>
      </x:c>
      <x:c r="M28" s="52" t="n">
        <x:f>IF(ISNUMBER(INDEX('Sheet2-计算明细'!$AK$17:$AK$99,$X28)),INDEX('Sheet2-计算明细'!$AK$17:$AK$99,$X28),"")</x:f>
        <x:v>100</x:v>
      </x:c>
      <x:c r="N28" s="52" t="n">
        <x:f>IF(ISNUMBER(INDEX('Sheet2-计算明细'!$AL$17:$AL$99,$X28)),INDEX('Sheet2-计算明细'!$AL$17:$AL$99,$X28),"")</x:f>
        <x:v>92</x:v>
      </x:c>
      <x:c r="O28" s="52" t="n">
        <x:f>IF(ISNUMBER(INDEX('Sheet2-计算明细'!$AM$17:$AM$99,$X28)),INDEX('Sheet2-计算明细'!$AM$17:$AM$99,$X28),"")</x:f>
        <x:v>63.04</x:v>
      </x:c>
      <x:c r="P28" s="52" t="n">
        <x:f>IF(ISNUMBER(INDEX('Sheet2-计算明细'!$AN$17:$AN$99,$X28)),INDEX('Sheet2-计算明细'!$AN$17:$AN$99,$X28),"")</x:f>
        <x:v>81.03</x:v>
      </x:c>
      <x:c r="Q28" s="52" t="n">
        <x:f>IF(ISNUMBER(INDEX('Sheet2-计算明细'!$AO$17:$AO$99,$X28)),INDEX('Sheet2-计算明细'!$AO$17:$AO$99,$X28),"")</x:f>
        <x:v>85.55</x:v>
      </x:c>
      <x:c r="R28" s="52" t="n">
        <x:f>IF(ISNUMBER(INDEX('Sheet2-计算明细'!$AP$17:$AP$99,$X28)),INDEX('Sheet2-计算明细'!$AP$17:$AP$99,$X28),"")</x:f>
        <x:v>100</x:v>
      </x:c>
      <x:c r="S28" s="27" t="n">
        <x:f>IF(ISNUMBER(INDEX('Sheet2-计算明细'!$AQ$17:$AQ$99,$X28)),INDEX('Sheet2-计算明细'!$AQ$17:$AQ$99,$X28),"")</x:f>
        <x:v>1</x:v>
      </x:c>
      <x:c r="T28" s="52" t="n">
        <x:f>IF(ISNUMBER(INDEX('Sheet2-计算明细'!$AR$17:$AR$99,$X28)),INDEX('Sheet2-计算明细'!$AR$17:$AR$99,$X28),"")</x:f>
        <x:v>82.33114</x:v>
      </x:c>
      <x:c r="U28" s="52" t="n">
        <x:f>IF(ISNUMBER(INDEX('Sheet2-计算明细'!$AS$17:$AS$99,$X28)),INDEX('Sheet2-计算明细'!$AS$17:$AS$99,$X28),"")</x:f>
        <x:v>82.33</x:v>
      </x:c>
      <x:c r="V28" s="52" t="n">
        <x:f>IF(ISNUMBER(INDEX('Sheet2-计算明细'!$AV$17:$AV$99,$X28)),INDEX('Sheet2-计算明细'!$AV$17:$AV$99,$X28),"")</x:f>
        <x:v>82.33114</x:v>
      </x:c>
      <x:c r="W28" s="40" t="str">
        <x:f>IF(INDEX('Sheet2-计算明细'!$AU$17:$AU$99,$X28)="","",INDEX('Sheet2-计算明细'!$AU$17:$AU$99,$X28))</x:f>
      </x:c>
      <x:c r="X28" s="49" t="n">
        <x:f>MATCH(ROWS($X$6:X28),'Sheet2-计算明细'!$BJ$17:$BJ$99,0)</x:f>
        <x:v>43</x:v>
      </x:c>
      <x:c r="Y28" s="14" t="str">
        <x:f>IF(INDEX('Sheet2-计算明细'!$AX$17:$AX$99,$X28)="","",INDEX('Sheet2-计算明细'!$AX$17:$AX$99,$X28))</x:f>
        <x:v>期权策略</x:v>
      </x:c>
      <x:c r="Z28" s="14" t="str">
        <x:f>IF(INDEX('Sheet2-计算明细'!$AY$17:$AY$99,$X28)="","",INDEX('Sheet2-计算明细'!$AY$17:$AY$99,$X28))</x:f>
        <x:v>场内期权</x:v>
      </x:c>
      <x:c r="AA28" s="14" t="str">
        <x:f>IF(INDEX('Sheet2-计算明细'!$AW$17:$AW$99,$X28)="","",INDEX('Sheet2-计算明细'!$AW$17:$AW$99,$X28))</x:f>
        <x:v>完整赋分</x:v>
      </x:c>
      <x:c r="AB28" s="49" t="n">
        <x:f>IF(ISNUMBER(INDEX('Sheet2-计算明细'!$A$17:$A$99,$X28)),INDEX('Sheet2-计算明细'!$A$17:$A$99,$X28),"")</x:f>
        <x:v>43</x:v>
      </x:c>
    </x:row>
    <x:row r="29" ht="44" customHeight="1">
      <x:c r="A29" s="14" t="n">
        <x:f>IF(ISNUMBER(INDEX('Sheet2-计算明细'!$AT$17:$AT$99,$X29)),INDEX('Sheet2-计算明细'!$AT$17:$AT$99,$X29),"")</x:f>
        <x:v>24</x:v>
      </x:c>
      <x:c r="B29" s="14" t="str">
        <x:f>IF(INDEX('Sheet2-计算明细'!$B$17:$B$99,$X29)="","",INDEX('Sheet2-计算明细'!$B$17:$B$99,$X29))</x:f>
        <x:v>阶石稳健7号</x:v>
      </x:c>
      <x:c r="C29" s="14" t="str">
        <x:f>IF(INDEX('Sheet2-计算明细'!$C$17:$C$99,$X29)="","",INDEX('Sheet2-计算明细'!$C$17:$C$99,$X29))</x:f>
        <x:v>SAWS84</x:v>
      </x:c>
      <x:c r="D29" s="14" t="str">
        <x:f>IF(INDEX('Sheet2-计算明细'!$D$17:$D$99,$X29)="","",INDEX('Sheet2-计算明细'!$D$17:$D$99,$X29))</x:f>
        <x:v>深圳阶石</x:v>
      </x:c>
      <x:c r="E29" s="14" t="str">
        <x:f>IF(INDEX('Sheet2-计算明细'!$G$17:$G$99,$X29)="","",INDEX('Sheet2-计算明细'!$G$17:$G$99,$X29))</x:f>
        <x:v>入池</x:v>
      </x:c>
      <x:c r="F29" s="52" t="n">
        <x:f>IF(ISNUMBER(INDEX('Sheet2-计算明细'!$I$17:$I$99,$X29)),INDEX('Sheet2-计算明细'!$I$17:$I$99,$X29),"")</x:f>
        <x:v>70</x:v>
      </x:c>
      <x:c r="G29" s="52" t="n">
        <x:f>IF(ISNUMBER(INDEX('Sheet2-计算明细'!$K$17:$K$99,$X29)),INDEX('Sheet2-计算明细'!$K$17:$K$99,$X29),"")</x:f>
        <x:v>100</x:v>
      </x:c>
      <x:c r="H29" s="52" t="n">
        <x:f>IF(ISNUMBER(INDEX('Sheet2-计算明细'!$L$17:$L$99,$X29)),INDEX('Sheet2-计算明细'!$L$17:$L$99,$X29),"")</x:f>
        <x:v>70</x:v>
      </x:c>
      <x:c r="I29" s="52" t="str">
        <x:f>IF(ISNUMBER(INDEX('Sheet2-计算明细'!$S$17:$S$99,$X29)),INDEX('Sheet2-计算明细'!$S$17:$S$99,$X29),"")</x:f>
      </x:c>
      <x:c r="J29" s="52" t="str">
        <x:f>IF(ISNUMBER(INDEX('Sheet2-计算明细'!$Y$17:$Y$99,$X29)),INDEX('Sheet2-计算明细'!$Y$17:$Y$99,$X29),"")</x:f>
      </x:c>
      <x:c r="K29" s="52" t="str">
        <x:f>IF(ISNUMBER(INDEX('Sheet2-计算明细'!$AC$17:$AC$99,$X29)),INDEX('Sheet2-计算明细'!$AC$17:$AC$99,$X29),"")</x:f>
      </x:c>
      <x:c r="L29" s="52" t="str">
        <x:f>IF(ISNUMBER(INDEX('Sheet2-计算明细'!$AI$17:$AI$99,$X29)),INDEX('Sheet2-计算明细'!$AI$17:$AI$99,$X29),"")</x:f>
      </x:c>
      <x:c r="M29" s="52" t="str">
        <x:f>IF(ISNUMBER(INDEX('Sheet2-计算明细'!$AK$17:$AK$99,$X29)),INDEX('Sheet2-计算明细'!$AK$17:$AK$99,$X29),"")</x:f>
      </x:c>
      <x:c r="N29" s="52" t="n">
        <x:f>IF(ISNUMBER(INDEX('Sheet2-计算明细'!$AL$17:$AL$99,$X29)),INDEX('Sheet2-计算明细'!$AL$17:$AL$99,$X29),"")</x:f>
        <x:v>79</x:v>
      </x:c>
      <x:c r="O29" s="52" t="n">
        <x:f>IF(ISNUMBER(INDEX('Sheet2-计算明细'!$AM$17:$AM$99,$X29)),INDEX('Sheet2-计算明细'!$AM$17:$AM$99,$X29),"")</x:f>
        <x:v>100</x:v>
      </x:c>
      <x:c r="P29" s="52" t="str">
        <x:f>IF(ISNUMBER(INDEX('Sheet2-计算明细'!$AN$17:$AN$99,$X29)),INDEX('Sheet2-计算明细'!$AN$17:$AN$99,$X29),"")</x:f>
      </x:c>
      <x:c r="Q29" s="52" t="str">
        <x:f>IF(ISNUMBER(INDEX('Sheet2-计算明细'!$AO$17:$AO$99,$X29)),INDEX('Sheet2-计算明细'!$AO$17:$AO$99,$X29),"")</x:f>
      </x:c>
      <x:c r="R29" s="52" t="str">
        <x:f>IF(ISNUMBER(INDEX('Sheet2-计算明细'!$AP$17:$AP$99,$X29)),INDEX('Sheet2-计算明细'!$AP$17:$AP$99,$X29),"")</x:f>
      </x:c>
      <x:c r="S29" s="27" t="n">
        <x:f>IF(ISNUMBER(INDEX('Sheet2-计算明细'!$AQ$17:$AQ$99,$X29)),INDEX('Sheet2-计算明细'!$AQ$17:$AQ$99,$X29),"")</x:f>
        <x:v>0.174</x:v>
      </x:c>
      <x:c r="T29" s="52" t="n">
        <x:f>IF(ISNUMBER(INDEX('Sheet2-计算明细'!$AR$17:$AR$99,$X29)),INDEX('Sheet2-计算明细'!$AR$17:$AR$99,$X29),"")</x:f>
        <x:v>14.25</x:v>
      </x:c>
      <x:c r="U29" s="52" t="n">
        <x:f>IF(ISNUMBER(INDEX('Sheet2-计算明细'!$AS$17:$AS$99,$X29)),INDEX('Sheet2-计算明细'!$AS$17:$AS$99,$X29),"")</x:f>
        <x:v>81.9</x:v>
      </x:c>
      <x:c r="V29" s="52" t="str">
        <x:f>IF(ISNUMBER(INDEX('Sheet2-计算明细'!$AV$17:$AV$99,$X29)),INDEX('Sheet2-计算明细'!$AV$17:$AV$99,$X29),"")</x:f>
      </x:c>
      <x:c r="W29" s="40" t="str">
        <x:f>IF(INDEX('Sheet2-计算明细'!$AU$17:$AU$99,$X29)="","",INDEX('Sheet2-计算明细'!$AU$17:$AU$99,$X29))</x:f>
        <x:v>近一年收益；近一年胜率；近三年收益；近三年胜率；近三年回撤；近一年卡玛；成立以来年化；</x:v>
      </x:c>
      <x:c r="X29" s="49" t="n">
        <x:f>MATCH(ROWS($X$6:X29),'Sheet2-计算明细'!$BJ$17:$BJ$99,0)</x:f>
        <x:v>25</x:v>
      </x:c>
      <x:c r="Y29" s="14" t="str">
        <x:f>IF(INDEX('Sheet2-计算明细'!$AX$17:$AX$99,$X29)="","",INDEX('Sheet2-计算明细'!$AX$17:$AX$99,$X29))</x:f>
        <x:v>套利策略</x:v>
      </x:c>
      <x:c r="Z29" s="14" t="str">
        <x:f>IF(INDEX('Sheet2-计算明细'!$AY$17:$AY$99,$X29)="","",INDEX('Sheet2-计算明细'!$AY$17:$AY$99,$X29))</x:f>
        <x:v>基金套利</x:v>
      </x:c>
      <x:c r="AA29" s="14" t="str">
        <x:f>IF(INDEX('Sheet2-计算明细'!$AW$17:$AW$99,$X29)="","",INDEX('Sheet2-计算明细'!$AW$17:$AW$99,$X29))</x:f>
        <x:v>暂定分／数据不完整</x:v>
      </x:c>
      <x:c r="AB29" s="49" t="n">
        <x:f>IF(ISNUMBER(INDEX('Sheet2-计算明细'!$A$17:$A$99,$X29)),INDEX('Sheet2-计算明细'!$A$17:$A$99,$X29),"")</x:f>
        <x:v>25</x:v>
      </x:c>
    </x:row>
    <x:row r="30" ht="44" customHeight="1">
      <x:c r="A30" s="14" t="n">
        <x:f>IF(ISNUMBER(INDEX('Sheet2-计算明细'!$AT$17:$AT$99,$X30)),INDEX('Sheet2-计算明细'!$AT$17:$AT$99,$X30),"")</x:f>
        <x:v>25</x:v>
      </x:c>
      <x:c r="B30" s="14" t="str">
        <x:f>IF(INDEX('Sheet2-计算明细'!$B$17:$B$99,$X30)="","",INDEX('Sheet2-计算明细'!$B$17:$B$99,$X30))</x:f>
        <x:v>阶石稳健9号</x:v>
      </x:c>
      <x:c r="C30" s="14" t="str">
        <x:f>IF(INDEX('Sheet2-计算明细'!$C$17:$C$99,$X30)="","",INDEX('Sheet2-计算明细'!$C$17:$C$99,$X30))</x:f>
        <x:v>SAZW60</x:v>
      </x:c>
      <x:c r="D30" s="14" t="str">
        <x:f>IF(INDEX('Sheet2-计算明细'!$D$17:$D$99,$X30)="","",INDEX('Sheet2-计算明细'!$D$17:$D$99,$X30))</x:f>
        <x:v>深圳阶石</x:v>
      </x:c>
      <x:c r="E30" s="14" t="str">
        <x:f>IF(INDEX('Sheet2-计算明细'!$G$17:$G$99,$X30)="","",INDEX('Sheet2-计算明细'!$G$17:$G$99,$X30))</x:f>
        <x:v>入池</x:v>
      </x:c>
      <x:c r="F30" s="52" t="n">
        <x:f>IF(ISNUMBER(INDEX('Sheet2-计算明细'!$I$17:$I$99,$X30)),INDEX('Sheet2-计算明细'!$I$17:$I$99,$X30),"")</x:f>
        <x:v>70</x:v>
      </x:c>
      <x:c r="G30" s="52" t="n">
        <x:f>IF(ISNUMBER(INDEX('Sheet2-计算明细'!$K$17:$K$99,$X30)),INDEX('Sheet2-计算明细'!$K$17:$K$99,$X30),"")</x:f>
        <x:v>100</x:v>
      </x:c>
      <x:c r="H30" s="52" t="n">
        <x:f>IF(ISNUMBER(INDEX('Sheet2-计算明细'!$L$17:$L$99,$X30)),INDEX('Sheet2-计算明细'!$L$17:$L$99,$X30),"")</x:f>
        <x:v>70</x:v>
      </x:c>
      <x:c r="I30" s="52" t="str">
        <x:f>IF(ISNUMBER(INDEX('Sheet2-计算明细'!$S$17:$S$99,$X30)),INDEX('Sheet2-计算明细'!$S$17:$S$99,$X30),"")</x:f>
      </x:c>
      <x:c r="J30" s="52" t="str">
        <x:f>IF(ISNUMBER(INDEX('Sheet2-计算明细'!$Y$17:$Y$99,$X30)),INDEX('Sheet2-计算明细'!$Y$17:$Y$99,$X30),"")</x:f>
      </x:c>
      <x:c r="K30" s="52" t="str">
        <x:f>IF(ISNUMBER(INDEX('Sheet2-计算明细'!$AC$17:$AC$99,$X30)),INDEX('Sheet2-计算明细'!$AC$17:$AC$99,$X30),"")</x:f>
      </x:c>
      <x:c r="L30" s="52" t="str">
        <x:f>IF(ISNUMBER(INDEX('Sheet2-计算明细'!$AI$17:$AI$99,$X30)),INDEX('Sheet2-计算明细'!$AI$17:$AI$99,$X30),"")</x:f>
      </x:c>
      <x:c r="M30" s="52" t="str">
        <x:f>IF(ISNUMBER(INDEX('Sheet2-计算明细'!$AK$17:$AK$99,$X30)),INDEX('Sheet2-计算明细'!$AK$17:$AK$99,$X30),"")</x:f>
      </x:c>
      <x:c r="N30" s="52" t="n">
        <x:f>IF(ISNUMBER(INDEX('Sheet2-计算明细'!$AL$17:$AL$99,$X30)),INDEX('Sheet2-计算明细'!$AL$17:$AL$99,$X30),"")</x:f>
        <x:v>79</x:v>
      </x:c>
      <x:c r="O30" s="52" t="n">
        <x:f>IF(ISNUMBER(INDEX('Sheet2-计算明细'!$AM$17:$AM$99,$X30)),INDEX('Sheet2-计算明细'!$AM$17:$AM$99,$X30),"")</x:f>
        <x:v>100</x:v>
      </x:c>
      <x:c r="P30" s="52" t="str">
        <x:f>IF(ISNUMBER(INDEX('Sheet2-计算明细'!$AN$17:$AN$99,$X30)),INDEX('Sheet2-计算明细'!$AN$17:$AN$99,$X30),"")</x:f>
      </x:c>
      <x:c r="Q30" s="52" t="str">
        <x:f>IF(ISNUMBER(INDEX('Sheet2-计算明细'!$AO$17:$AO$99,$X30)),INDEX('Sheet2-计算明细'!$AO$17:$AO$99,$X30),"")</x:f>
      </x:c>
      <x:c r="R30" s="52" t="str">
        <x:f>IF(ISNUMBER(INDEX('Sheet2-计算明细'!$AP$17:$AP$99,$X30)),INDEX('Sheet2-计算明细'!$AP$17:$AP$99,$X30),"")</x:f>
      </x:c>
      <x:c r="S30" s="27" t="n">
        <x:f>IF(ISNUMBER(INDEX('Sheet2-计算明细'!$AQ$17:$AQ$99,$X30)),INDEX('Sheet2-计算明细'!$AQ$17:$AQ$99,$X30),"")</x:f>
        <x:v>0.174</x:v>
      </x:c>
      <x:c r="T30" s="52" t="n">
        <x:f>IF(ISNUMBER(INDEX('Sheet2-计算明细'!$AR$17:$AR$99,$X30)),INDEX('Sheet2-计算明细'!$AR$17:$AR$99,$X30),"")</x:f>
        <x:v>14.25</x:v>
      </x:c>
      <x:c r="U30" s="52" t="n">
        <x:f>IF(ISNUMBER(INDEX('Sheet2-计算明细'!$AS$17:$AS$99,$X30)),INDEX('Sheet2-计算明细'!$AS$17:$AS$99,$X30),"")</x:f>
        <x:v>81.9</x:v>
      </x:c>
      <x:c r="V30" s="52" t="str">
        <x:f>IF(ISNUMBER(INDEX('Sheet2-计算明细'!$AV$17:$AV$99,$X30)),INDEX('Sheet2-计算明细'!$AV$17:$AV$99,$X30),"")</x:f>
      </x:c>
      <x:c r="W30" s="40" t="str">
        <x:f>IF(INDEX('Sheet2-计算明细'!$AU$17:$AU$99,$X30)="","",INDEX('Sheet2-计算明细'!$AU$17:$AU$99,$X30))</x:f>
        <x:v>近一年收益；近一年胜率；近三年收益；近三年胜率；近三年回撤；近一年卡玛；成立以来年化；</x:v>
      </x:c>
      <x:c r="X30" s="49" t="n">
        <x:f>MATCH(ROWS($X$6:X30),'Sheet2-计算明细'!$BJ$17:$BJ$99,0)</x:f>
        <x:v>26</x:v>
      </x:c>
      <x:c r="Y30" s="14" t="str">
        <x:f>IF(INDEX('Sheet2-计算明细'!$AX$17:$AX$99,$X30)="","",INDEX('Sheet2-计算明细'!$AX$17:$AX$99,$X30))</x:f>
        <x:v>套利策略</x:v>
      </x:c>
      <x:c r="Z30" s="14" t="str">
        <x:f>IF(INDEX('Sheet2-计算明细'!$AY$17:$AY$99,$X30)="","",INDEX('Sheet2-计算明细'!$AY$17:$AY$99,$X30))</x:f>
        <x:v>基金套利</x:v>
      </x:c>
      <x:c r="AA30" s="14" t="str">
        <x:f>IF(INDEX('Sheet2-计算明细'!$AW$17:$AW$99,$X30)="","",INDEX('Sheet2-计算明细'!$AW$17:$AW$99,$X30))</x:f>
        <x:v>暂定分／数据不完整</x:v>
      </x:c>
      <x:c r="AB30" s="49" t="n">
        <x:f>IF(ISNUMBER(INDEX('Sheet2-计算明细'!$A$17:$A$99,$X30)),INDEX('Sheet2-计算明细'!$A$17:$A$99,$X30),"")</x:f>
        <x:v>26</x:v>
      </x:c>
    </x:row>
    <x:row r="31" ht="44" customHeight="1">
      <x:c r="A31" s="14" t="n">
        <x:f>IF(ISNUMBER(INDEX('Sheet2-计算明细'!$AT$17:$AT$99,$X31)),INDEX('Sheet2-计算明细'!$AT$17:$AT$99,$X31),"")</x:f>
        <x:v>26</x:v>
      </x:c>
      <x:c r="B31" s="14" t="str">
        <x:f>IF(INDEX('Sheet2-计算明细'!$B$17:$B$99,$X31)="","",INDEX('Sheet2-计算明细'!$B$17:$B$99,$X31))</x:f>
        <x:v>平凡凡响二号</x:v>
      </x:c>
      <x:c r="C31" s="14" t="str">
        <x:f>IF(INDEX('Sheet2-计算明细'!$C$17:$C$99,$X31)="","",INDEX('Sheet2-计算明细'!$C$17:$C$99,$X31))</x:f>
        <x:v>SZU727</x:v>
      </x:c>
      <x:c r="D31" s="14" t="str">
        <x:f>IF(INDEX('Sheet2-计算明细'!$D$17:$D$99,$X31)="","",INDEX('Sheet2-计算明细'!$D$17:$D$99,$X31))</x:f>
        <x:v>北京平凡</x:v>
      </x:c>
      <x:c r="E31" s="14" t="str">
        <x:f>IF(INDEX('Sheet2-计算明细'!$G$17:$G$99,$X31)="","",INDEX('Sheet2-计算明细'!$G$17:$G$99,$X31))</x:f>
        <x:v>入池</x:v>
      </x:c>
      <x:c r="F31" s="52" t="n">
        <x:f>IF(ISNUMBER(INDEX('Sheet2-计算明细'!$I$17:$I$99,$X31)),INDEX('Sheet2-计算明细'!$I$17:$I$99,$X31),"")</x:f>
        <x:v>90</x:v>
      </x:c>
      <x:c r="G31" s="52" t="n">
        <x:f>IF(ISNUMBER(INDEX('Sheet2-计算明细'!$K$17:$K$99,$X31)),INDEX('Sheet2-计算明细'!$K$17:$K$99,$X31),"")</x:f>
        <x:v>100</x:v>
      </x:c>
      <x:c r="H31" s="52" t="n">
        <x:f>IF(ISNUMBER(INDEX('Sheet2-计算明细'!$L$17:$L$99,$X31)),INDEX('Sheet2-计算明细'!$L$17:$L$99,$X31),"")</x:f>
        <x:v>100</x:v>
      </x:c>
      <x:c r="I31" s="52" t="n">
        <x:f>IF(ISNUMBER(INDEX('Sheet2-计算明细'!$S$17:$S$99,$X31)),INDEX('Sheet2-计算明细'!$S$17:$S$99,$X31),"")</x:f>
        <x:v>36.51</x:v>
      </x:c>
      <x:c r="J31" s="52" t="n">
        <x:f>IF(ISNUMBER(INDEX('Sheet2-计算明细'!$Y$17:$Y$99,$X31)),INDEX('Sheet2-计算明细'!$Y$17:$Y$99,$X31),"")</x:f>
        <x:v>91.67</x:v>
      </x:c>
      <x:c r="K31" s="52" t="n">
        <x:f>IF(ISNUMBER(INDEX('Sheet2-计算明细'!$AC$17:$AC$99,$X31)),INDEX('Sheet2-计算明细'!$AC$17:$AC$99,$X31),"")</x:f>
        <x:v>84.48</x:v>
      </x:c>
      <x:c r="L31" s="52" t="n">
        <x:f>IF(ISNUMBER(INDEX('Sheet2-计算明细'!$AI$17:$AI$99,$X31)),INDEX('Sheet2-计算明细'!$AI$17:$AI$99,$X31),"")</x:f>
        <x:v>84.62</x:v>
      </x:c>
      <x:c r="M31" s="52" t="n">
        <x:f>IF(ISNUMBER(INDEX('Sheet2-计算明细'!$AK$17:$AK$99,$X31)),INDEX('Sheet2-计算明细'!$AK$17:$AK$99,$X31),"")</x:f>
        <x:v>100</x:v>
      </x:c>
      <x:c r="N31" s="52" t="n">
        <x:f>IF(ISNUMBER(INDEX('Sheet2-计算明细'!$AL$17:$AL$99,$X31)),INDEX('Sheet2-计算明细'!$AL$17:$AL$99,$X31),"")</x:f>
        <x:v>96</x:v>
      </x:c>
      <x:c r="O31" s="52" t="n">
        <x:f>IF(ISNUMBER(INDEX('Sheet2-计算明细'!$AM$17:$AM$99,$X31)),INDEX('Sheet2-计算明细'!$AM$17:$AM$99,$X31),"")</x:f>
        <x:v>53.06</x:v>
      </x:c>
      <x:c r="P31" s="52" t="n">
        <x:f>IF(ISNUMBER(INDEX('Sheet2-计算明细'!$AN$17:$AN$99,$X31)),INDEX('Sheet2-计算明细'!$AN$17:$AN$99,$X31),"")</x:f>
        <x:v>84.48</x:v>
      </x:c>
      <x:c r="Q31" s="52" t="n">
        <x:f>IF(ISNUMBER(INDEX('Sheet2-计算明细'!$AO$17:$AO$99,$X31)),INDEX('Sheet2-计算明细'!$AO$17:$AO$99,$X31),"")</x:f>
        <x:v>84.62</x:v>
      </x:c>
      <x:c r="R31" s="52" t="n">
        <x:f>IF(ISNUMBER(INDEX('Sheet2-计算明细'!$AP$17:$AP$99,$X31)),INDEX('Sheet2-计算明细'!$AP$17:$AP$99,$X31),"")</x:f>
        <x:v>100</x:v>
      </x:c>
      <x:c r="S31" s="27" t="n">
        <x:f>IF(ISNUMBER(INDEX('Sheet2-计算明细'!$AQ$17:$AQ$99,$X31)),INDEX('Sheet2-计算明细'!$AQ$17:$AQ$99,$X31),"")</x:f>
        <x:v>1</x:v>
      </x:c>
      <x:c r="T31" s="52" t="n">
        <x:f>IF(ISNUMBER(INDEX('Sheet2-计算明细'!$AR$17:$AR$99,$X31)),INDEX('Sheet2-计算明细'!$AR$17:$AR$99,$X31),"")</x:f>
        <x:v>81.51845</x:v>
      </x:c>
      <x:c r="U31" s="52" t="n">
        <x:f>IF(ISNUMBER(INDEX('Sheet2-计算明细'!$AS$17:$AS$99,$X31)),INDEX('Sheet2-计算明细'!$AS$17:$AS$99,$X31),"")</x:f>
        <x:v>81.52</x:v>
      </x:c>
      <x:c r="V31" s="52" t="n">
        <x:f>IF(ISNUMBER(INDEX('Sheet2-计算明细'!$AV$17:$AV$99,$X31)),INDEX('Sheet2-计算明细'!$AV$17:$AV$99,$X31),"")</x:f>
        <x:v>81.51845</x:v>
      </x:c>
      <x:c r="W31" s="40" t="str">
        <x:f>IF(INDEX('Sheet2-计算明细'!$AU$17:$AU$99,$X31)="","",INDEX('Sheet2-计算明细'!$AU$17:$AU$99,$X31))</x:f>
      </x:c>
      <x:c r="X31" s="49" t="n">
        <x:f>MATCH(ROWS($X$6:X31),'Sheet2-计算明细'!$BJ$17:$BJ$99,0)</x:f>
        <x:v>46</x:v>
      </x:c>
      <x:c r="Y31" s="14" t="str">
        <x:f>IF(INDEX('Sheet2-计算明细'!$AX$17:$AX$99,$X31)="","",INDEX('Sheet2-计算明细'!$AX$17:$AX$99,$X31))</x:f>
        <x:v>套利策略</x:v>
      </x:c>
      <x:c r="Z31" s="14" t="str">
        <x:f>IF(INDEX('Sheet2-计算明细'!$AY$17:$AY$99,$X31)="","",INDEX('Sheet2-计算明细'!$AY$17:$AY$99,$X31))</x:f>
        <x:v>基金套利</x:v>
      </x:c>
      <x:c r="AA31" s="14" t="str">
        <x:f>IF(INDEX('Sheet2-计算明细'!$AW$17:$AW$99,$X31)="","",INDEX('Sheet2-计算明细'!$AW$17:$AW$99,$X31))</x:f>
        <x:v>完整赋分</x:v>
      </x:c>
      <x:c r="AB31" s="49" t="n">
        <x:f>IF(ISNUMBER(INDEX('Sheet2-计算明细'!$A$17:$A$99,$X31)),INDEX('Sheet2-计算明细'!$A$17:$A$99,$X31),"")</x:f>
        <x:v>46</x:v>
      </x:c>
    </x:row>
    <x:row r="32" ht="44" customHeight="1">
      <x:c r="A32" s="14" t="n">
        <x:f>IF(ISNUMBER(INDEX('Sheet2-计算明细'!$AT$17:$AT$99,$X32)),INDEX('Sheet2-计算明细'!$AT$17:$AT$99,$X32),"")</x:f>
        <x:v>27</x:v>
      </x:c>
      <x:c r="B32" s="14" t="str">
        <x:f>IF(INDEX('Sheet2-计算明细'!$B$17:$B$99,$X32)="","",INDEX('Sheet2-计算明细'!$B$17:$B$99,$X32))</x:f>
        <x:v>英旷专享2号A类</x:v>
      </x:c>
      <x:c r="C32" s="14" t="str">
        <x:f>IF(INDEX('Sheet2-计算明细'!$C$17:$C$99,$X32)="","",INDEX('Sheet2-计算明细'!$C$17:$C$99,$X32))</x:f>
        <x:v>AKV28A</x:v>
      </x:c>
      <x:c r="D32" s="14" t="str">
        <x:f>IF(INDEX('Sheet2-计算明细'!$D$17:$D$99,$X32)="","",INDEX('Sheet2-计算明细'!$D$17:$D$99,$X32))</x:f>
        <x:v>上海英旷资管</x:v>
      </x:c>
      <x:c r="E32" s="14" t="str">
        <x:f>IF(INDEX('Sheet2-计算明细'!$G$17:$G$99,$X32)="","",INDEX('Sheet2-计算明细'!$G$17:$G$99,$X32))</x:f>
        <x:v>入池</x:v>
      </x:c>
      <x:c r="F32" s="52" t="n">
        <x:f>IF(ISNUMBER(INDEX('Sheet2-计算明细'!$I$17:$I$99,$X32)),INDEX('Sheet2-计算明细'!$I$17:$I$99,$X32),"")</x:f>
        <x:v>80</x:v>
      </x:c>
      <x:c r="G32" s="52" t="str">
        <x:f>IF(ISNUMBER(INDEX('Sheet2-计算明细'!$K$17:$K$99,$X32)),INDEX('Sheet2-计算明细'!$K$17:$K$99,$X32),"")</x:f>
      </x:c>
      <x:c r="H32" s="52" t="n">
        <x:f>IF(ISNUMBER(INDEX('Sheet2-计算明细'!$L$17:$L$99,$X32)),INDEX('Sheet2-计算明细'!$L$17:$L$99,$X32),"")</x:f>
        <x:v>70</x:v>
      </x:c>
      <x:c r="I32" s="52" t="n">
        <x:f>IF(ISNUMBER(INDEX('Sheet2-计算明细'!$S$17:$S$99,$X32)),INDEX('Sheet2-计算明细'!$S$17:$S$99,$X32),"")</x:f>
        <x:v>49.18</x:v>
      </x:c>
      <x:c r="J32" s="52" t="n">
        <x:f>IF(ISNUMBER(INDEX('Sheet2-计算明细'!$Y$17:$Y$99,$X32)),INDEX('Sheet2-计算明细'!$Y$17:$Y$99,$X32),"")</x:f>
        <x:v>76.92</x:v>
      </x:c>
      <x:c r="K32" s="52" t="n">
        <x:f>IF(ISNUMBER(INDEX('Sheet2-计算明细'!$AC$17:$AC$99,$X32)),INDEX('Sheet2-计算明细'!$AC$17:$AC$99,$X32),"")</x:f>
        <x:v>91.38</x:v>
      </x:c>
      <x:c r="L32" s="52" t="n">
        <x:f>IF(ISNUMBER(INDEX('Sheet2-计算明细'!$AI$17:$AI$99,$X32)),INDEX('Sheet2-计算明细'!$AI$17:$AI$99,$X32),"")</x:f>
        <x:v>78.18</x:v>
      </x:c>
      <x:c r="M32" s="52" t="n">
        <x:f>IF(ISNUMBER(INDEX('Sheet2-计算明细'!$AK$17:$AK$99,$X32)),INDEX('Sheet2-计算明细'!$AK$17:$AK$99,$X32),"")</x:f>
        <x:v>100</x:v>
      </x:c>
      <x:c r="N32" s="52" t="n">
        <x:f>IF(ISNUMBER(INDEX('Sheet2-计算明细'!$AL$17:$AL$99,$X32)),INDEX('Sheet2-计算明细'!$AL$17:$AL$99,$X32),"")</x:f>
        <x:v>75.71</x:v>
      </x:c>
      <x:c r="O32" s="52" t="n">
        <x:f>IF(ISNUMBER(INDEX('Sheet2-计算明细'!$AM$17:$AM$99,$X32)),INDEX('Sheet2-计算明细'!$AM$17:$AM$99,$X32),"")</x:f>
        <x:v>54.85</x:v>
      </x:c>
      <x:c r="P32" s="52" t="n">
        <x:f>IF(ISNUMBER(INDEX('Sheet2-计算明细'!$AN$17:$AN$99,$X32)),INDEX('Sheet2-计算明细'!$AN$17:$AN$99,$X32),"")</x:f>
        <x:v>91.38</x:v>
      </x:c>
      <x:c r="Q32" s="52" t="n">
        <x:f>IF(ISNUMBER(INDEX('Sheet2-计算明细'!$AO$17:$AO$99,$X32)),INDEX('Sheet2-计算明细'!$AO$17:$AO$99,$X32),"")</x:f>
        <x:v>78.18</x:v>
      </x:c>
      <x:c r="R32" s="52" t="n">
        <x:f>IF(ISNUMBER(INDEX('Sheet2-计算明细'!$AP$17:$AP$99,$X32)),INDEX('Sheet2-计算明细'!$AP$17:$AP$99,$X32),"")</x:f>
        <x:v>100</x:v>
      </x:c>
      <x:c r="S32" s="27" t="n">
        <x:f>IF(ISNUMBER(INDEX('Sheet2-计算明细'!$AQ$17:$AQ$99,$X32)),INDEX('Sheet2-计算明细'!$AQ$17:$AQ$99,$X32),"")</x:f>
        <x:v>0.8109999999999998</x:v>
      </x:c>
      <x:c r="T32" s="52" t="n">
        <x:f>IF(ISNUMBER(INDEX('Sheet2-计算明细'!$AR$17:$AR$99,$X32)),INDEX('Sheet2-计算明细'!$AR$17:$AR$99,$X32),"")</x:f>
        <x:v>64.52144</x:v>
      </x:c>
      <x:c r="U32" s="52" t="n">
        <x:f>IF(ISNUMBER(INDEX('Sheet2-计算明细'!$AS$17:$AS$99,$X32)),INDEX('Sheet2-计算明细'!$AS$17:$AS$99,$X32),"")</x:f>
        <x:v>79.56</x:v>
      </x:c>
      <x:c r="V32" s="52" t="str">
        <x:f>IF(ISNUMBER(INDEX('Sheet2-计算明细'!$AV$17:$AV$99,$X32)),INDEX('Sheet2-计算明细'!$AV$17:$AV$99,$X32),"")</x:f>
      </x:c>
      <x:c r="W32" s="40" t="str">
        <x:f>IF(INDEX('Sheet2-计算明细'!$AU$17:$AU$99,$X32)="","",INDEX('Sheet2-计算明细'!$AU$17:$AU$99,$X32))</x:f>
        <x:v>产品规模标识；近三年收益；近三年胜率；近三年回撤；DD_long不可识别；</x:v>
      </x:c>
      <x:c r="X32" s="49" t="n">
        <x:f>MATCH(ROWS($X$6:X32),'Sheet2-计算明细'!$BJ$17:$BJ$99,0)</x:f>
        <x:v>68</x:v>
      </x:c>
      <x:c r="Y32" s="14" t="str">
        <x:f>IF(INDEX('Sheet2-计算明细'!$AX$17:$AX$99,$X32)="","",INDEX('Sheet2-计算明细'!$AX$17:$AX$99,$X32))</x:f>
        <x:v>套利策略</x:v>
      </x:c>
      <x:c r="Z32" s="14" t="str">
        <x:f>IF(INDEX('Sheet2-计算明细'!$AY$17:$AY$99,$X32)="","",INDEX('Sheet2-计算明细'!$AY$17:$AY$99,$X32))</x:f>
        <x:v>可转债套利</x:v>
      </x:c>
      <x:c r="AA32" s="14" t="str">
        <x:f>IF(INDEX('Sheet2-计算明细'!$AW$17:$AW$99,$X32)="","",INDEX('Sheet2-计算明细'!$AW$17:$AW$99,$X32))</x:f>
        <x:v>暂定分／数据不完整</x:v>
      </x:c>
      <x:c r="AB32" s="49" t="n">
        <x:f>IF(ISNUMBER(INDEX('Sheet2-计算明细'!$A$17:$A$99,$X32)),INDEX('Sheet2-计算明细'!$A$17:$A$99,$X32),"")</x:f>
        <x:v>68</x:v>
      </x:c>
    </x:row>
    <x:row r="33" ht="44" customHeight="1">
      <x:c r="A33" s="14" t="n">
        <x:f>IF(ISNUMBER(INDEX('Sheet2-计算明细'!$AT$17:$AT$99,$X33)),INDEX('Sheet2-计算明细'!$AT$17:$AT$99,$X33),"")</x:f>
        <x:v>28</x:v>
      </x:c>
      <x:c r="B33" s="14" t="str">
        <x:f>IF(INDEX('Sheet2-计算明细'!$B$17:$B$99,$X33)="","",INDEX('Sheet2-计算明细'!$B$17:$B$99,$X33))</x:f>
        <x:v>阶石稳健1号</x:v>
      </x:c>
      <x:c r="C33" s="14" t="str">
        <x:f>IF(INDEX('Sheet2-计算明细'!$C$17:$C$99,$X33)="","",INDEX('Sheet2-计算明细'!$C$17:$C$99,$X33))</x:f>
        <x:v>SATE65</x:v>
      </x:c>
      <x:c r="D33" s="14" t="str">
        <x:f>IF(INDEX('Sheet2-计算明细'!$D$17:$D$99,$X33)="","",INDEX('Sheet2-计算明细'!$D$17:$D$99,$X33))</x:f>
        <x:v>深圳阶石</x:v>
      </x:c>
      <x:c r="E33" s="14" t="str">
        <x:f>IF(INDEX('Sheet2-计算明细'!$G$17:$G$99,$X33)="","",INDEX('Sheet2-计算明细'!$G$17:$G$99,$X33))</x:f>
        <x:v>入池</x:v>
      </x:c>
      <x:c r="F33" s="52" t="n">
        <x:f>IF(ISNUMBER(INDEX('Sheet2-计算明细'!$I$17:$I$99,$X33)),INDEX('Sheet2-计算明细'!$I$17:$I$99,$X33),"")</x:f>
        <x:v>70</x:v>
      </x:c>
      <x:c r="G33" s="52" t="n">
        <x:f>IF(ISNUMBER(INDEX('Sheet2-计算明细'!$K$17:$K$99,$X33)),INDEX('Sheet2-计算明细'!$K$17:$K$99,$X33),"")</x:f>
        <x:v>100</x:v>
      </x:c>
      <x:c r="H33" s="52" t="n">
        <x:f>IF(ISNUMBER(INDEX('Sheet2-计算明细'!$L$17:$L$99,$X33)),INDEX('Sheet2-计算明细'!$L$17:$L$99,$X33),"")</x:f>
        <x:v>70</x:v>
      </x:c>
      <x:c r="I33" s="52" t="str">
        <x:f>IF(ISNUMBER(INDEX('Sheet2-计算明细'!$S$17:$S$99,$X33)),INDEX('Sheet2-计算明细'!$S$17:$S$99,$X33),"")</x:f>
      </x:c>
      <x:c r="J33" s="52" t="str">
        <x:f>IF(ISNUMBER(INDEX('Sheet2-计算明细'!$Y$17:$Y$99,$X33)),INDEX('Sheet2-计算明细'!$Y$17:$Y$99,$X33),"")</x:f>
      </x:c>
      <x:c r="K33" s="52" t="str">
        <x:f>IF(ISNUMBER(INDEX('Sheet2-计算明细'!$AC$17:$AC$99,$X33)),INDEX('Sheet2-计算明细'!$AC$17:$AC$99,$X33),"")</x:f>
      </x:c>
      <x:c r="L33" s="52" t="str">
        <x:f>IF(ISNUMBER(INDEX('Sheet2-计算明细'!$AI$17:$AI$99,$X33)),INDEX('Sheet2-计算明细'!$AI$17:$AI$99,$X33),"")</x:f>
      </x:c>
      <x:c r="M33" s="52" t="str">
        <x:f>IF(ISNUMBER(INDEX('Sheet2-计算明细'!$AK$17:$AK$99,$X33)),INDEX('Sheet2-计算明细'!$AK$17:$AK$99,$X33),"")</x:f>
      </x:c>
      <x:c r="N33" s="52" t="n">
        <x:f>IF(ISNUMBER(INDEX('Sheet2-计算明细'!$AL$17:$AL$99,$X33)),INDEX('Sheet2-计算明细'!$AL$17:$AL$99,$X33),"")</x:f>
        <x:v>79</x:v>
      </x:c>
      <x:c r="O33" s="52" t="str">
        <x:f>IF(ISNUMBER(INDEX('Sheet2-计算明细'!$AM$17:$AM$99,$X33)),INDEX('Sheet2-计算明细'!$AM$17:$AM$99,$X33),"")</x:f>
      </x:c>
      <x:c r="P33" s="52" t="str">
        <x:f>IF(ISNUMBER(INDEX('Sheet2-计算明细'!$AN$17:$AN$99,$X33)),INDEX('Sheet2-计算明细'!$AN$17:$AN$99,$X33),"")</x:f>
      </x:c>
      <x:c r="Q33" s="52" t="str">
        <x:f>IF(ISNUMBER(INDEX('Sheet2-计算明细'!$AO$17:$AO$99,$X33)),INDEX('Sheet2-计算明细'!$AO$17:$AO$99,$X33),"")</x:f>
      </x:c>
      <x:c r="R33" s="52" t="str">
        <x:f>IF(ISNUMBER(INDEX('Sheet2-计算明细'!$AP$17:$AP$99,$X33)),INDEX('Sheet2-计算明细'!$AP$17:$AP$99,$X33),"")</x:f>
      </x:c>
      <x:c r="S33" s="27" t="n">
        <x:f>IF(ISNUMBER(INDEX('Sheet2-计算明细'!$AQ$17:$AQ$99,$X33)),INDEX('Sheet2-计算明细'!$AQ$17:$AQ$99,$X33),"")</x:f>
        <x:v>0.15</x:v>
      </x:c>
      <x:c r="T33" s="52" t="n">
        <x:f>IF(ISNUMBER(INDEX('Sheet2-计算明细'!$AR$17:$AR$99,$X33)),INDEX('Sheet2-计算明细'!$AR$17:$AR$99,$X33),"")</x:f>
        <x:v>11.85</x:v>
      </x:c>
      <x:c r="U33" s="52" t="n">
        <x:f>IF(ISNUMBER(INDEX('Sheet2-计算明细'!$AS$17:$AS$99,$X33)),INDEX('Sheet2-计算明细'!$AS$17:$AS$99,$X33),"")</x:f>
        <x:v>79</x:v>
      </x:c>
      <x:c r="V33" s="52" t="str">
        <x:f>IF(ISNUMBER(INDEX('Sheet2-计算明细'!$AV$17:$AV$99,$X33)),INDEX('Sheet2-计算明细'!$AV$17:$AV$99,$X33),"")</x:f>
      </x:c>
      <x:c r="W33" s="40" t="str">
        <x:f>IF(INDEX('Sheet2-计算明细'!$AU$17:$AU$99,$X33)="","",INDEX('Sheet2-计算明细'!$AU$17:$AU$99,$X33))</x:f>
        <x:v>近一年收益；近一年胜率；近三年收益；近三年胜率；近三年回撤；近一年卡玛；成立以来年化；</x:v>
      </x:c>
      <x:c r="X33" s="49" t="n">
        <x:f>MATCH(ROWS($X$6:X33),'Sheet2-计算明细'!$BJ$17:$BJ$99,0)</x:f>
        <x:v>24</x:v>
      </x:c>
      <x:c r="Y33" s="14" t="str">
        <x:f>IF(INDEX('Sheet2-计算明细'!$AX$17:$AX$99,$X33)="","",INDEX('Sheet2-计算明细'!$AX$17:$AX$99,$X33))</x:f>
        <x:v>套利策略</x:v>
      </x:c>
      <x:c r="Z33" s="14" t="str">
        <x:f>IF(INDEX('Sheet2-计算明细'!$AY$17:$AY$99,$X33)="","",INDEX('Sheet2-计算明细'!$AY$17:$AY$99,$X33))</x:f>
        <x:v>基金套利</x:v>
      </x:c>
      <x:c r="AA33" s="14" t="str">
        <x:f>IF(INDEX('Sheet2-计算明细'!$AW$17:$AW$99,$X33)="","",INDEX('Sheet2-计算明细'!$AW$17:$AW$99,$X33))</x:f>
        <x:v>暂定分／数据不完整</x:v>
      </x:c>
      <x:c r="AB33" s="49" t="n">
        <x:f>IF(ISNUMBER(INDEX('Sheet2-计算明细'!$A$17:$A$99,$X33)),INDEX('Sheet2-计算明细'!$A$17:$A$99,$X33),"")</x:f>
        <x:v>24</x:v>
      </x:c>
    </x:row>
    <x:row r="34" ht="44" customHeight="1">
      <x:c r="A34" s="14" t="n">
        <x:f>IF(ISNUMBER(INDEX('Sheet2-计算明细'!$AT$17:$AT$99,$X34)),INDEX('Sheet2-计算明细'!$AT$17:$AT$99,$X34),"")</x:f>
        <x:v>29</x:v>
      </x:c>
      <x:c r="B34" s="14" t="str">
        <x:f>IF(INDEX('Sheet2-计算明细'!$B$17:$B$99,$X34)="","",INDEX('Sheet2-计算明细'!$B$17:$B$99,$X34))</x:f>
        <x:v>睿启鑫享1号</x:v>
      </x:c>
      <x:c r="C34" s="14" t="str">
        <x:f>IF(INDEX('Sheet2-计算明细'!$C$17:$C$99,$X34)="","",INDEX('Sheet2-计算明细'!$C$17:$C$99,$X34))</x:f>
        <x:v>SAQD46</x:v>
      </x:c>
      <x:c r="D34" s="14" t="str">
        <x:f>IF(INDEX('Sheet2-计算明细'!$D$17:$D$99,$X34)="","",INDEX('Sheet2-计算明细'!$D$17:$D$99,$X34))</x:f>
        <x:v>无锡睿启</x:v>
      </x:c>
      <x:c r="E34" s="14" t="str">
        <x:f>IF(INDEX('Sheet2-计算明细'!$G$17:$G$99,$X34)="","",INDEX('Sheet2-计算明细'!$G$17:$G$99,$X34))</x:f>
        <x:v>入池</x:v>
      </x:c>
      <x:c r="F34" s="52" t="n">
        <x:f>IF(ISNUMBER(INDEX('Sheet2-计算明细'!$I$17:$I$99,$X34)),INDEX('Sheet2-计算明细'!$I$17:$I$99,$X34),"")</x:f>
        <x:v>70</x:v>
      </x:c>
      <x:c r="G34" s="52" t="n">
        <x:f>IF(ISNUMBER(INDEX('Sheet2-计算明细'!$K$17:$K$99,$X34)),INDEX('Sheet2-计算明细'!$K$17:$K$99,$X34),"")</x:f>
        <x:v>100</x:v>
      </x:c>
      <x:c r="H34" s="52" t="n">
        <x:f>IF(ISNUMBER(INDEX('Sheet2-计算明细'!$L$17:$L$99,$X34)),INDEX('Sheet2-计算明细'!$L$17:$L$99,$X34),"")</x:f>
        <x:v>70</x:v>
      </x:c>
      <x:c r="I34" s="52" t="str">
        <x:f>IF(ISNUMBER(INDEX('Sheet2-计算明细'!$S$17:$S$99,$X34)),INDEX('Sheet2-计算明细'!$S$17:$S$99,$X34),"")</x:f>
      </x:c>
      <x:c r="J34" s="52" t="str">
        <x:f>IF(ISNUMBER(INDEX('Sheet2-计算明细'!$Y$17:$Y$99,$X34)),INDEX('Sheet2-计算明细'!$Y$17:$Y$99,$X34),"")</x:f>
      </x:c>
      <x:c r="K34" s="52" t="str">
        <x:f>IF(ISNUMBER(INDEX('Sheet2-计算明细'!$AC$17:$AC$99,$X34)),INDEX('Sheet2-计算明细'!$AC$17:$AC$99,$X34),"")</x:f>
      </x:c>
      <x:c r="L34" s="52" t="str">
        <x:f>IF(ISNUMBER(INDEX('Sheet2-计算明细'!$AI$17:$AI$99,$X34)),INDEX('Sheet2-计算明细'!$AI$17:$AI$99,$X34),"")</x:f>
      </x:c>
      <x:c r="M34" s="52" t="str">
        <x:f>IF(ISNUMBER(INDEX('Sheet2-计算明细'!$AK$17:$AK$99,$X34)),INDEX('Sheet2-计算明细'!$AK$17:$AK$99,$X34),"")</x:f>
      </x:c>
      <x:c r="N34" s="52" t="n">
        <x:f>IF(ISNUMBER(INDEX('Sheet2-计算明细'!$AL$17:$AL$99,$X34)),INDEX('Sheet2-计算明细'!$AL$17:$AL$99,$X34),"")</x:f>
        <x:v>79</x:v>
      </x:c>
      <x:c r="O34" s="52" t="str">
        <x:f>IF(ISNUMBER(INDEX('Sheet2-计算明细'!$AM$17:$AM$99,$X34)),INDEX('Sheet2-计算明细'!$AM$17:$AM$99,$X34),"")</x:f>
      </x:c>
      <x:c r="P34" s="52" t="str">
        <x:f>IF(ISNUMBER(INDEX('Sheet2-计算明细'!$AN$17:$AN$99,$X34)),INDEX('Sheet2-计算明细'!$AN$17:$AN$99,$X34),"")</x:f>
      </x:c>
      <x:c r="Q34" s="52" t="str">
        <x:f>IF(ISNUMBER(INDEX('Sheet2-计算明细'!$AO$17:$AO$99,$X34)),INDEX('Sheet2-计算明细'!$AO$17:$AO$99,$X34),"")</x:f>
      </x:c>
      <x:c r="R34" s="52" t="str">
        <x:f>IF(ISNUMBER(INDEX('Sheet2-计算明细'!$AP$17:$AP$99,$X34)),INDEX('Sheet2-计算明细'!$AP$17:$AP$99,$X34),"")</x:f>
      </x:c>
      <x:c r="S34" s="27" t="n">
        <x:f>IF(ISNUMBER(INDEX('Sheet2-计算明细'!$AQ$17:$AQ$99,$X34)),INDEX('Sheet2-计算明细'!$AQ$17:$AQ$99,$X34),"")</x:f>
        <x:v>0.15</x:v>
      </x:c>
      <x:c r="T34" s="52" t="n">
        <x:f>IF(ISNUMBER(INDEX('Sheet2-计算明细'!$AR$17:$AR$99,$X34)),INDEX('Sheet2-计算明细'!$AR$17:$AR$99,$X34),"")</x:f>
        <x:v>11.85</x:v>
      </x:c>
      <x:c r="U34" s="52" t="n">
        <x:f>IF(ISNUMBER(INDEX('Sheet2-计算明细'!$AS$17:$AS$99,$X34)),INDEX('Sheet2-计算明细'!$AS$17:$AS$99,$X34),"")</x:f>
        <x:v>79</x:v>
      </x:c>
      <x:c r="V34" s="52" t="str">
        <x:f>IF(ISNUMBER(INDEX('Sheet2-计算明细'!$AV$17:$AV$99,$X34)),INDEX('Sheet2-计算明细'!$AV$17:$AV$99,$X34),"")</x:f>
      </x:c>
      <x:c r="W34" s="40" t="str">
        <x:f>IF(INDEX('Sheet2-计算明细'!$AU$17:$AU$99,$X34)="","",INDEX('Sheet2-计算明细'!$AU$17:$AU$99,$X34))</x:f>
        <x:v>近一年收益；近一年胜率；近三年收益；近三年胜率；近三年回撤；近一年卡玛；成立以来年化；</x:v>
      </x:c>
      <x:c r="X34" s="49" t="n">
        <x:f>MATCH(ROWS($X$6:X34),'Sheet2-计算明细'!$BJ$17:$BJ$99,0)</x:f>
        <x:v>52</x:v>
      </x:c>
      <x:c r="Y34" s="14" t="str">
        <x:f>IF(INDEX('Sheet2-计算明细'!$AX$17:$AX$99,$X34)="","",INDEX('Sheet2-计算明细'!$AX$17:$AX$99,$X34))</x:f>
        <x:v>套利策略</x:v>
      </x:c>
      <x:c r="Z34" s="14" t="str">
        <x:f>IF(INDEX('Sheet2-计算明细'!$AY$17:$AY$99,$X34)="","",INDEX('Sheet2-计算明细'!$AY$17:$AY$99,$X34))</x:f>
        <x:v>期货套利</x:v>
      </x:c>
      <x:c r="AA34" s="14" t="str">
        <x:f>IF(INDEX('Sheet2-计算明细'!$AW$17:$AW$99,$X34)="","",INDEX('Sheet2-计算明细'!$AW$17:$AW$99,$X34))</x:f>
        <x:v>暂定分／数据不完整</x:v>
      </x:c>
      <x:c r="AB34" s="49" t="n">
        <x:f>IF(ISNUMBER(INDEX('Sheet2-计算明细'!$A$17:$A$99,$X34)),INDEX('Sheet2-计算明细'!$A$17:$A$99,$X34),"")</x:f>
        <x:v>52</x:v>
      </x:c>
    </x:row>
    <x:row r="35" ht="44" customHeight="1">
      <x:c r="A35" s="14" t="n">
        <x:f>IF(ISNUMBER(INDEX('Sheet2-计算明细'!$AT$17:$AT$99,$X35)),INDEX('Sheet2-计算明细'!$AT$17:$AT$99,$X35),"")</x:f>
        <x:v>30</x:v>
      </x:c>
      <x:c r="B35" s="14" t="str">
        <x:f>IF(INDEX('Sheet2-计算明细'!$B$17:$B$99,$X35)="","",INDEX('Sheet2-计算明细'!$B$17:$B$99,$X35))</x:f>
        <x:v>九招真格量化套利一号</x:v>
      </x:c>
      <x:c r="C35" s="14" t="str">
        <x:f>IF(INDEX('Sheet2-计算明细'!$C$17:$C$99,$X35)="","",INDEX('Sheet2-计算明细'!$C$17:$C$99,$X35))</x:f>
        <x:v>SQD546</x:v>
      </x:c>
      <x:c r="D35" s="14" t="str">
        <x:f>IF(INDEX('Sheet2-计算明细'!$D$17:$D$99,$X35)="","",INDEX('Sheet2-计算明细'!$D$17:$D$99,$X35))</x:f>
        <x:v>武汉九招</x:v>
      </x:c>
      <x:c r="E35" s="14" t="str">
        <x:f>IF(INDEX('Sheet2-计算明细'!$G$17:$G$99,$X35)="","",INDEX('Sheet2-计算明细'!$G$17:$G$99,$X35))</x:f>
        <x:v>入池</x:v>
      </x:c>
      <x:c r="F35" s="52" t="n">
        <x:f>IF(ISNUMBER(INDEX('Sheet2-计算明细'!$I$17:$I$99,$X35)),INDEX('Sheet2-计算明细'!$I$17:$I$99,$X35),"")</x:f>
        <x:v>70</x:v>
      </x:c>
      <x:c r="G35" s="52" t="n">
        <x:f>IF(ISNUMBER(INDEX('Sheet2-计算明细'!$K$17:$K$99,$X35)),INDEX('Sheet2-计算明细'!$K$17:$K$99,$X35),"")</x:f>
        <x:v>100</x:v>
      </x:c>
      <x:c r="H35" s="52" t="n">
        <x:f>IF(ISNUMBER(INDEX('Sheet2-计算明细'!$L$17:$L$99,$X35)),INDEX('Sheet2-计算明细'!$L$17:$L$99,$X35),"")</x:f>
        <x:v>100</x:v>
      </x:c>
      <x:c r="I35" s="52" t="n">
        <x:f>IF(ISNUMBER(INDEX('Sheet2-计算明细'!$S$17:$S$99,$X35)),INDEX('Sheet2-计算明细'!$S$17:$S$99,$X35),"")</x:f>
        <x:v>80.81</x:v>
      </x:c>
      <x:c r="J35" s="52" t="n">
        <x:f>IF(ISNUMBER(INDEX('Sheet2-计算明细'!$Y$17:$Y$99,$X35)),INDEX('Sheet2-计算明细'!$Y$17:$Y$99,$X35),"")</x:f>
        <x:v>93.33</x:v>
      </x:c>
      <x:c r="K35" s="52" t="n">
        <x:f>IF(ISNUMBER(INDEX('Sheet2-计算明细'!$AC$17:$AC$99,$X35)),INDEX('Sheet2-计算明细'!$AC$17:$AC$99,$X35),"")</x:f>
        <x:v>48.28</x:v>
      </x:c>
      <x:c r="L35" s="52" t="n">
        <x:f>IF(ISNUMBER(INDEX('Sheet2-计算明细'!$AI$17:$AI$99,$X35)),INDEX('Sheet2-计算明细'!$AI$17:$AI$99,$X35),"")</x:f>
        <x:v>80.6</x:v>
      </x:c>
      <x:c r="M35" s="52" t="n">
        <x:f>IF(ISNUMBER(INDEX('Sheet2-计算明细'!$AK$17:$AK$99,$X35)),INDEX('Sheet2-计算明细'!$AK$17:$AK$99,$X35),"")</x:f>
        <x:v>100</x:v>
      </x:c>
      <x:c r="N35" s="52" t="n">
        <x:f>IF(ISNUMBER(INDEX('Sheet2-计算明细'!$AL$17:$AL$99,$X35)),INDEX('Sheet2-计算明细'!$AL$17:$AL$99,$X35),"")</x:f>
        <x:v>88</x:v>
      </x:c>
      <x:c r="O35" s="52" t="n">
        <x:f>IF(ISNUMBER(INDEX('Sheet2-计算明细'!$AM$17:$AM$99,$X35)),INDEX('Sheet2-计算明细'!$AM$17:$AM$99,$X35),"")</x:f>
        <x:v>84.57</x:v>
      </x:c>
      <x:c r="P35" s="52" t="n">
        <x:f>IF(ISNUMBER(INDEX('Sheet2-计算明细'!$AN$17:$AN$99,$X35)),INDEX('Sheet2-计算明细'!$AN$17:$AN$99,$X35),"")</x:f>
        <x:v>48.28</x:v>
      </x:c>
      <x:c r="Q35" s="52" t="n">
        <x:f>IF(ISNUMBER(INDEX('Sheet2-计算明细'!$AO$17:$AO$99,$X35)),INDEX('Sheet2-计算明细'!$AO$17:$AO$99,$X35),"")</x:f>
        <x:v>80.6</x:v>
      </x:c>
      <x:c r="R35" s="52" t="n">
        <x:f>IF(ISNUMBER(INDEX('Sheet2-计算明细'!$AP$17:$AP$99,$X35)),INDEX('Sheet2-计算明细'!$AP$17:$AP$99,$X35),"")</x:f>
        <x:v>100</x:v>
      </x:c>
      <x:c r="S35" s="27" t="n">
        <x:f>IF(ISNUMBER(INDEX('Sheet2-计算明细'!$AQ$17:$AQ$99,$X35)),INDEX('Sheet2-计算明细'!$AQ$17:$AQ$99,$X35),"")</x:f>
        <x:v>1</x:v>
      </x:c>
      <x:c r="T35" s="52" t="n">
        <x:f>IF(ISNUMBER(INDEX('Sheet2-计算明细'!$AR$17:$AR$99,$X35)),INDEX('Sheet2-计算明细'!$AR$17:$AR$99,$X35),"")</x:f>
        <x:v>76.36255</x:v>
      </x:c>
      <x:c r="U35" s="52" t="n">
        <x:f>IF(ISNUMBER(INDEX('Sheet2-计算明细'!$AS$17:$AS$99,$X35)),INDEX('Sheet2-计算明细'!$AS$17:$AS$99,$X35),"")</x:f>
        <x:v>76.36</x:v>
      </x:c>
      <x:c r="V35" s="52" t="n">
        <x:f>IF(ISNUMBER(INDEX('Sheet2-计算明细'!$AV$17:$AV$99,$X35)),INDEX('Sheet2-计算明细'!$AV$17:$AV$99,$X35),"")</x:f>
        <x:v>76.36255</x:v>
      </x:c>
      <x:c r="W35" s="40" t="str">
        <x:f>IF(INDEX('Sheet2-计算明细'!$AU$17:$AU$99,$X35)="","",INDEX('Sheet2-计算明细'!$AU$17:$AU$99,$X35))</x:f>
      </x:c>
      <x:c r="X35" s="49" t="n">
        <x:f>MATCH(ROWS($X$6:X35),'Sheet2-计算明细'!$BJ$17:$BJ$99,0)</x:f>
        <x:v>29</x:v>
      </x:c>
      <x:c r="Y35" s="14" t="str">
        <x:f>IF(INDEX('Sheet2-计算明细'!$AX$17:$AX$99,$X35)="","",INDEX('Sheet2-计算明细'!$AX$17:$AX$99,$X35))</x:f>
        <x:v>套利策略</x:v>
      </x:c>
      <x:c r="Z35" s="14" t="str">
        <x:f>IF(INDEX('Sheet2-计算明细'!$AY$17:$AY$99,$X35)="","",INDEX('Sheet2-计算明细'!$AY$17:$AY$99,$X35))</x:f>
        <x:v>期货套利</x:v>
      </x:c>
      <x:c r="AA35" s="14" t="str">
        <x:f>IF(INDEX('Sheet2-计算明细'!$AW$17:$AW$99,$X35)="","",INDEX('Sheet2-计算明细'!$AW$17:$AW$99,$X35))</x:f>
        <x:v>完整赋分</x:v>
      </x:c>
      <x:c r="AB35" s="49" t="n">
        <x:f>IF(ISNUMBER(INDEX('Sheet2-计算明细'!$A$17:$A$99,$X35)),INDEX('Sheet2-计算明细'!$A$17:$A$99,$X35),"")</x:f>
        <x:v>29</x:v>
      </x:c>
    </x:row>
    <x:row r="36" ht="44" customHeight="1">
      <x:c r="A36" s="14" t="n">
        <x:f>IF(ISNUMBER(INDEX('Sheet2-计算明细'!$AT$17:$AT$99,$X36)),INDEX('Sheet2-计算明细'!$AT$17:$AT$99,$X36),"")</x:f>
        <x:v>31</x:v>
      </x:c>
      <x:c r="B36" s="14" t="str">
        <x:f>IF(INDEX('Sheet2-计算明细'!$B$17:$B$99,$X36)="","",INDEX('Sheet2-计算明细'!$B$17:$B$99,$X36))</x:f>
        <x:v>平凡浩睿</x:v>
      </x:c>
      <x:c r="C36" s="14" t="str">
        <x:f>IF(INDEX('Sheet2-计算明细'!$C$17:$C$99,$X36)="","",INDEX('Sheet2-计算明细'!$C$17:$C$99,$X36))</x:f>
        <x:v>SJS890</x:v>
      </x:c>
      <x:c r="D36" s="14" t="str">
        <x:f>IF(INDEX('Sheet2-计算明细'!$D$17:$D$99,$X36)="","",INDEX('Sheet2-计算明细'!$D$17:$D$99,$X36))</x:f>
        <x:v>北京平凡</x:v>
      </x:c>
      <x:c r="E36" s="14" t="str">
        <x:f>IF(INDEX('Sheet2-计算明细'!$G$17:$G$99,$X36)="","",INDEX('Sheet2-计算明细'!$G$17:$G$99,$X36))</x:f>
        <x:v>入池</x:v>
      </x:c>
      <x:c r="F36" s="52" t="n">
        <x:f>IF(ISNUMBER(INDEX('Sheet2-计算明细'!$I$17:$I$99,$X36)),INDEX('Sheet2-计算明细'!$I$17:$I$99,$X36),"")</x:f>
        <x:v>90</x:v>
      </x:c>
      <x:c r="G36" s="52" t="n">
        <x:f>IF(ISNUMBER(INDEX('Sheet2-计算明细'!$K$17:$K$99,$X36)),INDEX('Sheet2-计算明细'!$K$17:$K$99,$X36),"")</x:f>
        <x:v>100</x:v>
      </x:c>
      <x:c r="H36" s="52" t="n">
        <x:f>IF(ISNUMBER(INDEX('Sheet2-计算明细'!$L$17:$L$99,$X36)),INDEX('Sheet2-计算明细'!$L$17:$L$99,$X36),"")</x:f>
        <x:v>100</x:v>
      </x:c>
      <x:c r="I36" s="52" t="n">
        <x:f>IF(ISNUMBER(INDEX('Sheet2-计算明细'!$S$17:$S$99,$X36)),INDEX('Sheet2-计算明细'!$S$17:$S$99,$X36),"")</x:f>
        <x:v>82.46</x:v>
      </x:c>
      <x:c r="J36" s="52" t="n">
        <x:f>IF(ISNUMBER(INDEX('Sheet2-计算明细'!$Y$17:$Y$99,$X36)),INDEX('Sheet2-计算明细'!$Y$17:$Y$99,$X36),"")</x:f>
        <x:v>88.72</x:v>
      </x:c>
      <x:c r="K36" s="52" t="n">
        <x:f>IF(ISNUMBER(INDEX('Sheet2-计算明细'!$AC$17:$AC$99,$X36)),INDEX('Sheet2-计算明细'!$AC$17:$AC$99,$X36),"")</x:f>
        <x:v>41.38</x:v>
      </x:c>
      <x:c r="L36" s="52" t="n">
        <x:f>IF(ISNUMBER(INDEX('Sheet2-计算明细'!$AI$17:$AI$99,$X36)),INDEX('Sheet2-计算明细'!$AI$17:$AI$99,$X36),"")</x:f>
        <x:v>82.1</x:v>
      </x:c>
      <x:c r="M36" s="52" t="n">
        <x:f>IF(ISNUMBER(INDEX('Sheet2-计算明细'!$AK$17:$AK$99,$X36)),INDEX('Sheet2-计算明细'!$AK$17:$AK$99,$X36),"")</x:f>
        <x:v>100</x:v>
      </x:c>
      <x:c r="N36" s="52" t="n">
        <x:f>IF(ISNUMBER(INDEX('Sheet2-计算明细'!$AL$17:$AL$99,$X36)),INDEX('Sheet2-计算明细'!$AL$17:$AL$99,$X36),"")</x:f>
        <x:v>96</x:v>
      </x:c>
      <x:c r="O36" s="52" t="n">
        <x:f>IF(ISNUMBER(INDEX('Sheet2-计算明细'!$AM$17:$AM$99,$X36)),INDEX('Sheet2-计算明细'!$AM$17:$AM$99,$X36),"")</x:f>
        <x:v>84.34</x:v>
      </x:c>
      <x:c r="P36" s="52" t="n">
        <x:f>IF(ISNUMBER(INDEX('Sheet2-计算明细'!$AN$17:$AN$99,$X36)),INDEX('Sheet2-计算明细'!$AN$17:$AN$99,$X36),"")</x:f>
        <x:v>41.38</x:v>
      </x:c>
      <x:c r="Q36" s="52" t="n">
        <x:f>IF(ISNUMBER(INDEX('Sheet2-计算明细'!$AO$17:$AO$99,$X36)),INDEX('Sheet2-计算明细'!$AO$17:$AO$99,$X36),"")</x:f>
        <x:v>82.1</x:v>
      </x:c>
      <x:c r="R36" s="52" t="n">
        <x:f>IF(ISNUMBER(INDEX('Sheet2-计算明细'!$AP$17:$AP$99,$X36)),INDEX('Sheet2-计算明细'!$AP$17:$AP$99,$X36),"")</x:f>
        <x:v>100</x:v>
      </x:c>
      <x:c r="S36" s="27" t="n">
        <x:f>IF(ISNUMBER(INDEX('Sheet2-计算明细'!$AQ$17:$AQ$99,$X36)),INDEX('Sheet2-计算明细'!$AQ$17:$AQ$99,$X36),"")</x:f>
        <x:v>1</x:v>
      </x:c>
      <x:c r="T36" s="52" t="n">
        <x:f>IF(ISNUMBER(INDEX('Sheet2-计算明细'!$AR$17:$AR$99,$X36)),INDEX('Sheet2-计算明细'!$AR$17:$AR$99,$X36),"")</x:f>
        <x:v>76.24294</x:v>
      </x:c>
      <x:c r="U36" s="52" t="n">
        <x:f>IF(ISNUMBER(INDEX('Sheet2-计算明细'!$AS$17:$AS$99,$X36)),INDEX('Sheet2-计算明细'!$AS$17:$AS$99,$X36),"")</x:f>
        <x:v>76.24</x:v>
      </x:c>
      <x:c r="V36" s="52" t="n">
        <x:f>IF(ISNUMBER(INDEX('Sheet2-计算明细'!$AV$17:$AV$99,$X36)),INDEX('Sheet2-计算明细'!$AV$17:$AV$99,$X36),"")</x:f>
        <x:v>76.24294</x:v>
      </x:c>
      <x:c r="W36" s="40" t="str">
        <x:f>IF(INDEX('Sheet2-计算明细'!$AU$17:$AU$99,$X36)="","",INDEX('Sheet2-计算明细'!$AU$17:$AU$99,$X36))</x:f>
      </x:c>
      <x:c r="X36" s="49" t="n">
        <x:f>MATCH(ROWS($X$6:X36),'Sheet2-计算明细'!$BJ$17:$BJ$99,0)</x:f>
        <x:v>47</x:v>
      </x:c>
      <x:c r="Y36" s="14" t="str">
        <x:f>IF(INDEX('Sheet2-计算明细'!$AX$17:$AX$99,$X36)="","",INDEX('Sheet2-计算明细'!$AX$17:$AX$99,$X36))</x:f>
        <x:v>套利策略</x:v>
      </x:c>
      <x:c r="Z36" s="14" t="str">
        <x:f>IF(INDEX('Sheet2-计算明细'!$AY$17:$AY$99,$X36)="","",INDEX('Sheet2-计算明细'!$AY$17:$AY$99,$X36))</x:f>
        <x:v>基金套利</x:v>
      </x:c>
      <x:c r="AA36" s="14" t="str">
        <x:f>IF(INDEX('Sheet2-计算明细'!$AW$17:$AW$99,$X36)="","",INDEX('Sheet2-计算明细'!$AW$17:$AW$99,$X36))</x:f>
        <x:v>完整赋分</x:v>
      </x:c>
      <x:c r="AB36" s="49" t="n">
        <x:f>IF(ISNUMBER(INDEX('Sheet2-计算明细'!$A$17:$A$99,$X36)),INDEX('Sheet2-计算明细'!$A$17:$A$99,$X36),"")</x:f>
        <x:v>47</x:v>
      </x:c>
    </x:row>
    <x:row r="37" ht="44" customHeight="1">
      <x:c r="A37" s="14" t="n">
        <x:f>IF(ISNUMBER(INDEX('Sheet2-计算明细'!$AT$17:$AT$99,$X37)),INDEX('Sheet2-计算明细'!$AT$17:$AT$99,$X37),"")</x:f>
        <x:v>32</x:v>
      </x:c>
      <x:c r="B37" s="14" t="str">
        <x:f>IF(INDEX('Sheet2-计算明细'!$B$17:$B$99,$X37)="","",INDEX('Sheet2-计算明细'!$B$17:$B$99,$X37))</x:f>
        <x:v>鸣熙资产-招享套利1号</x:v>
      </x:c>
      <x:c r="C37" s="14" t="str">
        <x:f>IF(INDEX('Sheet2-计算明细'!$C$17:$C$99,$X37)="","",INDEX('Sheet2-计算明细'!$C$17:$C$99,$X37))</x:f>
        <x:v>SJZ381</x:v>
      </x:c>
      <x:c r="D37" s="14" t="str">
        <x:f>IF(INDEX('Sheet2-计算明细'!$D$17:$D$99,$X37)="","",INDEX('Sheet2-计算明细'!$D$17:$D$99,$X37))</x:f>
        <x:v>鸣熙资本</x:v>
      </x:c>
      <x:c r="E37" s="14" t="str">
        <x:f>IF(INDEX('Sheet2-计算明细'!$G$17:$G$99,$X37)="","",INDEX('Sheet2-计算明细'!$G$17:$G$99,$X37))</x:f>
        <x:v>入池</x:v>
      </x:c>
      <x:c r="F37" s="52" t="n">
        <x:f>IF(ISNUMBER(INDEX('Sheet2-计算明细'!$I$17:$I$99,$X37)),INDEX('Sheet2-计算明细'!$I$17:$I$99,$X37),"")</x:f>
        <x:v>100</x:v>
      </x:c>
      <x:c r="G37" s="52" t="n">
        <x:f>IF(ISNUMBER(INDEX('Sheet2-计算明细'!$K$17:$K$99,$X37)),INDEX('Sheet2-计算明细'!$K$17:$K$99,$X37),"")</x:f>
        <x:v>100</x:v>
      </x:c>
      <x:c r="H37" s="52" t="n">
        <x:f>IF(ISNUMBER(INDEX('Sheet2-计算明细'!$L$17:$L$99,$X37)),INDEX('Sheet2-计算明细'!$L$17:$L$99,$X37),"")</x:f>
        <x:v>100</x:v>
      </x:c>
      <x:c r="I37" s="52" t="n">
        <x:f>IF(ISNUMBER(INDEX('Sheet2-计算明细'!$S$17:$S$99,$X37)),INDEX('Sheet2-计算明细'!$S$17:$S$99,$X37),"")</x:f>
        <x:v>37.38</x:v>
      </x:c>
      <x:c r="J37" s="52" t="n">
        <x:f>IF(ISNUMBER(INDEX('Sheet2-计算明细'!$Y$17:$Y$99,$X37)),INDEX('Sheet2-计算明细'!$Y$17:$Y$99,$X37),"")</x:f>
        <x:v>84.49</x:v>
      </x:c>
      <x:c r="K37" s="52" t="n">
        <x:f>IF(ISNUMBER(INDEX('Sheet2-计算明细'!$AC$17:$AC$99,$X37)),INDEX('Sheet2-计算明细'!$AC$17:$AC$99,$X37),"")</x:f>
        <x:v>93.1</x:v>
      </x:c>
      <x:c r="L37" s="52" t="n">
        <x:f>IF(ISNUMBER(INDEX('Sheet2-计算明细'!$AI$17:$AI$99,$X37)),INDEX('Sheet2-计算明细'!$AI$17:$AI$99,$X37),"")</x:f>
        <x:v>56.36</x:v>
      </x:c>
      <x:c r="M37" s="52" t="n">
        <x:f>IF(ISNUMBER(INDEX('Sheet2-计算明细'!$AK$17:$AK$99,$X37)),INDEX('Sheet2-计算明细'!$AK$17:$AK$99,$X37),"")</x:f>
        <x:v>80</x:v>
      </x:c>
      <x:c r="N37" s="52" t="n">
        <x:f>IF(ISNUMBER(INDEX('Sheet2-计算明细'!$AL$17:$AL$99,$X37)),INDEX('Sheet2-计算明细'!$AL$17:$AL$99,$X37),"")</x:f>
        <x:v>100</x:v>
      </x:c>
      <x:c r="O37" s="52" t="n">
        <x:f>IF(ISNUMBER(INDEX('Sheet2-计算明细'!$AM$17:$AM$99,$X37)),INDEX('Sheet2-计算明细'!$AM$17:$AM$99,$X37),"")</x:f>
        <x:v>51.51</x:v>
      </x:c>
      <x:c r="P37" s="52" t="n">
        <x:f>IF(ISNUMBER(INDEX('Sheet2-计算明细'!$AN$17:$AN$99,$X37)),INDEX('Sheet2-计算明细'!$AN$17:$AN$99,$X37),"")</x:f>
        <x:v>93.1</x:v>
      </x:c>
      <x:c r="Q37" s="52" t="n">
        <x:f>IF(ISNUMBER(INDEX('Sheet2-计算明细'!$AO$17:$AO$99,$X37)),INDEX('Sheet2-计算明细'!$AO$17:$AO$99,$X37),"")</x:f>
        <x:v>56.36</x:v>
      </x:c>
      <x:c r="R37" s="52" t="n">
        <x:f>IF(ISNUMBER(INDEX('Sheet2-计算明细'!$AP$17:$AP$99,$X37)),INDEX('Sheet2-计算明细'!$AP$17:$AP$99,$X37),"")</x:f>
        <x:v>80</x:v>
      </x:c>
      <x:c r="S37" s="27" t="n">
        <x:f>IF(ISNUMBER(INDEX('Sheet2-计算明细'!$AQ$17:$AQ$99,$X37)),INDEX('Sheet2-计算明细'!$AQ$17:$AQ$99,$X37),"")</x:f>
        <x:v>0.88</x:v>
      </x:c>
      <x:c r="T37" s="52" t="n">
        <x:f>IF(ISNUMBER(INDEX('Sheet2-计算明细'!$AR$17:$AR$99,$X37)),INDEX('Sheet2-计算明细'!$AR$17:$AR$99,$X37),"")</x:f>
        <x:v>66.72274999999999</x:v>
      </x:c>
      <x:c r="U37" s="52" t="n">
        <x:f>IF(ISNUMBER(INDEX('Sheet2-计算明细'!$AS$17:$AS$99,$X37)),INDEX('Sheet2-计算明细'!$AS$17:$AS$99,$X37),"")</x:f>
        <x:v>75.82</x:v>
      </x:c>
      <x:c r="V37" s="52" t="str">
        <x:f>IF(ISNUMBER(INDEX('Sheet2-计算明细'!$AV$17:$AV$99,$X37)),INDEX('Sheet2-计算明细'!$AV$17:$AV$99,$X37),"")</x:f>
      </x:c>
      <x:c r="W37" s="40" t="str">
        <x:f>IF(INDEX('Sheet2-计算明细'!$AU$17:$AU$99,$X37)="","",INDEX('Sheet2-计算明细'!$AU$17:$AU$99,$X37))</x:f>
        <x:v>DD_long不可识别；</x:v>
      </x:c>
      <x:c r="X37" s="49" t="n">
        <x:f>MATCH(ROWS($X$6:X37),'Sheet2-计算明细'!$BJ$17:$BJ$99,0)</x:f>
        <x:v>37</x:v>
      </x:c>
      <x:c r="Y37" s="14" t="str">
        <x:f>IF(INDEX('Sheet2-计算明细'!$AX$17:$AX$99,$X37)="","",INDEX('Sheet2-计算明细'!$AX$17:$AX$99,$X37))</x:f>
        <x:v>套利策略</x:v>
      </x:c>
      <x:c r="Z37" s="14" t="str">
        <x:f>IF(INDEX('Sheet2-计算明细'!$AY$17:$AY$99,$X37)="","",INDEX('Sheet2-计算明细'!$AY$17:$AY$99,$X37))</x:f>
        <x:v>期货套利</x:v>
      </x:c>
      <x:c r="AA37" s="14" t="str">
        <x:f>IF(INDEX('Sheet2-计算明细'!$AW$17:$AW$99,$X37)="","",INDEX('Sheet2-计算明细'!$AW$17:$AW$99,$X37))</x:f>
        <x:v>暂定分／数据不完整</x:v>
      </x:c>
      <x:c r="AB37" s="49" t="n">
        <x:f>IF(ISNUMBER(INDEX('Sheet2-计算明细'!$A$17:$A$99,$X37)),INDEX('Sheet2-计算明细'!$A$17:$A$99,$X37),"")</x:f>
        <x:v>37</x:v>
      </x:c>
    </x:row>
    <x:row r="38" ht="44" customHeight="1">
      <x:c r="A38" s="14" t="n">
        <x:f>IF(ISNUMBER(INDEX('Sheet2-计算明细'!$AT$17:$AT$99,$X38)),INDEX('Sheet2-计算明细'!$AT$17:$AT$99,$X38),"")</x:f>
        <x:v>33</x:v>
      </x:c>
      <x:c r="B38" s="14" t="str">
        <x:f>IF(INDEX('Sheet2-计算明细'!$B$17:$B$99,$X38)="","",INDEX('Sheet2-计算明细'!$B$17:$B$99,$X38))</x:f>
        <x:v>广联宏稳健2号</x:v>
      </x:c>
      <x:c r="C38" s="14" t="str">
        <x:f>IF(INDEX('Sheet2-计算明细'!$C$17:$C$99,$X38)="","",INDEX('Sheet2-计算明细'!$C$17:$C$99,$X38))</x:f>
        <x:v>SATV20</x:v>
      </x:c>
      <x:c r="D38" s="14" t="str">
        <x:f>IF(INDEX('Sheet2-计算明细'!$D$17:$D$99,$X38)="","",INDEX('Sheet2-计算明细'!$D$17:$D$99,$X38))</x:f>
        <x:v>海南广联宏</x:v>
      </x:c>
      <x:c r="E38" s="14" t="str">
        <x:f>IF(INDEX('Sheet2-计算明细'!$G$17:$G$99,$X38)="","",INDEX('Sheet2-计算明细'!$G$17:$G$99,$X38))</x:f>
        <x:v>入池</x:v>
      </x:c>
      <x:c r="F38" s="52" t="n">
        <x:f>IF(ISNUMBER(INDEX('Sheet2-计算明细'!$I$17:$I$99,$X38)),INDEX('Sheet2-计算明细'!$I$17:$I$99,$X38),"")</x:f>
        <x:v>70</x:v>
      </x:c>
      <x:c r="G38" s="52" t="n">
        <x:f>IF(ISNUMBER(INDEX('Sheet2-计算明细'!$K$17:$K$99,$X38)),INDEX('Sheet2-计算明细'!$K$17:$K$99,$X38),"")</x:f>
        <x:v>100</x:v>
      </x:c>
      <x:c r="H38" s="52" t="n">
        <x:f>IF(ISNUMBER(INDEX('Sheet2-计算明细'!$L$17:$L$99,$X38)),INDEX('Sheet2-计算明细'!$L$17:$L$99,$X38),"")</x:f>
        <x:v>70</x:v>
      </x:c>
      <x:c r="I38" s="52" t="n">
        <x:f>IF(ISNUMBER(INDEX('Sheet2-计算明细'!$S$17:$S$99,$X38)),INDEX('Sheet2-计算明细'!$S$17:$S$99,$X38),"")</x:f>
        <x:v>90.2</x:v>
      </x:c>
      <x:c r="J38" s="52" t="n">
        <x:f>IF(ISNUMBER(INDEX('Sheet2-计算明细'!$Y$17:$Y$99,$X38)),INDEX('Sheet2-计算明细'!$Y$17:$Y$99,$X38),"")</x:f>
        <x:v>84.62</x:v>
      </x:c>
      <x:c r="K38" s="52" t="n">
        <x:f>IF(ISNUMBER(INDEX('Sheet2-计算明细'!$AC$17:$AC$99,$X38)),INDEX('Sheet2-计算明细'!$AC$17:$AC$99,$X38),"")</x:f>
        <x:v>60.34</x:v>
      </x:c>
      <x:c r="L38" s="52" t="n">
        <x:f>IF(ISNUMBER(INDEX('Sheet2-计算明细'!$AI$17:$AI$99,$X38)),INDEX('Sheet2-计算明细'!$AI$17:$AI$99,$X38),"")</x:f>
        <x:v>67.27</x:v>
      </x:c>
      <x:c r="M38" s="52" t="n">
        <x:f>IF(ISNUMBER(INDEX('Sheet2-计算明细'!$AK$17:$AK$99,$X38)),INDEX('Sheet2-计算明细'!$AK$17:$AK$99,$X38),"")</x:f>
        <x:v>100</x:v>
      </x:c>
      <x:c r="N38" s="52" t="n">
        <x:f>IF(ISNUMBER(INDEX('Sheet2-计算明细'!$AL$17:$AL$99,$X38)),INDEX('Sheet2-计算明细'!$AL$17:$AL$99,$X38),"")</x:f>
        <x:v>79</x:v>
      </x:c>
      <x:c r="O38" s="52" t="n">
        <x:f>IF(ISNUMBER(INDEX('Sheet2-计算明细'!$AM$17:$AM$99,$X38)),INDEX('Sheet2-计算明细'!$AM$17:$AM$99,$X38),"")</x:f>
        <x:v>89.06</x:v>
      </x:c>
      <x:c r="P38" s="52" t="n">
        <x:f>IF(ISNUMBER(INDEX('Sheet2-计算明细'!$AN$17:$AN$99,$X38)),INDEX('Sheet2-计算明细'!$AN$17:$AN$99,$X38),"")</x:f>
        <x:v>60.34</x:v>
      </x:c>
      <x:c r="Q38" s="52" t="n">
        <x:f>IF(ISNUMBER(INDEX('Sheet2-计算明细'!$AO$17:$AO$99,$X38)),INDEX('Sheet2-计算明细'!$AO$17:$AO$99,$X38),"")</x:f>
        <x:v>67.27</x:v>
      </x:c>
      <x:c r="R38" s="52" t="n">
        <x:f>IF(ISNUMBER(INDEX('Sheet2-计算明细'!$AP$17:$AP$99,$X38)),INDEX('Sheet2-计算明细'!$AP$17:$AP$99,$X38),"")</x:f>
        <x:v>100</x:v>
      </x:c>
      <x:c r="S38" s="27" t="n">
        <x:f>IF(ISNUMBER(INDEX('Sheet2-计算明细'!$AQ$17:$AQ$99,$X38)),INDEX('Sheet2-计算明细'!$AQ$17:$AQ$99,$X38),"")</x:f>
        <x:v>0.856</x:v>
      </x:c>
      <x:c r="T38" s="52" t="n">
        <x:f>IF(ISNUMBER(INDEX('Sheet2-计算明细'!$AR$17:$AR$99,$X38)),INDEX('Sheet2-计算明细'!$AR$17:$AR$99,$X38),"")</x:f>
        <x:v>64.71763999999999</x:v>
      </x:c>
      <x:c r="U38" s="52" t="n">
        <x:f>IF(ISNUMBER(INDEX('Sheet2-计算明细'!$AS$17:$AS$99,$X38)),INDEX('Sheet2-计算明细'!$AS$17:$AS$99,$X38),"")</x:f>
        <x:v>75.6</x:v>
      </x:c>
      <x:c r="V38" s="52" t="str">
        <x:f>IF(ISNUMBER(INDEX('Sheet2-计算明细'!$AV$17:$AV$99,$X38)),INDEX('Sheet2-计算明细'!$AV$17:$AV$99,$X38),"")</x:f>
      </x:c>
      <x:c r="W38" s="40" t="str">
        <x:f>IF(INDEX('Sheet2-计算明细'!$AU$17:$AU$99,$X38)="","",INDEX('Sheet2-计算明细'!$AU$17:$AU$99,$X38))</x:f>
        <x:v>近三年收益；近三年胜率；近三年回撤；DD_long不可识别；</x:v>
      </x:c>
      <x:c r="X38" s="49" t="n">
        <x:f>MATCH(ROWS($X$6:X38),'Sheet2-计算明细'!$BJ$17:$BJ$99,0)</x:f>
        <x:v>18</x:v>
      </x:c>
      <x:c r="Y38" s="14" t="str">
        <x:f>IF(INDEX('Sheet2-计算明细'!$AX$17:$AX$99,$X38)="","",INDEX('Sheet2-计算明细'!$AX$17:$AX$99,$X38))</x:f>
        <x:v>套利策略</x:v>
      </x:c>
      <x:c r="Z38" s="14" t="str">
        <x:f>IF(INDEX('Sheet2-计算明细'!$AY$17:$AY$99,$X38)="","",INDEX('Sheet2-计算明细'!$AY$17:$AY$99,$X38))</x:f>
        <x:v>期货套利</x:v>
      </x:c>
      <x:c r="AA38" s="14" t="str">
        <x:f>IF(INDEX('Sheet2-计算明细'!$AW$17:$AW$99,$X38)="","",INDEX('Sheet2-计算明细'!$AW$17:$AW$99,$X38))</x:f>
        <x:v>暂定分／数据不完整</x:v>
      </x:c>
      <x:c r="AB38" s="49" t="n">
        <x:f>IF(ISNUMBER(INDEX('Sheet2-计算明细'!$A$17:$A$99,$X38)),INDEX('Sheet2-计算明细'!$A$17:$A$99,$X38),"")</x:f>
        <x:v>18</x:v>
      </x:c>
    </x:row>
    <x:row r="39" ht="44" customHeight="1">
      <x:c r="A39" s="14" t="n">
        <x:f>IF(ISNUMBER(INDEX('Sheet2-计算明细'!$AT$17:$AT$99,$X39)),INDEX('Sheet2-计算明细'!$AT$17:$AT$99,$X39),"")</x:f>
        <x:v>34</x:v>
      </x:c>
      <x:c r="B39" s="14" t="str">
        <x:f>IF(INDEX('Sheet2-计算明细'!$B$17:$B$99,$X39)="","",INDEX('Sheet2-计算明细'!$B$17:$B$99,$X39))</x:f>
        <x:v>永泉奇点17号混合投资</x:v>
      </x:c>
      <x:c r="C39" s="14" t="str">
        <x:f>IF(INDEX('Sheet2-计算明细'!$C$17:$C$99,$X39)="","",INDEX('Sheet2-计算明细'!$C$17:$C$99,$X39))</x:f>
        <x:v>SNG016</x:v>
      </x:c>
      <x:c r="D39" s="14" t="str">
        <x:f>IF(INDEX('Sheet2-计算明细'!$D$17:$D$99,$X39)="","",INDEX('Sheet2-计算明细'!$D$17:$D$99,$X39))</x:f>
        <x:v>宁波永泉</x:v>
      </x:c>
      <x:c r="E39" s="14" t="str">
        <x:f>IF(INDEX('Sheet2-计算明细'!$G$17:$G$99,$X39)="","",INDEX('Sheet2-计算明细'!$G$17:$G$99,$X39))</x:f>
        <x:v>入池</x:v>
      </x:c>
      <x:c r="F39" s="52" t="n">
        <x:f>IF(ISNUMBER(INDEX('Sheet2-计算明细'!$I$17:$I$99,$X39)),INDEX('Sheet2-计算明细'!$I$17:$I$99,$X39),"")</x:f>
        <x:v>60</x:v>
      </x:c>
      <x:c r="G39" s="52" t="n">
        <x:f>IF(ISNUMBER(INDEX('Sheet2-计算明细'!$K$17:$K$99,$X39)),INDEX('Sheet2-计算明细'!$K$17:$K$99,$X39),"")</x:f>
        <x:v>100</x:v>
      </x:c>
      <x:c r="H39" s="52" t="n">
        <x:f>IF(ISNUMBER(INDEX('Sheet2-计算明细'!$L$17:$L$99,$X39)),INDEX('Sheet2-计算明细'!$L$17:$L$99,$X39),"")</x:f>
        <x:v>100</x:v>
      </x:c>
      <x:c r="I39" s="52" t="n">
        <x:f>IF(ISNUMBER(INDEX('Sheet2-计算明细'!$S$17:$S$99,$X39)),INDEX('Sheet2-计算明细'!$S$17:$S$99,$X39),"")</x:f>
        <x:v>48.74</x:v>
      </x:c>
      <x:c r="J39" s="52" t="n">
        <x:f>IF(ISNUMBER(INDEX('Sheet2-计算明细'!$Y$17:$Y$99,$X39)),INDEX('Sheet2-计算明细'!$Y$17:$Y$99,$X39),"")</x:f>
        <x:v>82.44</x:v>
      </x:c>
      <x:c r="K39" s="52" t="n">
        <x:f>IF(ISNUMBER(INDEX('Sheet2-计算明细'!$AC$17:$AC$99,$X39)),INDEX('Sheet2-计算明细'!$AC$17:$AC$99,$X39),"")</x:f>
        <x:v>74.14</x:v>
      </x:c>
      <x:c r="L39" s="52" t="n">
        <x:f>IF(ISNUMBER(INDEX('Sheet2-计算明细'!$AI$17:$AI$99,$X39)),INDEX('Sheet2-计算明细'!$AI$17:$AI$99,$X39),"")</x:f>
        <x:v>80.78</x:v>
      </x:c>
      <x:c r="M39" s="52" t="n">
        <x:f>IF(ISNUMBER(INDEX('Sheet2-计算明细'!$AK$17:$AK$99,$X39)),INDEX('Sheet2-计算明细'!$AK$17:$AK$99,$X39),"")</x:f>
        <x:v>80</x:v>
      </x:c>
      <x:c r="N39" s="52" t="n">
        <x:f>IF(ISNUMBER(INDEX('Sheet2-计算明细'!$AL$17:$AL$99,$X39)),INDEX('Sheet2-计算明细'!$AL$17:$AL$99,$X39),"")</x:f>
        <x:v>84</x:v>
      </x:c>
      <x:c r="O39" s="52" t="n">
        <x:f>IF(ISNUMBER(INDEX('Sheet2-计算明细'!$AM$17:$AM$99,$X39)),INDEX('Sheet2-计算明细'!$AM$17:$AM$99,$X39),"")</x:f>
        <x:v>58.85</x:v>
      </x:c>
      <x:c r="P39" s="52" t="n">
        <x:f>IF(ISNUMBER(INDEX('Sheet2-计算明细'!$AN$17:$AN$99,$X39)),INDEX('Sheet2-计算明细'!$AN$17:$AN$99,$X39),"")</x:f>
        <x:v>74.14</x:v>
      </x:c>
      <x:c r="Q39" s="52" t="n">
        <x:f>IF(ISNUMBER(INDEX('Sheet2-计算明细'!$AO$17:$AO$99,$X39)),INDEX('Sheet2-计算明细'!$AO$17:$AO$99,$X39),"")</x:f>
        <x:v>80.78</x:v>
      </x:c>
      <x:c r="R39" s="52" t="n">
        <x:f>IF(ISNUMBER(INDEX('Sheet2-计算明细'!$AP$17:$AP$99,$X39)),INDEX('Sheet2-计算明细'!$AP$17:$AP$99,$X39),"")</x:f>
        <x:v>80</x:v>
      </x:c>
      <x:c r="S39" s="27" t="n">
        <x:f>IF(ISNUMBER(INDEX('Sheet2-计算明细'!$AQ$17:$AQ$99,$X39)),INDEX('Sheet2-计算明细'!$AQ$17:$AQ$99,$X39),"")</x:f>
        <x:v>1</x:v>
      </x:c>
      <x:c r="T39" s="52" t="n">
        <x:f>IF(ISNUMBER(INDEX('Sheet2-计算明细'!$AR$17:$AR$99,$X39)),INDEX('Sheet2-计算明细'!$AR$17:$AR$99,$X39),"")</x:f>
        <x:v>75.1397</x:v>
      </x:c>
      <x:c r="U39" s="52" t="n">
        <x:f>IF(ISNUMBER(INDEX('Sheet2-计算明细'!$AS$17:$AS$99,$X39)),INDEX('Sheet2-计算明细'!$AS$17:$AS$99,$X39),"")</x:f>
        <x:v>75.14</x:v>
      </x:c>
      <x:c r="V39" s="52" t="n">
        <x:f>IF(ISNUMBER(INDEX('Sheet2-计算明细'!$AV$17:$AV$99,$X39)),INDEX('Sheet2-计算明细'!$AV$17:$AV$99,$X39),"")</x:f>
        <x:v>75.1397</x:v>
      </x:c>
      <x:c r="W39" s="40" t="str">
        <x:f>IF(INDEX('Sheet2-计算明细'!$AU$17:$AU$99,$X39)="","",INDEX('Sheet2-计算明细'!$AU$17:$AU$99,$X39))</x:f>
      </x:c>
      <x:c r="X39" s="49" t="n">
        <x:f>MATCH(ROWS($X$6:X39),'Sheet2-计算明细'!$BJ$17:$BJ$99,0)</x:f>
        <x:v>69</x:v>
      </x:c>
      <x:c r="Y39" s="14" t="str">
        <x:f>IF(INDEX('Sheet2-计算明细'!$AX$17:$AX$99,$X39)="","",INDEX('Sheet2-计算明细'!$AX$17:$AX$99,$X39))</x:f>
        <x:v>套利策略</x:v>
      </x:c>
      <x:c r="Z39" s="14" t="str">
        <x:f>IF(INDEX('Sheet2-计算明细'!$AY$17:$AY$99,$X39)="","",INDEX('Sheet2-计算明细'!$AY$17:$AY$99,$X39))</x:f>
        <x:v>期货套利</x:v>
      </x:c>
      <x:c r="AA39" s="14" t="str">
        <x:f>IF(INDEX('Sheet2-计算明细'!$AW$17:$AW$99,$X39)="","",INDEX('Sheet2-计算明细'!$AW$17:$AW$99,$X39))</x:f>
        <x:v>完整赋分</x:v>
      </x:c>
      <x:c r="AB39" s="49" t="n">
        <x:f>IF(ISNUMBER(INDEX('Sheet2-计算明细'!$A$17:$A$99,$X39)),INDEX('Sheet2-计算明细'!$A$17:$A$99,$X39),"")</x:f>
        <x:v>69</x:v>
      </x:c>
    </x:row>
    <x:row r="40" ht="44" customHeight="1">
      <x:c r="A40" s="14" t="n">
        <x:f>IF(ISNUMBER(INDEX('Sheet2-计算明细'!$AT$17:$AT$99,$X40)),INDEX('Sheet2-计算明细'!$AT$17:$AT$99,$X40),"")</x:f>
        <x:v>35</x:v>
      </x:c>
      <x:c r="B40" s="14" t="str">
        <x:f>IF(INDEX('Sheet2-计算明细'!$B$17:$B$99,$X40)="","",INDEX('Sheet2-计算明细'!$B$17:$B$99,$X40))</x:f>
        <x:v>永泉奇点1号混合投资</x:v>
      </x:c>
      <x:c r="C40" s="14" t="str">
        <x:f>IF(INDEX('Sheet2-计算明细'!$C$17:$C$99,$X40)="","",INDEX('Sheet2-计算明细'!$C$17:$C$99,$X40))</x:f>
        <x:v>SGM299</x:v>
      </x:c>
      <x:c r="D40" s="14" t="str">
        <x:f>IF(INDEX('Sheet2-计算明细'!$D$17:$D$99,$X40)="","",INDEX('Sheet2-计算明细'!$D$17:$D$99,$X40))</x:f>
        <x:v>宁波永泉</x:v>
      </x:c>
      <x:c r="E40" s="14" t="str">
        <x:f>IF(INDEX('Sheet2-计算明细'!$G$17:$G$99,$X40)="","",INDEX('Sheet2-计算明细'!$G$17:$G$99,$X40))</x:f>
        <x:v>入池</x:v>
      </x:c>
      <x:c r="F40" s="52" t="n">
        <x:f>IF(ISNUMBER(INDEX('Sheet2-计算明细'!$I$17:$I$99,$X40)),INDEX('Sheet2-计算明细'!$I$17:$I$99,$X40),"")</x:f>
        <x:v>60</x:v>
      </x:c>
      <x:c r="G40" s="52" t="n">
        <x:f>IF(ISNUMBER(INDEX('Sheet2-计算明细'!$K$17:$K$99,$X40)),INDEX('Sheet2-计算明细'!$K$17:$K$99,$X40),"")</x:f>
        <x:v>100</x:v>
      </x:c>
      <x:c r="H40" s="52" t="n">
        <x:f>IF(ISNUMBER(INDEX('Sheet2-计算明细'!$L$17:$L$99,$X40)),INDEX('Sheet2-计算明细'!$L$17:$L$99,$X40),"")</x:f>
        <x:v>100</x:v>
      </x:c>
      <x:c r="I40" s="52" t="n">
        <x:f>IF(ISNUMBER(INDEX('Sheet2-计算明细'!$S$17:$S$99,$X40)),INDEX('Sheet2-计算明细'!$S$17:$S$99,$X40),"")</x:f>
        <x:v>47.51</x:v>
      </x:c>
      <x:c r="J40" s="52" t="n">
        <x:f>IF(ISNUMBER(INDEX('Sheet2-计算明细'!$Y$17:$Y$99,$X40)),INDEX('Sheet2-计算明细'!$Y$17:$Y$99,$X40),"")</x:f>
        <x:v>88.72</x:v>
      </x:c>
      <x:c r="K40" s="52" t="n">
        <x:f>IF(ISNUMBER(INDEX('Sheet2-计算明细'!$AC$17:$AC$99,$X40)),INDEX('Sheet2-计算明细'!$AC$17:$AC$99,$X40),"")</x:f>
        <x:v>65.52</x:v>
      </x:c>
      <x:c r="L40" s="52" t="n">
        <x:f>IF(ISNUMBER(INDEX('Sheet2-计算明细'!$AI$17:$AI$99,$X40)),INDEX('Sheet2-计算明细'!$AI$17:$AI$99,$X40),"")</x:f>
        <x:v>82.36</x:v>
      </x:c>
      <x:c r="M40" s="52" t="n">
        <x:f>IF(ISNUMBER(INDEX('Sheet2-计算明细'!$AK$17:$AK$99,$X40)),INDEX('Sheet2-计算明细'!$AK$17:$AK$99,$X40),"")</x:f>
        <x:v>80</x:v>
      </x:c>
      <x:c r="N40" s="52" t="n">
        <x:f>IF(ISNUMBER(INDEX('Sheet2-计算明细'!$AL$17:$AL$99,$X40)),INDEX('Sheet2-计算明细'!$AL$17:$AL$99,$X40),"")</x:f>
        <x:v>84</x:v>
      </x:c>
      <x:c r="O40" s="52" t="n">
        <x:f>IF(ISNUMBER(INDEX('Sheet2-计算明细'!$AM$17:$AM$99,$X40)),INDEX('Sheet2-计算明细'!$AM$17:$AM$99,$X40),"")</x:f>
        <x:v>59.88</x:v>
      </x:c>
      <x:c r="P40" s="52" t="n">
        <x:f>IF(ISNUMBER(INDEX('Sheet2-计算明细'!$AN$17:$AN$99,$X40)),INDEX('Sheet2-计算明细'!$AN$17:$AN$99,$X40),"")</x:f>
        <x:v>65.52</x:v>
      </x:c>
      <x:c r="Q40" s="52" t="n">
        <x:f>IF(ISNUMBER(INDEX('Sheet2-计算明细'!$AO$17:$AO$99,$X40)),INDEX('Sheet2-计算明细'!$AO$17:$AO$99,$X40),"")</x:f>
        <x:v>82.36</x:v>
      </x:c>
      <x:c r="R40" s="52" t="n">
        <x:f>IF(ISNUMBER(INDEX('Sheet2-计算明细'!$AP$17:$AP$99,$X40)),INDEX('Sheet2-计算明细'!$AP$17:$AP$99,$X40),"")</x:f>
        <x:v>80</x:v>
      </x:c>
      <x:c r="S40" s="27" t="n">
        <x:f>IF(ISNUMBER(INDEX('Sheet2-计算明细'!$AQ$17:$AQ$99,$X40)),INDEX('Sheet2-计算明细'!$AQ$17:$AQ$99,$X40),"")</x:f>
        <x:v>1</x:v>
      </x:c>
      <x:c r="T40" s="52" t="n">
        <x:f>IF(ISNUMBER(INDEX('Sheet2-计算明细'!$AR$17:$AR$99,$X40)),INDEX('Sheet2-计算明细'!$AR$17:$AR$99,$X40),"")</x:f>
        <x:v>73.66381999999999</x:v>
      </x:c>
      <x:c r="U40" s="52" t="n">
        <x:f>IF(ISNUMBER(INDEX('Sheet2-计算明细'!$AS$17:$AS$99,$X40)),INDEX('Sheet2-计算明细'!$AS$17:$AS$99,$X40),"")</x:f>
        <x:v>73.66</x:v>
      </x:c>
      <x:c r="V40" s="52" t="n">
        <x:f>IF(ISNUMBER(INDEX('Sheet2-计算明细'!$AV$17:$AV$99,$X40)),INDEX('Sheet2-计算明细'!$AV$17:$AV$99,$X40),"")</x:f>
        <x:v>73.66381999999999</x:v>
      </x:c>
      <x:c r="W40" s="40" t="str">
        <x:f>IF(INDEX('Sheet2-计算明细'!$AU$17:$AU$99,$X40)="","",INDEX('Sheet2-计算明细'!$AU$17:$AU$99,$X40))</x:f>
      </x:c>
      <x:c r="X40" s="49" t="n">
        <x:f>MATCH(ROWS($X$6:X40),'Sheet2-计算明细'!$BJ$17:$BJ$99,0)</x:f>
        <x:v>70</x:v>
      </x:c>
      <x:c r="Y40" s="14" t="str">
        <x:f>IF(INDEX('Sheet2-计算明细'!$AX$17:$AX$99,$X40)="","",INDEX('Sheet2-计算明细'!$AX$17:$AX$99,$X40))</x:f>
        <x:v>套利策略</x:v>
      </x:c>
      <x:c r="Z40" s="14" t="str">
        <x:f>IF(INDEX('Sheet2-计算明细'!$AY$17:$AY$99,$X40)="","",INDEX('Sheet2-计算明细'!$AY$17:$AY$99,$X40))</x:f>
        <x:v>期货套利</x:v>
      </x:c>
      <x:c r="AA40" s="14" t="str">
        <x:f>IF(INDEX('Sheet2-计算明细'!$AW$17:$AW$99,$X40)="","",INDEX('Sheet2-计算明细'!$AW$17:$AW$99,$X40))</x:f>
        <x:v>完整赋分</x:v>
      </x:c>
      <x:c r="AB40" s="49" t="n">
        <x:f>IF(ISNUMBER(INDEX('Sheet2-计算明细'!$A$17:$A$99,$X40)),INDEX('Sheet2-计算明细'!$A$17:$A$99,$X40),"")</x:f>
        <x:v>70</x:v>
      </x:c>
    </x:row>
    <x:row r="41" ht="44" customHeight="1">
      <x:c r="A41" s="14" t="n">
        <x:f>IF(ISNUMBER(INDEX('Sheet2-计算明细'!$AT$17:$AT$99,$X41)),INDEX('Sheet2-计算明细'!$AT$17:$AT$99,$X41),"")</x:f>
        <x:v>36</x:v>
      </x:c>
      <x:c r="B41" s="14" t="str">
        <x:f>IF(INDEX('Sheet2-计算明细'!$B$17:$B$99,$X41)="","",INDEX('Sheet2-计算明细'!$B$17:$B$99,$X41))</x:f>
        <x:v>慕途商品套利1号</x:v>
      </x:c>
      <x:c r="C41" s="14" t="str">
        <x:f>IF(INDEX('Sheet2-计算明细'!$C$17:$C$99,$X41)="","",INDEX('Sheet2-计算明细'!$C$17:$C$99,$X41))</x:f>
        <x:v>SAHX36</x:v>
      </x:c>
      <x:c r="D41" s="14" t="str">
        <x:f>IF(INDEX('Sheet2-计算明细'!$D$17:$D$99,$X41)="","",INDEX('Sheet2-计算明细'!$D$17:$D$99,$X41))</x:f>
        <x:v>慕途基金</x:v>
      </x:c>
      <x:c r="E41" s="14" t="str">
        <x:f>IF(INDEX('Sheet2-计算明细'!$G$17:$G$99,$X41)="","",INDEX('Sheet2-计算明细'!$G$17:$G$99,$X41))</x:f>
        <x:v>入池</x:v>
      </x:c>
      <x:c r="F41" s="52" t="n">
        <x:f>IF(ISNUMBER(INDEX('Sheet2-计算明细'!$I$17:$I$99,$X41)),INDEX('Sheet2-计算明细'!$I$17:$I$99,$X41),"")</x:f>
        <x:v>80</x:v>
      </x:c>
      <x:c r="G41" s="52" t="n">
        <x:f>IF(ISNUMBER(INDEX('Sheet2-计算明细'!$K$17:$K$99,$X41)),INDEX('Sheet2-计算明细'!$K$17:$K$99,$X41),"")</x:f>
        <x:v>100</x:v>
      </x:c>
      <x:c r="H41" s="52" t="n">
        <x:f>IF(ISNUMBER(INDEX('Sheet2-计算明细'!$L$17:$L$99,$X41)),INDEX('Sheet2-计算明细'!$L$17:$L$99,$X41),"")</x:f>
        <x:v>70</x:v>
      </x:c>
      <x:c r="I41" s="52" t="n">
        <x:f>IF(ISNUMBER(INDEX('Sheet2-计算明细'!$S$17:$S$99,$X41)),INDEX('Sheet2-计算明细'!$S$17:$S$99,$X41),"")</x:f>
        <x:v>58.33</x:v>
      </x:c>
      <x:c r="J41" s="52" t="n">
        <x:f>IF(ISNUMBER(INDEX('Sheet2-计算明细'!$Y$17:$Y$99,$X41)),INDEX('Sheet2-计算明细'!$Y$17:$Y$99,$X41),"")</x:f>
        <x:v>84.62</x:v>
      </x:c>
      <x:c r="K41" s="52" t="n">
        <x:f>IF(ISNUMBER(INDEX('Sheet2-计算明细'!$AC$17:$AC$99,$X41)),INDEX('Sheet2-计算明细'!$AC$17:$AC$99,$X41),"")</x:f>
        <x:v>72.41</x:v>
      </x:c>
      <x:c r="L41" s="52" t="n">
        <x:f>IF(ISNUMBER(INDEX('Sheet2-计算明细'!$AI$17:$AI$99,$X41)),INDEX('Sheet2-计算明细'!$AI$17:$AI$99,$X41),"")</x:f>
        <x:v>61.82</x:v>
      </x:c>
      <x:c r="M41" s="52" t="n">
        <x:f>IF(ISNUMBER(INDEX('Sheet2-计算明细'!$AK$17:$AK$99,$X41)),INDEX('Sheet2-计算明细'!$AK$17:$AK$99,$X41),"")</x:f>
        <x:v>100</x:v>
      </x:c>
      <x:c r="N41" s="52" t="n">
        <x:f>IF(ISNUMBER(INDEX('Sheet2-计算明细'!$AL$17:$AL$99,$X41)),INDEX('Sheet2-计算明细'!$AL$17:$AL$99,$X41),"")</x:f>
        <x:v>83</x:v>
      </x:c>
      <x:c r="O41" s="52" t="n">
        <x:f>IF(ISNUMBER(INDEX('Sheet2-计算明细'!$AM$17:$AM$99,$X41)),INDEX('Sheet2-计算明细'!$AM$17:$AM$99,$X41),"")</x:f>
        <x:v>63.71</x:v>
      </x:c>
      <x:c r="P41" s="52" t="n">
        <x:f>IF(ISNUMBER(INDEX('Sheet2-计算明细'!$AN$17:$AN$99,$X41)),INDEX('Sheet2-计算明细'!$AN$17:$AN$99,$X41),"")</x:f>
        <x:v>72.41</x:v>
      </x:c>
      <x:c r="Q41" s="52" t="n">
        <x:f>IF(ISNUMBER(INDEX('Sheet2-计算明细'!$AO$17:$AO$99,$X41)),INDEX('Sheet2-计算明细'!$AO$17:$AO$99,$X41),"")</x:f>
        <x:v>61.82</x:v>
      </x:c>
      <x:c r="R41" s="52" t="n">
        <x:f>IF(ISNUMBER(INDEX('Sheet2-计算明细'!$AP$17:$AP$99,$X41)),INDEX('Sheet2-计算明细'!$AP$17:$AP$99,$X41),"")</x:f>
        <x:v>100</x:v>
      </x:c>
      <x:c r="S41" s="27" t="n">
        <x:f>IF(ISNUMBER(INDEX('Sheet2-计算明细'!$AQ$17:$AQ$99,$X41)),INDEX('Sheet2-计算明细'!$AQ$17:$AQ$99,$X41),"")</x:f>
        <x:v>0.856</x:v>
      </x:c>
      <x:c r="T41" s="52" t="n">
        <x:f>IF(ISNUMBER(INDEX('Sheet2-计算明细'!$AR$17:$AR$99,$X41)),INDEX('Sheet2-计算明细'!$AR$17:$AR$99,$X41),"")</x:f>
        <x:v>62.8929</x:v>
      </x:c>
      <x:c r="U41" s="52" t="n">
        <x:f>IF(ISNUMBER(INDEX('Sheet2-计算明细'!$AS$17:$AS$99,$X41)),INDEX('Sheet2-计算明细'!$AS$17:$AS$99,$X41),"")</x:f>
        <x:v>73.47</x:v>
      </x:c>
      <x:c r="V41" s="52" t="str">
        <x:f>IF(ISNUMBER(INDEX('Sheet2-计算明细'!$AV$17:$AV$99,$X41)),INDEX('Sheet2-计算明细'!$AV$17:$AV$99,$X41),"")</x:f>
      </x:c>
      <x:c r="W41" s="40" t="str">
        <x:f>IF(INDEX('Sheet2-计算明细'!$AU$17:$AU$99,$X41)="","",INDEX('Sheet2-计算明细'!$AU$17:$AU$99,$X41))</x:f>
        <x:v>近三年收益；近三年胜率；近三年回撤；DD_long不可识别；</x:v>
      </x:c>
      <x:c r="X41" s="49" t="n">
        <x:f>MATCH(ROWS($X$6:X41),'Sheet2-计算明细'!$BJ$17:$BJ$99,0)</x:f>
        <x:v>42</x:v>
      </x:c>
      <x:c r="Y41" s="14" t="str">
        <x:f>IF(INDEX('Sheet2-计算明细'!$AX$17:$AX$99,$X41)="","",INDEX('Sheet2-计算明细'!$AX$17:$AX$99,$X41))</x:f>
        <x:v>套利策略</x:v>
      </x:c>
      <x:c r="Z41" s="14" t="str">
        <x:f>IF(INDEX('Sheet2-计算明细'!$AY$17:$AY$99,$X41)="","",INDEX('Sheet2-计算明细'!$AY$17:$AY$99,$X41))</x:f>
        <x:v>期货套利</x:v>
      </x:c>
      <x:c r="AA41" s="14" t="str">
        <x:f>IF(INDEX('Sheet2-计算明细'!$AW$17:$AW$99,$X41)="","",INDEX('Sheet2-计算明细'!$AW$17:$AW$99,$X41))</x:f>
        <x:v>暂定分／数据不完整</x:v>
      </x:c>
      <x:c r="AB41" s="49" t="n">
        <x:f>IF(ISNUMBER(INDEX('Sheet2-计算明细'!$A$17:$A$99,$X41)),INDEX('Sheet2-计算明细'!$A$17:$A$99,$X41),"")</x:f>
        <x:v>42</x:v>
      </x:c>
    </x:row>
    <x:row r="42" ht="44" customHeight="1">
      <x:c r="A42" s="14" t="n">
        <x:f>IF(ISNUMBER(INDEX('Sheet2-计算明细'!$AT$17:$AT$99,$X42)),INDEX('Sheet2-计算明细'!$AT$17:$AT$99,$X42),"")</x:f>
        <x:v>37</x:v>
      </x:c>
      <x:c r="B42" s="14" t="str">
        <x:f>IF(INDEX('Sheet2-计算明细'!$B$17:$B$99,$X42)="","",INDEX('Sheet2-计算明细'!$B$17:$B$99,$X42))</x:f>
        <x:v>殊馥兴义7号</x:v>
      </x:c>
      <x:c r="C42" s="14" t="str">
        <x:f>IF(INDEX('Sheet2-计算明细'!$C$17:$C$99,$X42)="","",INDEX('Sheet2-计算明细'!$C$17:$C$99,$X42))</x:f>
        <x:v>SXT610</x:v>
      </x:c>
      <x:c r="D42" s="14" t="str">
        <x:f>IF(INDEX('Sheet2-计算明细'!$D$17:$D$99,$X42)="","",INDEX('Sheet2-计算明细'!$D$17:$D$99,$X42))</x:f>
        <x:v>上海殊馥投资</x:v>
      </x:c>
      <x:c r="E42" s="14" t="str">
        <x:f>IF(INDEX('Sheet2-计算明细'!$G$17:$G$99,$X42)="","",INDEX('Sheet2-计算明细'!$G$17:$G$99,$X42))</x:f>
        <x:v>入池</x:v>
      </x:c>
      <x:c r="F42" s="52" t="n">
        <x:f>IF(ISNUMBER(INDEX('Sheet2-计算明细'!$I$17:$I$99,$X42)),INDEX('Sheet2-计算明细'!$I$17:$I$99,$X42),"")</x:f>
        <x:v>80</x:v>
      </x:c>
      <x:c r="G42" s="52" t="n">
        <x:f>IF(ISNUMBER(INDEX('Sheet2-计算明细'!$K$17:$K$99,$X42)),INDEX('Sheet2-计算明细'!$K$17:$K$99,$X42),"")</x:f>
        <x:v>100</x:v>
      </x:c>
      <x:c r="H42" s="52" t="n">
        <x:f>IF(ISNUMBER(INDEX('Sheet2-计算明细'!$L$17:$L$99,$X42)),INDEX('Sheet2-计算明细'!$L$17:$L$99,$X42),"")</x:f>
        <x:v>100</x:v>
      </x:c>
      <x:c r="I42" s="52" t="n">
        <x:f>IF(ISNUMBER(INDEX('Sheet2-计算明细'!$S$17:$S$99,$X42)),INDEX('Sheet2-计算明细'!$S$17:$S$99,$X42),"")</x:f>
        <x:v>44.06</x:v>
      </x:c>
      <x:c r="J42" s="52" t="n">
        <x:f>IF(ISNUMBER(INDEX('Sheet2-计算明细'!$Y$17:$Y$99,$X42)),INDEX('Sheet2-计算明细'!$Y$17:$Y$99,$X42),"")</x:f>
        <x:v>84.1</x:v>
      </x:c>
      <x:c r="K42" s="52" t="n">
        <x:f>IF(ISNUMBER(INDEX('Sheet2-计算明细'!$AC$17:$AC$99,$X42)),INDEX('Sheet2-计算明细'!$AC$17:$AC$99,$X42),"")</x:f>
        <x:v>82.76</x:v>
      </x:c>
      <x:c r="L42" s="52" t="n">
        <x:f>IF(ISNUMBER(INDEX('Sheet2-计算明细'!$AI$17:$AI$99,$X42)),INDEX('Sheet2-计算明细'!$AI$17:$AI$99,$X42),"")</x:f>
        <x:v>58.18</x:v>
      </x:c>
      <x:c r="M42" s="52" t="n">
        <x:f>IF(ISNUMBER(INDEX('Sheet2-计算明细'!$AK$17:$AK$99,$X42)),INDEX('Sheet2-计算明细'!$AK$17:$AK$99,$X42),"")</x:f>
        <x:v>80</x:v>
      </x:c>
      <x:c r="N42" s="52" t="n">
        <x:f>IF(ISNUMBER(INDEX('Sheet2-计算明细'!$AL$17:$AL$99,$X42)),INDEX('Sheet2-计算明细'!$AL$17:$AL$99,$X42),"")</x:f>
        <x:v>92</x:v>
      </x:c>
      <x:c r="O42" s="52" t="n">
        <x:f>IF(ISNUMBER(INDEX('Sheet2-计算明细'!$AM$17:$AM$99,$X42)),INDEX('Sheet2-计算明细'!$AM$17:$AM$99,$X42),"")</x:f>
        <x:v>56.07</x:v>
      </x:c>
      <x:c r="P42" s="52" t="n">
        <x:f>IF(ISNUMBER(INDEX('Sheet2-计算明细'!$AN$17:$AN$99,$X42)),INDEX('Sheet2-计算明细'!$AN$17:$AN$99,$X42),"")</x:f>
        <x:v>82.76</x:v>
      </x:c>
      <x:c r="Q42" s="52" t="n">
        <x:f>IF(ISNUMBER(INDEX('Sheet2-计算明细'!$AO$17:$AO$99,$X42)),INDEX('Sheet2-计算明细'!$AO$17:$AO$99,$X42),"")</x:f>
        <x:v>58.18</x:v>
      </x:c>
      <x:c r="R42" s="52" t="n">
        <x:f>IF(ISNUMBER(INDEX('Sheet2-计算明细'!$AP$17:$AP$99,$X42)),INDEX('Sheet2-计算明细'!$AP$17:$AP$99,$X42),"")</x:f>
        <x:v>80</x:v>
      </x:c>
      <x:c r="S42" s="27" t="n">
        <x:f>IF(ISNUMBER(INDEX('Sheet2-计算明细'!$AQ$17:$AQ$99,$X42)),INDEX('Sheet2-计算明细'!$AQ$17:$AQ$99,$X42),"")</x:f>
        <x:v>0.88</x:v>
      </x:c>
      <x:c r="T42" s="52" t="n">
        <x:f>IF(ISNUMBER(INDEX('Sheet2-计算明细'!$AR$17:$AR$99,$X42)),INDEX('Sheet2-计算明细'!$AR$17:$AR$99,$X42),"")</x:f>
        <x:v>64.1772</x:v>
      </x:c>
      <x:c r="U42" s="52" t="n">
        <x:f>IF(ISNUMBER(INDEX('Sheet2-计算明细'!$AS$17:$AS$99,$X42)),INDEX('Sheet2-计算明细'!$AS$17:$AS$99,$X42),"")</x:f>
        <x:v>72.93</x:v>
      </x:c>
      <x:c r="V42" s="52" t="str">
        <x:f>IF(ISNUMBER(INDEX('Sheet2-计算明细'!$AV$17:$AV$99,$X42)),INDEX('Sheet2-计算明细'!$AV$17:$AV$99,$X42),"")</x:f>
      </x:c>
      <x:c r="W42" s="40" t="str">
        <x:f>IF(INDEX('Sheet2-计算明细'!$AU$17:$AU$99,$X42)="","",INDEX('Sheet2-计算明细'!$AU$17:$AU$99,$X42))</x:f>
        <x:v>DD_long不可识别；</x:v>
      </x:c>
      <x:c r="X42" s="49" t="n">
        <x:f>MATCH(ROWS($X$6:X42),'Sheet2-计算明细'!$BJ$17:$BJ$99,0)</x:f>
        <x:v>62</x:v>
      </x:c>
      <x:c r="Y42" s="14" t="str">
        <x:f>IF(INDEX('Sheet2-计算明细'!$AX$17:$AX$99,$X42)="","",INDEX('Sheet2-计算明细'!$AX$17:$AX$99,$X42))</x:f>
        <x:v>套利策略</x:v>
      </x:c>
      <x:c r="Z42" s="14" t="str">
        <x:f>IF(INDEX('Sheet2-计算明细'!$AY$17:$AY$99,$X42)="","",INDEX('Sheet2-计算明细'!$AY$17:$AY$99,$X42))</x:f>
        <x:v>期货套利</x:v>
      </x:c>
      <x:c r="AA42" s="14" t="str">
        <x:f>IF(INDEX('Sheet2-计算明细'!$AW$17:$AW$99,$X42)="","",INDEX('Sheet2-计算明细'!$AW$17:$AW$99,$X42))</x:f>
        <x:v>暂定分／数据不完整</x:v>
      </x:c>
      <x:c r="AB42" s="49" t="n">
        <x:f>IF(ISNUMBER(INDEX('Sheet2-计算明细'!$A$17:$A$99,$X42)),INDEX('Sheet2-计算明细'!$A$17:$A$99,$X42),"")</x:f>
        <x:v>62</x:v>
      </x:c>
    </x:row>
    <x:row r="43" ht="44" customHeight="1">
      <x:c r="A43" s="14" t="n">
        <x:f>IF(ISNUMBER(INDEX('Sheet2-计算明细'!$AT$17:$AT$99,$X43)),INDEX('Sheet2-计算明细'!$AT$17:$AT$99,$X43),"")</x:f>
        <x:v>38</x:v>
      </x:c>
      <x:c r="B43" s="14" t="str">
        <x:f>IF(INDEX('Sheet2-计算明细'!$B$17:$B$99,$X43)="","",INDEX('Sheet2-计算明细'!$B$17:$B$99,$X43))</x:f>
        <x:v>博润小牛3号</x:v>
      </x:c>
      <x:c r="C43" s="14" t="str">
        <x:f>IF(INDEX('Sheet2-计算明细'!$C$17:$C$99,$X43)="","",INDEX('Sheet2-计算明细'!$C$17:$C$99,$X43))</x:f>
        <x:v>STV728</x:v>
      </x:c>
      <x:c r="D43" s="14" t="str">
        <x:f>IF(INDEX('Sheet2-计算明细'!$D$17:$D$99,$X43)="","",INDEX('Sheet2-计算明细'!$D$17:$D$99,$X43))</x:f>
        <x:v>北京博润银泰投资</x:v>
      </x:c>
      <x:c r="E43" s="14" t="str">
        <x:f>IF(INDEX('Sheet2-计算明细'!$G$17:$G$99,$X43)="","",INDEX('Sheet2-计算明细'!$G$17:$G$99,$X43))</x:f>
        <x:v>入池</x:v>
      </x:c>
      <x:c r="F43" s="52" t="n">
        <x:f>IF(ISNUMBER(INDEX('Sheet2-计算明细'!$I$17:$I$99,$X43)),INDEX('Sheet2-计算明细'!$I$17:$I$99,$X43),"")</x:f>
        <x:v>100</x:v>
      </x:c>
      <x:c r="G43" s="52" t="n">
        <x:f>IF(ISNUMBER(INDEX('Sheet2-计算明细'!$K$17:$K$99,$X43)),INDEX('Sheet2-计算明细'!$K$17:$K$99,$X43),"")</x:f>
        <x:v>100</x:v>
      </x:c>
      <x:c r="H43" s="52" t="n">
        <x:f>IF(ISNUMBER(INDEX('Sheet2-计算明细'!$L$17:$L$99,$X43)),INDEX('Sheet2-计算明细'!$L$17:$L$99,$X43),"")</x:f>
        <x:v>100</x:v>
      </x:c>
      <x:c r="I43" s="52" t="n">
        <x:f>IF(ISNUMBER(INDEX('Sheet2-计算明细'!$S$17:$S$99,$X43)),INDEX('Sheet2-计算明细'!$S$17:$S$99,$X43),"")</x:f>
        <x:v>87.8</x:v>
      </x:c>
      <x:c r="J43" s="52" t="n">
        <x:f>IF(ISNUMBER(INDEX('Sheet2-计算明细'!$Y$17:$Y$99,$X43)),INDEX('Sheet2-计算明细'!$Y$17:$Y$99,$X43),"")</x:f>
        <x:v>84.1</x:v>
      </x:c>
      <x:c r="K43" s="52" t="n">
        <x:f>IF(ISNUMBER(INDEX('Sheet2-计算明细'!$AC$17:$AC$99,$X43)),INDEX('Sheet2-计算明细'!$AC$17:$AC$99,$X43),"")</x:f>
        <x:v>56.9</x:v>
      </x:c>
      <x:c r="L43" s="52" t="n">
        <x:f>IF(ISNUMBER(INDEX('Sheet2-计算明细'!$AI$17:$AI$99,$X43)),INDEX('Sheet2-计算明细'!$AI$17:$AI$99,$X43),"")</x:f>
        <x:v>59.79</x:v>
      </x:c>
      <x:c r="M43" s="52" t="n">
        <x:f>IF(ISNUMBER(INDEX('Sheet2-计算明细'!$AK$17:$AK$99,$X43)),INDEX('Sheet2-计算明细'!$AK$17:$AK$99,$X43),"")</x:f>
        <x:v>80</x:v>
      </x:c>
      <x:c r="N43" s="52" t="n">
        <x:f>IF(ISNUMBER(INDEX('Sheet2-计算明细'!$AL$17:$AL$99,$X43)),INDEX('Sheet2-计算明细'!$AL$17:$AL$99,$X43),"")</x:f>
        <x:v>100</x:v>
      </x:c>
      <x:c r="O43" s="52" t="n">
        <x:f>IF(ISNUMBER(INDEX('Sheet2-计算明细'!$AM$17:$AM$99,$X43)),INDEX('Sheet2-计算明细'!$AM$17:$AM$99,$X43),"")</x:f>
        <x:v>86.69</x:v>
      </x:c>
      <x:c r="P43" s="52" t="n">
        <x:f>IF(ISNUMBER(INDEX('Sheet2-计算明细'!$AN$17:$AN$99,$X43)),INDEX('Sheet2-计算明细'!$AN$17:$AN$99,$X43),"")</x:f>
        <x:v>56.9</x:v>
      </x:c>
      <x:c r="Q43" s="52" t="n">
        <x:f>IF(ISNUMBER(INDEX('Sheet2-计算明细'!$AO$17:$AO$99,$X43)),INDEX('Sheet2-计算明细'!$AO$17:$AO$99,$X43),"")</x:f>
        <x:v>59.79</x:v>
      </x:c>
      <x:c r="R43" s="52" t="n">
        <x:f>IF(ISNUMBER(INDEX('Sheet2-计算明细'!$AP$17:$AP$99,$X43)),INDEX('Sheet2-计算明细'!$AP$17:$AP$99,$X43),"")</x:f>
        <x:v>80</x:v>
      </x:c>
      <x:c r="S43" s="27" t="n">
        <x:f>IF(ISNUMBER(INDEX('Sheet2-计算明细'!$AQ$17:$AQ$99,$X43)),INDEX('Sheet2-计算明细'!$AQ$17:$AQ$99,$X43),"")</x:f>
        <x:v>1</x:v>
      </x:c>
      <x:c r="T43" s="52" t="n">
        <x:f>IF(ISNUMBER(INDEX('Sheet2-计算明细'!$AR$17:$AR$99,$X43)),INDEX('Sheet2-计算明细'!$AR$17:$AR$99,$X43),"")</x:f>
        <x:v>72.50068</x:v>
      </x:c>
      <x:c r="U43" s="52" t="n">
        <x:f>IF(ISNUMBER(INDEX('Sheet2-计算明细'!$AS$17:$AS$99,$X43)),INDEX('Sheet2-计算明细'!$AS$17:$AS$99,$X43),"")</x:f>
        <x:v>72.5</x:v>
      </x:c>
      <x:c r="V43" s="52" t="n">
        <x:f>IF(ISNUMBER(INDEX('Sheet2-计算明细'!$AV$17:$AV$99,$X43)),INDEX('Sheet2-计算明细'!$AV$17:$AV$99,$X43),"")</x:f>
        <x:v>72.50068</x:v>
      </x:c>
      <x:c r="W43" s="40" t="str">
        <x:f>IF(INDEX('Sheet2-计算明细'!$AU$17:$AU$99,$X43)="","",INDEX('Sheet2-计算明细'!$AU$17:$AU$99,$X43))</x:f>
      </x:c>
      <x:c r="X43" s="49" t="n">
        <x:f>MATCH(ROWS($X$6:X43),'Sheet2-计算明细'!$BJ$17:$BJ$99,0)</x:f>
        <x:v>4</x:v>
      </x:c>
      <x:c r="Y43" s="14" t="str">
        <x:f>IF(INDEX('Sheet2-计算明细'!$AX$17:$AX$99,$X43)="","",INDEX('Sheet2-计算明细'!$AX$17:$AX$99,$X43))</x:f>
        <x:v>套利策略</x:v>
      </x:c>
      <x:c r="Z43" s="14" t="str">
        <x:f>IF(INDEX('Sheet2-计算明细'!$AY$17:$AY$99,$X43)="","",INDEX('Sheet2-计算明细'!$AY$17:$AY$99,$X43))</x:f>
        <x:v>基金套利</x:v>
      </x:c>
      <x:c r="AA43" s="14" t="str">
        <x:f>IF(INDEX('Sheet2-计算明细'!$AW$17:$AW$99,$X43)="","",INDEX('Sheet2-计算明细'!$AW$17:$AW$99,$X43))</x:f>
        <x:v>完整赋分</x:v>
      </x:c>
      <x:c r="AB43" s="49" t="n">
        <x:f>IF(ISNUMBER(INDEX('Sheet2-计算明细'!$A$17:$A$99,$X43)),INDEX('Sheet2-计算明细'!$A$17:$A$99,$X43),"")</x:f>
        <x:v>4</x:v>
      </x:c>
    </x:row>
    <x:row r="44" ht="44" customHeight="1">
      <x:c r="A44" s="14" t="n">
        <x:f>IF(ISNUMBER(INDEX('Sheet2-计算明细'!$AT$17:$AT$99,$X44)),INDEX('Sheet2-计算明细'!$AT$17:$AT$99,$X44),"")</x:f>
        <x:v>39</x:v>
      </x:c>
      <x:c r="B44" s="14" t="str">
        <x:f>IF(INDEX('Sheet2-计算明细'!$B$17:$B$99,$X44)="","",INDEX('Sheet2-计算明细'!$B$17:$B$99,$X44))</x:f>
        <x:v>平凡悟鑫</x:v>
      </x:c>
      <x:c r="C44" s="14" t="str">
        <x:f>IF(INDEX('Sheet2-计算明细'!$C$17:$C$99,$X44)="","",INDEX('Sheet2-计算明细'!$C$17:$C$99,$X44))</x:f>
        <x:v>SJ2870</x:v>
      </x:c>
      <x:c r="D44" s="14" t="str">
        <x:f>IF(INDEX('Sheet2-计算明细'!$D$17:$D$99,$X44)="","",INDEX('Sheet2-计算明细'!$D$17:$D$99,$X44))</x:f>
        <x:v>北京平凡</x:v>
      </x:c>
      <x:c r="E44" s="14" t="str">
        <x:f>IF(INDEX('Sheet2-计算明细'!$G$17:$G$99,$X44)="","",INDEX('Sheet2-计算明细'!$G$17:$G$99,$X44))</x:f>
        <x:v>入池</x:v>
      </x:c>
      <x:c r="F44" s="52" t="n">
        <x:f>IF(ISNUMBER(INDEX('Sheet2-计算明细'!$I$17:$I$99,$X44)),INDEX('Sheet2-计算明细'!$I$17:$I$99,$X44),"")</x:f>
        <x:v>90</x:v>
      </x:c>
      <x:c r="G44" s="52" t="n">
        <x:f>IF(ISNUMBER(INDEX('Sheet2-计算明细'!$K$17:$K$99,$X44)),INDEX('Sheet2-计算明细'!$K$17:$K$99,$X44),"")</x:f>
        <x:v>100</x:v>
      </x:c>
      <x:c r="H44" s="52" t="n">
        <x:f>IF(ISNUMBER(INDEX('Sheet2-计算明细'!$L$17:$L$99,$X44)),INDEX('Sheet2-计算明细'!$L$17:$L$99,$X44),"")</x:f>
        <x:v>100</x:v>
      </x:c>
      <x:c r="I44" s="52" t="n">
        <x:f>IF(ISNUMBER(INDEX('Sheet2-计算明细'!$S$17:$S$99,$X44)),INDEX('Sheet2-计算明细'!$S$17:$S$99,$X44),"")</x:f>
        <x:v>36.98</x:v>
      </x:c>
      <x:c r="J44" s="52" t="n">
        <x:f>IF(ISNUMBER(INDEX('Sheet2-计算明细'!$Y$17:$Y$99,$X44)),INDEX('Sheet2-计算明细'!$Y$17:$Y$99,$X44),"")</x:f>
        <x:v>90.39</x:v>
      </x:c>
      <x:c r="K44" s="52" t="n">
        <x:f>IF(ISNUMBER(INDEX('Sheet2-计算明细'!$AC$17:$AC$99,$X44)),INDEX('Sheet2-计算明细'!$AC$17:$AC$99,$X44),"")</x:f>
        <x:v>79.31</x:v>
      </x:c>
      <x:c r="L44" s="52" t="n">
        <x:f>IF(ISNUMBER(INDEX('Sheet2-计算明细'!$AI$17:$AI$99,$X44)),INDEX('Sheet2-计算明细'!$AI$17:$AI$99,$X44),"")</x:f>
        <x:v>49.09</x:v>
      </x:c>
      <x:c r="M44" s="52" t="n">
        <x:f>IF(ISNUMBER(INDEX('Sheet2-计算明细'!$AK$17:$AK$99,$X44)),INDEX('Sheet2-计算明细'!$AK$17:$AK$99,$X44),"")</x:f>
        <x:v>100</x:v>
      </x:c>
      <x:c r="N44" s="52" t="n">
        <x:f>IF(ISNUMBER(INDEX('Sheet2-计算明细'!$AL$17:$AL$99,$X44)),INDEX('Sheet2-计算明细'!$AL$17:$AL$99,$X44),"")</x:f>
        <x:v>96</x:v>
      </x:c>
      <x:c r="O44" s="52" t="n">
        <x:f>IF(ISNUMBER(INDEX('Sheet2-计算明细'!$AM$17:$AM$99,$X44)),INDEX('Sheet2-计算明细'!$AM$17:$AM$99,$X44),"")</x:f>
        <x:v>53</x:v>
      </x:c>
      <x:c r="P44" s="52" t="n">
        <x:f>IF(ISNUMBER(INDEX('Sheet2-计算明细'!$AN$17:$AN$99,$X44)),INDEX('Sheet2-计算明细'!$AN$17:$AN$99,$X44),"")</x:f>
        <x:v>79.31</x:v>
      </x:c>
      <x:c r="Q44" s="52" t="n">
        <x:f>IF(ISNUMBER(INDEX('Sheet2-计算明细'!$AO$17:$AO$99,$X44)),INDEX('Sheet2-计算明细'!$AO$17:$AO$99,$X44),"")</x:f>
        <x:v>49.09</x:v>
      </x:c>
      <x:c r="R44" s="52" t="n">
        <x:f>IF(ISNUMBER(INDEX('Sheet2-计算明细'!$AP$17:$AP$99,$X44)),INDEX('Sheet2-计算明细'!$AP$17:$AP$99,$X44),"")</x:f>
        <x:v>100</x:v>
      </x:c>
      <x:c r="S44" s="27" t="n">
        <x:f>IF(ISNUMBER(INDEX('Sheet2-计算明细'!$AQ$17:$AQ$99,$X44)),INDEX('Sheet2-计算明细'!$AQ$17:$AQ$99,$X44),"")</x:f>
        <x:v>0.88</x:v>
      </x:c>
      <x:c r="T44" s="52" t="n">
        <x:f>IF(ISNUMBER(INDEX('Sheet2-计算明细'!$AR$17:$AR$99,$X44)),INDEX('Sheet2-计算明细'!$AR$17:$AR$99,$X44),"")</x:f>
        <x:v>63.664339999999996</x:v>
      </x:c>
      <x:c r="U44" s="52" t="n">
        <x:f>IF(ISNUMBER(INDEX('Sheet2-计算明细'!$AS$17:$AS$99,$X44)),INDEX('Sheet2-计算明细'!$AS$17:$AS$99,$X44),"")</x:f>
        <x:v>72.35</x:v>
      </x:c>
      <x:c r="V44" s="52" t="str">
        <x:f>IF(ISNUMBER(INDEX('Sheet2-计算明细'!$AV$17:$AV$99,$X44)),INDEX('Sheet2-计算明细'!$AV$17:$AV$99,$X44),"")</x:f>
      </x:c>
      <x:c r="W44" s="40" t="str">
        <x:f>IF(INDEX('Sheet2-计算明细'!$AU$17:$AU$99,$X44)="","",INDEX('Sheet2-计算明细'!$AU$17:$AU$99,$X44))</x:f>
        <x:v>DD_long不可识别；</x:v>
      </x:c>
      <x:c r="X44" s="49" t="n">
        <x:f>MATCH(ROWS($X$6:X44),'Sheet2-计算明细'!$BJ$17:$BJ$99,0)</x:f>
        <x:v>48</x:v>
      </x:c>
      <x:c r="Y44" s="14" t="str">
        <x:f>IF(INDEX('Sheet2-计算明细'!$AX$17:$AX$99,$X44)="","",INDEX('Sheet2-计算明细'!$AX$17:$AX$99,$X44))</x:f>
        <x:v>套利策略</x:v>
      </x:c>
      <x:c r="Z44" s="14" t="str">
        <x:f>IF(INDEX('Sheet2-计算明细'!$AY$17:$AY$99,$X44)="","",INDEX('Sheet2-计算明细'!$AY$17:$AY$99,$X44))</x:f>
        <x:v>基金套利</x:v>
      </x:c>
      <x:c r="AA44" s="14" t="str">
        <x:f>IF(INDEX('Sheet2-计算明细'!$AW$17:$AW$99,$X44)="","",INDEX('Sheet2-计算明细'!$AW$17:$AW$99,$X44))</x:f>
        <x:v>暂定分／数据不完整</x:v>
      </x:c>
      <x:c r="AB44" s="49" t="n">
        <x:f>IF(ISNUMBER(INDEX('Sheet2-计算明细'!$A$17:$A$99,$X44)),INDEX('Sheet2-计算明细'!$A$17:$A$99,$X44),"")</x:f>
        <x:v>48</x:v>
      </x:c>
    </x:row>
    <x:row r="45" ht="44" customHeight="1">
      <x:c r="A45" s="14" t="n">
        <x:f>IF(ISNUMBER(INDEX('Sheet2-计算明细'!$AT$17:$AT$99,$X45)),INDEX('Sheet2-计算明细'!$AT$17:$AT$99,$X45),"")</x:f>
        <x:v>40</x:v>
      </x:c>
      <x:c r="B45" s="14" t="str">
        <x:f>IF(INDEX('Sheet2-计算明细'!$B$17:$B$99,$X45)="","",INDEX('Sheet2-计算明细'!$B$17:$B$99,$X45))</x:f>
        <x:v>辰元优选稳健</x:v>
      </x:c>
      <x:c r="C45" s="14" t="str">
        <x:f>IF(INDEX('Sheet2-计算明细'!$C$17:$C$99,$X45)="","",INDEX('Sheet2-计算明细'!$C$17:$C$99,$X45))</x:f>
        <x:v>SZH690</x:v>
      </x:c>
      <x:c r="D45" s="14" t="str">
        <x:f>IF(INDEX('Sheet2-计算明细'!$D$17:$D$99,$X45)="","",INDEX('Sheet2-计算明细'!$D$17:$D$99,$X45))</x:f>
        <x:v>广东辰元</x:v>
      </x:c>
      <x:c r="E45" s="14" t="str">
        <x:f>IF(INDEX('Sheet2-计算明细'!$G$17:$G$99,$X45)="","",INDEX('Sheet2-计算明细'!$G$17:$G$99,$X45))</x:f>
        <x:v>入池</x:v>
      </x:c>
      <x:c r="F45" s="52" t="n">
        <x:f>IF(ISNUMBER(INDEX('Sheet2-计算明细'!$I$17:$I$99,$X45)),INDEX('Sheet2-计算明细'!$I$17:$I$99,$X45),"")</x:f>
        <x:v>90</x:v>
      </x:c>
      <x:c r="G45" s="52" t="n">
        <x:f>IF(ISNUMBER(INDEX('Sheet2-计算明细'!$K$17:$K$99,$X45)),INDEX('Sheet2-计算明细'!$K$17:$K$99,$X45),"")</x:f>
        <x:v>100</x:v>
      </x:c>
      <x:c r="H45" s="52" t="n">
        <x:f>IF(ISNUMBER(INDEX('Sheet2-计算明细'!$L$17:$L$99,$X45)),INDEX('Sheet2-计算明细'!$L$17:$L$99,$X45),"")</x:f>
        <x:v>100</x:v>
      </x:c>
      <x:c r="I45" s="52" t="n">
        <x:f>IF(ISNUMBER(INDEX('Sheet2-计算明细'!$S$17:$S$99,$X45)),INDEX('Sheet2-计算明细'!$S$17:$S$99,$X45),"")</x:f>
        <x:v>30.87</x:v>
      </x:c>
      <x:c r="J45" s="52" t="n">
        <x:f>IF(ISNUMBER(INDEX('Sheet2-计算明细'!$Y$17:$Y$99,$X45)),INDEX('Sheet2-计算明细'!$Y$17:$Y$99,$X45),"")</x:f>
        <x:v>75.25</x:v>
      </x:c>
      <x:c r="K45" s="52" t="n">
        <x:f>IF(ISNUMBER(INDEX('Sheet2-计算明细'!$AC$17:$AC$99,$X45)),INDEX('Sheet2-计算明细'!$AC$17:$AC$99,$X45),"")</x:f>
        <x:v>94.83</x:v>
      </x:c>
      <x:c r="L45" s="52" t="n">
        <x:f>IF(ISNUMBER(INDEX('Sheet2-计算明细'!$AI$17:$AI$99,$X45)),INDEX('Sheet2-计算明细'!$AI$17:$AI$99,$X45),"")</x:f>
        <x:v>45.45</x:v>
      </x:c>
      <x:c r="M45" s="52" t="n">
        <x:f>IF(ISNUMBER(INDEX('Sheet2-计算明细'!$AK$17:$AK$99,$X45)),INDEX('Sheet2-计算明细'!$AK$17:$AK$99,$X45),"")</x:f>
        <x:v>80</x:v>
      </x:c>
      <x:c r="N45" s="52" t="n">
        <x:f>IF(ISNUMBER(INDEX('Sheet2-计算明细'!$AL$17:$AL$99,$X45)),INDEX('Sheet2-计算明细'!$AL$17:$AL$99,$X45),"")</x:f>
        <x:v>96</x:v>
      </x:c>
      <x:c r="O45" s="52" t="n">
        <x:f>IF(ISNUMBER(INDEX('Sheet2-计算明细'!$AM$17:$AM$99,$X45)),INDEX('Sheet2-计算明细'!$AM$17:$AM$99,$X45),"")</x:f>
        <x:v>44.19</x:v>
      </x:c>
      <x:c r="P45" s="52" t="n">
        <x:f>IF(ISNUMBER(INDEX('Sheet2-计算明细'!$AN$17:$AN$99,$X45)),INDEX('Sheet2-计算明细'!$AN$17:$AN$99,$X45),"")</x:f>
        <x:v>94.83</x:v>
      </x:c>
      <x:c r="Q45" s="52" t="n">
        <x:f>IF(ISNUMBER(INDEX('Sheet2-计算明细'!$AO$17:$AO$99,$X45)),INDEX('Sheet2-计算明细'!$AO$17:$AO$99,$X45),"")</x:f>
        <x:v>45.45</x:v>
      </x:c>
      <x:c r="R45" s="52" t="n">
        <x:f>IF(ISNUMBER(INDEX('Sheet2-计算明细'!$AP$17:$AP$99,$X45)),INDEX('Sheet2-计算明细'!$AP$17:$AP$99,$X45),"")</x:f>
        <x:v>80</x:v>
      </x:c>
      <x:c r="S45" s="27" t="n">
        <x:f>IF(ISNUMBER(INDEX('Sheet2-计算明细'!$AQ$17:$AQ$99,$X45)),INDEX('Sheet2-计算明细'!$AQ$17:$AQ$99,$X45),"")</x:f>
        <x:v>0.88</x:v>
      </x:c>
      <x:c r="T45" s="52" t="n">
        <x:f>IF(ISNUMBER(INDEX('Sheet2-计算明细'!$AR$17:$AR$99,$X45)),INDEX('Sheet2-计算明细'!$AR$17:$AR$99,$X45),"")</x:f>
        <x:v>63.12558</x:v>
      </x:c>
      <x:c r="U45" s="52" t="n">
        <x:f>IF(ISNUMBER(INDEX('Sheet2-计算明细'!$AS$17:$AS$99,$X45)),INDEX('Sheet2-计算明细'!$AS$17:$AS$99,$X45),"")</x:f>
        <x:v>71.73</x:v>
      </x:c>
      <x:c r="V45" s="52" t="str">
        <x:f>IF(ISNUMBER(INDEX('Sheet2-计算明细'!$AV$17:$AV$99,$X45)),INDEX('Sheet2-计算明细'!$AV$17:$AV$99,$X45),"")</x:f>
      </x:c>
      <x:c r="W45" s="40" t="str">
        <x:f>IF(INDEX('Sheet2-计算明细'!$AU$17:$AU$99,$X45)="","",INDEX('Sheet2-计算明细'!$AU$17:$AU$99,$X45))</x:f>
        <x:v>DD_long不可识别；</x:v>
      </x:c>
      <x:c r="X45" s="49" t="n">
        <x:f>MATCH(ROWS($X$6:X45),'Sheet2-计算明细'!$BJ$17:$BJ$99,0)</x:f>
        <x:v>9</x:v>
      </x:c>
      <x:c r="Y45" s="14" t="str">
        <x:f>IF(INDEX('Sheet2-计算明细'!$AX$17:$AX$99,$X45)="","",INDEX('Sheet2-计算明细'!$AX$17:$AX$99,$X45))</x:f>
        <x:v>套利策略</x:v>
      </x:c>
      <x:c r="Z45" s="14" t="str">
        <x:f>IF(INDEX('Sheet2-计算明细'!$AY$17:$AY$99,$X45)="","",INDEX('Sheet2-计算明细'!$AY$17:$AY$99,$X45))</x:f>
        <x:v>混合套利</x:v>
      </x:c>
      <x:c r="AA45" s="14" t="str">
        <x:f>IF(INDEX('Sheet2-计算明细'!$AW$17:$AW$99,$X45)="","",INDEX('Sheet2-计算明细'!$AW$17:$AW$99,$X45))</x:f>
        <x:v>暂定分／数据不完整</x:v>
      </x:c>
      <x:c r="AB45" s="49" t="n">
        <x:f>IF(ISNUMBER(INDEX('Sheet2-计算明细'!$A$17:$A$99,$X45)),INDEX('Sheet2-计算明细'!$A$17:$A$99,$X45),"")</x:f>
        <x:v>9</x:v>
      </x:c>
    </x:row>
    <x:row r="46" ht="44" customHeight="1">
      <x:c r="A46" s="14" t="n">
        <x:f>IF(ISNUMBER(INDEX('Sheet2-计算明细'!$AT$17:$AT$99,$X46)),INDEX('Sheet2-计算明细'!$AT$17:$AT$99,$X46),"")</x:f>
        <x:v>41</x:v>
      </x:c>
      <x:c r="B46" s="14" t="str">
        <x:f>IF(INDEX('Sheet2-计算明细'!$B$17:$B$99,$X46)="","",INDEX('Sheet2-计算明细'!$B$17:$B$99,$X46))</x:f>
        <x:v>龙帆恒盛稳固9号</x:v>
      </x:c>
      <x:c r="C46" s="14" t="str">
        <x:f>IF(INDEX('Sheet2-计算明细'!$C$17:$C$99,$X46)="","",INDEX('Sheet2-计算明细'!$C$17:$C$99,$X46))</x:f>
        <x:v>SSX605</x:v>
      </x:c>
      <x:c r="D46" s="14" t="str">
        <x:f>IF(INDEX('Sheet2-计算明细'!$D$17:$D$99,$X46)="","",INDEX('Sheet2-计算明细'!$D$17:$D$99,$X46))</x:f>
        <x:v>厦门龙帆资管</x:v>
      </x:c>
      <x:c r="E46" s="14" t="str">
        <x:f>IF(INDEX('Sheet2-计算明细'!$G$17:$G$99,$X46)="","",INDEX('Sheet2-计算明细'!$G$17:$G$99,$X46))</x:f>
        <x:v>入池</x:v>
      </x:c>
      <x:c r="F46" s="52" t="n">
        <x:f>IF(ISNUMBER(INDEX('Sheet2-计算明细'!$I$17:$I$99,$X46)),INDEX('Sheet2-计算明细'!$I$17:$I$99,$X46),"")</x:f>
        <x:v>70</x:v>
      </x:c>
      <x:c r="G46" s="52" t="n">
        <x:f>IF(ISNUMBER(INDEX('Sheet2-计算明细'!$K$17:$K$99,$X46)),INDEX('Sheet2-计算明细'!$K$17:$K$99,$X46),"")</x:f>
        <x:v>100</x:v>
      </x:c>
      <x:c r="H46" s="52" t="n">
        <x:f>IF(ISNUMBER(INDEX('Sheet2-计算明细'!$L$17:$L$99,$X46)),INDEX('Sheet2-计算明细'!$L$17:$L$99,$X46),"")</x:f>
        <x:v>100</x:v>
      </x:c>
      <x:c r="I46" s="52" t="n">
        <x:f>IF(ISNUMBER(INDEX('Sheet2-计算明细'!$S$17:$S$99,$X46)),INDEX('Sheet2-计算明细'!$S$17:$S$99,$X46),"")</x:f>
        <x:v>34.04</x:v>
      </x:c>
      <x:c r="J46" s="52" t="n">
        <x:f>IF(ISNUMBER(INDEX('Sheet2-计算明细'!$Y$17:$Y$99,$X46)),INDEX('Sheet2-计算明细'!$Y$17:$Y$99,$X46),"")</x:f>
        <x:v>74.48</x:v>
      </x:c>
      <x:c r="K46" s="52" t="n">
        <x:f>IF(ISNUMBER(INDEX('Sheet2-计算明细'!$AC$17:$AC$99,$X46)),INDEX('Sheet2-计算明细'!$AC$17:$AC$99,$X46),"")</x:f>
        <x:v>68.97</x:v>
      </x:c>
      <x:c r="L46" s="52" t="n">
        <x:f>IF(ISNUMBER(INDEX('Sheet2-计算明细'!$AI$17:$AI$99,$X46)),INDEX('Sheet2-计算明细'!$AI$17:$AI$99,$X46),"")</x:f>
        <x:v>66.24</x:v>
      </x:c>
      <x:c r="M46" s="52" t="n">
        <x:f>IF(ISNUMBER(INDEX('Sheet2-计算明细'!$AK$17:$AK$99,$X46)),INDEX('Sheet2-计算明细'!$AK$17:$AK$99,$X46),"")</x:f>
        <x:v>100</x:v>
      </x:c>
      <x:c r="N46" s="52" t="n">
        <x:f>IF(ISNUMBER(INDEX('Sheet2-计算明细'!$AL$17:$AL$99,$X46)),INDEX('Sheet2-计算明细'!$AL$17:$AL$99,$X46),"")</x:f>
        <x:v>88</x:v>
      </x:c>
      <x:c r="O46" s="52" t="n">
        <x:f>IF(ISNUMBER(INDEX('Sheet2-计算明细'!$AM$17:$AM$99,$X46)),INDEX('Sheet2-计算明细'!$AM$17:$AM$99,$X46),"")</x:f>
        <x:v>46.17</x:v>
      </x:c>
      <x:c r="P46" s="52" t="n">
        <x:f>IF(ISNUMBER(INDEX('Sheet2-计算明细'!$AN$17:$AN$99,$X46)),INDEX('Sheet2-计算明细'!$AN$17:$AN$99,$X46),"")</x:f>
        <x:v>68.97</x:v>
      </x:c>
      <x:c r="Q46" s="52" t="n">
        <x:f>IF(ISNUMBER(INDEX('Sheet2-计算明细'!$AO$17:$AO$99,$X46)),INDEX('Sheet2-计算明细'!$AO$17:$AO$99,$X46),"")</x:f>
        <x:v>66.24</x:v>
      </x:c>
      <x:c r="R46" s="52" t="n">
        <x:f>IF(ISNUMBER(INDEX('Sheet2-计算明细'!$AP$17:$AP$99,$X46)),INDEX('Sheet2-计算明细'!$AP$17:$AP$99,$X46),"")</x:f>
        <x:v>100</x:v>
      </x:c>
      <x:c r="S46" s="27" t="n">
        <x:f>IF(ISNUMBER(INDEX('Sheet2-计算明细'!$AQ$17:$AQ$99,$X46)),INDEX('Sheet2-计算明细'!$AQ$17:$AQ$99,$X46),"")</x:f>
        <x:v>1</x:v>
      </x:c>
      <x:c r="T46" s="52" t="n">
        <x:f>IF(ISNUMBER(INDEX('Sheet2-计算明细'!$AR$17:$AR$99,$X46)),INDEX('Sheet2-计算明细'!$AR$17:$AR$99,$X46),"")</x:f>
        <x:v>69.54766999999998</x:v>
      </x:c>
      <x:c r="U46" s="52" t="n">
        <x:f>IF(ISNUMBER(INDEX('Sheet2-计算明细'!$AS$17:$AS$99,$X46)),INDEX('Sheet2-计算明细'!$AS$17:$AS$99,$X46),"")</x:f>
        <x:v>69.55</x:v>
      </x:c>
      <x:c r="V46" s="52" t="n">
        <x:f>IF(ISNUMBER(INDEX('Sheet2-计算明细'!$AV$17:$AV$99,$X46)),INDEX('Sheet2-计算明细'!$AV$17:$AV$99,$X46),"")</x:f>
        <x:v>69.54766999999998</x:v>
      </x:c>
      <x:c r="W46" s="40" t="str">
        <x:f>IF(INDEX('Sheet2-计算明细'!$AU$17:$AU$99,$X46)="","",INDEX('Sheet2-计算明细'!$AU$17:$AU$99,$X46))</x:f>
      </x:c>
      <x:c r="X46" s="49" t="n">
        <x:f>MATCH(ROWS($X$6:X46),'Sheet2-计算明细'!$BJ$17:$BJ$99,0)</x:f>
        <x:v>35</x:v>
      </x:c>
      <x:c r="Y46" s="14" t="str">
        <x:f>IF(INDEX('Sheet2-计算明细'!$AX$17:$AX$99,$X46)="","",INDEX('Sheet2-计算明细'!$AX$17:$AX$99,$X46))</x:f>
        <x:v>套利策略</x:v>
      </x:c>
      <x:c r="Z46" s="14" t="str">
        <x:f>IF(INDEX('Sheet2-计算明细'!$AY$17:$AY$99,$X46)="","",INDEX('Sheet2-计算明细'!$AY$17:$AY$99,$X46))</x:f>
        <x:v>期货套利</x:v>
      </x:c>
      <x:c r="AA46" s="14" t="str">
        <x:f>IF(INDEX('Sheet2-计算明细'!$AW$17:$AW$99,$X46)="","",INDEX('Sheet2-计算明细'!$AW$17:$AW$99,$X46))</x:f>
        <x:v>完整赋分</x:v>
      </x:c>
      <x:c r="AB46" s="49" t="n">
        <x:f>IF(ISNUMBER(INDEX('Sheet2-计算明细'!$A$17:$A$99,$X46)),INDEX('Sheet2-计算明细'!$A$17:$A$99,$X46),"")</x:f>
        <x:v>35</x:v>
      </x:c>
    </x:row>
    <x:row r="47" ht="44" customHeight="1">
      <x:c r="A47" s="14" t="n">
        <x:f>IF(ISNUMBER(INDEX('Sheet2-计算明细'!$AT$17:$AT$99,$X47)),INDEX('Sheet2-计算明细'!$AT$17:$AT$99,$X47),"")</x:f>
        <x:v>42</x:v>
      </x:c>
      <x:c r="B47" s="14" t="str">
        <x:f>IF(INDEX('Sheet2-计算明细'!$B$17:$B$99,$X47)="","",INDEX('Sheet2-计算明细'!$B$17:$B$99,$X47))</x:f>
        <x:v>世宽若水尘心2号B类</x:v>
      </x:c>
      <x:c r="C47" s="14" t="str">
        <x:f>IF(INDEX('Sheet2-计算明细'!$C$17:$C$99,$X47)="","",INDEX('Sheet2-计算明细'!$C$17:$C$99,$X47))</x:f>
        <x:v>XX769B</x:v>
      </x:c>
      <x:c r="D47" s="14" t="str">
        <x:f>IF(INDEX('Sheet2-计算明细'!$D$17:$D$99,$X47)="","",INDEX('Sheet2-计算明细'!$D$17:$D$99,$X47))</x:f>
        <x:v>厦门世宽</x:v>
      </x:c>
      <x:c r="E47" s="14" t="str">
        <x:f>IF(INDEX('Sheet2-计算明细'!$G$17:$G$99,$X47)="","",INDEX('Sheet2-计算明细'!$G$17:$G$99,$X47))</x:f>
        <x:v>入池</x:v>
      </x:c>
      <x:c r="F47" s="52" t="n">
        <x:f>IF(ISNUMBER(INDEX('Sheet2-计算明细'!$I$17:$I$99,$X47)),INDEX('Sheet2-计算明细'!$I$17:$I$99,$X47),"")</x:f>
        <x:v>60</x:v>
      </x:c>
      <x:c r="G47" s="52" t="str">
        <x:f>IF(ISNUMBER(INDEX('Sheet2-计算明细'!$K$17:$K$99,$X47)),INDEX('Sheet2-计算明细'!$K$17:$K$99,$X47),"")</x:f>
      </x:c>
      <x:c r="H47" s="52" t="n">
        <x:f>IF(ISNUMBER(INDEX('Sheet2-计算明细'!$L$17:$L$99,$X47)),INDEX('Sheet2-计算明细'!$L$17:$L$99,$X47),"")</x:f>
        <x:v>100</x:v>
      </x:c>
      <x:c r="I47" s="52" t="n">
        <x:f>IF(ISNUMBER(INDEX('Sheet2-计算明细'!$S$17:$S$99,$X47)),INDEX('Sheet2-计算明细'!$S$17:$S$99,$X47),"")</x:f>
        <x:v>83.93</x:v>
      </x:c>
      <x:c r="J47" s="52" t="n">
        <x:f>IF(ISNUMBER(INDEX('Sheet2-计算明细'!$Y$17:$Y$99,$X47)),INDEX('Sheet2-计算明细'!$Y$17:$Y$99,$X47),"")</x:f>
        <x:v>69.23</x:v>
      </x:c>
      <x:c r="K47" s="52" t="n">
        <x:f>IF(ISNUMBER(INDEX('Sheet2-计算明细'!$AC$17:$AC$99,$X47)),INDEX('Sheet2-计算明细'!$AC$17:$AC$99,$X47),"")</x:f>
        <x:v>63.79</x:v>
      </x:c>
      <x:c r="L47" s="52" t="n">
        <x:f>IF(ISNUMBER(INDEX('Sheet2-计算明细'!$AI$17:$AI$99,$X47)),INDEX('Sheet2-计算明细'!$AI$17:$AI$99,$X47),"")</x:f>
        <x:v>65.45</x:v>
      </x:c>
      <x:c r="M47" s="52" t="str">
        <x:f>IF(ISNUMBER(INDEX('Sheet2-计算明细'!$AK$17:$AK$99,$X47)),INDEX('Sheet2-计算明细'!$AK$17:$AK$99,$X47),"")</x:f>
      </x:c>
      <x:c r="N47" s="52" t="n">
        <x:f>IF(ISNUMBER(INDEX('Sheet2-计算明细'!$AL$17:$AL$99,$X47)),INDEX('Sheet2-计算明细'!$AL$17:$AL$99,$X47),"")</x:f>
        <x:v>77.14</x:v>
      </x:c>
      <x:c r="O47" s="52" t="n">
        <x:f>IF(ISNUMBER(INDEX('Sheet2-计算明细'!$AM$17:$AM$99,$X47)),INDEX('Sheet2-计算明细'!$AM$17:$AM$99,$X47),"")</x:f>
        <x:v>79.52</x:v>
      </x:c>
      <x:c r="P47" s="52" t="n">
        <x:f>IF(ISNUMBER(INDEX('Sheet2-计算明细'!$AN$17:$AN$99,$X47)),INDEX('Sheet2-计算明细'!$AN$17:$AN$99,$X47),"")</x:f>
        <x:v>63.79</x:v>
      </x:c>
      <x:c r="Q47" s="52" t="n">
        <x:f>IF(ISNUMBER(INDEX('Sheet2-计算明细'!$AO$17:$AO$99,$X47)),INDEX('Sheet2-计算明细'!$AO$17:$AO$99,$X47),"")</x:f>
        <x:v>65.45</x:v>
      </x:c>
      <x:c r="R47" s="52" t="str">
        <x:f>IF(ISNUMBER(INDEX('Sheet2-计算明细'!$AP$17:$AP$99,$X47)),INDEX('Sheet2-计算明细'!$AP$17:$AP$99,$X47),"")</x:f>
      </x:c>
      <x:c r="S47" s="27" t="n">
        <x:f>IF(ISNUMBER(INDEX('Sheet2-计算明细'!$AQ$17:$AQ$99,$X47)),INDEX('Sheet2-计算明细'!$AQ$17:$AQ$99,$X47),"")</x:f>
        <x:v>0.655</x:v>
      </x:c>
      <x:c r="T47" s="52" t="n">
        <x:f>IF(ISNUMBER(INDEX('Sheet2-计算明细'!$AR$17:$AR$99,$X47)),INDEX('Sheet2-计算明细'!$AR$17:$AR$99,$X47),"")</x:f>
        <x:v>45.3709</x:v>
      </x:c>
      <x:c r="U47" s="52" t="n">
        <x:f>IF(ISNUMBER(INDEX('Sheet2-计算明细'!$AS$17:$AS$99,$X47)),INDEX('Sheet2-计算明细'!$AS$17:$AS$99,$X47),"")</x:f>
        <x:v>69.27</x:v>
      </x:c>
      <x:c r="V47" s="52" t="str">
        <x:f>IF(ISNUMBER(INDEX('Sheet2-计算明细'!$AV$17:$AV$99,$X47)),INDEX('Sheet2-计算明细'!$AV$17:$AV$99,$X47),"")</x:f>
      </x:c>
      <x:c r="W47" s="40" t="str">
        <x:f>IF(INDEX('Sheet2-计算明细'!$AU$17:$AU$99,$X47)="","",INDEX('Sheet2-计算明细'!$AU$17:$AU$99,$X47))</x:f>
        <x:v>产品规模标识；近三年收益；近三年胜率；近三年回撤；</x:v>
      </x:c>
      <x:c r="X47" s="49" t="n">
        <x:f>MATCH(ROWS($X$6:X47),'Sheet2-计算明细'!$BJ$17:$BJ$99,0)</x:f>
        <x:v>58</x:v>
      </x:c>
      <x:c r="Y47" s="14" t="str">
        <x:f>IF(INDEX('Sheet2-计算明细'!$AX$17:$AX$99,$X47)="","",INDEX('Sheet2-计算明细'!$AX$17:$AX$99,$X47))</x:f>
        <x:v>套利策略</x:v>
      </x:c>
      <x:c r="Z47" s="14" t="str">
        <x:f>IF(INDEX('Sheet2-计算明细'!$AY$17:$AY$99,$X47)="","",INDEX('Sheet2-计算明细'!$AY$17:$AY$99,$X47))</x:f>
        <x:v>期货套利</x:v>
      </x:c>
      <x:c r="AA47" s="14" t="str">
        <x:f>IF(INDEX('Sheet2-计算明细'!$AW$17:$AW$99,$X47)="","",INDEX('Sheet2-计算明细'!$AW$17:$AW$99,$X47))</x:f>
        <x:v>暂定分／数据不完整</x:v>
      </x:c>
      <x:c r="AB47" s="49" t="n">
        <x:f>IF(ISNUMBER(INDEX('Sheet2-计算明细'!$A$17:$A$99,$X47)),INDEX('Sheet2-计算明细'!$A$17:$A$99,$X47),"")</x:f>
        <x:v>58</x:v>
      </x:c>
    </x:row>
    <x:row r="48" ht="44" customHeight="1">
      <x:c r="A48" s="14" t="n">
        <x:f>IF(ISNUMBER(INDEX('Sheet2-计算明细'!$AT$17:$AT$99,$X48)),INDEX('Sheet2-计算明细'!$AT$17:$AT$99,$X48),"")</x:f>
        <x:v>43</x:v>
      </x:c>
      <x:c r="B48" s="14" t="str">
        <x:f>IF(INDEX('Sheet2-计算明细'!$B$17:$B$99,$X48)="","",INDEX('Sheet2-计算明细'!$B$17:$B$99,$X48))</x:f>
        <x:v>辰元稳健2号</x:v>
      </x:c>
      <x:c r="C48" s="14" t="str">
        <x:f>IF(INDEX('Sheet2-计算明细'!$C$17:$C$99,$X48)="","",INDEX('Sheet2-计算明细'!$C$17:$C$99,$X48))</x:f>
        <x:v>SZJ724</x:v>
      </x:c>
      <x:c r="D48" s="14" t="str">
        <x:f>IF(INDEX('Sheet2-计算明细'!$D$17:$D$99,$X48)="","",INDEX('Sheet2-计算明细'!$D$17:$D$99,$X48))</x:f>
        <x:v>广东辰元</x:v>
      </x:c>
      <x:c r="E48" s="14" t="str">
        <x:f>IF(INDEX('Sheet2-计算明细'!$G$17:$G$99,$X48)="","",INDEX('Sheet2-计算明细'!$G$17:$G$99,$X48))</x:f>
        <x:v>入池</x:v>
      </x:c>
      <x:c r="F48" s="52" t="n">
        <x:f>IF(ISNUMBER(INDEX('Sheet2-计算明细'!$I$17:$I$99,$X48)),INDEX('Sheet2-计算明细'!$I$17:$I$99,$X48),"")</x:f>
        <x:v>90</x:v>
      </x:c>
      <x:c r="G48" s="52" t="n">
        <x:f>IF(ISNUMBER(INDEX('Sheet2-计算明细'!$K$17:$K$99,$X48)),INDEX('Sheet2-计算明细'!$K$17:$K$99,$X48),"")</x:f>
        <x:v>100</x:v>
      </x:c>
      <x:c r="H48" s="52" t="n">
        <x:f>IF(ISNUMBER(INDEX('Sheet2-计算明细'!$L$17:$L$99,$X48)),INDEX('Sheet2-计算明细'!$L$17:$L$99,$X48),"")</x:f>
        <x:v>100</x:v>
      </x:c>
      <x:c r="I48" s="52" t="n">
        <x:f>IF(ISNUMBER(INDEX('Sheet2-计算明细'!$S$17:$S$99,$X48)),INDEX('Sheet2-计算明细'!$S$17:$S$99,$X48),"")</x:f>
        <x:v>25.44</x:v>
      </x:c>
      <x:c r="J48" s="52" t="n">
        <x:f>IF(ISNUMBER(INDEX('Sheet2-计算明细'!$Y$17:$Y$99,$X48)),INDEX('Sheet2-计算明细'!$Y$17:$Y$99,$X48),"")</x:f>
        <x:v>75.25</x:v>
      </x:c>
      <x:c r="K48" s="52" t="n">
        <x:f>IF(ISNUMBER(INDEX('Sheet2-计算明细'!$AC$17:$AC$99,$X48)),INDEX('Sheet2-计算明细'!$AC$17:$AC$99,$X48),"")</x:f>
        <x:v>86.21</x:v>
      </x:c>
      <x:c r="L48" s="52" t="n">
        <x:f>IF(ISNUMBER(INDEX('Sheet2-计算明细'!$AI$17:$AI$99,$X48)),INDEX('Sheet2-计算明细'!$AI$17:$AI$99,$X48),"")</x:f>
        <x:v>56.45</x:v>
      </x:c>
      <x:c r="M48" s="52" t="n">
        <x:f>IF(ISNUMBER(INDEX('Sheet2-计算明细'!$AK$17:$AK$99,$X48)),INDEX('Sheet2-计算明细'!$AK$17:$AK$99,$X48),"")</x:f>
        <x:v>80</x:v>
      </x:c>
      <x:c r="N48" s="52" t="n">
        <x:f>IF(ISNUMBER(INDEX('Sheet2-计算明细'!$AL$17:$AL$99,$X48)),INDEX('Sheet2-计算明细'!$AL$17:$AL$99,$X48),"")</x:f>
        <x:v>96</x:v>
      </x:c>
      <x:c r="O48" s="52" t="n">
        <x:f>IF(ISNUMBER(INDEX('Sheet2-计算明细'!$AM$17:$AM$99,$X48)),INDEX('Sheet2-计算明细'!$AM$17:$AM$99,$X48),"")</x:f>
        <x:v>40.38</x:v>
      </x:c>
      <x:c r="P48" s="52" t="n">
        <x:f>IF(ISNUMBER(INDEX('Sheet2-计算明细'!$AN$17:$AN$99,$X48)),INDEX('Sheet2-计算明细'!$AN$17:$AN$99,$X48),"")</x:f>
        <x:v>86.21</x:v>
      </x:c>
      <x:c r="Q48" s="52" t="n">
        <x:f>IF(ISNUMBER(INDEX('Sheet2-计算明细'!$AO$17:$AO$99,$X48)),INDEX('Sheet2-计算明细'!$AO$17:$AO$99,$X48),"")</x:f>
        <x:v>56.45</x:v>
      </x:c>
      <x:c r="R48" s="52" t="n">
        <x:f>IF(ISNUMBER(INDEX('Sheet2-计算明细'!$AP$17:$AP$99,$X48)),INDEX('Sheet2-计算明细'!$AP$17:$AP$99,$X48),"")</x:f>
        <x:v>80</x:v>
      </x:c>
      <x:c r="S48" s="27" t="n">
        <x:f>IF(ISNUMBER(INDEX('Sheet2-计算明细'!$AQ$17:$AQ$99,$X48)),INDEX('Sheet2-计算明细'!$AQ$17:$AQ$99,$X48),"")</x:f>
        <x:v>1</x:v>
      </x:c>
      <x:c r="T48" s="52" t="n">
        <x:f>IF(ISNUMBER(INDEX('Sheet2-计算明细'!$AR$17:$AR$99,$X48)),INDEX('Sheet2-计算明细'!$AR$17:$AR$99,$X48),"")</x:f>
        <x:v>68.96318000000001</x:v>
      </x:c>
      <x:c r="U48" s="52" t="n">
        <x:f>IF(ISNUMBER(INDEX('Sheet2-计算明细'!$AS$17:$AS$99,$X48)),INDEX('Sheet2-计算明细'!$AS$17:$AS$99,$X48),"")</x:f>
        <x:v>68.96</x:v>
      </x:c>
      <x:c r="V48" s="52" t="n">
        <x:f>IF(ISNUMBER(INDEX('Sheet2-计算明细'!$AV$17:$AV$99,$X48)),INDEX('Sheet2-计算明细'!$AV$17:$AV$99,$X48),"")</x:f>
        <x:v>68.96318000000001</x:v>
      </x:c>
      <x:c r="W48" s="40" t="str">
        <x:f>IF(INDEX('Sheet2-计算明细'!$AU$17:$AU$99,$X48)="","",INDEX('Sheet2-计算明细'!$AU$17:$AU$99,$X48))</x:f>
      </x:c>
      <x:c r="X48" s="49" t="n">
        <x:f>MATCH(ROWS($X$6:X48),'Sheet2-计算明细'!$BJ$17:$BJ$99,0)</x:f>
        <x:v>8</x:v>
      </x:c>
      <x:c r="Y48" s="14" t="str">
        <x:f>IF(INDEX('Sheet2-计算明细'!$AX$17:$AX$99,$X48)="","",INDEX('Sheet2-计算明细'!$AX$17:$AX$99,$X48))</x:f>
        <x:v>套利策略</x:v>
      </x:c>
      <x:c r="Z48" s="14" t="str">
        <x:f>IF(INDEX('Sheet2-计算明细'!$AY$17:$AY$99,$X48)="","",INDEX('Sheet2-计算明细'!$AY$17:$AY$99,$X48))</x:f>
        <x:v>混合套利</x:v>
      </x:c>
      <x:c r="AA48" s="14" t="str">
        <x:f>IF(INDEX('Sheet2-计算明细'!$AW$17:$AW$99,$X48)="","",INDEX('Sheet2-计算明细'!$AW$17:$AW$99,$X48))</x:f>
        <x:v>完整赋分</x:v>
      </x:c>
      <x:c r="AB48" s="49" t="n">
        <x:f>IF(ISNUMBER(INDEX('Sheet2-计算明细'!$A$17:$A$99,$X48)),INDEX('Sheet2-计算明细'!$A$17:$A$99,$X48),"")</x:f>
        <x:v>8</x:v>
      </x:c>
    </x:row>
    <x:row r="49" ht="44" customHeight="1">
      <x:c r="A49" s="14" t="n">
        <x:f>IF(ISNUMBER(INDEX('Sheet2-计算明细'!$AT$17:$AT$99,$X49)),INDEX('Sheet2-计算明细'!$AT$17:$AT$99,$X49),"")</x:f>
        <x:v>44</x:v>
      </x:c>
      <x:c r="B49" s="14" t="str">
        <x:f>IF(INDEX('Sheet2-计算明细'!$B$17:$B$99,$X49)="","",INDEX('Sheet2-计算明细'!$B$17:$B$99,$X49))</x:f>
        <x:v>永泉奇点2号混合投资</x:v>
      </x:c>
      <x:c r="C49" s="14" t="str">
        <x:f>IF(INDEX('Sheet2-计算明细'!$C$17:$C$99,$X49)="","",INDEX('Sheet2-计算明细'!$C$17:$C$99,$X49))</x:f>
        <x:v>SJB356</x:v>
      </x:c>
      <x:c r="D49" s="14" t="str">
        <x:f>IF(INDEX('Sheet2-计算明细'!$D$17:$D$99,$X49)="","",INDEX('Sheet2-计算明细'!$D$17:$D$99,$X49))</x:f>
        <x:v>宁波永泉</x:v>
      </x:c>
      <x:c r="E49" s="14" t="str">
        <x:f>IF(INDEX('Sheet2-计算明细'!$G$17:$G$99,$X49)="","",INDEX('Sheet2-计算明细'!$G$17:$G$99,$X49))</x:f>
        <x:v>入池</x:v>
      </x:c>
      <x:c r="F49" s="52" t="n">
        <x:f>IF(ISNUMBER(INDEX('Sheet2-计算明细'!$I$17:$I$99,$X49)),INDEX('Sheet2-计算明细'!$I$17:$I$99,$X49),"")</x:f>
        <x:v>60</x:v>
      </x:c>
      <x:c r="G49" s="52" t="n">
        <x:f>IF(ISNUMBER(INDEX('Sheet2-计算明细'!$K$17:$K$99,$X49)),INDEX('Sheet2-计算明细'!$K$17:$K$99,$X49),"")</x:f>
        <x:v>100</x:v>
      </x:c>
      <x:c r="H49" s="52" t="n">
        <x:f>IF(ISNUMBER(INDEX('Sheet2-计算明细'!$L$17:$L$99,$X49)),INDEX('Sheet2-计算明细'!$L$17:$L$99,$X49),"")</x:f>
        <x:v>100</x:v>
      </x:c>
      <x:c r="I49" s="52" t="n">
        <x:f>IF(ISNUMBER(INDEX('Sheet2-计算明细'!$S$17:$S$99,$X49)),INDEX('Sheet2-计算明细'!$S$17:$S$99,$X49),"")</x:f>
        <x:v>51.3</x:v>
      </x:c>
      <x:c r="J49" s="52" t="n">
        <x:f>IF(ISNUMBER(INDEX('Sheet2-计算明细'!$Y$17:$Y$99,$X49)),INDEX('Sheet2-计算明细'!$Y$17:$Y$99,$X49),"")</x:f>
        <x:v>91.67</x:v>
      </x:c>
      <x:c r="K49" s="52" t="n">
        <x:f>IF(ISNUMBER(INDEX('Sheet2-计算明细'!$AC$17:$AC$99,$X49)),INDEX('Sheet2-计算明细'!$AC$17:$AC$99,$X49),"")</x:f>
        <x:v>53.45</x:v>
      </x:c>
      <x:c r="L49" s="52" t="n">
        <x:f>IF(ISNUMBER(INDEX('Sheet2-计算明细'!$AI$17:$AI$99,$X49)),INDEX('Sheet2-计算明细'!$AI$17:$AI$99,$X49),"")</x:f>
        <x:v>74.39</x:v>
      </x:c>
      <x:c r="M49" s="52" t="n">
        <x:f>IF(ISNUMBER(INDEX('Sheet2-计算明细'!$AK$17:$AK$99,$X49)),INDEX('Sheet2-计算明细'!$AK$17:$AK$99,$X49),"")</x:f>
        <x:v>80</x:v>
      </x:c>
      <x:c r="N49" s="52" t="n">
        <x:f>IF(ISNUMBER(INDEX('Sheet2-计算明细'!$AL$17:$AL$99,$X49)),INDEX('Sheet2-计算明细'!$AL$17:$AL$99,$X49),"")</x:f>
        <x:v>84</x:v>
      </x:c>
      <x:c r="O49" s="52" t="n">
        <x:f>IF(ISNUMBER(INDEX('Sheet2-计算明细'!$AM$17:$AM$99,$X49)),INDEX('Sheet2-计算明细'!$AM$17:$AM$99,$X49),"")</x:f>
        <x:v>63.41</x:v>
      </x:c>
      <x:c r="P49" s="52" t="n">
        <x:f>IF(ISNUMBER(INDEX('Sheet2-计算明细'!$AN$17:$AN$99,$X49)),INDEX('Sheet2-计算明细'!$AN$17:$AN$99,$X49),"")</x:f>
        <x:v>53.45</x:v>
      </x:c>
      <x:c r="Q49" s="52" t="n">
        <x:f>IF(ISNUMBER(INDEX('Sheet2-计算明细'!$AO$17:$AO$99,$X49)),INDEX('Sheet2-计算明细'!$AO$17:$AO$99,$X49),"")</x:f>
        <x:v>74.39</x:v>
      </x:c>
      <x:c r="R49" s="52" t="n">
        <x:f>IF(ISNUMBER(INDEX('Sheet2-计算明细'!$AP$17:$AP$99,$X49)),INDEX('Sheet2-计算明细'!$AP$17:$AP$99,$X49),"")</x:f>
        <x:v>80</x:v>
      </x:c>
      <x:c r="S49" s="27" t="n">
        <x:f>IF(ISNUMBER(INDEX('Sheet2-计算明细'!$AQ$17:$AQ$99,$X49)),INDEX('Sheet2-计算明细'!$AQ$17:$AQ$99,$X49),"")</x:f>
        <x:v>1</x:v>
      </x:c>
      <x:c r="T49" s="52" t="n">
        <x:f>IF(ISNUMBER(INDEX('Sheet2-计算明细'!$AR$17:$AR$99,$X49)),INDEX('Sheet2-计算明细'!$AR$17:$AR$99,$X49),"")</x:f>
        <x:v>68.96047</x:v>
      </x:c>
      <x:c r="U49" s="52" t="n">
        <x:f>IF(ISNUMBER(INDEX('Sheet2-计算明细'!$AS$17:$AS$99,$X49)),INDEX('Sheet2-计算明细'!$AS$17:$AS$99,$X49),"")</x:f>
        <x:v>68.96</x:v>
      </x:c>
      <x:c r="V49" s="52" t="n">
        <x:f>IF(ISNUMBER(INDEX('Sheet2-计算明细'!$AV$17:$AV$99,$X49)),INDEX('Sheet2-计算明细'!$AV$17:$AV$99,$X49),"")</x:f>
        <x:v>68.96047</x:v>
      </x:c>
      <x:c r="W49" s="40" t="str">
        <x:f>IF(INDEX('Sheet2-计算明细'!$AU$17:$AU$99,$X49)="","",INDEX('Sheet2-计算明细'!$AU$17:$AU$99,$X49))</x:f>
      </x:c>
      <x:c r="X49" s="49" t="n">
        <x:f>MATCH(ROWS($X$6:X49),'Sheet2-计算明细'!$BJ$17:$BJ$99,0)</x:f>
        <x:v>71</x:v>
      </x:c>
      <x:c r="Y49" s="14" t="str">
        <x:f>IF(INDEX('Sheet2-计算明细'!$AX$17:$AX$99,$X49)="","",INDEX('Sheet2-计算明细'!$AX$17:$AX$99,$X49))</x:f>
        <x:v>套利策略</x:v>
      </x:c>
      <x:c r="Z49" s="14" t="str">
        <x:f>IF(INDEX('Sheet2-计算明细'!$AY$17:$AY$99,$X49)="","",INDEX('Sheet2-计算明细'!$AY$17:$AY$99,$X49))</x:f>
        <x:v>期货套利</x:v>
      </x:c>
      <x:c r="AA49" s="14" t="str">
        <x:f>IF(INDEX('Sheet2-计算明细'!$AW$17:$AW$99,$X49)="","",INDEX('Sheet2-计算明细'!$AW$17:$AW$99,$X49))</x:f>
        <x:v>完整赋分</x:v>
      </x:c>
      <x:c r="AB49" s="49" t="n">
        <x:f>IF(ISNUMBER(INDEX('Sheet2-计算明细'!$A$17:$A$99,$X49)),INDEX('Sheet2-计算明细'!$A$17:$A$99,$X49),"")</x:f>
        <x:v>71</x:v>
      </x:c>
    </x:row>
    <x:row r="50" ht="44" customHeight="1">
      <x:c r="A50" s="14" t="n">
        <x:f>IF(ISNUMBER(INDEX('Sheet2-计算明细'!$AT$17:$AT$99,$X50)),INDEX('Sheet2-计算明细'!$AT$17:$AT$99,$X50),"")</x:f>
        <x:v>45</x:v>
      </x:c>
      <x:c r="B50" s="14" t="str">
        <x:f>IF(INDEX('Sheet2-计算明细'!$B$17:$B$99,$X50)="","",INDEX('Sheet2-计算明细'!$B$17:$B$99,$X50))</x:f>
        <x:v>汇艾稳健3号</x:v>
      </x:c>
      <x:c r="C50" s="14" t="str">
        <x:f>IF(INDEX('Sheet2-计算明细'!$C$17:$C$99,$X50)="","",INDEX('Sheet2-计算明细'!$C$17:$C$99,$X50))</x:f>
        <x:v>SR8584</x:v>
      </x:c>
      <x:c r="D50" s="14" t="str">
        <x:f>IF(INDEX('Sheet2-计算明细'!$D$17:$D$99,$X50)="","",INDEX('Sheet2-计算明细'!$D$17:$D$99,$X50))</x:f>
        <x:v>上海汇艾资管</x:v>
      </x:c>
      <x:c r="E50" s="14" t="str">
        <x:f>IF(INDEX('Sheet2-计算明细'!$G$17:$G$99,$X50)="","",INDEX('Sheet2-计算明细'!$G$17:$G$99,$X50))</x:f>
        <x:v>入池</x:v>
      </x:c>
      <x:c r="F50" s="52" t="n">
        <x:f>IF(ISNUMBER(INDEX('Sheet2-计算明细'!$I$17:$I$99,$X50)),INDEX('Sheet2-计算明细'!$I$17:$I$99,$X50),"")</x:f>
        <x:v>60</x:v>
      </x:c>
      <x:c r="G50" s="52" t="n">
        <x:f>IF(ISNUMBER(INDEX('Sheet2-计算明细'!$K$17:$K$99,$X50)),INDEX('Sheet2-计算明细'!$K$17:$K$99,$X50),"")</x:f>
        <x:v>100</x:v>
      </x:c>
      <x:c r="H50" s="52" t="n">
        <x:f>IF(ISNUMBER(INDEX('Sheet2-计算明细'!$L$17:$L$99,$X50)),INDEX('Sheet2-计算明细'!$L$17:$L$99,$X50),"")</x:f>
        <x:v>100</x:v>
      </x:c>
      <x:c r="I50" s="52" t="n">
        <x:f>IF(ISNUMBER(INDEX('Sheet2-计算明细'!$S$17:$S$99,$X50)),INDEX('Sheet2-计算明细'!$S$17:$S$99,$X50),"")</x:f>
        <x:v>25.05</x:v>
      </x:c>
      <x:c r="J50" s="52" t="n">
        <x:f>IF(ISNUMBER(INDEX('Sheet2-计算明细'!$Y$17:$Y$99,$X50)),INDEX('Sheet2-计算明细'!$Y$17:$Y$99,$X50),"")</x:f>
        <x:v>88.33</x:v>
      </x:c>
      <x:c r="K50" s="52" t="n">
        <x:f>IF(ISNUMBER(INDEX('Sheet2-计算明细'!$AC$17:$AC$99,$X50)),INDEX('Sheet2-计算明细'!$AC$17:$AC$99,$X50),"")</x:f>
        <x:v>75.86</x:v>
      </x:c>
      <x:c r="L50" s="52" t="n">
        <x:f>IF(ISNUMBER(INDEX('Sheet2-计算明细'!$AI$17:$AI$99,$X50)),INDEX('Sheet2-计算明细'!$AI$17:$AI$99,$X50),"")</x:f>
        <x:v>54.57</x:v>
      </x:c>
      <x:c r="M50" s="52" t="n">
        <x:f>IF(ISNUMBER(INDEX('Sheet2-计算明细'!$AK$17:$AK$99,$X50)),INDEX('Sheet2-计算明细'!$AK$17:$AK$99,$X50),"")</x:f>
        <x:v>100</x:v>
      </x:c>
      <x:c r="N50" s="52" t="n">
        <x:f>IF(ISNUMBER(INDEX('Sheet2-计算明细'!$AL$17:$AL$99,$X50)),INDEX('Sheet2-计算明细'!$AL$17:$AL$99,$X50),"")</x:f>
        <x:v>84</x:v>
      </x:c>
      <x:c r="O50" s="52" t="n">
        <x:f>IF(ISNUMBER(INDEX('Sheet2-计算明细'!$AM$17:$AM$99,$X50)),INDEX('Sheet2-计算明细'!$AM$17:$AM$99,$X50),"")</x:f>
        <x:v>44.04</x:v>
      </x:c>
      <x:c r="P50" s="52" t="n">
        <x:f>IF(ISNUMBER(INDEX('Sheet2-计算明细'!$AN$17:$AN$99,$X50)),INDEX('Sheet2-计算明细'!$AN$17:$AN$99,$X50),"")</x:f>
        <x:v>75.86</x:v>
      </x:c>
      <x:c r="Q50" s="52" t="n">
        <x:f>IF(ISNUMBER(INDEX('Sheet2-计算明细'!$AO$17:$AO$99,$X50)),INDEX('Sheet2-计算明细'!$AO$17:$AO$99,$X50),"")</x:f>
        <x:v>54.57</x:v>
      </x:c>
      <x:c r="R50" s="52" t="n">
        <x:f>IF(ISNUMBER(INDEX('Sheet2-计算明细'!$AP$17:$AP$99,$X50)),INDEX('Sheet2-计算明细'!$AP$17:$AP$99,$X50),"")</x:f>
        <x:v>100</x:v>
      </x:c>
      <x:c r="S50" s="27" t="n">
        <x:f>IF(ISNUMBER(INDEX('Sheet2-计算明细'!$AQ$17:$AQ$99,$X50)),INDEX('Sheet2-计算明细'!$AQ$17:$AQ$99,$X50),"")</x:f>
        <x:v>1</x:v>
      </x:c>
      <x:c r="T50" s="52" t="n">
        <x:f>IF(ISNUMBER(INDEX('Sheet2-计算明细'!$AR$17:$AR$99,$X50)),INDEX('Sheet2-计算明细'!$AR$17:$AR$99,$X50),"")</x:f>
        <x:v>66.74412</x:v>
      </x:c>
      <x:c r="U50" s="52" t="n">
        <x:f>IF(ISNUMBER(INDEX('Sheet2-计算明细'!$AS$17:$AS$99,$X50)),INDEX('Sheet2-计算明细'!$AS$17:$AS$99,$X50),"")</x:f>
        <x:v>66.74</x:v>
      </x:c>
      <x:c r="V50" s="52" t="n">
        <x:f>IF(ISNUMBER(INDEX('Sheet2-计算明细'!$AV$17:$AV$99,$X50)),INDEX('Sheet2-计算明细'!$AV$17:$AV$99,$X50),"")</x:f>
        <x:v>66.74412</x:v>
      </x:c>
      <x:c r="W50" s="40" t="str">
        <x:f>IF(INDEX('Sheet2-计算明细'!$AU$17:$AU$99,$X50)="","",INDEX('Sheet2-计算明细'!$AU$17:$AU$99,$X50))</x:f>
      </x:c>
      <x:c r="X50" s="49" t="n">
        <x:f>MATCH(ROWS($X$6:X50),'Sheet2-计算明细'!$BJ$17:$BJ$99,0)</x:f>
        <x:v>20</x:v>
      </x:c>
      <x:c r="Y50" s="14" t="str">
        <x:f>IF(INDEX('Sheet2-计算明细'!$AX$17:$AX$99,$X50)="","",INDEX('Sheet2-计算明细'!$AX$17:$AX$99,$X50))</x:f>
        <x:v>套利策略</x:v>
      </x:c>
      <x:c r="Z50" s="14" t="str">
        <x:f>IF(INDEX('Sheet2-计算明细'!$AY$17:$AY$99,$X50)="","",INDEX('Sheet2-计算明细'!$AY$17:$AY$99,$X50))</x:f>
        <x:v>期货套利</x:v>
      </x:c>
      <x:c r="AA50" s="14" t="str">
        <x:f>IF(INDEX('Sheet2-计算明细'!$AW$17:$AW$99,$X50)="","",INDEX('Sheet2-计算明细'!$AW$17:$AW$99,$X50))</x:f>
        <x:v>完整赋分</x:v>
      </x:c>
      <x:c r="AB50" s="49" t="n">
        <x:f>IF(ISNUMBER(INDEX('Sheet2-计算明细'!$A$17:$A$99,$X50)),INDEX('Sheet2-计算明细'!$A$17:$A$99,$X50),"")</x:f>
        <x:v>20</x:v>
      </x:c>
    </x:row>
    <x:row r="51" ht="44" customHeight="1">
      <x:c r="A51" s="14" t="n">
        <x:f>IF(ISNUMBER(INDEX('Sheet2-计算明细'!$AT$17:$AT$99,$X51)),INDEX('Sheet2-计算明细'!$AT$17:$AT$99,$X51),"")</x:f>
        <x:v>46</x:v>
      </x:c>
      <x:c r="B51" s="14" t="str">
        <x:f>IF(INDEX('Sheet2-计算明细'!$B$17:$B$99,$X51)="","",INDEX('Sheet2-计算明细'!$B$17:$B$99,$X51))</x:f>
        <x:v>慕途盈川1号</x:v>
      </x:c>
      <x:c r="C51" s="14" t="str">
        <x:f>IF(INDEX('Sheet2-计算明细'!$C$17:$C$99,$X51)="","",INDEX('Sheet2-计算明细'!$C$17:$C$99,$X51))</x:f>
        <x:v>SAQQ67</x:v>
      </x:c>
      <x:c r="D51" s="14" t="str">
        <x:f>IF(INDEX('Sheet2-计算明细'!$D$17:$D$99,$X51)="","",INDEX('Sheet2-计算明细'!$D$17:$D$99,$X51))</x:f>
        <x:v>慕途基金</x:v>
      </x:c>
      <x:c r="E51" s="14" t="str">
        <x:f>IF(INDEX('Sheet2-计算明细'!$G$17:$G$99,$X51)="","",INDEX('Sheet2-计算明细'!$G$17:$G$99,$X51))</x:f>
        <x:v>入池</x:v>
      </x:c>
      <x:c r="F51" s="52" t="n">
        <x:f>IF(ISNUMBER(INDEX('Sheet2-计算明细'!$I$17:$I$99,$X51)),INDEX('Sheet2-计算明细'!$I$17:$I$99,$X51),"")</x:f>
        <x:v>80</x:v>
      </x:c>
      <x:c r="G51" s="52" t="n">
        <x:f>IF(ISNUMBER(INDEX('Sheet2-计算明细'!$K$17:$K$99,$X51)),INDEX('Sheet2-计算明细'!$K$17:$K$99,$X51),"")</x:f>
        <x:v>100</x:v>
      </x:c>
      <x:c r="H51" s="52" t="n">
        <x:f>IF(ISNUMBER(INDEX('Sheet2-计算明细'!$L$17:$L$99,$X51)),INDEX('Sheet2-计算明细'!$L$17:$L$99,$X51),"")</x:f>
        <x:v>70</x:v>
      </x:c>
      <x:c r="I51" s="52" t="n">
        <x:f>IF(ISNUMBER(INDEX('Sheet2-计算明细'!$S$17:$S$99,$X51)),INDEX('Sheet2-计算明细'!$S$17:$S$99,$X51),"")</x:f>
        <x:v>67.35</x:v>
      </x:c>
      <x:c r="J51" s="52" t="n">
        <x:f>IF(ISNUMBER(INDEX('Sheet2-计算明细'!$Y$17:$Y$99,$X51)),INDEX('Sheet2-计算明细'!$Y$17:$Y$99,$X51),"")</x:f>
        <x:v>76.92</x:v>
      </x:c>
      <x:c r="K51" s="52" t="n">
        <x:f>IF(ISNUMBER(INDEX('Sheet2-计算明细'!$AC$17:$AC$99,$X51)),INDEX('Sheet2-计算明细'!$AC$17:$AC$99,$X51),"")</x:f>
        <x:v>55.17</x:v>
      </x:c>
      <x:c r="L51" s="52" t="n">
        <x:f>IF(ISNUMBER(INDEX('Sheet2-计算明细'!$AI$17:$AI$99,$X51)),INDEX('Sheet2-计算明细'!$AI$17:$AI$99,$X51),"")</x:f>
        <x:v>41.82</x:v>
      </x:c>
      <x:c r="M51" s="52" t="n">
        <x:f>IF(ISNUMBER(INDEX('Sheet2-计算明细'!$AK$17:$AK$99,$X51)),INDEX('Sheet2-计算明细'!$AK$17:$AK$99,$X51),"")</x:f>
        <x:v>100</x:v>
      </x:c>
      <x:c r="N51" s="52" t="n">
        <x:f>IF(ISNUMBER(INDEX('Sheet2-计算明细'!$AL$17:$AL$99,$X51)),INDEX('Sheet2-计算明细'!$AL$17:$AL$99,$X51),"")</x:f>
        <x:v>83</x:v>
      </x:c>
      <x:c r="O51" s="52" t="n">
        <x:f>IF(ISNUMBER(INDEX('Sheet2-计算明细'!$AM$17:$AM$99,$X51)),INDEX('Sheet2-计算明细'!$AM$17:$AM$99,$X51),"")</x:f>
        <x:v>69.31</x:v>
      </x:c>
      <x:c r="P51" s="52" t="n">
        <x:f>IF(ISNUMBER(INDEX('Sheet2-计算明细'!$AN$17:$AN$99,$X51)),INDEX('Sheet2-计算明细'!$AN$17:$AN$99,$X51),"")</x:f>
        <x:v>55.17</x:v>
      </x:c>
      <x:c r="Q51" s="52" t="n">
        <x:f>IF(ISNUMBER(INDEX('Sheet2-计算明细'!$AO$17:$AO$99,$X51)),INDEX('Sheet2-计算明细'!$AO$17:$AO$99,$X51),"")</x:f>
        <x:v>41.82</x:v>
      </x:c>
      <x:c r="R51" s="52" t="n">
        <x:f>IF(ISNUMBER(INDEX('Sheet2-计算明细'!$AP$17:$AP$99,$X51)),INDEX('Sheet2-计算明细'!$AP$17:$AP$99,$X51),"")</x:f>
        <x:v>100</x:v>
      </x:c>
      <x:c r="S51" s="27" t="n">
        <x:f>IF(ISNUMBER(INDEX('Sheet2-计算明细'!$AQ$17:$AQ$99,$X51)),INDEX('Sheet2-计算明细'!$AQ$17:$AQ$99,$X51),"")</x:f>
        <x:v>0.856</x:v>
      </x:c>
      <x:c r="T51" s="52" t="n">
        <x:f>IF(ISNUMBER(INDEX('Sheet2-计算明细'!$AR$17:$AR$99,$X51)),INDEX('Sheet2-计算明细'!$AR$17:$AR$99,$X51),"")</x:f>
        <x:v>55.967940000000006</x:v>
      </x:c>
      <x:c r="U51" s="52" t="n">
        <x:f>IF(ISNUMBER(INDEX('Sheet2-计算明细'!$AS$17:$AS$99,$X51)),INDEX('Sheet2-计算明细'!$AS$17:$AS$99,$X51),"")</x:f>
        <x:v>65.38</x:v>
      </x:c>
      <x:c r="V51" s="52" t="str">
        <x:f>IF(ISNUMBER(INDEX('Sheet2-计算明细'!$AV$17:$AV$99,$X51)),INDEX('Sheet2-计算明细'!$AV$17:$AV$99,$X51),"")</x:f>
      </x:c>
      <x:c r="W51" s="40" t="str">
        <x:f>IF(INDEX('Sheet2-计算明细'!$AU$17:$AU$99,$X51)="","",INDEX('Sheet2-计算明细'!$AU$17:$AU$99,$X51))</x:f>
        <x:v>近三年收益；近三年胜率；近三年回撤；DD_long不可识别；</x:v>
      </x:c>
      <x:c r="X51" s="49" t="n">
        <x:f>MATCH(ROWS($X$6:X51),'Sheet2-计算明细'!$BJ$17:$BJ$99,0)</x:f>
        <x:v>44</x:v>
      </x:c>
      <x:c r="Y51" s="14" t="str">
        <x:f>IF(INDEX('Sheet2-计算明细'!$AX$17:$AX$99,$X51)="","",INDEX('Sheet2-计算明细'!$AX$17:$AX$99,$X51))</x:f>
        <x:v>套利策略</x:v>
      </x:c>
      <x:c r="Z51" s="14" t="str">
        <x:f>IF(INDEX('Sheet2-计算明细'!$AY$17:$AY$99,$X51)="","",INDEX('Sheet2-计算明细'!$AY$17:$AY$99,$X51))</x:f>
        <x:v>期货套利</x:v>
      </x:c>
      <x:c r="AA51" s="14" t="str">
        <x:f>IF(INDEX('Sheet2-计算明细'!$AW$17:$AW$99,$X51)="","",INDEX('Sheet2-计算明细'!$AW$17:$AW$99,$X51))</x:f>
        <x:v>暂定分／数据不完整</x:v>
      </x:c>
      <x:c r="AB51" s="49" t="n">
        <x:f>IF(ISNUMBER(INDEX('Sheet2-计算明细'!$A$17:$A$99,$X51)),INDEX('Sheet2-计算明细'!$A$17:$A$99,$X51),"")</x:f>
        <x:v>44</x:v>
      </x:c>
    </x:row>
    <x:row r="52" ht="44" customHeight="1">
      <x:c r="A52" s="14" t="n">
        <x:f>IF(ISNUMBER(INDEX('Sheet2-计算明细'!$AT$17:$AT$99,$X52)),INDEX('Sheet2-计算明细'!$AT$17:$AT$99,$X52),"")</x:f>
        <x:v>47</x:v>
      </x:c>
      <x:c r="B52" s="14" t="str">
        <x:f>IF(INDEX('Sheet2-计算明细'!$B$17:$B$99,$X52)="","",INDEX('Sheet2-计算明细'!$B$17:$B$99,$X52))</x:f>
        <x:v>聚亿具臻B类</x:v>
      </x:c>
      <x:c r="C52" s="14" t="str">
        <x:f>IF(INDEX('Sheet2-计算明细'!$C$17:$C$99,$X52)="","",INDEX('Sheet2-计算明细'!$C$17:$C$99,$X52))</x:f>
        <x:v>LM995B</x:v>
      </x:c>
      <x:c r="D52" s="14" t="str">
        <x:f>IF(INDEX('Sheet2-计算明细'!$D$17:$D$99,$X52)="","",INDEX('Sheet2-计算明细'!$D$17:$D$99,$X52))</x:f>
        <x:v>珠海聚亿基金</x:v>
      </x:c>
      <x:c r="E52" s="14" t="str">
        <x:f>IF(INDEX('Sheet2-计算明细'!$G$17:$G$99,$X52)="","",INDEX('Sheet2-计算明细'!$G$17:$G$99,$X52))</x:f>
        <x:v>入池</x:v>
      </x:c>
      <x:c r="F52" s="52" t="n">
        <x:f>IF(ISNUMBER(INDEX('Sheet2-计算明细'!$I$17:$I$99,$X52)),INDEX('Sheet2-计算明细'!$I$17:$I$99,$X52),"")</x:f>
        <x:v>60</x:v>
      </x:c>
      <x:c r="G52" s="52" t="str">
        <x:f>IF(ISNUMBER(INDEX('Sheet2-计算明细'!$K$17:$K$99,$X52)),INDEX('Sheet2-计算明细'!$K$17:$K$99,$X52),"")</x:f>
      </x:c>
      <x:c r="H52" s="52" t="n">
        <x:f>IF(ISNUMBER(INDEX('Sheet2-计算明细'!$L$17:$L$99,$X52)),INDEX('Sheet2-计算明细'!$L$17:$L$99,$X52),"")</x:f>
        <x:v>100</x:v>
      </x:c>
      <x:c r="I52" s="52" t="n">
        <x:f>IF(ISNUMBER(INDEX('Sheet2-计算明细'!$S$17:$S$99,$X52)),INDEX('Sheet2-计算明细'!$S$17:$S$99,$X52),"")</x:f>
        <x:v>98.21</x:v>
      </x:c>
      <x:c r="J52" s="52" t="n">
        <x:f>IF(ISNUMBER(INDEX('Sheet2-计算明细'!$Y$17:$Y$99,$X52)),INDEX('Sheet2-计算明细'!$Y$17:$Y$99,$X52),"")</x:f>
        <x:v>76.92</x:v>
      </x:c>
      <x:c r="K52" s="52" t="n">
        <x:f>IF(ISNUMBER(INDEX('Sheet2-计算明细'!$AC$17:$AC$99,$X52)),INDEX('Sheet2-计算明细'!$AC$17:$AC$99,$X52),"")</x:f>
        <x:v>43.1</x:v>
      </x:c>
      <x:c r="L52" s="52" t="n">
        <x:f>IF(ISNUMBER(INDEX('Sheet2-计算明细'!$AI$17:$AI$99,$X52)),INDEX('Sheet2-计算明细'!$AI$17:$AI$99,$X52),"")</x:f>
        <x:v>70.91</x:v>
      </x:c>
      <x:c r="M52" s="52" t="str">
        <x:f>IF(ISNUMBER(INDEX('Sheet2-计算明细'!$AK$17:$AK$99,$X52)),INDEX('Sheet2-计算明细'!$AK$17:$AK$99,$X52),"")</x:f>
      </x:c>
      <x:c r="N52" s="52" t="n">
        <x:f>IF(ISNUMBER(INDEX('Sheet2-计算明细'!$AL$17:$AL$99,$X52)),INDEX('Sheet2-计算明细'!$AL$17:$AL$99,$X52),"")</x:f>
        <x:v>77.14</x:v>
      </x:c>
      <x:c r="O52" s="52" t="n">
        <x:f>IF(ISNUMBER(INDEX('Sheet2-计算明细'!$AM$17:$AM$99,$X52)),INDEX('Sheet2-计算明细'!$AM$17:$AM$99,$X52),"")</x:f>
        <x:v>91.82</x:v>
      </x:c>
      <x:c r="P52" s="52" t="n">
        <x:f>IF(ISNUMBER(INDEX('Sheet2-计算明细'!$AN$17:$AN$99,$X52)),INDEX('Sheet2-计算明细'!$AN$17:$AN$99,$X52),"")</x:f>
        <x:v>43.1</x:v>
      </x:c>
      <x:c r="Q52" s="52" t="n">
        <x:f>IF(ISNUMBER(INDEX('Sheet2-计算明细'!$AO$17:$AO$99,$X52)),INDEX('Sheet2-计算明细'!$AO$17:$AO$99,$X52),"")</x:f>
        <x:v>70.91</x:v>
      </x:c>
      <x:c r="R52" s="52" t="str">
        <x:f>IF(ISNUMBER(INDEX('Sheet2-计算明细'!$AP$17:$AP$99,$X52)),INDEX('Sheet2-计算明细'!$AP$17:$AP$99,$X52),"")</x:f>
      </x:c>
      <x:c r="S52" s="27" t="n">
        <x:f>IF(ISNUMBER(INDEX('Sheet2-计算明细'!$AQ$17:$AQ$99,$X52)),INDEX('Sheet2-计算明细'!$AQ$17:$AQ$99,$X52),"")</x:f>
        <x:v>0.655</x:v>
      </x:c>
      <x:c r="T52" s="52" t="n">
        <x:f>IF(ISNUMBER(INDEX('Sheet2-计算明细'!$AR$17:$AR$99,$X52)),INDEX('Sheet2-计算明细'!$AR$17:$AR$99,$X52),"")</x:f>
        <x:v>42.657560000000004</x:v>
      </x:c>
      <x:c r="U52" s="52" t="n">
        <x:f>IF(ISNUMBER(INDEX('Sheet2-计算明细'!$AS$17:$AS$99,$X52)),INDEX('Sheet2-计算明细'!$AS$17:$AS$99,$X52),"")</x:f>
        <x:v>65.13</x:v>
      </x:c>
      <x:c r="V52" s="52" t="str">
        <x:f>IF(ISNUMBER(INDEX('Sheet2-计算明细'!$AV$17:$AV$99,$X52)),INDEX('Sheet2-计算明细'!$AV$17:$AV$99,$X52),"")</x:f>
      </x:c>
      <x:c r="W52" s="40" t="str">
        <x:f>IF(INDEX('Sheet2-计算明细'!$AU$17:$AU$99,$X52)="","",INDEX('Sheet2-计算明细'!$AU$17:$AU$99,$X52))</x:f>
        <x:v>产品规模标识；近三年收益；近三年胜率；近三年回撤；</x:v>
      </x:c>
      <x:c r="X52" s="49" t="n">
        <x:f>MATCH(ROWS($X$6:X52),'Sheet2-计算明细'!$BJ$17:$BJ$99,0)</x:f>
        <x:v>30</x:v>
      </x:c>
      <x:c r="Y52" s="14" t="str">
        <x:f>IF(INDEX('Sheet2-计算明细'!$AX$17:$AX$99,$X52)="","",INDEX('Sheet2-计算明细'!$AX$17:$AX$99,$X52))</x:f>
        <x:v>套利策略</x:v>
      </x:c>
      <x:c r="Z52" s="14" t="str">
        <x:f>IF(INDEX('Sheet2-计算明细'!$AY$17:$AY$99,$X52)="","",INDEX('Sheet2-计算明细'!$AY$17:$AY$99,$X52))</x:f>
        <x:v>期货套利</x:v>
      </x:c>
      <x:c r="AA52" s="14" t="str">
        <x:f>IF(INDEX('Sheet2-计算明细'!$AW$17:$AW$99,$X52)="","",INDEX('Sheet2-计算明细'!$AW$17:$AW$99,$X52))</x:f>
        <x:v>暂定分／数据不完整</x:v>
      </x:c>
      <x:c r="AB52" s="49" t="n">
        <x:f>IF(ISNUMBER(INDEX('Sheet2-计算明细'!$A$17:$A$99,$X52)),INDEX('Sheet2-计算明细'!$A$17:$A$99,$X52),"")</x:f>
        <x:v>30</x:v>
      </x:c>
    </x:row>
    <x:row r="53" ht="44" customHeight="1">
      <x:c r="A53" s="14" t="n">
        <x:f>IF(ISNUMBER(INDEX('Sheet2-计算明细'!$AT$17:$AT$99,$X53)),INDEX('Sheet2-计算明细'!$AT$17:$AT$99,$X53),"")</x:f>
        <x:v>48</x:v>
      </x:c>
      <x:c r="B53" s="14" t="str">
        <x:f>IF(INDEX('Sheet2-计算明细'!$B$17:$B$99,$X53)="","",INDEX('Sheet2-计算明细'!$B$17:$B$99,$X53))</x:f>
        <x:v>殊馥兴义6号</x:v>
      </x:c>
      <x:c r="C53" s="14" t="str">
        <x:f>IF(INDEX('Sheet2-计算明细'!$C$17:$C$99,$X53)="","",INDEX('Sheet2-计算明细'!$C$17:$C$99,$X53))</x:f>
        <x:v>SXQ267</x:v>
      </x:c>
      <x:c r="D53" s="14" t="str">
        <x:f>IF(INDEX('Sheet2-计算明细'!$D$17:$D$99,$X53)="","",INDEX('Sheet2-计算明细'!$D$17:$D$99,$X53))</x:f>
        <x:v>上海殊馥投资</x:v>
      </x:c>
      <x:c r="E53" s="14" t="str">
        <x:f>IF(INDEX('Sheet2-计算明细'!$G$17:$G$99,$X53)="","",INDEX('Sheet2-计算明细'!$G$17:$G$99,$X53))</x:f>
        <x:v>入池</x:v>
      </x:c>
      <x:c r="F53" s="52" t="n">
        <x:f>IF(ISNUMBER(INDEX('Sheet2-计算明细'!$I$17:$I$99,$X53)),INDEX('Sheet2-计算明细'!$I$17:$I$99,$X53),"")</x:f>
        <x:v>80</x:v>
      </x:c>
      <x:c r="G53" s="52" t="n">
        <x:f>IF(ISNUMBER(INDEX('Sheet2-计算明细'!$K$17:$K$99,$X53)),INDEX('Sheet2-计算明细'!$K$17:$K$99,$X53),"")</x:f>
        <x:v>100</x:v>
      </x:c>
      <x:c r="H53" s="52" t="n">
        <x:f>IF(ISNUMBER(INDEX('Sheet2-计算明细'!$L$17:$L$99,$X53)),INDEX('Sheet2-计算明细'!$L$17:$L$99,$X53),"")</x:f>
        <x:v>100</x:v>
      </x:c>
      <x:c r="I53" s="52" t="n">
        <x:f>IF(ISNUMBER(INDEX('Sheet2-计算明细'!$S$17:$S$99,$X53)),INDEX('Sheet2-计算明细'!$S$17:$S$99,$X53),"")</x:f>
        <x:v>37.23</x:v>
      </x:c>
      <x:c r="J53" s="52" t="n">
        <x:f>IF(ISNUMBER(INDEX('Sheet2-计算明细'!$Y$17:$Y$99,$X53)),INDEX('Sheet2-计算明细'!$Y$17:$Y$99,$X53),"")</x:f>
        <x:v>79.49</x:v>
      </x:c>
      <x:c r="K53" s="52" t="n">
        <x:f>IF(ISNUMBER(INDEX('Sheet2-计算明细'!$AC$17:$AC$99,$X53)),INDEX('Sheet2-计算明细'!$AC$17:$AC$99,$X53),"")</x:f>
        <x:v>62.07</x:v>
      </x:c>
      <x:c r="L53" s="52" t="n">
        <x:f>IF(ISNUMBER(INDEX('Sheet2-计算明细'!$AI$17:$AI$99,$X53)),INDEX('Sheet2-计算明细'!$AI$17:$AI$99,$X53),"")</x:f>
        <x:v>30.91</x:v>
      </x:c>
      <x:c r="M53" s="52" t="n">
        <x:f>IF(ISNUMBER(INDEX('Sheet2-计算明细'!$AK$17:$AK$99,$X53)),INDEX('Sheet2-计算明细'!$AK$17:$AK$99,$X53),"")</x:f>
        <x:v>100</x:v>
      </x:c>
      <x:c r="N53" s="52" t="n">
        <x:f>IF(ISNUMBER(INDEX('Sheet2-计算明细'!$AL$17:$AL$99,$X53)),INDEX('Sheet2-计算明细'!$AL$17:$AL$99,$X53),"")</x:f>
        <x:v>92</x:v>
      </x:c>
      <x:c r="O53" s="52" t="n">
        <x:f>IF(ISNUMBER(INDEX('Sheet2-计算明细'!$AM$17:$AM$99,$X53)),INDEX('Sheet2-计算明细'!$AM$17:$AM$99,$X53),"")</x:f>
        <x:v>49.91</x:v>
      </x:c>
      <x:c r="P53" s="52" t="n">
        <x:f>IF(ISNUMBER(INDEX('Sheet2-计算明细'!$AN$17:$AN$99,$X53)),INDEX('Sheet2-计算明细'!$AN$17:$AN$99,$X53),"")</x:f>
        <x:v>62.07</x:v>
      </x:c>
      <x:c r="Q53" s="52" t="n">
        <x:f>IF(ISNUMBER(INDEX('Sheet2-计算明细'!$AO$17:$AO$99,$X53)),INDEX('Sheet2-计算明细'!$AO$17:$AO$99,$X53),"")</x:f>
        <x:v>30.91</x:v>
      </x:c>
      <x:c r="R53" s="52" t="n">
        <x:f>IF(ISNUMBER(INDEX('Sheet2-计算明细'!$AP$17:$AP$99,$X53)),INDEX('Sheet2-计算明细'!$AP$17:$AP$99,$X53),"")</x:f>
        <x:v>100</x:v>
      </x:c>
      <x:c r="S53" s="27" t="n">
        <x:f>IF(ISNUMBER(INDEX('Sheet2-计算明细'!$AQ$17:$AQ$99,$X53)),INDEX('Sheet2-计算明细'!$AQ$17:$AQ$99,$X53),"")</x:f>
        <x:v>0.88</x:v>
      </x:c>
      <x:c r="T53" s="52" t="n">
        <x:f>IF(ISNUMBER(INDEX('Sheet2-计算明细'!$AR$17:$AR$99,$X53)),INDEX('Sheet2-计算明细'!$AR$17:$AR$99,$X53),"")</x:f>
        <x:v>54.86318</x:v>
      </x:c>
      <x:c r="U53" s="52" t="n">
        <x:f>IF(ISNUMBER(INDEX('Sheet2-计算明细'!$AS$17:$AS$99,$X53)),INDEX('Sheet2-计算明细'!$AS$17:$AS$99,$X53),"")</x:f>
        <x:v>62.34</x:v>
      </x:c>
      <x:c r="V53" s="52" t="str">
        <x:f>IF(ISNUMBER(INDEX('Sheet2-计算明细'!$AV$17:$AV$99,$X53)),INDEX('Sheet2-计算明细'!$AV$17:$AV$99,$X53),"")</x:f>
      </x:c>
      <x:c r="W53" s="40" t="str">
        <x:f>IF(INDEX('Sheet2-计算明细'!$AU$17:$AU$99,$X53)="","",INDEX('Sheet2-计算明细'!$AU$17:$AU$99,$X53))</x:f>
        <x:v>DD_long不可识别；</x:v>
      </x:c>
      <x:c r="X53" s="49" t="n">
        <x:f>MATCH(ROWS($X$6:X53),'Sheet2-计算明细'!$BJ$17:$BJ$99,0)</x:f>
        <x:v>61</x:v>
      </x:c>
      <x:c r="Y53" s="14" t="str">
        <x:f>IF(INDEX('Sheet2-计算明细'!$AX$17:$AX$99,$X53)="","",INDEX('Sheet2-计算明细'!$AX$17:$AX$99,$X53))</x:f>
        <x:v>套利策略</x:v>
      </x:c>
      <x:c r="Z53" s="14" t="str">
        <x:f>IF(INDEX('Sheet2-计算明细'!$AY$17:$AY$99,$X53)="","",INDEX('Sheet2-计算明细'!$AY$17:$AY$99,$X53))</x:f>
        <x:v>期货套利</x:v>
      </x:c>
      <x:c r="AA53" s="14" t="str">
        <x:f>IF(INDEX('Sheet2-计算明细'!$AW$17:$AW$99,$X53)="","",INDEX('Sheet2-计算明细'!$AW$17:$AW$99,$X53))</x:f>
        <x:v>暂定分／数据不完整</x:v>
      </x:c>
      <x:c r="AB53" s="49" t="n">
        <x:f>IF(ISNUMBER(INDEX('Sheet2-计算明细'!$A$17:$A$99,$X53)),INDEX('Sheet2-计算明细'!$A$17:$A$99,$X53),"")</x:f>
        <x:v>61</x:v>
      </x:c>
    </x:row>
    <x:row r="54" ht="44" customHeight="1">
      <x:c r="A54" s="14" t="n">
        <x:f>IF(ISNUMBER(INDEX('Sheet2-计算明细'!$AT$17:$AT$99,$X54)),INDEX('Sheet2-计算明细'!$AT$17:$AT$99,$X54),"")</x:f>
        <x:v>49</x:v>
      </x:c>
      <x:c r="B54" s="14" t="str">
        <x:f>IF(INDEX('Sheet2-计算明细'!$B$17:$B$99,$X54)="","",INDEX('Sheet2-计算明细'!$B$17:$B$99,$X54))</x:f>
        <x:v>广联宏丰利1号</x:v>
      </x:c>
      <x:c r="C54" s="14" t="str">
        <x:f>IF(INDEX('Sheet2-计算明细'!$C$17:$C$99,$X54)="","",INDEX('Sheet2-计算明细'!$C$17:$C$99,$X54))</x:f>
        <x:v>SAGN89</x:v>
      </x:c>
      <x:c r="D54" s="14" t="str">
        <x:f>IF(INDEX('Sheet2-计算明细'!$D$17:$D$99,$X54)="","",INDEX('Sheet2-计算明细'!$D$17:$D$99,$X54))</x:f>
        <x:v>海南广联宏</x:v>
      </x:c>
      <x:c r="E54" s="14" t="str">
        <x:f>IF(INDEX('Sheet2-计算明细'!$G$17:$G$99,$X54)="","",INDEX('Sheet2-计算明细'!$G$17:$G$99,$X54))</x:f>
        <x:v>入池</x:v>
      </x:c>
      <x:c r="F54" s="52" t="n">
        <x:f>IF(ISNUMBER(INDEX('Sheet2-计算明细'!$I$17:$I$99,$X54)),INDEX('Sheet2-计算明细'!$I$17:$I$99,$X54),"")</x:f>
        <x:v>70</x:v>
      </x:c>
      <x:c r="G54" s="52" t="n">
        <x:f>IF(ISNUMBER(INDEX('Sheet2-计算明细'!$K$17:$K$99,$X54)),INDEX('Sheet2-计算明细'!$K$17:$K$99,$X54),"")</x:f>
        <x:v>100</x:v>
      </x:c>
      <x:c r="H54" s="52" t="n">
        <x:f>IF(ISNUMBER(INDEX('Sheet2-计算明细'!$L$17:$L$99,$X54)),INDEX('Sheet2-计算明细'!$L$17:$L$99,$X54),"")</x:f>
        <x:v>70</x:v>
      </x:c>
      <x:c r="I54" s="52" t="n">
        <x:f>IF(ISNUMBER(INDEX('Sheet2-计算明细'!$S$17:$S$99,$X54)),INDEX('Sheet2-计算明细'!$S$17:$S$99,$X54),"")</x:f>
        <x:v>100</x:v>
      </x:c>
      <x:c r="J54" s="52" t="n">
        <x:f>IF(ISNUMBER(INDEX('Sheet2-计算明细'!$Y$17:$Y$99,$X54)),INDEX('Sheet2-计算明细'!$Y$17:$Y$99,$X54),"")</x:f>
        <x:v>84.62</x:v>
      </x:c>
      <x:c r="K54" s="52" t="n">
        <x:f>IF(ISNUMBER(INDEX('Sheet2-计算明细'!$AC$17:$AC$99,$X54)),INDEX('Sheet2-计算明细'!$AC$17:$AC$99,$X54),"")</x:f>
        <x:v>13.79</x:v>
      </x:c>
      <x:c r="L54" s="52" t="n">
        <x:f>IF(ISNUMBER(INDEX('Sheet2-计算明细'!$AI$17:$AI$99,$X54)),INDEX('Sheet2-计算明细'!$AI$17:$AI$99,$X54),"")</x:f>
        <x:v>54.55</x:v>
      </x:c>
      <x:c r="M54" s="52" t="n">
        <x:f>IF(ISNUMBER(INDEX('Sheet2-计算明细'!$AK$17:$AK$99,$X54)),INDEX('Sheet2-计算明细'!$AK$17:$AK$99,$X54),"")</x:f>
        <x:v>100</x:v>
      </x:c>
      <x:c r="N54" s="52" t="n">
        <x:f>IF(ISNUMBER(INDEX('Sheet2-计算明细'!$AL$17:$AL$99,$X54)),INDEX('Sheet2-计算明细'!$AL$17:$AL$99,$X54),"")</x:f>
        <x:v>79</x:v>
      </x:c>
      <x:c r="O54" s="52" t="n">
        <x:f>IF(ISNUMBER(INDEX('Sheet2-计算明细'!$AM$17:$AM$99,$X54)),INDEX('Sheet2-计算明细'!$AM$17:$AM$99,$X54),"")</x:f>
        <x:v>96.85</x:v>
      </x:c>
      <x:c r="P54" s="52" t="n">
        <x:f>IF(ISNUMBER(INDEX('Sheet2-计算明细'!$AN$17:$AN$99,$X54)),INDEX('Sheet2-计算明细'!$AN$17:$AN$99,$X54),"")</x:f>
        <x:v>13.79</x:v>
      </x:c>
      <x:c r="Q54" s="52" t="n">
        <x:f>IF(ISNUMBER(INDEX('Sheet2-计算明细'!$AO$17:$AO$99,$X54)),INDEX('Sheet2-计算明细'!$AO$17:$AO$99,$X54),"")</x:f>
        <x:v>54.55</x:v>
      </x:c>
      <x:c r="R54" s="52" t="n">
        <x:f>IF(ISNUMBER(INDEX('Sheet2-计算明细'!$AP$17:$AP$99,$X54)),INDEX('Sheet2-计算明细'!$AP$17:$AP$99,$X54),"")</x:f>
        <x:v>100</x:v>
      </x:c>
      <x:c r="S54" s="27" t="n">
        <x:f>IF(ISNUMBER(INDEX('Sheet2-计算明细'!$AQ$17:$AQ$99,$X54)),INDEX('Sheet2-计算明细'!$AQ$17:$AQ$99,$X54),"")</x:f>
        <x:v>0.856</x:v>
      </x:c>
      <x:c r="T54" s="52" t="n">
        <x:f>IF(ISNUMBER(INDEX('Sheet2-计算明细'!$AR$17:$AR$99,$X54)),INDEX('Sheet2-计算明细'!$AR$17:$AR$99,$X54),"")</x:f>
        <x:v>52.162819999999996</x:v>
      </x:c>
      <x:c r="U54" s="52" t="n">
        <x:f>IF(ISNUMBER(INDEX('Sheet2-计算明细'!$AS$17:$AS$99,$X54)),INDEX('Sheet2-计算明细'!$AS$17:$AS$99,$X54),"")</x:f>
        <x:v>60.94</x:v>
      </x:c>
      <x:c r="V54" s="52" t="str">
        <x:f>IF(ISNUMBER(INDEX('Sheet2-计算明细'!$AV$17:$AV$99,$X54)),INDEX('Sheet2-计算明细'!$AV$17:$AV$99,$X54),"")</x:f>
      </x:c>
      <x:c r="W54" s="40" t="str">
        <x:f>IF(INDEX('Sheet2-计算明细'!$AU$17:$AU$99,$X54)="","",INDEX('Sheet2-计算明细'!$AU$17:$AU$99,$X54))</x:f>
        <x:v>近三年收益；近三年胜率；近三年回撤；DD_long不可识别；</x:v>
      </x:c>
      <x:c r="X54" s="49" t="n">
        <x:f>MATCH(ROWS($X$6:X54),'Sheet2-计算明细'!$BJ$17:$BJ$99,0)</x:f>
        <x:v>17</x:v>
      </x:c>
      <x:c r="Y54" s="14" t="str">
        <x:f>IF(INDEX('Sheet2-计算明细'!$AX$17:$AX$99,$X54)="","",INDEX('Sheet2-计算明细'!$AX$17:$AX$99,$X54))</x:f>
        <x:v>套利策略</x:v>
      </x:c>
      <x:c r="Z54" s="14" t="str">
        <x:f>IF(INDEX('Sheet2-计算明细'!$AY$17:$AY$99,$X54)="","",INDEX('Sheet2-计算明细'!$AY$17:$AY$99,$X54))</x:f>
        <x:v>期货套利</x:v>
      </x:c>
      <x:c r="AA54" s="14" t="str">
        <x:f>IF(INDEX('Sheet2-计算明细'!$AW$17:$AW$99,$X54)="","",INDEX('Sheet2-计算明细'!$AW$17:$AW$99,$X54))</x:f>
        <x:v>暂定分／数据不完整</x:v>
      </x:c>
      <x:c r="AB54" s="49" t="n">
        <x:f>IF(ISNUMBER(INDEX('Sheet2-计算明细'!$A$17:$A$99,$X54)),INDEX('Sheet2-计算明细'!$A$17:$A$99,$X54),"")</x:f>
        <x:v>17</x:v>
      </x:c>
    </x:row>
    <x:row r="55" ht="44" customHeight="1">
      <x:c r="A55" s="14" t="n">
        <x:f>IF(ISNUMBER(INDEX('Sheet2-计算明细'!$AT$17:$AT$99,$X55)),INDEX('Sheet2-计算明细'!$AT$17:$AT$99,$X55),"")</x:f>
        <x:v>50</x:v>
      </x:c>
      <x:c r="B55" s="14" t="str">
        <x:f>IF(INDEX('Sheet2-计算明细'!$B$17:$B$99,$X55)="","",INDEX('Sheet2-计算明细'!$B$17:$B$99,$X55))</x:f>
        <x:v>佳泽信享5号A类</x:v>
      </x:c>
      <x:c r="C55" s="14" t="str">
        <x:f>IF(INDEX('Sheet2-计算明细'!$C$17:$C$99,$X55)="","",INDEX('Sheet2-计算明细'!$C$17:$C$99,$X55))</x:f>
        <x:v>ZC395A</x:v>
      </x:c>
      <x:c r="D55" s="14" t="str">
        <x:f>IF(INDEX('Sheet2-计算明细'!$D$17:$D$99,$X55)="","",INDEX('Sheet2-计算明细'!$D$17:$D$99,$X55))</x:f>
        <x:v>海南佳泽</x:v>
      </x:c>
      <x:c r="E55" s="14" t="str">
        <x:f>IF(INDEX('Sheet2-计算明细'!$G$17:$G$99,$X55)="","",INDEX('Sheet2-计算明细'!$G$17:$G$99,$X55))</x:f>
        <x:v>入池</x:v>
      </x:c>
      <x:c r="F55" s="52" t="n">
        <x:f>IF(ISNUMBER(INDEX('Sheet2-计算明细'!$I$17:$I$99,$X55)),INDEX('Sheet2-计算明细'!$I$17:$I$99,$X55),"")</x:f>
        <x:v>60</x:v>
      </x:c>
      <x:c r="G55" s="52" t="str">
        <x:f>IF(ISNUMBER(INDEX('Sheet2-计算明细'!$K$17:$K$99,$X55)),INDEX('Sheet2-计算明细'!$K$17:$K$99,$X55),"")</x:f>
      </x:c>
      <x:c r="H55" s="52" t="n">
        <x:f>IF(ISNUMBER(INDEX('Sheet2-计算明细'!$L$17:$L$99,$X55)),INDEX('Sheet2-计算明细'!$L$17:$L$99,$X55),"")</x:f>
        <x:v>100</x:v>
      </x:c>
      <x:c r="I55" s="52" t="n">
        <x:f>IF(ISNUMBER(INDEX('Sheet2-计算明细'!$S$17:$S$99,$X55)),INDEX('Sheet2-计算明细'!$S$17:$S$99,$X55),"")</x:f>
        <x:v>30.65</x:v>
      </x:c>
      <x:c r="J55" s="52" t="n">
        <x:f>IF(ISNUMBER(INDEX('Sheet2-计算明细'!$Y$17:$Y$99,$X55)),INDEX('Sheet2-计算明细'!$Y$17:$Y$99,$X55),"")</x:f>
        <x:v>85.38</x:v>
      </x:c>
      <x:c r="K55" s="52" t="n">
        <x:f>IF(ISNUMBER(INDEX('Sheet2-计算明细'!$AC$17:$AC$99,$X55)),INDEX('Sheet2-计算明细'!$AC$17:$AC$99,$X55),"")</x:f>
        <x:v>50</x:v>
      </x:c>
      <x:c r="L55" s="52" t="n">
        <x:f>IF(ISNUMBER(INDEX('Sheet2-计算明细'!$AI$17:$AI$99,$X55)),INDEX('Sheet2-计算明细'!$AI$17:$AI$99,$X55),"")</x:f>
        <x:v>59.01</x:v>
      </x:c>
      <x:c r="M55" s="52" t="n">
        <x:f>IF(ISNUMBER(INDEX('Sheet2-计算明细'!$AK$17:$AK$99,$X55)),INDEX('Sheet2-计算明细'!$AK$17:$AK$99,$X55),"")</x:f>
        <x:v>100</x:v>
      </x:c>
      <x:c r="N55" s="52" t="n">
        <x:f>IF(ISNUMBER(INDEX('Sheet2-计算明细'!$AL$17:$AL$99,$X55)),INDEX('Sheet2-计算明细'!$AL$17:$AL$99,$X55),"")</x:f>
        <x:v>77.14</x:v>
      </x:c>
      <x:c r="O55" s="52" t="n">
        <x:f>IF(ISNUMBER(INDEX('Sheet2-计算明细'!$AM$17:$AM$99,$X55)),INDEX('Sheet2-计算明细'!$AM$17:$AM$99,$X55),"")</x:f>
        <x:v>47.07</x:v>
      </x:c>
      <x:c r="P55" s="52" t="n">
        <x:f>IF(ISNUMBER(INDEX('Sheet2-计算明细'!$AN$17:$AN$99,$X55)),INDEX('Sheet2-计算明细'!$AN$17:$AN$99,$X55),"")</x:f>
        <x:v>50</x:v>
      </x:c>
      <x:c r="Q55" s="52" t="n">
        <x:f>IF(ISNUMBER(INDEX('Sheet2-计算明细'!$AO$17:$AO$99,$X55)),INDEX('Sheet2-计算明细'!$AO$17:$AO$99,$X55),"")</x:f>
        <x:v>59.01</x:v>
      </x:c>
      <x:c r="R55" s="52" t="n">
        <x:f>IF(ISNUMBER(INDEX('Sheet2-计算明细'!$AP$17:$AP$99,$X55)),INDEX('Sheet2-计算明细'!$AP$17:$AP$99,$X55),"")</x:f>
        <x:v>100</x:v>
      </x:c>
      <x:c r="S55" s="27" t="n">
        <x:f>IF(ISNUMBER(INDEX('Sheet2-计算明细'!$AQ$17:$AQ$99,$X55)),INDEX('Sheet2-计算明细'!$AQ$17:$AQ$99,$X55),"")</x:f>
        <x:v>0.9549999999999998</x:v>
      </x:c>
      <x:c r="T55" s="52" t="n">
        <x:f>IF(ISNUMBER(INDEX('Sheet2-计算明细'!$AR$17:$AR$99,$X55)),INDEX('Sheet2-计算明细'!$AR$17:$AR$99,$X55),"")</x:f>
        <x:v>57.71800999999999</x:v>
      </x:c>
      <x:c r="U55" s="52" t="n">
        <x:f>IF(ISNUMBER(INDEX('Sheet2-计算明细'!$AS$17:$AS$99,$X55)),INDEX('Sheet2-计算明细'!$AS$17:$AS$99,$X55),"")</x:f>
        <x:v>60.44</x:v>
      </x:c>
      <x:c r="V55" s="52" t="str">
        <x:f>IF(ISNUMBER(INDEX('Sheet2-计算明细'!$AV$17:$AV$99,$X55)),INDEX('Sheet2-计算明细'!$AV$17:$AV$99,$X55),"")</x:f>
      </x:c>
      <x:c r="W55" s="40" t="str">
        <x:f>IF(INDEX('Sheet2-计算明细'!$AU$17:$AU$99,$X55)="","",INDEX('Sheet2-计算明细'!$AU$17:$AU$99,$X55))</x:f>
        <x:v>产品规模标识；</x:v>
      </x:c>
      <x:c r="X55" s="49" t="n">
        <x:f>MATCH(ROWS($X$6:X55),'Sheet2-计算明细'!$BJ$17:$BJ$99,0)</x:f>
        <x:v>22</x:v>
      </x:c>
      <x:c r="Y55" s="14" t="str">
        <x:f>IF(INDEX('Sheet2-计算明细'!$AX$17:$AX$99,$X55)="","",INDEX('Sheet2-计算明细'!$AX$17:$AX$99,$X55))</x:f>
        <x:v>套利策略</x:v>
      </x:c>
      <x:c r="Z55" s="14" t="str">
        <x:f>IF(INDEX('Sheet2-计算明细'!$AY$17:$AY$99,$X55)="","",INDEX('Sheet2-计算明细'!$AY$17:$AY$99,$X55))</x:f>
        <x:v>期货套利</x:v>
      </x:c>
      <x:c r="AA55" s="14" t="str">
        <x:f>IF(INDEX('Sheet2-计算明细'!$AW$17:$AW$99,$X55)="","",INDEX('Sheet2-计算明细'!$AW$17:$AW$99,$X55))</x:f>
        <x:v>暂定分／数据不完整</x:v>
      </x:c>
      <x:c r="AB55" s="49" t="n">
        <x:f>IF(ISNUMBER(INDEX('Sheet2-计算明细'!$A$17:$A$99,$X55)),INDEX('Sheet2-计算明细'!$A$17:$A$99,$X55),"")</x:f>
        <x:v>22</x:v>
      </x:c>
    </x:row>
    <x:row r="56" ht="44" customHeight="1">
      <x:c r="A56" s="14" t="n">
        <x:f>IF(ISNUMBER(INDEX('Sheet2-计算明细'!$AT$17:$AT$99,$X56)),INDEX('Sheet2-计算明细'!$AT$17:$AT$99,$X56),"")</x:f>
        <x:v>51</x:v>
      </x:c>
      <x:c r="B56" s="14" t="str">
        <x:f>IF(INDEX('Sheet2-计算明细'!$B$17:$B$99,$X56)="","",INDEX('Sheet2-计算明细'!$B$17:$B$99,$X56))</x:f>
        <x:v>融昊青松CTA套利一号</x:v>
      </x:c>
      <x:c r="C56" s="14" t="str">
        <x:f>IF(INDEX('Sheet2-计算明细'!$C$17:$C$99,$X56)="","",INDEX('Sheet2-计算明细'!$C$17:$C$99,$X56))</x:f>
        <x:v>S09735</x:v>
      </x:c>
      <x:c r="D56" s="14" t="str">
        <x:f>IF(INDEX('Sheet2-计算明细'!$D$17:$D$99,$X56)="","",INDEX('Sheet2-计算明细'!$D$17:$D$99,$X56))</x:f>
        <x:v>上海融昊投资</x:v>
      </x:c>
      <x:c r="E56" s="14" t="str">
        <x:f>IF(INDEX('Sheet2-计算明细'!$G$17:$G$99,$X56)="","",INDEX('Sheet2-计算明细'!$G$17:$G$99,$X56))</x:f>
        <x:v>入池</x:v>
      </x:c>
      <x:c r="F56" s="52" t="n">
        <x:f>IF(ISNUMBER(INDEX('Sheet2-计算明细'!$I$17:$I$99,$X56)),INDEX('Sheet2-计算明细'!$I$17:$I$99,$X56),"")</x:f>
        <x:v>80</x:v>
      </x:c>
      <x:c r="G56" s="52" t="n">
        <x:f>IF(ISNUMBER(INDEX('Sheet2-计算明细'!$K$17:$K$99,$X56)),INDEX('Sheet2-计算明细'!$K$17:$K$99,$X56),"")</x:f>
        <x:v>100</x:v>
      </x:c>
      <x:c r="H56" s="52" t="n">
        <x:f>IF(ISNUMBER(INDEX('Sheet2-计算明细'!$L$17:$L$99,$X56)),INDEX('Sheet2-计算明细'!$L$17:$L$99,$X56),"")</x:f>
        <x:v>100</x:v>
      </x:c>
      <x:c r="I56" s="52" t="n">
        <x:f>IF(ISNUMBER(INDEX('Sheet2-计算明细'!$S$17:$S$99,$X56)),INDEX('Sheet2-计算明细'!$S$17:$S$99,$X56),"")</x:f>
        <x:v>68.2</x:v>
      </x:c>
      <x:c r="J56" s="52" t="n">
        <x:f>IF(ISNUMBER(INDEX('Sheet2-计算明细'!$Y$17:$Y$99,$X56)),INDEX('Sheet2-计算明细'!$Y$17:$Y$99,$X56),"")</x:f>
        <x:v>80.77</x:v>
      </x:c>
      <x:c r="K56" s="52" t="n">
        <x:f>IF(ISNUMBER(INDEX('Sheet2-计算明细'!$AC$17:$AC$99,$X56)),INDEX('Sheet2-计算明细'!$AC$17:$AC$99,$X56),"")</x:f>
        <x:v>34.48</x:v>
      </x:c>
      <x:c r="L56" s="52" t="n">
        <x:f>IF(ISNUMBER(INDEX('Sheet2-计算明细'!$AI$17:$AI$99,$X56)),INDEX('Sheet2-计算明细'!$AI$17:$AI$99,$X56),"")</x:f>
        <x:v>45.76</x:v>
      </x:c>
      <x:c r="M56" s="52" t="n">
        <x:f>IF(ISNUMBER(INDEX('Sheet2-计算明细'!$AK$17:$AK$99,$X56)),INDEX('Sheet2-计算明细'!$AK$17:$AK$99,$X56),"")</x:f>
        <x:v>80</x:v>
      </x:c>
      <x:c r="N56" s="52" t="n">
        <x:f>IF(ISNUMBER(INDEX('Sheet2-计算明细'!$AL$17:$AL$99,$X56)),INDEX('Sheet2-计算明细'!$AL$17:$AL$99,$X56),"")</x:f>
        <x:v>92</x:v>
      </x:c>
      <x:c r="O56" s="52" t="n">
        <x:f>IF(ISNUMBER(INDEX('Sheet2-计算明细'!$AM$17:$AM$99,$X56)),INDEX('Sheet2-计算明细'!$AM$17:$AM$99,$X56),"")</x:f>
        <x:v>71.97</x:v>
      </x:c>
      <x:c r="P56" s="52" t="n">
        <x:f>IF(ISNUMBER(INDEX('Sheet2-计算明细'!$AN$17:$AN$99,$X56)),INDEX('Sheet2-计算明细'!$AN$17:$AN$99,$X56),"")</x:f>
        <x:v>34.48</x:v>
      </x:c>
      <x:c r="Q56" s="52" t="n">
        <x:f>IF(ISNUMBER(INDEX('Sheet2-计算明细'!$AO$17:$AO$99,$X56)),INDEX('Sheet2-计算明细'!$AO$17:$AO$99,$X56),"")</x:f>
        <x:v>45.76</x:v>
      </x:c>
      <x:c r="R56" s="52" t="n">
        <x:f>IF(ISNUMBER(INDEX('Sheet2-计算明细'!$AP$17:$AP$99,$X56)),INDEX('Sheet2-计算明细'!$AP$17:$AP$99,$X56),"")</x:f>
        <x:v>80</x:v>
      </x:c>
      <x:c r="S56" s="27" t="n">
        <x:f>IF(ISNUMBER(INDEX('Sheet2-计算明细'!$AQ$17:$AQ$99,$X56)),INDEX('Sheet2-计算明细'!$AQ$17:$AQ$99,$X56),"")</x:f>
        <x:v>1</x:v>
      </x:c>
      <x:c r="T56" s="52" t="n">
        <x:f>IF(ISNUMBER(INDEX('Sheet2-计算明细'!$AR$17:$AR$99,$X56)),INDEX('Sheet2-计算明细'!$AR$17:$AR$99,$X56),"")</x:f>
        <x:v>58.5438</x:v>
      </x:c>
      <x:c r="U56" s="52" t="n">
        <x:f>IF(ISNUMBER(INDEX('Sheet2-计算明细'!$AS$17:$AS$99,$X56)),INDEX('Sheet2-计算明细'!$AS$17:$AS$99,$X56),"")</x:f>
        <x:v>58.54</x:v>
      </x:c>
      <x:c r="V56" s="52" t="n">
        <x:f>IF(ISNUMBER(INDEX('Sheet2-计算明细'!$AV$17:$AV$99,$X56)),INDEX('Sheet2-计算明细'!$AV$17:$AV$99,$X56),"")</x:f>
        <x:v>58.5438</x:v>
      </x:c>
      <x:c r="W56" s="40" t="str">
        <x:f>IF(INDEX('Sheet2-计算明细'!$AU$17:$AU$99,$X56)="","",INDEX('Sheet2-计算明细'!$AU$17:$AU$99,$X56))</x:f>
      </x:c>
      <x:c r="X56" s="49" t="n">
        <x:f>MATCH(ROWS($X$6:X56),'Sheet2-计算明细'!$BJ$17:$BJ$99,0)</x:f>
        <x:v>50</x:v>
      </x:c>
      <x:c r="Y56" s="14" t="str">
        <x:f>IF(INDEX('Sheet2-计算明细'!$AX$17:$AX$99,$X56)="","",INDEX('Sheet2-计算明细'!$AX$17:$AX$99,$X56))</x:f>
        <x:v>期货策略</x:v>
      </x:c>
      <x:c r="Z56" s="14" t="str">
        <x:f>IF(INDEX('Sheet2-计算明细'!$AY$17:$AY$99,$X56)="","",INDEX('Sheet2-计算明细'!$AY$17:$AY$99,$X56))</x:f>
        <x:v>主观期货</x:v>
      </x:c>
      <x:c r="AA56" s="14" t="str">
        <x:f>IF(INDEX('Sheet2-计算明细'!$AW$17:$AW$99,$X56)="","",INDEX('Sheet2-计算明细'!$AW$17:$AW$99,$X56))</x:f>
        <x:v>完整赋分</x:v>
      </x:c>
      <x:c r="AB56" s="49" t="n">
        <x:f>IF(ISNUMBER(INDEX('Sheet2-计算明细'!$A$17:$A$99,$X56)),INDEX('Sheet2-计算明细'!$A$17:$A$99,$X56),"")</x:f>
        <x:v>50</x:v>
      </x:c>
    </x:row>
    <x:row r="57" ht="44" customHeight="1">
      <x:c r="A57" s="14" t="n">
        <x:f>IF(ISNUMBER(INDEX('Sheet2-计算明细'!$AT$17:$AT$99,$X57)),INDEX('Sheet2-计算明细'!$AT$17:$AT$99,$X57),"")</x:f>
        <x:v>52</x:v>
      </x:c>
      <x:c r="B57" s="14" t="str">
        <x:f>IF(INDEX('Sheet2-计算明细'!$B$17:$B$99,$X57)="","",INDEX('Sheet2-计算明细'!$B$17:$B$99,$X57))</x:f>
        <x:v>致同稳盈对冲</x:v>
      </x:c>
      <x:c r="C57" s="14" t="str">
        <x:f>IF(INDEX('Sheet2-计算明细'!$C$17:$C$99,$X57)="","",INDEX('Sheet2-计算明细'!$C$17:$C$99,$X57))</x:f>
        <x:v>SS8645</x:v>
      </x:c>
      <x:c r="D57" s="14" t="str">
        <x:f>IF(INDEX('Sheet2-计算明细'!$D$17:$D$99,$X57)="","",INDEX('Sheet2-计算明细'!$D$17:$D$99,$X57))</x:f>
        <x:v>上海致同投资</x:v>
      </x:c>
      <x:c r="E57" s="14" t="str">
        <x:f>IF(INDEX('Sheet2-计算明细'!$G$17:$G$99,$X57)="","",INDEX('Sheet2-计算明细'!$G$17:$G$99,$X57))</x:f>
        <x:v>入池</x:v>
      </x:c>
      <x:c r="F57" s="52" t="n">
        <x:f>IF(ISNUMBER(INDEX('Sheet2-计算明细'!$I$17:$I$99,$X57)),INDEX('Sheet2-计算明细'!$I$17:$I$99,$X57),"")</x:f>
        <x:v>90</x:v>
      </x:c>
      <x:c r="G57" s="52" t="n">
        <x:f>IF(ISNUMBER(INDEX('Sheet2-计算明细'!$K$17:$K$99,$X57)),INDEX('Sheet2-计算明细'!$K$17:$K$99,$X57),"")</x:f>
        <x:v>100</x:v>
      </x:c>
      <x:c r="H57" s="52" t="n">
        <x:f>IF(ISNUMBER(INDEX('Sheet2-计算明细'!$L$17:$L$99,$X57)),INDEX('Sheet2-计算明细'!$L$17:$L$99,$X57),"")</x:f>
        <x:v>100</x:v>
      </x:c>
      <x:c r="I57" s="52" t="n">
        <x:f>IF(ISNUMBER(INDEX('Sheet2-计算明细'!$S$17:$S$99,$X57)),INDEX('Sheet2-计算明细'!$S$17:$S$99,$X57),"")</x:f>
        <x:v>19.27</x:v>
      </x:c>
      <x:c r="J57" s="52" t="n">
        <x:f>IF(ISNUMBER(INDEX('Sheet2-计算明细'!$Y$17:$Y$99,$X57)),INDEX('Sheet2-计算明细'!$Y$17:$Y$99,$X57),"")</x:f>
        <x:v>74.87</x:v>
      </x:c>
      <x:c r="K57" s="52" t="n">
        <x:f>IF(ISNUMBER(INDEX('Sheet2-计算明细'!$AC$17:$AC$99,$X57)),INDEX('Sheet2-计算明细'!$AC$17:$AC$99,$X57),"")</x:f>
        <x:v>67.24</x:v>
      </x:c>
      <x:c r="L57" s="52" t="n">
        <x:f>IF(ISNUMBER(INDEX('Sheet2-计算明细'!$AI$17:$AI$99,$X57)),INDEX('Sheet2-计算明细'!$AI$17:$AI$99,$X57),"")</x:f>
        <x:v>25.45</x:v>
      </x:c>
      <x:c r="M57" s="52" t="n">
        <x:f>IF(ISNUMBER(INDEX('Sheet2-计算明细'!$AK$17:$AK$99,$X57)),INDEX('Sheet2-计算明细'!$AK$17:$AK$99,$X57),"")</x:f>
        <x:v>80</x:v>
      </x:c>
      <x:c r="N57" s="52" t="n">
        <x:f>IF(ISNUMBER(INDEX('Sheet2-计算明细'!$AL$17:$AL$99,$X57)),INDEX('Sheet2-计算明细'!$AL$17:$AL$99,$X57),"")</x:f>
        <x:v>96</x:v>
      </x:c>
      <x:c r="O57" s="52" t="n">
        <x:f>IF(ISNUMBER(INDEX('Sheet2-计算明细'!$AM$17:$AM$99,$X57)),INDEX('Sheet2-计算明细'!$AM$17:$AM$99,$X57),"")</x:f>
        <x:v>35.95</x:v>
      </x:c>
      <x:c r="P57" s="52" t="n">
        <x:f>IF(ISNUMBER(INDEX('Sheet2-计算明细'!$AN$17:$AN$99,$X57)),INDEX('Sheet2-计算明细'!$AN$17:$AN$99,$X57),"")</x:f>
        <x:v>67.24</x:v>
      </x:c>
      <x:c r="Q57" s="52" t="n">
        <x:f>IF(ISNUMBER(INDEX('Sheet2-计算明细'!$AO$17:$AO$99,$X57)),INDEX('Sheet2-计算明细'!$AO$17:$AO$99,$X57),"")</x:f>
        <x:v>25.45</x:v>
      </x:c>
      <x:c r="R57" s="52" t="n">
        <x:f>IF(ISNUMBER(INDEX('Sheet2-计算明细'!$AP$17:$AP$99,$X57)),INDEX('Sheet2-计算明细'!$AP$17:$AP$99,$X57),"")</x:f>
        <x:v>80</x:v>
      </x:c>
      <x:c r="S57" s="27" t="n">
        <x:f>IF(ISNUMBER(INDEX('Sheet2-计算明细'!$AQ$17:$AQ$99,$X57)),INDEX('Sheet2-计算明细'!$AQ$17:$AQ$99,$X57),"")</x:f>
        <x:v>0.88</x:v>
      </x:c>
      <x:c r="T57" s="52" t="n">
        <x:f>IF(ISNUMBER(INDEX('Sheet2-计算明细'!$AR$17:$AR$99,$X57)),INDEX('Sheet2-计算明细'!$AR$17:$AR$99,$X57),"")</x:f>
        <x:v>50.98115</x:v>
      </x:c>
      <x:c r="U57" s="52" t="n">
        <x:f>IF(ISNUMBER(INDEX('Sheet2-计算明细'!$AS$17:$AS$99,$X57)),INDEX('Sheet2-计算明细'!$AS$17:$AS$99,$X57),"")</x:f>
        <x:v>57.93</x:v>
      </x:c>
      <x:c r="V57" s="52" t="str">
        <x:f>IF(ISNUMBER(INDEX('Sheet2-计算明细'!$AV$17:$AV$99,$X57)),INDEX('Sheet2-计算明细'!$AV$17:$AV$99,$X57),"")</x:f>
      </x:c>
      <x:c r="W57" s="40" t="str">
        <x:f>IF(INDEX('Sheet2-计算明细'!$AU$17:$AU$99,$X57)="","",INDEX('Sheet2-计算明细'!$AU$17:$AU$99,$X57))</x:f>
        <x:v>DD_long不可识别；</x:v>
      </x:c>
      <x:c r="X57" s="49" t="n">
        <x:f>MATCH(ROWS($X$6:X57),'Sheet2-计算明细'!$BJ$17:$BJ$99,0)</x:f>
        <x:v>78</x:v>
      </x:c>
      <x:c r="Y57" s="14" t="str">
        <x:f>IF(INDEX('Sheet2-计算明细'!$AX$17:$AX$99,$X57)="","",INDEX('Sheet2-计算明细'!$AX$17:$AX$99,$X57))</x:f>
        <x:v>套利策略</x:v>
      </x:c>
      <x:c r="Z57" s="14" t="str">
        <x:f>IF(INDEX('Sheet2-计算明细'!$AY$17:$AY$99,$X57)="","",INDEX('Sheet2-计算明细'!$AY$17:$AY$99,$X57))</x:f>
        <x:v>期货套利</x:v>
      </x:c>
      <x:c r="AA57" s="14" t="str">
        <x:f>IF(INDEX('Sheet2-计算明细'!$AW$17:$AW$99,$X57)="","",INDEX('Sheet2-计算明细'!$AW$17:$AW$99,$X57))</x:f>
        <x:v>暂定分／数据不完整</x:v>
      </x:c>
      <x:c r="AB57" s="49" t="n">
        <x:f>IF(ISNUMBER(INDEX('Sheet2-计算明细'!$A$17:$A$99,$X57)),INDEX('Sheet2-计算明细'!$A$17:$A$99,$X57),"")</x:f>
        <x:v>78</x:v>
      </x:c>
    </x:row>
    <x:row r="58" ht="44" customHeight="1">
      <x:c r="A58" s="14" t="n">
        <x:f>IF(ISNUMBER(INDEX('Sheet2-计算明细'!$AT$17:$AT$99,$X58)),INDEX('Sheet2-计算明细'!$AT$17:$AT$99,$X58),"")</x:f>
        <x:v>53</x:v>
      </x:c>
      <x:c r="B58" s="14" t="str">
        <x:f>IF(INDEX('Sheet2-计算明细'!$B$17:$B$99,$X58)="","",INDEX('Sheet2-计算明细'!$B$17:$B$99,$X58))</x:f>
        <x:v>博弈树金选套利2号</x:v>
      </x:c>
      <x:c r="C58" s="14" t="str">
        <x:f>IF(INDEX('Sheet2-计算明细'!$C$17:$C$99,$X58)="","",INDEX('Sheet2-计算明细'!$C$17:$C$99,$X58))</x:f>
        <x:v>SXR086</x:v>
      </x:c>
      <x:c r="D58" s="14" t="str">
        <x:f>IF(INDEX('Sheet2-计算明细'!$D$17:$D$99,$X58)="","",INDEX('Sheet2-计算明细'!$D$17:$D$99,$X58))</x:f>
        <x:v>广东丰煜</x:v>
      </x:c>
      <x:c r="E58" s="14" t="str">
        <x:f>IF(INDEX('Sheet2-计算明细'!$G$17:$G$99,$X58)="","",INDEX('Sheet2-计算明细'!$G$17:$G$99,$X58))</x:f>
        <x:v>入池</x:v>
      </x:c>
      <x:c r="F58" s="52" t="n">
        <x:f>IF(ISNUMBER(INDEX('Sheet2-计算明细'!$I$17:$I$99,$X58)),INDEX('Sheet2-计算明细'!$I$17:$I$99,$X58),"")</x:f>
        <x:v>60</x:v>
      </x:c>
      <x:c r="G58" s="52" t="n">
        <x:f>IF(ISNUMBER(INDEX('Sheet2-计算明细'!$K$17:$K$99,$X58)),INDEX('Sheet2-计算明细'!$K$17:$K$99,$X58),"")</x:f>
        <x:v>100</x:v>
      </x:c>
      <x:c r="H58" s="52" t="n">
        <x:f>IF(ISNUMBER(INDEX('Sheet2-计算明细'!$L$17:$L$99,$X58)),INDEX('Sheet2-计算明细'!$L$17:$L$99,$X58),"")</x:f>
        <x:v>100</x:v>
      </x:c>
      <x:c r="I58" s="52" t="n">
        <x:f>IF(ISNUMBER(INDEX('Sheet2-计算明细'!$S$17:$S$99,$X58)),INDEX('Sheet2-计算明细'!$S$17:$S$99,$X58),"")</x:f>
        <x:v>74.56</x:v>
      </x:c>
      <x:c r="J58" s="52" t="n">
        <x:f>IF(ISNUMBER(INDEX('Sheet2-计算明细'!$Y$17:$Y$99,$X58)),INDEX('Sheet2-计算明细'!$Y$17:$Y$99,$X58),"")</x:f>
        <x:v>74.48</x:v>
      </x:c>
      <x:c r="K58" s="52" t="n">
        <x:f>IF(ISNUMBER(INDEX('Sheet2-计算明细'!$AC$17:$AC$99,$X58)),INDEX('Sheet2-计算明细'!$AC$17:$AC$99,$X58),"")</x:f>
        <x:v>22.41</x:v>
      </x:c>
      <x:c r="L58" s="52" t="n">
        <x:f>IF(ISNUMBER(INDEX('Sheet2-计算明细'!$AI$17:$AI$99,$X58)),INDEX('Sheet2-计算明细'!$AI$17:$AI$99,$X58),"")</x:f>
        <x:v>43.64</x:v>
      </x:c>
      <x:c r="M58" s="52" t="n">
        <x:f>IF(ISNUMBER(INDEX('Sheet2-计算明细'!$AK$17:$AK$99,$X58)),INDEX('Sheet2-计算明细'!$AK$17:$AK$99,$X58),"")</x:f>
        <x:v>100</x:v>
      </x:c>
      <x:c r="N58" s="52" t="n">
        <x:f>IF(ISNUMBER(INDEX('Sheet2-计算明细'!$AL$17:$AL$99,$X58)),INDEX('Sheet2-计算明细'!$AL$17:$AL$99,$X58),"")</x:f>
        <x:v>84</x:v>
      </x:c>
      <x:c r="O58" s="52" t="n">
        <x:f>IF(ISNUMBER(INDEX('Sheet2-计算明细'!$AM$17:$AM$99,$X58)),INDEX('Sheet2-计算明细'!$AM$17:$AM$99,$X58),"")</x:f>
        <x:v>74.54</x:v>
      </x:c>
      <x:c r="P58" s="52" t="n">
        <x:f>IF(ISNUMBER(INDEX('Sheet2-计算明细'!$AN$17:$AN$99,$X58)),INDEX('Sheet2-计算明细'!$AN$17:$AN$99,$X58),"")</x:f>
        <x:v>22.41</x:v>
      </x:c>
      <x:c r="Q58" s="52" t="n">
        <x:f>IF(ISNUMBER(INDEX('Sheet2-计算明细'!$AO$17:$AO$99,$X58)),INDEX('Sheet2-计算明细'!$AO$17:$AO$99,$X58),"")</x:f>
        <x:v>43.64</x:v>
      </x:c>
      <x:c r="R58" s="52" t="n">
        <x:f>IF(ISNUMBER(INDEX('Sheet2-计算明细'!$AP$17:$AP$99,$X58)),INDEX('Sheet2-计算明细'!$AP$17:$AP$99,$X58),"")</x:f>
        <x:v>100</x:v>
      </x:c>
      <x:c r="S58" s="27" t="n">
        <x:f>IF(ISNUMBER(INDEX('Sheet2-计算明细'!$AQ$17:$AQ$99,$X58)),INDEX('Sheet2-计算明细'!$AQ$17:$AQ$99,$X58),"")</x:f>
        <x:v>0.88</x:v>
      </x:c>
      <x:c r="T58" s="52" t="n">
        <x:f>IF(ISNUMBER(INDEX('Sheet2-计算明细'!$AR$17:$AR$99,$X58)),INDEX('Sheet2-计算明细'!$AR$17:$AR$99,$X58),"")</x:f>
        <x:v>50.965149999999994</x:v>
      </x:c>
      <x:c r="U58" s="52" t="n">
        <x:f>IF(ISNUMBER(INDEX('Sheet2-计算明细'!$AS$17:$AS$99,$X58)),INDEX('Sheet2-计算明细'!$AS$17:$AS$99,$X58),"")</x:f>
        <x:v>57.91</x:v>
      </x:c>
      <x:c r="V58" s="52" t="str">
        <x:f>IF(ISNUMBER(INDEX('Sheet2-计算明细'!$AV$17:$AV$99,$X58)),INDEX('Sheet2-计算明细'!$AV$17:$AV$99,$X58),"")</x:f>
      </x:c>
      <x:c r="W58" s="40" t="str">
        <x:f>IF(INDEX('Sheet2-计算明细'!$AU$17:$AU$99,$X58)="","",INDEX('Sheet2-计算明细'!$AU$17:$AU$99,$X58))</x:f>
        <x:v>DD_long不可识别；</x:v>
      </x:c>
      <x:c r="X58" s="49" t="n">
        <x:f>MATCH(ROWS($X$6:X58),'Sheet2-计算明细'!$BJ$17:$BJ$99,0)</x:f>
        <x:v>6</x:v>
      </x:c>
      <x:c r="Y58" s="14" t="str">
        <x:f>IF(INDEX('Sheet2-计算明细'!$AX$17:$AX$99,$X58)="","",INDEX('Sheet2-计算明细'!$AX$17:$AX$99,$X58))</x:f>
        <x:v>套利策略</x:v>
      </x:c>
      <x:c r="Z58" s="14" t="str">
        <x:f>IF(INDEX('Sheet2-计算明细'!$AY$17:$AY$99,$X58)="","",INDEX('Sheet2-计算明细'!$AY$17:$AY$99,$X58))</x:f>
        <x:v>期货套利</x:v>
      </x:c>
      <x:c r="AA58" s="14" t="str">
        <x:f>IF(INDEX('Sheet2-计算明细'!$AW$17:$AW$99,$X58)="","",INDEX('Sheet2-计算明细'!$AW$17:$AW$99,$X58))</x:f>
        <x:v>暂定分／数据不完整</x:v>
      </x:c>
      <x:c r="AB58" s="49" t="n">
        <x:f>IF(ISNUMBER(INDEX('Sheet2-计算明细'!$A$17:$A$99,$X58)),INDEX('Sheet2-计算明细'!$A$17:$A$99,$X58),"")</x:f>
        <x:v>6</x:v>
      </x:c>
    </x:row>
    <x:row r="59" ht="44" customHeight="1">
      <x:c r="A59" s="14" t="n">
        <x:f>IF(ISNUMBER(INDEX('Sheet2-计算明细'!$AT$17:$AT$99,$X59)),INDEX('Sheet2-计算明细'!$AT$17:$AT$99,$X59),"")</x:f>
        <x:v>54</x:v>
      </x:c>
      <x:c r="B59" s="14" t="str">
        <x:f>IF(INDEX('Sheet2-计算明细'!$B$17:$B$99,$X59)="","",INDEX('Sheet2-计算明细'!$B$17:$B$99,$X59))</x:f>
        <x:v>慕途基本面量化2号</x:v>
      </x:c>
      <x:c r="C59" s="14" t="str">
        <x:f>IF(INDEX('Sheet2-计算明细'!$C$17:$C$99,$X59)="","",INDEX('Sheet2-计算明细'!$C$17:$C$99,$X59))</x:f>
        <x:v>SB9576</x:v>
      </x:c>
      <x:c r="D59" s="14" t="str">
        <x:f>IF(INDEX('Sheet2-计算明细'!$D$17:$D$99,$X59)="","",INDEX('Sheet2-计算明细'!$D$17:$D$99,$X59))</x:f>
        <x:v>慕途基金</x:v>
      </x:c>
      <x:c r="E59" s="14" t="str">
        <x:f>IF(INDEX('Sheet2-计算明细'!$G$17:$G$99,$X59)="","",INDEX('Sheet2-计算明细'!$G$17:$G$99,$X59))</x:f>
        <x:v>入池</x:v>
      </x:c>
      <x:c r="F59" s="52" t="n">
        <x:f>IF(ISNUMBER(INDEX('Sheet2-计算明细'!$I$17:$I$99,$X59)),INDEX('Sheet2-计算明细'!$I$17:$I$99,$X59),"")</x:f>
        <x:v>80</x:v>
      </x:c>
      <x:c r="G59" s="52" t="n">
        <x:f>IF(ISNUMBER(INDEX('Sheet2-计算明细'!$K$17:$K$99,$X59)),INDEX('Sheet2-计算明细'!$K$17:$K$99,$X59),"")</x:f>
        <x:v>100</x:v>
      </x:c>
      <x:c r="H59" s="52" t="n">
        <x:f>IF(ISNUMBER(INDEX('Sheet2-计算明细'!$L$17:$L$99,$X59)),INDEX('Sheet2-计算明细'!$L$17:$L$99,$X59),"")</x:f>
        <x:v>100</x:v>
      </x:c>
      <x:c r="I59" s="52" t="n">
        <x:f>IF(ISNUMBER(INDEX('Sheet2-计算明细'!$S$17:$S$99,$X59)),INDEX('Sheet2-计算明细'!$S$17:$S$99,$X59),"")</x:f>
        <x:v>67.71</x:v>
      </x:c>
      <x:c r="J59" s="52" t="n">
        <x:f>IF(ISNUMBER(INDEX('Sheet2-计算明细'!$Y$17:$Y$99,$X59)),INDEX('Sheet2-计算明细'!$Y$17:$Y$99,$X59),"")</x:f>
        <x:v>74.87</x:v>
      </x:c>
      <x:c r="K59" s="52" t="n">
        <x:f>IF(ISNUMBER(INDEX('Sheet2-计算明细'!$AC$17:$AC$99,$X59)),INDEX('Sheet2-计算明细'!$AC$17:$AC$99,$X59),"")</x:f>
        <x:v>29.31</x:v>
      </x:c>
      <x:c r="L59" s="52" t="n">
        <x:f>IF(ISNUMBER(INDEX('Sheet2-计算明细'!$AI$17:$AI$99,$X59)),INDEX('Sheet2-计算明细'!$AI$17:$AI$99,$X59),"")</x:f>
        <x:v>27.27</x:v>
      </x:c>
      <x:c r="M59" s="52" t="n">
        <x:f>IF(ISNUMBER(INDEX('Sheet2-计算明细'!$AK$17:$AK$99,$X59)),INDEX('Sheet2-计算明细'!$AK$17:$AK$99,$X59),"")</x:f>
        <x:v>100</x:v>
      </x:c>
      <x:c r="N59" s="52" t="n">
        <x:f>IF(ISNUMBER(INDEX('Sheet2-计算明细'!$AL$17:$AL$99,$X59)),INDEX('Sheet2-计算明细'!$AL$17:$AL$99,$X59),"")</x:f>
        <x:v>92</x:v>
      </x:c>
      <x:c r="O59" s="52" t="n">
        <x:f>IF(ISNUMBER(INDEX('Sheet2-计算明细'!$AM$17:$AM$99,$X59)),INDEX('Sheet2-计算明细'!$AM$17:$AM$99,$X59),"")</x:f>
        <x:v>69.86</x:v>
      </x:c>
      <x:c r="P59" s="52" t="n">
        <x:f>IF(ISNUMBER(INDEX('Sheet2-计算明细'!$AN$17:$AN$99,$X59)),INDEX('Sheet2-计算明细'!$AN$17:$AN$99,$X59),"")</x:f>
        <x:v>29.31</x:v>
      </x:c>
      <x:c r="Q59" s="52" t="n">
        <x:f>IF(ISNUMBER(INDEX('Sheet2-计算明细'!$AO$17:$AO$99,$X59)),INDEX('Sheet2-计算明细'!$AO$17:$AO$99,$X59),"")</x:f>
        <x:v>27.27</x:v>
      </x:c>
      <x:c r="R59" s="52" t="n">
        <x:f>IF(ISNUMBER(INDEX('Sheet2-计算明细'!$AP$17:$AP$99,$X59)),INDEX('Sheet2-计算明细'!$AP$17:$AP$99,$X59),"")</x:f>
        <x:v>100</x:v>
      </x:c>
      <x:c r="S59" s="27" t="n">
        <x:f>IF(ISNUMBER(INDEX('Sheet2-计算明细'!$AQ$17:$AQ$99,$X59)),INDEX('Sheet2-计算明细'!$AQ$17:$AQ$99,$X59),"")</x:f>
        <x:v>0.88</x:v>
      </x:c>
      <x:c r="T59" s="52" t="n">
        <x:f>IF(ISNUMBER(INDEX('Sheet2-计算明细'!$AR$17:$AR$99,$X59)),INDEX('Sheet2-计算明细'!$AR$17:$AR$99,$X59),"")</x:f>
        <x:v>50.00757</x:v>
      </x:c>
      <x:c r="U59" s="52" t="n">
        <x:f>IF(ISNUMBER(INDEX('Sheet2-计算明细'!$AS$17:$AS$99,$X59)),INDEX('Sheet2-计算明细'!$AS$17:$AS$99,$X59),"")</x:f>
        <x:v>56.83</x:v>
      </x:c>
      <x:c r="V59" s="52" t="str">
        <x:f>IF(ISNUMBER(INDEX('Sheet2-计算明细'!$AV$17:$AV$99,$X59)),INDEX('Sheet2-计算明细'!$AV$17:$AV$99,$X59),"")</x:f>
      </x:c>
      <x:c r="W59" s="40" t="str">
        <x:f>IF(INDEX('Sheet2-计算明细'!$AU$17:$AU$99,$X59)="","",INDEX('Sheet2-计算明细'!$AU$17:$AU$99,$X59))</x:f>
        <x:v>DD_long不可识别；</x:v>
      </x:c>
      <x:c r="X59" s="49" t="n">
        <x:f>MATCH(ROWS($X$6:X59),'Sheet2-计算明细'!$BJ$17:$BJ$99,0)</x:f>
        <x:v>41</x:v>
      </x:c>
      <x:c r="Y59" s="14" t="str">
        <x:f>IF(INDEX('Sheet2-计算明细'!$AX$17:$AX$99,$X59)="","",INDEX('Sheet2-计算明细'!$AX$17:$AX$99,$X59))</x:f>
        <x:v>套利策略</x:v>
      </x:c>
      <x:c r="Z59" s="14" t="str">
        <x:f>IF(INDEX('Sheet2-计算明细'!$AY$17:$AY$99,$X59)="","",INDEX('Sheet2-计算明细'!$AY$17:$AY$99,$X59))</x:f>
        <x:v>期货套利</x:v>
      </x:c>
      <x:c r="AA59" s="14" t="str">
        <x:f>IF(INDEX('Sheet2-计算明细'!$AW$17:$AW$99,$X59)="","",INDEX('Sheet2-计算明细'!$AW$17:$AW$99,$X59))</x:f>
        <x:v>暂定分／数据不完整</x:v>
      </x:c>
      <x:c r="AB59" s="49" t="n">
        <x:f>IF(ISNUMBER(INDEX('Sheet2-计算明细'!$A$17:$A$99,$X59)),INDEX('Sheet2-计算明细'!$A$17:$A$99,$X59),"")</x:f>
        <x:v>41</x:v>
      </x:c>
    </x:row>
    <x:row r="60" ht="44" customHeight="1">
      <x:c r="A60" s="14" t="n">
        <x:f>IF(ISNUMBER(INDEX('Sheet2-计算明细'!$AT$17:$AT$99,$X60)),INDEX('Sheet2-计算明细'!$AT$17:$AT$99,$X60),"")</x:f>
        <x:v>55</x:v>
      </x:c>
      <x:c r="B60" s="14" t="str">
        <x:f>IF(INDEX('Sheet2-计算明细'!$B$17:$B$99,$X60)="","",INDEX('Sheet2-计算明细'!$B$17:$B$99,$X60))</x:f>
        <x:v>在赢套利一号</x:v>
      </x:c>
      <x:c r="C60" s="14" t="str">
        <x:f>IF(INDEX('Sheet2-计算明细'!$C$17:$C$99,$X60)="","",INDEX('Sheet2-计算明细'!$C$17:$C$99,$X60))</x:f>
        <x:v>SGW281</x:v>
      </x:c>
      <x:c r="D60" s="14" t="str">
        <x:f>IF(INDEX('Sheet2-计算明细'!$D$17:$D$99,$X60)="","",INDEX('Sheet2-计算明细'!$D$17:$D$99,$X60))</x:f>
        <x:v>浙江在赢</x:v>
      </x:c>
      <x:c r="E60" s="14" t="str">
        <x:f>IF(INDEX('Sheet2-计算明细'!$G$17:$G$99,$X60)="","",INDEX('Sheet2-计算明细'!$G$17:$G$99,$X60))</x:f>
        <x:v>入池</x:v>
      </x:c>
      <x:c r="F60" s="52" t="n">
        <x:f>IF(ISNUMBER(INDEX('Sheet2-计算明细'!$I$17:$I$99,$X60)),INDEX('Sheet2-计算明细'!$I$17:$I$99,$X60),"")</x:f>
        <x:v>70</x:v>
      </x:c>
      <x:c r="G60" s="52" t="n">
        <x:f>IF(ISNUMBER(INDEX('Sheet2-计算明细'!$K$17:$K$99,$X60)),INDEX('Sheet2-计算明细'!$K$17:$K$99,$X60),"")</x:f>
        <x:v>100</x:v>
      </x:c>
      <x:c r="H60" s="52" t="n">
        <x:f>IF(ISNUMBER(INDEX('Sheet2-计算明细'!$L$17:$L$99,$X60)),INDEX('Sheet2-计算明细'!$L$17:$L$99,$X60),"")</x:f>
        <x:v>100</x:v>
      </x:c>
      <x:c r="I60" s="52" t="n">
        <x:f>IF(ISNUMBER(INDEX('Sheet2-计算明细'!$S$17:$S$99,$X60)),INDEX('Sheet2-计算明细'!$S$17:$S$99,$X60),"")</x:f>
        <x:v>83.28</x:v>
      </x:c>
      <x:c r="J60" s="52" t="n">
        <x:f>IF(ISNUMBER(INDEX('Sheet2-计算明细'!$Y$17:$Y$99,$X60)),INDEX('Sheet2-计算明细'!$Y$17:$Y$99,$X60),"")</x:f>
        <x:v>77.44</x:v>
      </x:c>
      <x:c r="K60" s="52" t="n">
        <x:f>IF(ISNUMBER(INDEX('Sheet2-计算明细'!$AC$17:$AC$99,$X60)),INDEX('Sheet2-计算明细'!$AC$17:$AC$99,$X60),"")</x:f>
        <x:v>10.34</x:v>
      </x:c>
      <x:c r="L60" s="52" t="n">
        <x:f>IF(ISNUMBER(INDEX('Sheet2-计算明细'!$AI$17:$AI$99,$X60)),INDEX('Sheet2-计算明细'!$AI$17:$AI$99,$X60),"")</x:f>
        <x:v>47.35</x:v>
      </x:c>
      <x:c r="M60" s="52" t="n">
        <x:f>IF(ISNUMBER(INDEX('Sheet2-计算明细'!$AK$17:$AK$99,$X60)),INDEX('Sheet2-计算明细'!$AK$17:$AK$99,$X60),"")</x:f>
        <x:v>100</x:v>
      </x:c>
      <x:c r="N60" s="52" t="n">
        <x:f>IF(ISNUMBER(INDEX('Sheet2-计算明细'!$AL$17:$AL$99,$X60)),INDEX('Sheet2-计算明细'!$AL$17:$AL$99,$X60),"")</x:f>
        <x:v>88</x:v>
      </x:c>
      <x:c r="O60" s="52" t="n">
        <x:f>IF(ISNUMBER(INDEX('Sheet2-计算明细'!$AM$17:$AM$99,$X60)),INDEX('Sheet2-计算明细'!$AM$17:$AM$99,$X60),"")</x:f>
        <x:v>81.53</x:v>
      </x:c>
      <x:c r="P60" s="52" t="n">
        <x:f>IF(ISNUMBER(INDEX('Sheet2-计算明细'!$AN$17:$AN$99,$X60)),INDEX('Sheet2-计算明细'!$AN$17:$AN$99,$X60),"")</x:f>
        <x:v>10.34</x:v>
      </x:c>
      <x:c r="Q60" s="52" t="n">
        <x:f>IF(ISNUMBER(INDEX('Sheet2-计算明细'!$AO$17:$AO$99,$X60)),INDEX('Sheet2-计算明细'!$AO$17:$AO$99,$X60),"")</x:f>
        <x:v>47.35</x:v>
      </x:c>
      <x:c r="R60" s="52" t="n">
        <x:f>IF(ISNUMBER(INDEX('Sheet2-计算明细'!$AP$17:$AP$99,$X60)),INDEX('Sheet2-计算明细'!$AP$17:$AP$99,$X60),"")</x:f>
        <x:v>100</x:v>
      </x:c>
      <x:c r="S60" s="27" t="n">
        <x:f>IF(ISNUMBER(INDEX('Sheet2-计算明细'!$AQ$17:$AQ$99,$X60)),INDEX('Sheet2-计算明细'!$AQ$17:$AQ$99,$X60),"")</x:f>
        <x:v>1</x:v>
      </x:c>
      <x:c r="T60" s="52" t="n">
        <x:f>IF(ISNUMBER(INDEX('Sheet2-计算明细'!$AR$17:$AR$99,$X60)),INDEX('Sheet2-计算明细'!$AR$17:$AR$99,$X60),"")</x:f>
        <x:v>56.29626999999999</x:v>
      </x:c>
      <x:c r="U60" s="52" t="n">
        <x:f>IF(ISNUMBER(INDEX('Sheet2-计算明细'!$AS$17:$AS$99,$X60)),INDEX('Sheet2-计算明细'!$AS$17:$AS$99,$X60),"")</x:f>
        <x:v>56.3</x:v>
      </x:c>
      <x:c r="V60" s="52" t="n">
        <x:f>IF(ISNUMBER(INDEX('Sheet2-计算明细'!$AV$17:$AV$99,$X60)),INDEX('Sheet2-计算明细'!$AV$17:$AV$99,$X60),"")</x:f>
        <x:v>56.29626999999999</x:v>
      </x:c>
      <x:c r="W60" s="40" t="str">
        <x:f>IF(INDEX('Sheet2-计算明细'!$AU$17:$AU$99,$X60)="","",INDEX('Sheet2-计算明细'!$AU$17:$AU$99,$X60))</x:f>
      </x:c>
      <x:c r="X60" s="49" t="n">
        <x:f>MATCH(ROWS($X$6:X60),'Sheet2-计算明细'!$BJ$17:$BJ$99,0)</x:f>
        <x:v>74</x:v>
      </x:c>
      <x:c r="Y60" s="14" t="str">
        <x:f>IF(INDEX('Sheet2-计算明细'!$AX$17:$AX$99,$X60)="","",INDEX('Sheet2-计算明细'!$AX$17:$AX$99,$X60))</x:f>
        <x:v>期货策略</x:v>
      </x:c>
      <x:c r="Z60" s="14" t="str">
        <x:f>IF(INDEX('Sheet2-计算明细'!$AY$17:$AY$99,$X60)="","",INDEX('Sheet2-计算明细'!$AY$17:$AY$99,$X60))</x:f>
        <x:v>主观期货</x:v>
      </x:c>
      <x:c r="AA60" s="14" t="str">
        <x:f>IF(INDEX('Sheet2-计算明细'!$AW$17:$AW$99,$X60)="","",INDEX('Sheet2-计算明细'!$AW$17:$AW$99,$X60))</x:f>
        <x:v>完整赋分</x:v>
      </x:c>
      <x:c r="AB60" s="49" t="n">
        <x:f>IF(ISNUMBER(INDEX('Sheet2-计算明细'!$A$17:$A$99,$X60)),INDEX('Sheet2-计算明细'!$A$17:$A$99,$X60),"")</x:f>
        <x:v>74</x:v>
      </x:c>
    </x:row>
    <x:row r="61" ht="44" customHeight="1">
      <x:c r="A61" s="14" t="n">
        <x:f>IF(ISNUMBER(INDEX('Sheet2-计算明细'!$AT$17:$AT$99,$X61)),INDEX('Sheet2-计算明细'!$AT$17:$AT$99,$X61),"")</x:f>
        <x:v>56</x:v>
      </x:c>
      <x:c r="B61" s="14" t="str">
        <x:f>IF(INDEX('Sheet2-计算明细'!$B$17:$B$99,$X61)="","",INDEX('Sheet2-计算明细'!$B$17:$B$99,$X61))</x:f>
        <x:v>东方富银命运1号</x:v>
      </x:c>
      <x:c r="C61" s="14" t="str">
        <x:f>IF(INDEX('Sheet2-计算明细'!$C$17:$C$99,$X61)="","",INDEX('Sheet2-计算明细'!$C$17:$C$99,$X61))</x:f>
        <x:v>SEG244</x:v>
      </x:c>
      <x:c r="D61" s="14" t="str">
        <x:f>IF(INDEX('Sheet2-计算明细'!$D$17:$D$99,$X61)="","",INDEX('Sheet2-计算明细'!$D$17:$D$99,$X61))</x:f>
        <x:v>深圳东方富银投资</x:v>
      </x:c>
      <x:c r="E61" s="14" t="str">
        <x:f>IF(INDEX('Sheet2-计算明细'!$G$17:$G$99,$X61)="","",INDEX('Sheet2-计算明细'!$G$17:$G$99,$X61))</x:f>
        <x:v>入池</x:v>
      </x:c>
      <x:c r="F61" s="52" t="n">
        <x:f>IF(ISNUMBER(INDEX('Sheet2-计算明细'!$I$17:$I$99,$X61)),INDEX('Sheet2-计算明细'!$I$17:$I$99,$X61),"")</x:f>
        <x:v>60</x:v>
      </x:c>
      <x:c r="G61" s="52" t="n">
        <x:f>IF(ISNUMBER(INDEX('Sheet2-计算明细'!$K$17:$K$99,$X61)),INDEX('Sheet2-计算明细'!$K$17:$K$99,$X61),"")</x:f>
        <x:v>100</x:v>
      </x:c>
      <x:c r="H61" s="52" t="n">
        <x:f>IF(ISNUMBER(INDEX('Sheet2-计算明细'!$L$17:$L$99,$X61)),INDEX('Sheet2-计算明细'!$L$17:$L$99,$X61),"")</x:f>
        <x:v>100</x:v>
      </x:c>
      <x:c r="I61" s="52" t="n">
        <x:f>IF(ISNUMBER(INDEX('Sheet2-计算明细'!$S$17:$S$99,$X61)),INDEX('Sheet2-计算明细'!$S$17:$S$99,$X61),"")</x:f>
        <x:v>43.48</x:v>
      </x:c>
      <x:c r="J61" s="52" t="n">
        <x:f>IF(ISNUMBER(INDEX('Sheet2-计算明细'!$Y$17:$Y$99,$X61)),INDEX('Sheet2-计算明细'!$Y$17:$Y$99,$X61),"")</x:f>
        <x:v>79.11</x:v>
      </x:c>
      <x:c r="K61" s="52" t="n">
        <x:f>IF(ISNUMBER(INDEX('Sheet2-计算明细'!$AC$17:$AC$99,$X61)),INDEX('Sheet2-计算明细'!$AC$17:$AC$99,$X61),"")</x:f>
        <x:v>36.21</x:v>
      </x:c>
      <x:c r="L61" s="52" t="n">
        <x:f>IF(ISNUMBER(INDEX('Sheet2-计算明细'!$AI$17:$AI$99,$X61)),INDEX('Sheet2-计算明细'!$AI$17:$AI$99,$X61),"")</x:f>
        <x:v>50.55</x:v>
      </x:c>
      <x:c r="M61" s="52" t="n">
        <x:f>IF(ISNUMBER(INDEX('Sheet2-计算明细'!$AK$17:$AK$99,$X61)),INDEX('Sheet2-计算明细'!$AK$17:$AK$99,$X61),"")</x:f>
        <x:v>80</x:v>
      </x:c>
      <x:c r="N61" s="52" t="n">
        <x:f>IF(ISNUMBER(INDEX('Sheet2-计算明细'!$AL$17:$AL$99,$X61)),INDEX('Sheet2-计算明细'!$AL$17:$AL$99,$X61),"")</x:f>
        <x:v>84</x:v>
      </x:c>
      <x:c r="O61" s="52" t="n">
        <x:f>IF(ISNUMBER(INDEX('Sheet2-计算明细'!$AM$17:$AM$99,$X61)),INDEX('Sheet2-计算明细'!$AM$17:$AM$99,$X61),"")</x:f>
        <x:v>54.17</x:v>
      </x:c>
      <x:c r="P61" s="52" t="n">
        <x:f>IF(ISNUMBER(INDEX('Sheet2-计算明细'!$AN$17:$AN$99,$X61)),INDEX('Sheet2-计算明细'!$AN$17:$AN$99,$X61),"")</x:f>
        <x:v>36.21</x:v>
      </x:c>
      <x:c r="Q61" s="52" t="n">
        <x:f>IF(ISNUMBER(INDEX('Sheet2-计算明细'!$AO$17:$AO$99,$X61)),INDEX('Sheet2-计算明细'!$AO$17:$AO$99,$X61),"")</x:f>
        <x:v>50.55</x:v>
      </x:c>
      <x:c r="R61" s="52" t="n">
        <x:f>IF(ISNUMBER(INDEX('Sheet2-计算明细'!$AP$17:$AP$99,$X61)),INDEX('Sheet2-计算明细'!$AP$17:$AP$99,$X61),"")</x:f>
        <x:v>80</x:v>
      </x:c>
      <x:c r="S61" s="27" t="n">
        <x:f>IF(ISNUMBER(INDEX('Sheet2-计算明细'!$AQ$17:$AQ$99,$X61)),INDEX('Sheet2-计算明细'!$AQ$17:$AQ$99,$X61),"")</x:f>
        <x:v>1</x:v>
      </x:c>
      <x:c r="T61" s="52" t="n">
        <x:f>IF(ISNUMBER(INDEX('Sheet2-计算明细'!$AR$17:$AR$99,$X61)),INDEX('Sheet2-计算明细'!$AR$17:$AR$99,$X61),"")</x:f>
        <x:v>55.6502</x:v>
      </x:c>
      <x:c r="U61" s="52" t="n">
        <x:f>IF(ISNUMBER(INDEX('Sheet2-计算明细'!$AS$17:$AS$99,$X61)),INDEX('Sheet2-计算明细'!$AS$17:$AS$99,$X61),"")</x:f>
        <x:v>55.65</x:v>
      </x:c>
      <x:c r="V61" s="52" t="n">
        <x:f>IF(ISNUMBER(INDEX('Sheet2-计算明细'!$AV$17:$AV$99,$X61)),INDEX('Sheet2-计算明细'!$AV$17:$AV$99,$X61),"")</x:f>
        <x:v>55.6502</x:v>
      </x:c>
      <x:c r="W61" s="40" t="str">
        <x:f>IF(INDEX('Sheet2-计算明细'!$AU$17:$AU$99,$X61)="","",INDEX('Sheet2-计算明细'!$AU$17:$AU$99,$X61))</x:f>
      </x:c>
      <x:c r="X61" s="49" t="n">
        <x:f>MATCH(ROWS($X$6:X61),'Sheet2-计算明细'!$BJ$17:$BJ$99,0)</x:f>
        <x:v>13</x:v>
      </x:c>
      <x:c r="Y61" s="14" t="str">
        <x:f>IF(INDEX('Sheet2-计算明细'!$AX$17:$AX$99,$X61)="","",INDEX('Sheet2-计算明细'!$AX$17:$AX$99,$X61))</x:f>
        <x:v>套利策略</x:v>
      </x:c>
      <x:c r="Z61" s="14" t="str">
        <x:f>IF(INDEX('Sheet2-计算明细'!$AY$17:$AY$99,$X61)="","",INDEX('Sheet2-计算明细'!$AY$17:$AY$99,$X61))</x:f>
        <x:v>可转债套利</x:v>
      </x:c>
      <x:c r="AA61" s="14" t="str">
        <x:f>IF(INDEX('Sheet2-计算明细'!$AW$17:$AW$99,$X61)="","",INDEX('Sheet2-计算明细'!$AW$17:$AW$99,$X61))</x:f>
        <x:v>完整赋分</x:v>
      </x:c>
      <x:c r="AB61" s="49" t="n">
        <x:f>IF(ISNUMBER(INDEX('Sheet2-计算明细'!$A$17:$A$99,$X61)),INDEX('Sheet2-计算明细'!$A$17:$A$99,$X61),"")</x:f>
        <x:v>13</x:v>
      </x:c>
    </x:row>
    <x:row r="62" ht="44" customHeight="1">
      <x:c r="A62" s="14" t="n">
        <x:f>IF(ISNUMBER(INDEX('Sheet2-计算明细'!$AT$17:$AT$99,$X62)),INDEX('Sheet2-计算明细'!$AT$17:$AT$99,$X62),"")</x:f>
        <x:v>57</x:v>
      </x:c>
      <x:c r="B62" s="14" t="str">
        <x:f>IF(INDEX('Sheet2-计算明细'!$B$17:$B$99,$X62)="","",INDEX('Sheet2-计算明细'!$B$17:$B$99,$X62))</x:f>
        <x:v>唐德幽兰量化套利一号</x:v>
      </x:c>
      <x:c r="C62" s="14" t="str">
        <x:f>IF(INDEX('Sheet2-计算明细'!$C$17:$C$99,$X62)="","",INDEX('Sheet2-计算明细'!$C$17:$C$99,$X62))</x:f>
        <x:v>SAHM04</x:v>
      </x:c>
      <x:c r="D62" s="14" t="str">
        <x:f>IF(INDEX('Sheet2-计算明细'!$D$17:$D$99,$X62)="","",INDEX('Sheet2-计算明细'!$D$17:$D$99,$X62))</x:f>
        <x:v>深圳唐德</x:v>
      </x:c>
      <x:c r="E62" s="14" t="str">
        <x:f>IF(INDEX('Sheet2-计算明细'!$G$17:$G$99,$X62)="","",INDEX('Sheet2-计算明细'!$G$17:$G$99,$X62))</x:f>
        <x:v>入池</x:v>
      </x:c>
      <x:c r="F62" s="52" t="n">
        <x:f>IF(ISNUMBER(INDEX('Sheet2-计算明细'!$I$17:$I$99,$X62)),INDEX('Sheet2-计算明细'!$I$17:$I$99,$X62),"")</x:f>
        <x:v>60</x:v>
      </x:c>
      <x:c r="G62" s="52" t="n">
        <x:f>IF(ISNUMBER(INDEX('Sheet2-计算明细'!$K$17:$K$99,$X62)),INDEX('Sheet2-计算明细'!$K$17:$K$99,$X62),"")</x:f>
        <x:v>100</x:v>
      </x:c>
      <x:c r="H62" s="52" t="n">
        <x:f>IF(ISNUMBER(INDEX('Sheet2-计算明细'!$L$17:$L$99,$X62)),INDEX('Sheet2-计算明细'!$L$17:$L$99,$X62),"")</x:f>
        <x:v>70</x:v>
      </x:c>
      <x:c r="I62" s="52" t="n">
        <x:f>IF(ISNUMBER(INDEX('Sheet2-计算明细'!$S$17:$S$99,$X62)),INDEX('Sheet2-计算明细'!$S$17:$S$99,$X62),"")</x:f>
        <x:v>48.19</x:v>
      </x:c>
      <x:c r="J62" s="52" t="n">
        <x:f>IF(ISNUMBER(INDEX('Sheet2-计算明细'!$Y$17:$Y$99,$X62)),INDEX('Sheet2-计算明细'!$Y$17:$Y$99,$X62),"")</x:f>
        <x:v>84.62</x:v>
      </x:c>
      <x:c r="K62" s="52" t="n">
        <x:f>IF(ISNUMBER(INDEX('Sheet2-计算明细'!$AC$17:$AC$99,$X62)),INDEX('Sheet2-计算明细'!$AC$17:$AC$99,$X62),"")</x:f>
        <x:v>44.83</x:v>
      </x:c>
      <x:c r="L62" s="52" t="n">
        <x:f>IF(ISNUMBER(INDEX('Sheet2-计算明细'!$AI$17:$AI$99,$X62)),INDEX('Sheet2-计算明细'!$AI$17:$AI$99,$X62),"")</x:f>
        <x:v>29.09</x:v>
      </x:c>
      <x:c r="M62" s="52" t="n">
        <x:f>IF(ISNUMBER(INDEX('Sheet2-计算明细'!$AK$17:$AK$99,$X62)),INDEX('Sheet2-计算明细'!$AK$17:$AK$99,$X62),"")</x:f>
        <x:v>100</x:v>
      </x:c>
      <x:c r="N62" s="52" t="n">
        <x:f>IF(ISNUMBER(INDEX('Sheet2-计算明细'!$AL$17:$AL$99,$X62)),INDEX('Sheet2-计算明细'!$AL$17:$AL$99,$X62),"")</x:f>
        <x:v>75</x:v>
      </x:c>
      <x:c r="O62" s="52" t="n">
        <x:f>IF(ISNUMBER(INDEX('Sheet2-计算明细'!$AM$17:$AM$99,$X62)),INDEX('Sheet2-计算明细'!$AM$17:$AM$99,$X62),"")</x:f>
        <x:v>55.64</x:v>
      </x:c>
      <x:c r="P62" s="52" t="n">
        <x:f>IF(ISNUMBER(INDEX('Sheet2-计算明细'!$AN$17:$AN$99,$X62)),INDEX('Sheet2-计算明细'!$AN$17:$AN$99,$X62),"")</x:f>
        <x:v>44.83</x:v>
      </x:c>
      <x:c r="Q62" s="52" t="n">
        <x:f>IF(ISNUMBER(INDEX('Sheet2-计算明细'!$AO$17:$AO$99,$X62)),INDEX('Sheet2-计算明细'!$AO$17:$AO$99,$X62),"")</x:f>
        <x:v>29.09</x:v>
      </x:c>
      <x:c r="R62" s="52" t="n">
        <x:f>IF(ISNUMBER(INDEX('Sheet2-计算明细'!$AP$17:$AP$99,$X62)),INDEX('Sheet2-计算明细'!$AP$17:$AP$99,$X62),"")</x:f>
        <x:v>100</x:v>
      </x:c>
      <x:c r="S62" s="27" t="n">
        <x:f>IF(ISNUMBER(INDEX('Sheet2-计算明细'!$AQ$17:$AQ$99,$X62)),INDEX('Sheet2-计算明细'!$AQ$17:$AQ$99,$X62),"")</x:f>
        <x:v>0.856</x:v>
      </x:c>
      <x:c r="T62" s="52" t="n">
        <x:f>IF(ISNUMBER(INDEX('Sheet2-计算明细'!$AR$17:$AR$99,$X62)),INDEX('Sheet2-计算明细'!$AR$17:$AR$99,$X62),"")</x:f>
        <x:v>47.486059999999995</x:v>
      </x:c>
      <x:c r="U62" s="52" t="n">
        <x:f>IF(ISNUMBER(INDEX('Sheet2-计算明细'!$AS$17:$AS$99,$X62)),INDEX('Sheet2-计算明细'!$AS$17:$AS$99,$X62),"")</x:f>
        <x:v>55.47</x:v>
      </x:c>
      <x:c r="V62" s="52" t="str">
        <x:f>IF(ISNUMBER(INDEX('Sheet2-计算明细'!$AV$17:$AV$99,$X62)),INDEX('Sheet2-计算明细'!$AV$17:$AV$99,$X62),"")</x:f>
      </x:c>
      <x:c r="W62" s="40" t="str">
        <x:f>IF(INDEX('Sheet2-计算明细'!$AU$17:$AU$99,$X62)="","",INDEX('Sheet2-计算明细'!$AU$17:$AU$99,$X62))</x:f>
        <x:v>近三年收益；近三年胜率；近三年回撤；DD_long不可识别；</x:v>
      </x:c>
      <x:c r="X62" s="49" t="n">
        <x:f>MATCH(ROWS($X$6:X62),'Sheet2-计算明细'!$BJ$17:$BJ$99,0)</x:f>
        <x:v>64</x:v>
      </x:c>
      <x:c r="Y62" s="14" t="str">
        <x:f>IF(INDEX('Sheet2-计算明细'!$AX$17:$AX$99,$X62)="","",INDEX('Sheet2-计算明细'!$AX$17:$AX$99,$X62))</x:f>
        <x:v>套利策略</x:v>
      </x:c>
      <x:c r="Z62" s="14" t="str">
        <x:f>IF(INDEX('Sheet2-计算明细'!$AY$17:$AY$99,$X62)="","",INDEX('Sheet2-计算明细'!$AY$17:$AY$99,$X62))</x:f>
        <x:v>期货套利</x:v>
      </x:c>
      <x:c r="AA62" s="14" t="str">
        <x:f>IF(INDEX('Sheet2-计算明细'!$AW$17:$AW$99,$X62)="","",INDEX('Sheet2-计算明细'!$AW$17:$AW$99,$X62))</x:f>
        <x:v>暂定分／数据不完整</x:v>
      </x:c>
      <x:c r="AB62" s="49" t="n">
        <x:f>IF(ISNUMBER(INDEX('Sheet2-计算明细'!$A$17:$A$99,$X62)),INDEX('Sheet2-计算明细'!$A$17:$A$99,$X62),"")</x:f>
        <x:v>64</x:v>
      </x:c>
    </x:row>
    <x:row r="63" ht="44" customHeight="1">
      <x:c r="A63" s="14" t="n">
        <x:f>IF(ISNUMBER(INDEX('Sheet2-计算明细'!$AT$17:$AT$99,$X63)),INDEX('Sheet2-计算明细'!$AT$17:$AT$99,$X63),"")</x:f>
        <x:v>58</x:v>
      </x:c>
      <x:c r="B63" s="14" t="str">
        <x:f>IF(INDEX('Sheet2-计算明细'!$B$17:$B$99,$X63)="","",INDEX('Sheet2-计算明细'!$B$17:$B$99,$X63))</x:f>
        <x:v>慕途基本面量化1号</x:v>
      </x:c>
      <x:c r="C63" s="14" t="str">
        <x:f>IF(INDEX('Sheet2-计算明细'!$C$17:$C$99,$X63)="","",INDEX('Sheet2-计算明细'!$C$17:$C$99,$X63))</x:f>
        <x:v>SVW787</x:v>
      </x:c>
      <x:c r="D63" s="14" t="str">
        <x:f>IF(INDEX('Sheet2-计算明细'!$D$17:$D$99,$X63)="","",INDEX('Sheet2-计算明细'!$D$17:$D$99,$X63))</x:f>
        <x:v>慕途基金</x:v>
      </x:c>
      <x:c r="E63" s="14" t="str">
        <x:f>IF(INDEX('Sheet2-计算明细'!$G$17:$G$99,$X63)="","",INDEX('Sheet2-计算明细'!$G$17:$G$99,$X63))</x:f>
        <x:v>入池</x:v>
      </x:c>
      <x:c r="F63" s="52" t="n">
        <x:f>IF(ISNUMBER(INDEX('Sheet2-计算明细'!$I$17:$I$99,$X63)),INDEX('Sheet2-计算明细'!$I$17:$I$99,$X63),"")</x:f>
        <x:v>80</x:v>
      </x:c>
      <x:c r="G63" s="52" t="n">
        <x:f>IF(ISNUMBER(INDEX('Sheet2-计算明细'!$K$17:$K$99,$X63)),INDEX('Sheet2-计算明细'!$K$17:$K$99,$X63),"")</x:f>
        <x:v>100</x:v>
      </x:c>
      <x:c r="H63" s="52" t="n">
        <x:f>IF(ISNUMBER(INDEX('Sheet2-计算明细'!$L$17:$L$99,$X63)),INDEX('Sheet2-计算明细'!$L$17:$L$99,$X63),"")</x:f>
        <x:v>100</x:v>
      </x:c>
      <x:c r="I63" s="52" t="n">
        <x:f>IF(ISNUMBER(INDEX('Sheet2-计算明细'!$S$17:$S$99,$X63)),INDEX('Sheet2-计算明细'!$S$17:$S$99,$X63),"")</x:f>
        <x:v>64.83</x:v>
      </x:c>
      <x:c r="J63" s="52" t="n">
        <x:f>IF(ISNUMBER(INDEX('Sheet2-计算明细'!$Y$17:$Y$99,$X63)),INDEX('Sheet2-计算明细'!$Y$17:$Y$99,$X63),"")</x:f>
        <x:v>69.87</x:v>
      </x:c>
      <x:c r="K63" s="52" t="n">
        <x:f>IF(ISNUMBER(INDEX('Sheet2-计算明细'!$AC$17:$AC$99,$X63)),INDEX('Sheet2-计算明细'!$AC$17:$AC$99,$X63),"")</x:f>
        <x:v>25.86</x:v>
      </x:c>
      <x:c r="L63" s="52" t="n">
        <x:f>IF(ISNUMBER(INDEX('Sheet2-计算明细'!$AI$17:$AI$99,$X63)),INDEX('Sheet2-计算明细'!$AI$17:$AI$99,$X63),"")</x:f>
        <x:v>23.64</x:v>
      </x:c>
      <x:c r="M63" s="52" t="n">
        <x:f>IF(ISNUMBER(INDEX('Sheet2-计算明细'!$AK$17:$AK$99,$X63)),INDEX('Sheet2-计算明细'!$AK$17:$AK$99,$X63),"")</x:f>
        <x:v>100</x:v>
      </x:c>
      <x:c r="N63" s="52" t="n">
        <x:f>IF(ISNUMBER(INDEX('Sheet2-计算明细'!$AL$17:$AL$99,$X63)),INDEX('Sheet2-计算明细'!$AL$17:$AL$99,$X63),"")</x:f>
        <x:v>92</x:v>
      </x:c>
      <x:c r="O63" s="52" t="n">
        <x:f>IF(ISNUMBER(INDEX('Sheet2-计算明细'!$AM$17:$AM$99,$X63)),INDEX('Sheet2-计算明细'!$AM$17:$AM$99,$X63),"")</x:f>
        <x:v>66.34</x:v>
      </x:c>
      <x:c r="P63" s="52" t="n">
        <x:f>IF(ISNUMBER(INDEX('Sheet2-计算明细'!$AN$17:$AN$99,$X63)),INDEX('Sheet2-计算明细'!$AN$17:$AN$99,$X63),"")</x:f>
        <x:v>25.86</x:v>
      </x:c>
      <x:c r="Q63" s="52" t="n">
        <x:f>IF(ISNUMBER(INDEX('Sheet2-计算明细'!$AO$17:$AO$99,$X63)),INDEX('Sheet2-计算明细'!$AO$17:$AO$99,$X63),"")</x:f>
        <x:v>23.64</x:v>
      </x:c>
      <x:c r="R63" s="52" t="n">
        <x:f>IF(ISNUMBER(INDEX('Sheet2-计算明细'!$AP$17:$AP$99,$X63)),INDEX('Sheet2-计算明细'!$AP$17:$AP$99,$X63),"")</x:f>
        <x:v>100</x:v>
      </x:c>
      <x:c r="S63" s="27" t="n">
        <x:f>IF(ISNUMBER(INDEX('Sheet2-计算明细'!$AQ$17:$AQ$99,$X63)),INDEX('Sheet2-计算明细'!$AQ$17:$AQ$99,$X63),"")</x:f>
        <x:v>0.88</x:v>
      </x:c>
      <x:c r="T63" s="52" t="n">
        <x:f>IF(ISNUMBER(INDEX('Sheet2-计算明细'!$AR$17:$AR$99,$X63)),INDEX('Sheet2-计算明细'!$AR$17:$AR$99,$X63),"")</x:f>
        <x:v>47.78812</x:v>
      </x:c>
      <x:c r="U63" s="52" t="n">
        <x:f>IF(ISNUMBER(INDEX('Sheet2-计算明细'!$AS$17:$AS$99,$X63)),INDEX('Sheet2-计算明细'!$AS$17:$AS$99,$X63),"")</x:f>
        <x:v>54.3</x:v>
      </x:c>
      <x:c r="V63" s="52" t="str">
        <x:f>IF(ISNUMBER(INDEX('Sheet2-计算明细'!$AV$17:$AV$99,$X63)),INDEX('Sheet2-计算明细'!$AV$17:$AV$99,$X63),"")</x:f>
      </x:c>
      <x:c r="W63" s="40" t="str">
        <x:f>IF(INDEX('Sheet2-计算明细'!$AU$17:$AU$99,$X63)="","",INDEX('Sheet2-计算明细'!$AU$17:$AU$99,$X63))</x:f>
        <x:v>DD_long不可识别；</x:v>
      </x:c>
      <x:c r="X63" s="49" t="n">
        <x:f>MATCH(ROWS($X$6:X63),'Sheet2-计算明细'!$BJ$17:$BJ$99,0)</x:f>
        <x:v>40</x:v>
      </x:c>
      <x:c r="Y63" s="14" t="str">
        <x:f>IF(INDEX('Sheet2-计算明细'!$AX$17:$AX$99,$X63)="","",INDEX('Sheet2-计算明细'!$AX$17:$AX$99,$X63))</x:f>
        <x:v>套利策略</x:v>
      </x:c>
      <x:c r="Z63" s="14" t="str">
        <x:f>IF(INDEX('Sheet2-计算明细'!$AY$17:$AY$99,$X63)="","",INDEX('Sheet2-计算明细'!$AY$17:$AY$99,$X63))</x:f>
        <x:v>期货套利</x:v>
      </x:c>
      <x:c r="AA63" s="14" t="str">
        <x:f>IF(INDEX('Sheet2-计算明细'!$AW$17:$AW$99,$X63)="","",INDEX('Sheet2-计算明细'!$AW$17:$AW$99,$X63))</x:f>
        <x:v>暂定分／数据不完整</x:v>
      </x:c>
      <x:c r="AB63" s="49" t="n">
        <x:f>IF(ISNUMBER(INDEX('Sheet2-计算明细'!$A$17:$A$99,$X63)),INDEX('Sheet2-计算明细'!$A$17:$A$99,$X63),"")</x:f>
        <x:v>40</x:v>
      </x:c>
    </x:row>
    <x:row r="64" ht="44" customHeight="1">
      <x:c r="A64" s="14" t="n">
        <x:f>IF(ISNUMBER(INDEX('Sheet2-计算明细'!$AT$17:$AT$99,$X64)),INDEX('Sheet2-计算明细'!$AT$17:$AT$99,$X64),"")</x:f>
        <x:v>59</x:v>
      </x:c>
      <x:c r="B64" s="14" t="str">
        <x:f>IF(INDEX('Sheet2-计算明细'!$B$17:$B$99,$X64)="","",INDEX('Sheet2-计算明细'!$B$17:$B$99,$X64))</x:f>
        <x:v>中益仁梅香千寒</x:v>
      </x:c>
      <x:c r="C64" s="14" t="str">
        <x:f>IF(INDEX('Sheet2-计算明细'!$C$17:$C$99,$X64)="","",INDEX('Sheet2-计算明细'!$C$17:$C$99,$X64))</x:f>
        <x:v>SBAF26</x:v>
      </x:c>
      <x:c r="D64" s="14" t="str">
        <x:f>IF(INDEX('Sheet2-计算明细'!$D$17:$D$99,$X64)="","",INDEX('Sheet2-计算明细'!$D$17:$D$99,$X64))</x:f>
        <x:v>日照中益仁</x:v>
      </x:c>
      <x:c r="E64" s="14" t="str">
        <x:f>IF(INDEX('Sheet2-计算明细'!$G$17:$G$99,$X64)="","",INDEX('Sheet2-计算明细'!$G$17:$G$99,$X64))</x:f>
        <x:v>入池</x:v>
      </x:c>
      <x:c r="F64" s="52" t="n">
        <x:f>IF(ISNUMBER(INDEX('Sheet2-计算明细'!$I$17:$I$99,$X64)),INDEX('Sheet2-计算明细'!$I$17:$I$99,$X64),"")</x:f>
        <x:v>80</x:v>
      </x:c>
      <x:c r="G64" s="52" t="n">
        <x:f>IF(ISNUMBER(INDEX('Sheet2-计算明细'!$K$17:$K$99,$X64)),INDEX('Sheet2-计算明细'!$K$17:$K$99,$X64),"")</x:f>
        <x:v>100</x:v>
      </x:c>
      <x:c r="H64" s="52" t="n">
        <x:f>IF(ISNUMBER(INDEX('Sheet2-计算明细'!$L$17:$L$99,$X64)),INDEX('Sheet2-计算明细'!$L$17:$L$99,$X64),"")</x:f>
        <x:v>70</x:v>
      </x:c>
      <x:c r="I64" s="52" t="n">
        <x:f>IF(ISNUMBER(INDEX('Sheet2-计算明细'!$S$17:$S$99,$X64)),INDEX('Sheet2-计算明细'!$S$17:$S$99,$X64),"")</x:f>
        <x:v>80.82</x:v>
      </x:c>
      <x:c r="J64" s="52" t="n">
        <x:f>IF(ISNUMBER(INDEX('Sheet2-计算明细'!$Y$17:$Y$99,$X64)),INDEX('Sheet2-计算明细'!$Y$17:$Y$99,$X64),"")</x:f>
        <x:v>90.77</x:v>
      </x:c>
      <x:c r="K64" s="52" t="n">
        <x:f>IF(ISNUMBER(INDEX('Sheet2-计算明细'!$AC$17:$AC$99,$X64)),INDEX('Sheet2-计算明细'!$AC$17:$AC$99,$X64),"")</x:f>
        <x:v>8.62</x:v>
      </x:c>
      <x:c r="L64" s="52" t="n">
        <x:f>IF(ISNUMBER(INDEX('Sheet2-计算明细'!$AI$17:$AI$99,$X64)),INDEX('Sheet2-计算明细'!$AI$17:$AI$99,$X64),"")</x:f>
        <x:v>32.73</x:v>
      </x:c>
      <x:c r="M64" s="52" t="n">
        <x:f>IF(ISNUMBER(INDEX('Sheet2-计算明细'!$AK$17:$AK$99,$X64)),INDEX('Sheet2-计算明细'!$AK$17:$AK$99,$X64),"")</x:f>
        <x:v>100</x:v>
      </x:c>
      <x:c r="N64" s="52" t="n">
        <x:f>IF(ISNUMBER(INDEX('Sheet2-计算明细'!$AL$17:$AL$99,$X64)),INDEX('Sheet2-计算明细'!$AL$17:$AL$99,$X64),"")</x:f>
        <x:v>83</x:v>
      </x:c>
      <x:c r="O64" s="52" t="n">
        <x:f>IF(ISNUMBER(INDEX('Sheet2-计算明细'!$AM$17:$AM$99,$X64)),INDEX('Sheet2-计算明细'!$AM$17:$AM$99,$X64),"")</x:f>
        <x:v>83.81</x:v>
      </x:c>
      <x:c r="P64" s="52" t="n">
        <x:f>IF(ISNUMBER(INDEX('Sheet2-计算明细'!$AN$17:$AN$99,$X64)),INDEX('Sheet2-计算明细'!$AN$17:$AN$99,$X64),"")</x:f>
        <x:v>8.62</x:v>
      </x:c>
      <x:c r="Q64" s="52" t="n">
        <x:f>IF(ISNUMBER(INDEX('Sheet2-计算明细'!$AO$17:$AO$99,$X64)),INDEX('Sheet2-计算明细'!$AO$17:$AO$99,$X64),"")</x:f>
        <x:v>32.73</x:v>
      </x:c>
      <x:c r="R64" s="52" t="n">
        <x:f>IF(ISNUMBER(INDEX('Sheet2-计算明细'!$AP$17:$AP$99,$X64)),INDEX('Sheet2-计算明细'!$AP$17:$AP$99,$X64),"")</x:f>
        <x:v>100</x:v>
      </x:c>
      <x:c r="S64" s="27" t="n">
        <x:f>IF(ISNUMBER(INDEX('Sheet2-计算明细'!$AQ$17:$AQ$99,$X64)),INDEX('Sheet2-计算明细'!$AQ$17:$AQ$99,$X64),"")</x:f>
        <x:v>0.88</x:v>
      </x:c>
      <x:c r="T64" s="52" t="n">
        <x:f>IF(ISNUMBER(INDEX('Sheet2-计算明细'!$AR$17:$AR$99,$X64)),INDEX('Sheet2-计算明细'!$AR$17:$AR$99,$X64),"")</x:f>
        <x:v>47.257799999999996</x:v>
      </x:c>
      <x:c r="U64" s="52" t="n">
        <x:f>IF(ISNUMBER(INDEX('Sheet2-计算明细'!$AS$17:$AS$99,$X64)),INDEX('Sheet2-计算明细'!$AS$17:$AS$99,$X64),"")</x:f>
        <x:v>53.7</x:v>
      </x:c>
      <x:c r="V64" s="52" t="str">
        <x:f>IF(ISNUMBER(INDEX('Sheet2-计算明细'!$AV$17:$AV$99,$X64)),INDEX('Sheet2-计算明细'!$AV$17:$AV$99,$X64),"")</x:f>
      </x:c>
      <x:c r="W64" s="40" t="str">
        <x:f>IF(INDEX('Sheet2-计算明细'!$AU$17:$AU$99,$X64)="","",INDEX('Sheet2-计算明细'!$AU$17:$AU$99,$X64))</x:f>
        <x:v>近三年收益；近三年胜率；近三年回撤；DD_long不可识别；</x:v>
      </x:c>
      <x:c r="X64" s="49" t="n">
        <x:f>MATCH(ROWS($X$6:X64),'Sheet2-计算明细'!$BJ$17:$BJ$99,0)</x:f>
        <x:v>81</x:v>
      </x:c>
      <x:c r="Y64" s="14" t="str">
        <x:f>IF(INDEX('Sheet2-计算明细'!$AX$17:$AX$99,$X64)="","",INDEX('Sheet2-计算明细'!$AX$17:$AX$99,$X64))</x:f>
        <x:v>套利策略</x:v>
      </x:c>
      <x:c r="Z64" s="14" t="str">
        <x:f>IF(INDEX('Sheet2-计算明细'!$AY$17:$AY$99,$X64)="","",INDEX('Sheet2-计算明细'!$AY$17:$AY$99,$X64))</x:f>
        <x:v>期货套利</x:v>
      </x:c>
      <x:c r="AA64" s="14" t="str">
        <x:f>IF(INDEX('Sheet2-计算明细'!$AW$17:$AW$99,$X64)="","",INDEX('Sheet2-计算明细'!$AW$17:$AW$99,$X64))</x:f>
        <x:v>暂定分／数据不完整</x:v>
      </x:c>
      <x:c r="AB64" s="49" t="n">
        <x:f>IF(ISNUMBER(INDEX('Sheet2-计算明细'!$A$17:$A$99,$X64)),INDEX('Sheet2-计算明细'!$A$17:$A$99,$X64),"")</x:f>
        <x:v>81</x:v>
      </x:c>
    </x:row>
    <x:row r="65" ht="44" customHeight="1">
      <x:c r="A65" s="14" t="n">
        <x:f>IF(ISNUMBER(INDEX('Sheet2-计算明细'!$AT$17:$AT$99,$X65)),INDEX('Sheet2-计算明细'!$AT$17:$AT$99,$X65),"")</x:f>
        <x:v>60</x:v>
      </x:c>
      <x:c r="B65" s="14" t="str">
        <x:f>IF(INDEX('Sheet2-计算明细'!$B$17:$B$99,$X65)="","",INDEX('Sheet2-计算明细'!$B$17:$B$99,$X65))</x:f>
        <x:v>殊馥馥源套利1号</x:v>
      </x:c>
      <x:c r="C65" s="14" t="str">
        <x:f>IF(INDEX('Sheet2-计算明细'!$C$17:$C$99,$X65)="","",INDEX('Sheet2-计算明细'!$C$17:$C$99,$X65))</x:f>
        <x:v>SGM512</x:v>
      </x:c>
      <x:c r="D65" s="14" t="str">
        <x:f>IF(INDEX('Sheet2-计算明细'!$D$17:$D$99,$X65)="","",INDEX('Sheet2-计算明细'!$D$17:$D$99,$X65))</x:f>
        <x:v>上海殊馥投资</x:v>
      </x:c>
      <x:c r="E65" s="14" t="str">
        <x:f>IF(INDEX('Sheet2-计算明细'!$G$17:$G$99,$X65)="","",INDEX('Sheet2-计算明细'!$G$17:$G$99,$X65))</x:f>
        <x:v>入池</x:v>
      </x:c>
      <x:c r="F65" s="52" t="n">
        <x:f>IF(ISNUMBER(INDEX('Sheet2-计算明细'!$I$17:$I$99,$X65)),INDEX('Sheet2-计算明细'!$I$17:$I$99,$X65),"")</x:f>
        <x:v>80</x:v>
      </x:c>
      <x:c r="G65" s="52" t="n">
        <x:f>IF(ISNUMBER(INDEX('Sheet2-计算明细'!$K$17:$K$99,$X65)),INDEX('Sheet2-计算明细'!$K$17:$K$99,$X65),"")</x:f>
        <x:v>100</x:v>
      </x:c>
      <x:c r="H65" s="52" t="n">
        <x:f>IF(ISNUMBER(INDEX('Sheet2-计算明细'!$L$17:$L$99,$X65)),INDEX('Sheet2-计算明细'!$L$17:$L$99,$X65),"")</x:f>
        <x:v>100</x:v>
      </x:c>
      <x:c r="I65" s="52" t="n">
        <x:f>IF(ISNUMBER(INDEX('Sheet2-计算明细'!$S$17:$S$99,$X65)),INDEX('Sheet2-计算明细'!$S$17:$S$99,$X65),"")</x:f>
        <x:v>47.34</x:v>
      </x:c>
      <x:c r="J65" s="52" t="n">
        <x:f>IF(ISNUMBER(INDEX('Sheet2-计算明细'!$Y$17:$Y$99,$X65)),INDEX('Sheet2-计算明细'!$Y$17:$Y$99,$X65),"")</x:f>
        <x:v>88.33</x:v>
      </x:c>
      <x:c r="K65" s="52" t="n">
        <x:f>IF(ISNUMBER(INDEX('Sheet2-计算明细'!$AC$17:$AC$99,$X65)),INDEX('Sheet2-计算明细'!$AC$17:$AC$99,$X65),"")</x:f>
        <x:v>17.24</x:v>
      </x:c>
      <x:c r="L65" s="52" t="n">
        <x:f>IF(ISNUMBER(INDEX('Sheet2-计算明细'!$AI$17:$AI$99,$X65)),INDEX('Sheet2-计算明细'!$AI$17:$AI$99,$X65),"")</x:f>
        <x:v>42.47</x:v>
      </x:c>
      <x:c r="M65" s="52" t="n">
        <x:f>IF(ISNUMBER(INDEX('Sheet2-计算明细'!$AK$17:$AK$99,$X65)),INDEX('Sheet2-计算明细'!$AK$17:$AK$99,$X65),"")</x:f>
        <x:v>100</x:v>
      </x:c>
      <x:c r="N65" s="52" t="n">
        <x:f>IF(ISNUMBER(INDEX('Sheet2-计算明细'!$AL$17:$AL$99,$X65)),INDEX('Sheet2-计算明细'!$AL$17:$AL$99,$X65),"")</x:f>
        <x:v>92</x:v>
      </x:c>
      <x:c r="O65" s="52" t="n">
        <x:f>IF(ISNUMBER(INDEX('Sheet2-计算明细'!$AM$17:$AM$99,$X65)),INDEX('Sheet2-计算明细'!$AM$17:$AM$99,$X65),"")</x:f>
        <x:v>59.64</x:v>
      </x:c>
      <x:c r="P65" s="52" t="n">
        <x:f>IF(ISNUMBER(INDEX('Sheet2-计算明细'!$AN$17:$AN$99,$X65)),INDEX('Sheet2-计算明细'!$AN$17:$AN$99,$X65),"")</x:f>
        <x:v>17.24</x:v>
      </x:c>
      <x:c r="Q65" s="52" t="n">
        <x:f>IF(ISNUMBER(INDEX('Sheet2-计算明细'!$AO$17:$AO$99,$X65)),INDEX('Sheet2-计算明细'!$AO$17:$AO$99,$X65),"")</x:f>
        <x:v>42.47</x:v>
      </x:c>
      <x:c r="R65" s="52" t="n">
        <x:f>IF(ISNUMBER(INDEX('Sheet2-计算明细'!$AP$17:$AP$99,$X65)),INDEX('Sheet2-计算明细'!$AP$17:$AP$99,$X65),"")</x:f>
        <x:v>100</x:v>
      </x:c>
      <x:c r="S65" s="27" t="n">
        <x:f>IF(ISNUMBER(INDEX('Sheet2-计算明细'!$AQ$17:$AQ$99,$X65)),INDEX('Sheet2-计算明细'!$AQ$17:$AQ$99,$X65),"")</x:f>
        <x:v>1</x:v>
      </x:c>
      <x:c r="T65" s="52" t="n">
        <x:f>IF(ISNUMBER(INDEX('Sheet2-计算明细'!$AR$17:$AR$99,$X65)),INDEX('Sheet2-计算明细'!$AR$17:$AR$99,$X65),"")</x:f>
        <x:v>52.77768</x:v>
      </x:c>
      <x:c r="U65" s="52" t="n">
        <x:f>IF(ISNUMBER(INDEX('Sheet2-计算明细'!$AS$17:$AS$99,$X65)),INDEX('Sheet2-计算明细'!$AS$17:$AS$99,$X65),"")</x:f>
        <x:v>52.78</x:v>
      </x:c>
      <x:c r="V65" s="52" t="n">
        <x:f>IF(ISNUMBER(INDEX('Sheet2-计算明细'!$AV$17:$AV$99,$X65)),INDEX('Sheet2-计算明细'!$AV$17:$AV$99,$X65),"")</x:f>
        <x:v>52.77768</x:v>
      </x:c>
      <x:c r="W65" s="40" t="str">
        <x:f>IF(INDEX('Sheet2-计算明细'!$AU$17:$AU$99,$X65)="","",INDEX('Sheet2-计算明细'!$AU$17:$AU$99,$X65))</x:f>
      </x:c>
      <x:c r="X65" s="49" t="n">
        <x:f>MATCH(ROWS($X$6:X65),'Sheet2-计算明细'!$BJ$17:$BJ$99,0)</x:f>
        <x:v>60</x:v>
      </x:c>
      <x:c r="Y65" s="14" t="str">
        <x:f>IF(INDEX('Sheet2-计算明细'!$AX$17:$AX$99,$X65)="","",INDEX('Sheet2-计算明细'!$AX$17:$AX$99,$X65))</x:f>
        <x:v>套利策略</x:v>
      </x:c>
      <x:c r="Z65" s="14" t="str">
        <x:f>IF(INDEX('Sheet2-计算明细'!$AY$17:$AY$99,$X65)="","",INDEX('Sheet2-计算明细'!$AY$17:$AY$99,$X65))</x:f>
        <x:v>基金套利</x:v>
      </x:c>
      <x:c r="AA65" s="14" t="str">
        <x:f>IF(INDEX('Sheet2-计算明细'!$AW$17:$AW$99,$X65)="","",INDEX('Sheet2-计算明细'!$AW$17:$AW$99,$X65))</x:f>
        <x:v>完整赋分</x:v>
      </x:c>
      <x:c r="AB65" s="49" t="n">
        <x:f>IF(ISNUMBER(INDEX('Sheet2-计算明细'!$A$17:$A$99,$X65)),INDEX('Sheet2-计算明细'!$A$17:$A$99,$X65),"")</x:f>
        <x:v>60</x:v>
      </x:c>
    </x:row>
    <x:row r="66" ht="44" customHeight="1">
      <x:c r="A66" s="14" t="n">
        <x:f>IF(ISNUMBER(INDEX('Sheet2-计算明细'!$AT$17:$AT$99,$X66)),INDEX('Sheet2-计算明细'!$AT$17:$AT$99,$X66),"")</x:f>
        <x:v>61</x:v>
      </x:c>
      <x:c r="B66" s="14" t="str">
        <x:f>IF(INDEX('Sheet2-计算明细'!$B$17:$B$99,$X66)="","",INDEX('Sheet2-计算明细'!$B$17:$B$99,$X66))</x:f>
        <x:v>深度梦扬量化1号</x:v>
      </x:c>
      <x:c r="C66" s="14" t="str">
        <x:f>IF(INDEX('Sheet2-计算明细'!$C$17:$C$99,$X66)="","",INDEX('Sheet2-计算明细'!$C$17:$C$99,$X66))</x:f>
        <x:v>SZM348</x:v>
      </x:c>
      <x:c r="D66" s="14" t="str">
        <x:f>IF(INDEX('Sheet2-计算明细'!$D$17:$D$99,$X66)="","",INDEX('Sheet2-计算明细'!$D$17:$D$99,$X66))</x:f>
        <x:v>杭州深度资管</x:v>
      </x:c>
      <x:c r="E66" s="14" t="str">
        <x:f>IF(INDEX('Sheet2-计算明细'!$G$17:$G$99,$X66)="","",INDEX('Sheet2-计算明细'!$G$17:$G$99,$X66))</x:f>
        <x:v>入池</x:v>
      </x:c>
      <x:c r="F66" s="52" t="n">
        <x:f>IF(ISNUMBER(INDEX('Sheet2-计算明细'!$I$17:$I$99,$X66)),INDEX('Sheet2-计算明细'!$I$17:$I$99,$X66),"")</x:f>
        <x:v>80</x:v>
      </x:c>
      <x:c r="G66" s="52" t="n">
        <x:f>IF(ISNUMBER(INDEX('Sheet2-计算明细'!$K$17:$K$99,$X66)),INDEX('Sheet2-计算明细'!$K$17:$K$99,$X66),"")</x:f>
        <x:v>100</x:v>
      </x:c>
      <x:c r="H66" s="52" t="n">
        <x:f>IF(ISNUMBER(INDEX('Sheet2-计算明细'!$L$17:$L$99,$X66)),INDEX('Sheet2-计算明细'!$L$17:$L$99,$X66),"")</x:f>
        <x:v>100</x:v>
      </x:c>
      <x:c r="I66" s="52" t="n">
        <x:f>IF(ISNUMBER(INDEX('Sheet2-计算明细'!$S$17:$S$99,$X66)),INDEX('Sheet2-计算明细'!$S$17:$S$99,$X66),"")</x:f>
        <x:v>42.03</x:v>
      </x:c>
      <x:c r="J66" s="52" t="n">
        <x:f>IF(ISNUMBER(INDEX('Sheet2-计算明细'!$Y$17:$Y$99,$X66)),INDEX('Sheet2-计算明细'!$Y$17:$Y$99,$X66),"")</x:f>
        <x:v>73.21</x:v>
      </x:c>
      <x:c r="K66" s="52" t="n">
        <x:f>IF(ISNUMBER(INDEX('Sheet2-计算明细'!$AC$17:$AC$99,$X66)),INDEX('Sheet2-计算明细'!$AC$17:$AC$99,$X66),"")</x:f>
        <x:v>32.76</x:v>
      </x:c>
      <x:c r="L66" s="52" t="n">
        <x:f>IF(ISNUMBER(INDEX('Sheet2-计算明细'!$AI$17:$AI$99,$X66)),INDEX('Sheet2-计算明细'!$AI$17:$AI$99,$X66),"")</x:f>
        <x:v>21.82</x:v>
      </x:c>
      <x:c r="M66" s="52" t="n">
        <x:f>IF(ISNUMBER(INDEX('Sheet2-计算明细'!$AK$17:$AK$99,$X66)),INDEX('Sheet2-计算明细'!$AK$17:$AK$99,$X66),"")</x:f>
        <x:v>100</x:v>
      </x:c>
      <x:c r="N66" s="52" t="n">
        <x:f>IF(ISNUMBER(INDEX('Sheet2-计算明细'!$AL$17:$AL$99,$X66)),INDEX('Sheet2-计算明细'!$AL$17:$AL$99,$X66),"")</x:f>
        <x:v>92</x:v>
      </x:c>
      <x:c r="O66" s="52" t="n">
        <x:f>IF(ISNUMBER(INDEX('Sheet2-计算明细'!$AM$17:$AM$99,$X66)),INDEX('Sheet2-计算明细'!$AM$17:$AM$99,$X66),"")</x:f>
        <x:v>51.38</x:v>
      </x:c>
      <x:c r="P66" s="52" t="n">
        <x:f>IF(ISNUMBER(INDEX('Sheet2-计算明细'!$AN$17:$AN$99,$X66)),INDEX('Sheet2-计算明细'!$AN$17:$AN$99,$X66),"")</x:f>
        <x:v>32.76</x:v>
      </x:c>
      <x:c r="Q66" s="52" t="n">
        <x:f>IF(ISNUMBER(INDEX('Sheet2-计算明细'!$AO$17:$AO$99,$X66)),INDEX('Sheet2-计算明细'!$AO$17:$AO$99,$X66),"")</x:f>
        <x:v>21.82</x:v>
      </x:c>
      <x:c r="R66" s="52" t="n">
        <x:f>IF(ISNUMBER(INDEX('Sheet2-计算明细'!$AP$17:$AP$99,$X66)),INDEX('Sheet2-计算明细'!$AP$17:$AP$99,$X66),"")</x:f>
        <x:v>100</x:v>
      </x:c>
      <x:c r="S66" s="27" t="n">
        <x:f>IF(ISNUMBER(INDEX('Sheet2-计算明细'!$AQ$17:$AQ$99,$X66)),INDEX('Sheet2-计算明细'!$AQ$17:$AQ$99,$X66),"")</x:f>
        <x:v>0.88</x:v>
      </x:c>
      <x:c r="T66" s="52" t="n">
        <x:f>IF(ISNUMBER(INDEX('Sheet2-计算明细'!$AR$17:$AR$99,$X66)),INDEX('Sheet2-计算明细'!$AR$17:$AR$99,$X66),"")</x:f>
        <x:v>46.19369</x:v>
      </x:c>
      <x:c r="U66" s="52" t="n">
        <x:f>IF(ISNUMBER(INDEX('Sheet2-计算明细'!$AS$17:$AS$99,$X66)),INDEX('Sheet2-计算明细'!$AS$17:$AS$99,$X66),"")</x:f>
        <x:v>52.49</x:v>
      </x:c>
      <x:c r="V66" s="52" t="str">
        <x:f>IF(ISNUMBER(INDEX('Sheet2-计算明细'!$AV$17:$AV$99,$X66)),INDEX('Sheet2-计算明细'!$AV$17:$AV$99,$X66),"")</x:f>
      </x:c>
      <x:c r="W66" s="40" t="str">
        <x:f>IF(INDEX('Sheet2-计算明细'!$AU$17:$AU$99,$X66)="","",INDEX('Sheet2-计算明细'!$AU$17:$AU$99,$X66))</x:f>
        <x:v>DD_long不可识别；</x:v>
      </x:c>
      <x:c r="X66" s="49" t="n">
        <x:f>MATCH(ROWS($X$6:X66),'Sheet2-计算明细'!$BJ$17:$BJ$99,0)</x:f>
        <x:v>55</x:v>
      </x:c>
      <x:c r="Y66" s="14" t="str">
        <x:f>IF(INDEX('Sheet2-计算明细'!$AX$17:$AX$99,$X66)="","",INDEX('Sheet2-计算明细'!$AX$17:$AX$99,$X66))</x:f>
        <x:v>期权策略</x:v>
      </x:c>
      <x:c r="Z66" s="14" t="str">
        <x:f>IF(INDEX('Sheet2-计算明细'!$AY$17:$AY$99,$X66)="","",INDEX('Sheet2-计算明细'!$AY$17:$AY$99,$X66))</x:f>
        <x:v>场内期权</x:v>
      </x:c>
      <x:c r="AA66" s="14" t="str">
        <x:f>IF(INDEX('Sheet2-计算明细'!$AW$17:$AW$99,$X66)="","",INDEX('Sheet2-计算明细'!$AW$17:$AW$99,$X66))</x:f>
        <x:v>暂定分／数据不完整</x:v>
      </x:c>
      <x:c r="AB66" s="49" t="n">
        <x:f>IF(ISNUMBER(INDEX('Sheet2-计算明细'!$A$17:$A$99,$X66)),INDEX('Sheet2-计算明细'!$A$17:$A$99,$X66),"")</x:f>
        <x:v>55</x:v>
      </x:c>
    </x:row>
    <x:row r="67" ht="44" customHeight="1">
      <x:c r="A67" s="14" t="n">
        <x:f>IF(ISNUMBER(INDEX('Sheet2-计算明细'!$AT$17:$AT$99,$X67)),INDEX('Sheet2-计算明细'!$AT$17:$AT$99,$X67),"")</x:f>
        <x:v>62</x:v>
      </x:c>
      <x:c r="B67" s="14" t="str">
        <x:f>IF(INDEX('Sheet2-计算明细'!$B$17:$B$99,$X67)="","",INDEX('Sheet2-计算明细'!$B$17:$B$99,$X67))</x:f>
        <x:v>庄贤对冲3号</x:v>
      </x:c>
      <x:c r="C67" s="14" t="str">
        <x:f>IF(INDEX('Sheet2-计算明细'!$C$17:$C$99,$X67)="","",INDEX('Sheet2-计算明细'!$C$17:$C$99,$X67))</x:f>
        <x:v>SGW091</x:v>
      </x:c>
      <x:c r="D67" s="14" t="str">
        <x:f>IF(INDEX('Sheet2-计算明细'!$D$17:$D$99,$X67)="","",INDEX('Sheet2-计算明细'!$D$17:$D$99,$X67))</x:f>
        <x:v>杭州庄贤投资</x:v>
      </x:c>
      <x:c r="E67" s="14" t="str">
        <x:f>IF(INDEX('Sheet2-计算明细'!$G$17:$G$99,$X67)="","",INDEX('Sheet2-计算明细'!$G$17:$G$99,$X67))</x:f>
        <x:v>入池</x:v>
      </x:c>
      <x:c r="F67" s="52" t="n">
        <x:f>IF(ISNUMBER(INDEX('Sheet2-计算明细'!$I$17:$I$99,$X67)),INDEX('Sheet2-计算明细'!$I$17:$I$99,$X67),"")</x:f>
        <x:v>90</x:v>
      </x:c>
      <x:c r="G67" s="52" t="n">
        <x:f>IF(ISNUMBER(INDEX('Sheet2-计算明细'!$K$17:$K$99,$X67)),INDEX('Sheet2-计算明细'!$K$17:$K$99,$X67),"")</x:f>
        <x:v>100</x:v>
      </x:c>
      <x:c r="H67" s="52" t="n">
        <x:f>IF(ISNUMBER(INDEX('Sheet2-计算明细'!$L$17:$L$99,$X67)),INDEX('Sheet2-计算明细'!$L$17:$L$99,$X67),"")</x:f>
        <x:v>100</x:v>
      </x:c>
      <x:c r="I67" s="52" t="n">
        <x:f>IF(ISNUMBER(INDEX('Sheet2-计算明细'!$S$17:$S$99,$X67)),INDEX('Sheet2-计算明细'!$S$17:$S$99,$X67),"")</x:f>
        <x:v>19.19</x:v>
      </x:c>
      <x:c r="J67" s="52" t="n">
        <x:f>IF(ISNUMBER(INDEX('Sheet2-计算明细'!$Y$17:$Y$99,$X67)),INDEX('Sheet2-计算明细'!$Y$17:$Y$99,$X67),"")</x:f>
        <x:v>73.21</x:v>
      </x:c>
      <x:c r="K67" s="52" t="n">
        <x:f>IF(ISNUMBER(INDEX('Sheet2-计算明细'!$AC$17:$AC$99,$X67)),INDEX('Sheet2-计算明细'!$AC$17:$AC$99,$X67),"")</x:f>
        <x:v>39.66</x:v>
      </x:c>
      <x:c r="L67" s="52" t="n">
        <x:f>IF(ISNUMBER(INDEX('Sheet2-计算明细'!$AI$17:$AI$99,$X67)),INDEX('Sheet2-计算明细'!$AI$17:$AI$99,$X67),"")</x:f>
        <x:v>34.67</x:v>
      </x:c>
      <x:c r="M67" s="52" t="n">
        <x:f>IF(ISNUMBER(INDEX('Sheet2-计算明细'!$AK$17:$AK$99,$X67)),INDEX('Sheet2-计算明细'!$AK$17:$AK$99,$X67),"")</x:f>
        <x:v>80</x:v>
      </x:c>
      <x:c r="N67" s="52" t="n">
        <x:f>IF(ISNUMBER(INDEX('Sheet2-计算明细'!$AL$17:$AL$99,$X67)),INDEX('Sheet2-计算明细'!$AL$17:$AL$99,$X67),"")</x:f>
        <x:v>96</x:v>
      </x:c>
      <x:c r="O67" s="52" t="n">
        <x:f>IF(ISNUMBER(INDEX('Sheet2-计算明细'!$AM$17:$AM$99,$X67)),INDEX('Sheet2-计算明细'!$AM$17:$AM$99,$X67),"")</x:f>
        <x:v>35.4</x:v>
      </x:c>
      <x:c r="P67" s="52" t="n">
        <x:f>IF(ISNUMBER(INDEX('Sheet2-计算明细'!$AN$17:$AN$99,$X67)),INDEX('Sheet2-计算明细'!$AN$17:$AN$99,$X67),"")</x:f>
        <x:v>39.66</x:v>
      </x:c>
      <x:c r="Q67" s="52" t="n">
        <x:f>IF(ISNUMBER(INDEX('Sheet2-计算明细'!$AO$17:$AO$99,$X67)),INDEX('Sheet2-计算明细'!$AO$17:$AO$99,$X67),"")</x:f>
        <x:v>34.67</x:v>
      </x:c>
      <x:c r="R67" s="52" t="n">
        <x:f>IF(ISNUMBER(INDEX('Sheet2-计算明细'!$AP$17:$AP$99,$X67)),INDEX('Sheet2-计算明细'!$AP$17:$AP$99,$X67),"")</x:f>
        <x:v>80</x:v>
      </x:c>
      <x:c r="S67" s="27" t="n">
        <x:f>IF(ISNUMBER(INDEX('Sheet2-计算明细'!$AQ$17:$AQ$99,$X67)),INDEX('Sheet2-计算明细'!$AQ$17:$AQ$99,$X67),"")</x:f>
        <x:v>1</x:v>
      </x:c>
      <x:c r="T67" s="52" t="n">
        <x:f>IF(ISNUMBER(INDEX('Sheet2-计算明细'!$AR$17:$AR$99,$X67)),INDEX('Sheet2-计算明细'!$AR$17:$AR$99,$X67),"")</x:f>
        <x:v>49.79593</x:v>
      </x:c>
      <x:c r="U67" s="52" t="n">
        <x:f>IF(ISNUMBER(INDEX('Sheet2-计算明细'!$AS$17:$AS$99,$X67)),INDEX('Sheet2-计算明细'!$AS$17:$AS$99,$X67),"")</x:f>
        <x:v>49.8</x:v>
      </x:c>
      <x:c r="V67" s="52" t="n">
        <x:f>IF(ISNUMBER(INDEX('Sheet2-计算明细'!$AV$17:$AV$99,$X67)),INDEX('Sheet2-计算明细'!$AV$17:$AV$99,$X67),"")</x:f>
        <x:v>49.79593</x:v>
      </x:c>
      <x:c r="W67" s="40" t="str">
        <x:f>IF(INDEX('Sheet2-计算明细'!$AU$17:$AU$99,$X67)="","",INDEX('Sheet2-计算明细'!$AU$17:$AU$99,$X67))</x:f>
      </x:c>
      <x:c r="X67" s="49" t="n">
        <x:f>MATCH(ROWS($X$6:X67),'Sheet2-计算明细'!$BJ$17:$BJ$99,0)</x:f>
        <x:v>82</x:v>
      </x:c>
      <x:c r="Y67" s="14" t="str">
        <x:f>IF(INDEX('Sheet2-计算明细'!$AX$17:$AX$99,$X67)="","",INDEX('Sheet2-计算明细'!$AX$17:$AX$99,$X67))</x:f>
        <x:v>期权策略</x:v>
      </x:c>
      <x:c r="Z67" s="14" t="str">
        <x:f>IF(INDEX('Sheet2-计算明细'!$AY$17:$AY$99,$X67)="","",INDEX('Sheet2-计算明细'!$AY$17:$AY$99,$X67))</x:f>
        <x:v>场内期权</x:v>
      </x:c>
      <x:c r="AA67" s="14" t="str">
        <x:f>IF(INDEX('Sheet2-计算明细'!$AW$17:$AW$99,$X67)="","",INDEX('Sheet2-计算明细'!$AW$17:$AW$99,$X67))</x:f>
        <x:v>完整赋分</x:v>
      </x:c>
      <x:c r="AB67" s="49" t="n">
        <x:f>IF(ISNUMBER(INDEX('Sheet2-计算明细'!$A$17:$A$99,$X67)),INDEX('Sheet2-计算明细'!$A$17:$A$99,$X67),"")</x:f>
        <x:v>82</x:v>
      </x:c>
    </x:row>
    <x:row r="68" ht="44" customHeight="1">
      <x:c r="A68" s="14" t="n">
        <x:f>IF(ISNUMBER(INDEX('Sheet2-计算明细'!$AT$17:$AT$99,$X68)),INDEX('Sheet2-计算明细'!$AT$17:$AT$99,$X68),"")</x:f>
        <x:v>63</x:v>
      </x:c>
      <x:c r="B68" s="14" t="str">
        <x:f>IF(INDEX('Sheet2-计算明细'!$B$17:$B$99,$X68)="","",INDEX('Sheet2-计算明细'!$B$17:$B$99,$X68))</x:f>
        <x:v>杉阳云杉混合1号A类</x:v>
      </x:c>
      <x:c r="C68" s="14" t="str">
        <x:f>IF(INDEX('Sheet2-计算明细'!$C$17:$C$99,$X68)="","",INDEX('Sheet2-计算明细'!$C$17:$C$99,$X68))</x:f>
        <x:v>LA063A</x:v>
      </x:c>
      <x:c r="D68" s="14" t="str">
        <x:f>IF(INDEX('Sheet2-计算明细'!$D$17:$D$99,$X68)="","",INDEX('Sheet2-计算明细'!$D$17:$D$99,$X68))</x:f>
        <x:v>上海杉阳</x:v>
      </x:c>
      <x:c r="E68" s="14" t="str">
        <x:f>IF(INDEX('Sheet2-计算明细'!$G$17:$G$99,$X68)="","",INDEX('Sheet2-计算明细'!$G$17:$G$99,$X68))</x:f>
        <x:v>入池</x:v>
      </x:c>
      <x:c r="F68" s="52" t="n">
        <x:f>IF(ISNUMBER(INDEX('Sheet2-计算明细'!$I$17:$I$99,$X68)),INDEX('Sheet2-计算明细'!$I$17:$I$99,$X68),"")</x:f>
        <x:v>60</x:v>
      </x:c>
      <x:c r="G68" s="52" t="str">
        <x:f>IF(ISNUMBER(INDEX('Sheet2-计算明细'!$K$17:$K$99,$X68)),INDEX('Sheet2-计算明细'!$K$17:$K$99,$X68),"")</x:f>
      </x:c>
      <x:c r="H68" s="52" t="n">
        <x:f>IF(ISNUMBER(INDEX('Sheet2-计算明细'!$L$17:$L$99,$X68)),INDEX('Sheet2-计算明细'!$L$17:$L$99,$X68),"")</x:f>
        <x:v>100</x:v>
      </x:c>
      <x:c r="I68" s="52" t="n">
        <x:f>IF(ISNUMBER(INDEX('Sheet2-计算明细'!$S$17:$S$99,$X68)),INDEX('Sheet2-计算明细'!$S$17:$S$99,$X68),"")</x:f>
        <x:v>20.02</x:v>
      </x:c>
      <x:c r="J68" s="52" t="n">
        <x:f>IF(ISNUMBER(INDEX('Sheet2-计算明细'!$Y$17:$Y$99,$X68)),INDEX('Sheet2-计算明细'!$Y$17:$Y$99,$X68),"")</x:f>
        <x:v>71.15</x:v>
      </x:c>
      <x:c r="K68" s="52" t="n">
        <x:f>IF(ISNUMBER(INDEX('Sheet2-计算明细'!$AC$17:$AC$99,$X68)),INDEX('Sheet2-计算明细'!$AC$17:$AC$99,$X68),"")</x:f>
        <x:v>37.93</x:v>
      </x:c>
      <x:c r="L68" s="52" t="n">
        <x:f>IF(ISNUMBER(INDEX('Sheet2-计算明细'!$AI$17:$AI$99,$X68)),INDEX('Sheet2-计算明细'!$AI$17:$AI$99,$X68),"")</x:f>
        <x:v>42.88</x:v>
      </x:c>
      <x:c r="M68" s="52" t="n">
        <x:f>IF(ISNUMBER(INDEX('Sheet2-计算明细'!$AK$17:$AK$99,$X68)),INDEX('Sheet2-计算明细'!$AK$17:$AK$99,$X68),"")</x:f>
        <x:v>100</x:v>
      </x:c>
      <x:c r="N68" s="52" t="n">
        <x:f>IF(ISNUMBER(INDEX('Sheet2-计算明细'!$AL$17:$AL$99,$X68)),INDEX('Sheet2-计算明细'!$AL$17:$AL$99,$X68),"")</x:f>
        <x:v>77.14</x:v>
      </x:c>
      <x:c r="O68" s="52" t="n">
        <x:f>IF(ISNUMBER(INDEX('Sheet2-计算明细'!$AM$17:$AM$99,$X68)),INDEX('Sheet2-计算明细'!$AM$17:$AM$99,$X68),"")</x:f>
        <x:v>35.36</x:v>
      </x:c>
      <x:c r="P68" s="52" t="n">
        <x:f>IF(ISNUMBER(INDEX('Sheet2-计算明细'!$AN$17:$AN$99,$X68)),INDEX('Sheet2-计算明细'!$AN$17:$AN$99,$X68),"")</x:f>
        <x:v>37.93</x:v>
      </x:c>
      <x:c r="Q68" s="52" t="n">
        <x:f>IF(ISNUMBER(INDEX('Sheet2-计算明细'!$AO$17:$AO$99,$X68)),INDEX('Sheet2-计算明细'!$AO$17:$AO$99,$X68),"")</x:f>
        <x:v>42.88</x:v>
      </x:c>
      <x:c r="R68" s="52" t="n">
        <x:f>IF(ISNUMBER(INDEX('Sheet2-计算明细'!$AP$17:$AP$99,$X68)),INDEX('Sheet2-计算明细'!$AP$17:$AP$99,$X68),"")</x:f>
        <x:v>100</x:v>
      </x:c>
      <x:c r="S68" s="27" t="n">
        <x:f>IF(ISNUMBER(INDEX('Sheet2-计算明细'!$AQ$17:$AQ$99,$X68)),INDEX('Sheet2-计算明细'!$AQ$17:$AQ$99,$X68),"")</x:f>
        <x:v>0.9549999999999998</x:v>
      </x:c>
      <x:c r="T68" s="52" t="n">
        <x:f>IF(ISNUMBER(INDEX('Sheet2-计算明细'!$AR$17:$AR$99,$X68)),INDEX('Sheet2-计算明细'!$AR$17:$AR$99,$X68),"")</x:f>
        <x:v>47.51971</x:v>
      </x:c>
      <x:c r="U68" s="52" t="n">
        <x:f>IF(ISNUMBER(INDEX('Sheet2-计算明细'!$AS$17:$AS$99,$X68)),INDEX('Sheet2-计算明细'!$AS$17:$AS$99,$X68),"")</x:f>
        <x:v>49.76</x:v>
      </x:c>
      <x:c r="V68" s="52" t="str">
        <x:f>IF(ISNUMBER(INDEX('Sheet2-计算明细'!$AV$17:$AV$99,$X68)),INDEX('Sheet2-计算明细'!$AV$17:$AV$99,$X68),"")</x:f>
      </x:c>
      <x:c r="W68" s="40" t="str">
        <x:f>IF(INDEX('Sheet2-计算明细'!$AU$17:$AU$99,$X68)="","",INDEX('Sheet2-计算明细'!$AU$17:$AU$99,$X68))</x:f>
        <x:v>产品规模标识；</x:v>
      </x:c>
      <x:c r="X68" s="49" t="n">
        <x:f>MATCH(ROWS($X$6:X68),'Sheet2-计算明细'!$BJ$17:$BJ$99,0)</x:f>
        <x:v>53</x:v>
      </x:c>
      <x:c r="Y68" s="14" t="str">
        <x:f>IF(INDEX('Sheet2-计算明细'!$AX$17:$AX$99,$X68)="","",INDEX('Sheet2-计算明细'!$AX$17:$AX$99,$X68))</x:f>
        <x:v>套利策略</x:v>
      </x:c>
      <x:c r="Z68" s="14" t="str">
        <x:f>IF(INDEX('Sheet2-计算明细'!$AY$17:$AY$99,$X68)="","",INDEX('Sheet2-计算明细'!$AY$17:$AY$99,$X68))</x:f>
        <x:v>期货套利</x:v>
      </x:c>
      <x:c r="AA68" s="14" t="str">
        <x:f>IF(INDEX('Sheet2-计算明细'!$AW$17:$AW$99,$X68)="","",INDEX('Sheet2-计算明细'!$AW$17:$AW$99,$X68))</x:f>
        <x:v>暂定分／数据不完整</x:v>
      </x:c>
      <x:c r="AB68" s="49" t="n">
        <x:f>IF(ISNUMBER(INDEX('Sheet2-计算明细'!$A$17:$A$99,$X68)),INDEX('Sheet2-计算明细'!$A$17:$A$99,$X68),"")</x:f>
        <x:v>53</x:v>
      </x:c>
    </x:row>
    <x:row r="69" ht="44" customHeight="1">
      <x:c r="A69" s="14" t="n">
        <x:f>IF(ISNUMBER(INDEX('Sheet2-计算明细'!$AT$17:$AT$99,$X69)),INDEX('Sheet2-计算明细'!$AT$17:$AT$99,$X69),"")</x:f>
        <x:v>64</x:v>
      </x:c>
      <x:c r="B69" s="14" t="str">
        <x:f>IF(INDEX('Sheet2-计算明细'!$B$17:$B$99,$X69)="","",INDEX('Sheet2-计算明细'!$B$17:$B$99,$X69))</x:f>
        <x:v>博润易量稳健1号</x:v>
      </x:c>
      <x:c r="C69" s="14" t="str">
        <x:f>IF(INDEX('Sheet2-计算明细'!$C$17:$C$99,$X69)="","",INDEX('Sheet2-计算明细'!$C$17:$C$99,$X69))</x:f>
        <x:v>SXL913</x:v>
      </x:c>
      <x:c r="D69" s="14" t="str">
        <x:f>IF(INDEX('Sheet2-计算明细'!$D$17:$D$99,$X69)="","",INDEX('Sheet2-计算明细'!$D$17:$D$99,$X69))</x:f>
        <x:v>北京博润银泰投资</x:v>
      </x:c>
      <x:c r="E69" s="14" t="str">
        <x:f>IF(INDEX('Sheet2-计算明细'!$G$17:$G$99,$X69)="","",INDEX('Sheet2-计算明细'!$G$17:$G$99,$X69))</x:f>
        <x:v>入池</x:v>
      </x:c>
      <x:c r="F69" s="52" t="n">
        <x:f>IF(ISNUMBER(INDEX('Sheet2-计算明细'!$I$17:$I$99,$X69)),INDEX('Sheet2-计算明细'!$I$17:$I$99,$X69),"")</x:f>
        <x:v>100</x:v>
      </x:c>
      <x:c r="G69" s="52" t="n">
        <x:f>IF(ISNUMBER(INDEX('Sheet2-计算明细'!$K$17:$K$99,$X69)),INDEX('Sheet2-计算明细'!$K$17:$K$99,$X69),"")</x:f>
        <x:v>100</x:v>
      </x:c>
      <x:c r="H69" s="52" t="n">
        <x:f>IF(ISNUMBER(INDEX('Sheet2-计算明细'!$L$17:$L$99,$X69)),INDEX('Sheet2-计算明细'!$L$17:$L$99,$X69),"")</x:f>
        <x:v>100</x:v>
      </x:c>
      <x:c r="I69" s="52" t="n">
        <x:f>IF(ISNUMBER(INDEX('Sheet2-计算明细'!$S$17:$S$99,$X69)),INDEX('Sheet2-计算明细'!$S$17:$S$99,$X69),"")</x:f>
        <x:v>32.71</x:v>
      </x:c>
      <x:c r="J69" s="52" t="n">
        <x:f>IF(ISNUMBER(INDEX('Sheet2-计算明细'!$Y$17:$Y$99,$X69)),INDEX('Sheet2-计算明细'!$Y$17:$Y$99,$X69),"")</x:f>
        <x:v>58.97</x:v>
      </x:c>
      <x:c r="K69" s="52" t="n">
        <x:f>IF(ISNUMBER(INDEX('Sheet2-计算明细'!$AC$17:$AC$99,$X69)),INDEX('Sheet2-计算明细'!$AC$17:$AC$99,$X69),"")</x:f>
        <x:v>31.03</x:v>
      </x:c>
      <x:c r="L69" s="52" t="n">
        <x:f>IF(ISNUMBER(INDEX('Sheet2-计算明细'!$AI$17:$AI$99,$X69)),INDEX('Sheet2-计算明细'!$AI$17:$AI$99,$X69),"")</x:f>
        <x:v>14.55</x:v>
      </x:c>
      <x:c r="M69" s="52" t="n">
        <x:f>IF(ISNUMBER(INDEX('Sheet2-计算明细'!$AK$17:$AK$99,$X69)),INDEX('Sheet2-计算明细'!$AK$17:$AK$99,$X69),"")</x:f>
        <x:v>100</x:v>
      </x:c>
      <x:c r="N69" s="52" t="n">
        <x:f>IF(ISNUMBER(INDEX('Sheet2-计算明细'!$AL$17:$AL$99,$X69)),INDEX('Sheet2-计算明细'!$AL$17:$AL$99,$X69),"")</x:f>
        <x:v>100</x:v>
      </x:c>
      <x:c r="O69" s="52" t="n">
        <x:f>IF(ISNUMBER(INDEX('Sheet2-计算明细'!$AM$17:$AM$99,$X69)),INDEX('Sheet2-计算明细'!$AM$17:$AM$99,$X69),"")</x:f>
        <x:v>40.59</x:v>
      </x:c>
      <x:c r="P69" s="52" t="n">
        <x:f>IF(ISNUMBER(INDEX('Sheet2-计算明细'!$AN$17:$AN$99,$X69)),INDEX('Sheet2-计算明细'!$AN$17:$AN$99,$X69),"")</x:f>
        <x:v>31.03</x:v>
      </x:c>
      <x:c r="Q69" s="52" t="n">
        <x:f>IF(ISNUMBER(INDEX('Sheet2-计算明细'!$AO$17:$AO$99,$X69)),INDEX('Sheet2-计算明细'!$AO$17:$AO$99,$X69),"")</x:f>
        <x:v>14.55</x:v>
      </x:c>
      <x:c r="R69" s="52" t="n">
        <x:f>IF(ISNUMBER(INDEX('Sheet2-计算明细'!$AP$17:$AP$99,$X69)),INDEX('Sheet2-计算明细'!$AP$17:$AP$99,$X69),"")</x:f>
        <x:v>100</x:v>
      </x:c>
      <x:c r="S69" s="27" t="n">
        <x:f>IF(ISNUMBER(INDEX('Sheet2-计算明细'!$AQ$17:$AQ$99,$X69)),INDEX('Sheet2-计算明细'!$AQ$17:$AQ$99,$X69),"")</x:f>
        <x:v>0.88</x:v>
      </x:c>
      <x:c r="T69" s="52" t="n">
        <x:f>IF(ISNUMBER(INDEX('Sheet2-计算明细'!$AR$17:$AR$99,$X69)),INDEX('Sheet2-计算明细'!$AR$17:$AR$99,$X69),"")</x:f>
        <x:v>43.49409</x:v>
      </x:c>
      <x:c r="U69" s="52" t="n">
        <x:f>IF(ISNUMBER(INDEX('Sheet2-计算明细'!$AS$17:$AS$99,$X69)),INDEX('Sheet2-计算明细'!$AS$17:$AS$99,$X69),"")</x:f>
        <x:v>49.43</x:v>
      </x:c>
      <x:c r="V69" s="52" t="str">
        <x:f>IF(ISNUMBER(INDEX('Sheet2-计算明细'!$AV$17:$AV$99,$X69)),INDEX('Sheet2-计算明细'!$AV$17:$AV$99,$X69),"")</x:f>
      </x:c>
      <x:c r="W69" s="40" t="str">
        <x:f>IF(INDEX('Sheet2-计算明细'!$AU$17:$AU$99,$X69)="","",INDEX('Sheet2-计算明细'!$AU$17:$AU$99,$X69))</x:f>
        <x:v>DD_long不可识别；</x:v>
      </x:c>
      <x:c r="X69" s="49" t="n">
        <x:f>MATCH(ROWS($X$6:X69),'Sheet2-计算明细'!$BJ$17:$BJ$99,0)</x:f>
        <x:v>5</x:v>
      </x:c>
      <x:c r="Y69" s="14" t="str">
        <x:f>IF(INDEX('Sheet2-计算明细'!$AX$17:$AX$99,$X69)="","",INDEX('Sheet2-计算明细'!$AX$17:$AX$99,$X69))</x:f>
        <x:v>套利策略</x:v>
      </x:c>
      <x:c r="Z69" s="14" t="str">
        <x:f>IF(INDEX('Sheet2-计算明细'!$AY$17:$AY$99,$X69)="","",INDEX('Sheet2-计算明细'!$AY$17:$AY$99,$X69))</x:f>
        <x:v>期货套利</x:v>
      </x:c>
      <x:c r="AA69" s="14" t="str">
        <x:f>IF(INDEX('Sheet2-计算明细'!$AW$17:$AW$99,$X69)="","",INDEX('Sheet2-计算明细'!$AW$17:$AW$99,$X69))</x:f>
        <x:v>暂定分／数据不完整</x:v>
      </x:c>
      <x:c r="AB69" s="49" t="n">
        <x:f>IF(ISNUMBER(INDEX('Sheet2-计算明细'!$A$17:$A$99,$X69)),INDEX('Sheet2-计算明细'!$A$17:$A$99,$X69),"")</x:f>
        <x:v>5</x:v>
      </x:c>
    </x:row>
    <x:row r="70" ht="44" customHeight="1">
      <x:c r="A70" s="14" t="n">
        <x:f>IF(ISNUMBER(INDEX('Sheet2-计算明细'!$AT$17:$AT$99,$X70)),INDEX('Sheet2-计算明细'!$AT$17:$AT$99,$X70),"")</x:f>
        <x:v>65</x:v>
      </x:c>
      <x:c r="B70" s="14" t="str">
        <x:f>IF(INDEX('Sheet2-计算明细'!$B$17:$B$99,$X70)="","",INDEX('Sheet2-计算明细'!$B$17:$B$99,$X70))</x:f>
        <x:v>铭杉量化稳健5号</x:v>
      </x:c>
      <x:c r="C70" s="14" t="str">
        <x:f>IF(INDEX('Sheet2-计算明细'!$C$17:$C$99,$X70)="","",INDEX('Sheet2-计算明细'!$C$17:$C$99,$X70))</x:f>
        <x:v>SLT573</x:v>
      </x:c>
      <x:c r="D70" s="14" t="str">
        <x:f>IF(INDEX('Sheet2-计算明细'!$D$17:$D$99,$X70)="","",INDEX('Sheet2-计算明细'!$D$17:$D$99,$X70))</x:f>
        <x:v>上海铭杉投资</x:v>
      </x:c>
      <x:c r="E70" s="14" t="str">
        <x:f>IF(INDEX('Sheet2-计算明细'!$G$17:$G$99,$X70)="","",INDEX('Sheet2-计算明细'!$G$17:$G$99,$X70))</x:f>
        <x:v>入池</x:v>
      </x:c>
      <x:c r="F70" s="52" t="n">
        <x:f>IF(ISNUMBER(INDEX('Sheet2-计算明细'!$I$17:$I$99,$X70)),INDEX('Sheet2-计算明细'!$I$17:$I$99,$X70),"")</x:f>
        <x:v>60</x:v>
      </x:c>
      <x:c r="G70" s="52" t="n">
        <x:f>IF(ISNUMBER(INDEX('Sheet2-计算明细'!$K$17:$K$99,$X70)),INDEX('Sheet2-计算明细'!$K$17:$K$99,$X70),"")</x:f>
        <x:v>100</x:v>
      </x:c>
      <x:c r="H70" s="52" t="n">
        <x:f>IF(ISNUMBER(INDEX('Sheet2-计算明细'!$L$17:$L$99,$X70)),INDEX('Sheet2-计算明细'!$L$17:$L$99,$X70),"")</x:f>
        <x:v>100</x:v>
      </x:c>
      <x:c r="I70" s="52" t="n">
        <x:f>IF(ISNUMBER(INDEX('Sheet2-计算明细'!$S$17:$S$99,$X70)),INDEX('Sheet2-计算明细'!$S$17:$S$99,$X70),"")</x:f>
        <x:v>26.93</x:v>
      </x:c>
      <x:c r="J70" s="52" t="n">
        <x:f>IF(ISNUMBER(INDEX('Sheet2-计算明细'!$Y$17:$Y$99,$X70)),INDEX('Sheet2-计算明细'!$Y$17:$Y$99,$X70),"")</x:f>
        <x:v>82.82</x:v>
      </x:c>
      <x:c r="K70" s="52" t="n">
        <x:f>IF(ISNUMBER(INDEX('Sheet2-计算明细'!$AC$17:$AC$99,$X70)),INDEX('Sheet2-计算明细'!$AC$17:$AC$99,$X70),"")</x:f>
        <x:v>46.55</x:v>
      </x:c>
      <x:c r="L70" s="52" t="n">
        <x:f>IF(ISNUMBER(INDEX('Sheet2-计算明细'!$AI$17:$AI$99,$X70)),INDEX('Sheet2-计算明细'!$AI$17:$AI$99,$X70),"")</x:f>
        <x:v>12.73</x:v>
      </x:c>
      <x:c r="M70" s="52" t="n">
        <x:f>IF(ISNUMBER(INDEX('Sheet2-计算明细'!$AK$17:$AK$99,$X70)),INDEX('Sheet2-计算明细'!$AK$17:$AK$99,$X70),"")</x:f>
        <x:v>80</x:v>
      </x:c>
      <x:c r="N70" s="52" t="n">
        <x:f>IF(ISNUMBER(INDEX('Sheet2-计算明细'!$AL$17:$AL$99,$X70)),INDEX('Sheet2-计算明细'!$AL$17:$AL$99,$X70),"")</x:f>
        <x:v>84</x:v>
      </x:c>
      <x:c r="O70" s="52" t="n">
        <x:f>IF(ISNUMBER(INDEX('Sheet2-计算明细'!$AM$17:$AM$99,$X70)),INDEX('Sheet2-计算明细'!$AM$17:$AM$99,$X70),"")</x:f>
        <x:v>43.7</x:v>
      </x:c>
      <x:c r="P70" s="52" t="n">
        <x:f>IF(ISNUMBER(INDEX('Sheet2-计算明细'!$AN$17:$AN$99,$X70)),INDEX('Sheet2-计算明细'!$AN$17:$AN$99,$X70),"")</x:f>
        <x:v>46.55</x:v>
      </x:c>
      <x:c r="Q70" s="52" t="n">
        <x:f>IF(ISNUMBER(INDEX('Sheet2-计算明细'!$AO$17:$AO$99,$X70)),INDEX('Sheet2-计算明细'!$AO$17:$AO$99,$X70),"")</x:f>
        <x:v>12.73</x:v>
      </x:c>
      <x:c r="R70" s="52" t="n">
        <x:f>IF(ISNUMBER(INDEX('Sheet2-计算明细'!$AP$17:$AP$99,$X70)),INDEX('Sheet2-计算明细'!$AP$17:$AP$99,$X70),"")</x:f>
        <x:v>80</x:v>
      </x:c>
      <x:c r="S70" s="27" t="n">
        <x:f>IF(ISNUMBER(INDEX('Sheet2-计算明细'!$AQ$17:$AQ$99,$X70)),INDEX('Sheet2-计算明细'!$AQ$17:$AQ$99,$X70),"")</x:f>
        <x:v>0.88</x:v>
      </x:c>
      <x:c r="T70" s="52" t="n">
        <x:f>IF(ISNUMBER(INDEX('Sheet2-计算明细'!$AR$17:$AR$99,$X70)),INDEX('Sheet2-计算明细'!$AR$17:$AR$99,$X70),"")</x:f>
        <x:v>43.26895</x:v>
      </x:c>
      <x:c r="U70" s="52" t="n">
        <x:f>IF(ISNUMBER(INDEX('Sheet2-计算明细'!$AS$17:$AS$99,$X70)),INDEX('Sheet2-计算明细'!$AS$17:$AS$99,$X70),"")</x:f>
        <x:v>49.17</x:v>
      </x:c>
      <x:c r="V70" s="52" t="str">
        <x:f>IF(ISNUMBER(INDEX('Sheet2-计算明细'!$AV$17:$AV$99,$X70)),INDEX('Sheet2-计算明细'!$AV$17:$AV$99,$X70),"")</x:f>
      </x:c>
      <x:c r="W70" s="40" t="str">
        <x:f>IF(INDEX('Sheet2-计算明细'!$AU$17:$AU$99,$X70)="","",INDEX('Sheet2-计算明细'!$AU$17:$AU$99,$X70))</x:f>
        <x:v>DD_long不可识别；</x:v>
      </x:c>
      <x:c r="X70" s="49" t="n">
        <x:f>MATCH(ROWS($X$6:X70),'Sheet2-计算明细'!$BJ$17:$BJ$99,0)</x:f>
        <x:v>38</x:v>
      </x:c>
      <x:c r="Y70" s="14" t="str">
        <x:f>IF(INDEX('Sheet2-计算明细'!$AX$17:$AX$99,$X70)="","",INDEX('Sheet2-计算明细'!$AX$17:$AX$99,$X70))</x:f>
        <x:v>套利策略</x:v>
      </x:c>
      <x:c r="Z70" s="14" t="str">
        <x:f>IF(INDEX('Sheet2-计算明细'!$AY$17:$AY$99,$X70)="","",INDEX('Sheet2-计算明细'!$AY$17:$AY$99,$X70))</x:f>
        <x:v>期货套利</x:v>
      </x:c>
      <x:c r="AA70" s="14" t="str">
        <x:f>IF(INDEX('Sheet2-计算明细'!$AW$17:$AW$99,$X70)="","",INDEX('Sheet2-计算明细'!$AW$17:$AW$99,$X70))</x:f>
        <x:v>暂定分／数据不完整</x:v>
      </x:c>
      <x:c r="AB70" s="49" t="n">
        <x:f>IF(ISNUMBER(INDEX('Sheet2-计算明细'!$A$17:$A$99,$X70)),INDEX('Sheet2-计算明细'!$A$17:$A$99,$X70),"")</x:f>
        <x:v>38</x:v>
      </x:c>
    </x:row>
    <x:row r="71" ht="44" customHeight="1">
      <x:c r="A71" s="14" t="n">
        <x:f>IF(ISNUMBER(INDEX('Sheet2-计算明细'!$AT$17:$AT$99,$X71)),INDEX('Sheet2-计算明细'!$AT$17:$AT$99,$X71),"")</x:f>
        <x:v>66</x:v>
      </x:c>
      <x:c r="B71" s="14" t="str">
        <x:f>IF(INDEX('Sheet2-计算明细'!$B$17:$B$99,$X71)="","",INDEX('Sheet2-计算明细'!$B$17:$B$99,$X71))</x:f>
        <x:v>杭州探融-锦鲤智能量化3号</x:v>
      </x:c>
      <x:c r="C71" s="14" t="str">
        <x:f>IF(INDEX('Sheet2-计算明细'!$C$17:$C$99,$X71)="","",INDEX('Sheet2-计算明细'!$C$17:$C$99,$X71))</x:f>
        <x:v>SQC001</x:v>
      </x:c>
      <x:c r="D71" s="14" t="str">
        <x:f>IF(INDEX('Sheet2-计算明细'!$D$17:$D$99,$X71)="","",INDEX('Sheet2-计算明细'!$D$17:$D$99,$X71))</x:f>
        <x:v>杭州探融投资</x:v>
      </x:c>
      <x:c r="E71" s="14" t="str">
        <x:f>IF(INDEX('Sheet2-计算明细'!$G$17:$G$99,$X71)="","",INDEX('Sheet2-计算明细'!$G$17:$G$99,$X71))</x:f>
        <x:v>入池</x:v>
      </x:c>
      <x:c r="F71" s="52" t="n">
        <x:f>IF(ISNUMBER(INDEX('Sheet2-计算明细'!$I$17:$I$99,$X71)),INDEX('Sheet2-计算明细'!$I$17:$I$99,$X71),"")</x:f>
        <x:v>60</x:v>
      </x:c>
      <x:c r="G71" s="52" t="n">
        <x:f>IF(ISNUMBER(INDEX('Sheet2-计算明细'!$K$17:$K$99,$X71)),INDEX('Sheet2-计算明细'!$K$17:$K$99,$X71),"")</x:f>
        <x:v>100</x:v>
      </x:c>
      <x:c r="H71" s="52" t="n">
        <x:f>IF(ISNUMBER(INDEX('Sheet2-计算明细'!$L$17:$L$99,$X71)),INDEX('Sheet2-计算明细'!$L$17:$L$99,$X71),"")</x:f>
        <x:v>100</x:v>
      </x:c>
      <x:c r="I71" s="52" t="n">
        <x:f>IF(ISNUMBER(INDEX('Sheet2-计算明细'!$S$17:$S$99,$X71)),INDEX('Sheet2-计算明细'!$S$17:$S$99,$X71),"")</x:f>
        <x:v>12.19</x:v>
      </x:c>
      <x:c r="J71" s="52" t="n">
        <x:f>IF(ISNUMBER(INDEX('Sheet2-计算明细'!$Y$17:$Y$99,$X71)),INDEX('Sheet2-计算明细'!$Y$17:$Y$99,$X71),"")</x:f>
        <x:v>51.41</x:v>
      </x:c>
      <x:c r="K71" s="52" t="n">
        <x:f>IF(ISNUMBER(INDEX('Sheet2-计算明细'!$AC$17:$AC$99,$X71)),INDEX('Sheet2-计算明细'!$AC$17:$AC$99,$X71),"")</x:f>
        <x:v>58.62</x:v>
      </x:c>
      <x:c r="L71" s="52" t="n">
        <x:f>IF(ISNUMBER(INDEX('Sheet2-计算明细'!$AI$17:$AI$99,$X71)),INDEX('Sheet2-计算明细'!$AI$17:$AI$99,$X71),"")</x:f>
        <x:v>22.52</x:v>
      </x:c>
      <x:c r="M71" s="52" t="n">
        <x:f>IF(ISNUMBER(INDEX('Sheet2-计算明细'!$AK$17:$AK$99,$X71)),INDEX('Sheet2-计算明细'!$AK$17:$AK$99,$X71),"")</x:f>
        <x:v>80</x:v>
      </x:c>
      <x:c r="N71" s="52" t="n">
        <x:f>IF(ISNUMBER(INDEX('Sheet2-计算明细'!$AL$17:$AL$99,$X71)),INDEX('Sheet2-计算明细'!$AL$17:$AL$99,$X71),"")</x:f>
        <x:v>84</x:v>
      </x:c>
      <x:c r="O71" s="52" t="n">
        <x:f>IF(ISNUMBER(INDEX('Sheet2-计算明细'!$AM$17:$AM$99,$X71)),INDEX('Sheet2-计算明细'!$AM$17:$AM$99,$X71),"")</x:f>
        <x:v>23.95</x:v>
      </x:c>
      <x:c r="P71" s="52" t="n">
        <x:f>IF(ISNUMBER(INDEX('Sheet2-计算明细'!$AN$17:$AN$99,$X71)),INDEX('Sheet2-计算明细'!$AN$17:$AN$99,$X71),"")</x:f>
        <x:v>58.62</x:v>
      </x:c>
      <x:c r="Q71" s="52" t="n">
        <x:f>IF(ISNUMBER(INDEX('Sheet2-计算明细'!$AO$17:$AO$99,$X71)),INDEX('Sheet2-计算明细'!$AO$17:$AO$99,$X71),"")</x:f>
        <x:v>22.52</x:v>
      </x:c>
      <x:c r="R71" s="52" t="n">
        <x:f>IF(ISNUMBER(INDEX('Sheet2-计算明细'!$AP$17:$AP$99,$X71)),INDEX('Sheet2-计算明细'!$AP$17:$AP$99,$X71),"")</x:f>
        <x:v>80</x:v>
      </x:c>
      <x:c r="S71" s="27" t="n">
        <x:f>IF(ISNUMBER(INDEX('Sheet2-计算明细'!$AQ$17:$AQ$99,$X71)),INDEX('Sheet2-计算明细'!$AQ$17:$AQ$99,$X71),"")</x:f>
        <x:v>1</x:v>
      </x:c>
      <x:c r="T71" s="52" t="n">
        <x:f>IF(ISNUMBER(INDEX('Sheet2-计算明细'!$AR$17:$AR$99,$X71)),INDEX('Sheet2-计算明细'!$AR$17:$AR$99,$X71),"")</x:f>
        <x:v>46.80163999999999</x:v>
      </x:c>
      <x:c r="U71" s="52" t="n">
        <x:f>IF(ISNUMBER(INDEX('Sheet2-计算明细'!$AS$17:$AS$99,$X71)),INDEX('Sheet2-计算明细'!$AS$17:$AS$99,$X71),"")</x:f>
        <x:v>46.8</x:v>
      </x:c>
      <x:c r="V71" s="52" t="n">
        <x:f>IF(ISNUMBER(INDEX('Sheet2-计算明细'!$AV$17:$AV$99,$X71)),INDEX('Sheet2-计算明细'!$AV$17:$AV$99,$X71),"")</x:f>
        <x:v>46.80163999999999</x:v>
      </x:c>
      <x:c r="W71" s="40" t="str">
        <x:f>IF(INDEX('Sheet2-计算明细'!$AU$17:$AU$99,$X71)="","",INDEX('Sheet2-计算明细'!$AU$17:$AU$99,$X71))</x:f>
      </x:c>
      <x:c r="X71" s="49" t="n">
        <x:f>MATCH(ROWS($X$6:X71),'Sheet2-计算明细'!$BJ$17:$BJ$99,0)</x:f>
        <x:v>19</x:v>
      </x:c>
      <x:c r="Y71" s="14" t="str">
        <x:f>IF(INDEX('Sheet2-计算明细'!$AX$17:$AX$99,$X71)="","",INDEX('Sheet2-计算明细'!$AX$17:$AX$99,$X71))</x:f>
        <x:v>套利策略</x:v>
      </x:c>
      <x:c r="Z71" s="14" t="str">
        <x:f>IF(INDEX('Sheet2-计算明细'!$AY$17:$AY$99,$X71)="","",INDEX('Sheet2-计算明细'!$AY$17:$AY$99,$X71))</x:f>
        <x:v>可转债套利</x:v>
      </x:c>
      <x:c r="AA71" s="14" t="str">
        <x:f>IF(INDEX('Sheet2-计算明细'!$AW$17:$AW$99,$X71)="","",INDEX('Sheet2-计算明细'!$AW$17:$AW$99,$X71))</x:f>
        <x:v>完整赋分</x:v>
      </x:c>
      <x:c r="AB71" s="49" t="n">
        <x:f>IF(ISNUMBER(INDEX('Sheet2-计算明细'!$A$17:$A$99,$X71)),INDEX('Sheet2-计算明细'!$A$17:$A$99,$X71),"")</x:f>
        <x:v>19</x:v>
      </x:c>
    </x:row>
    <x:row r="72" ht="44" customHeight="1">
      <x:c r="A72" s="14" t="n">
        <x:f>IF(ISNUMBER(INDEX('Sheet2-计算明细'!$AT$17:$AT$99,$X72)),INDEX('Sheet2-计算明细'!$AT$17:$AT$99,$X72),"")</x:f>
        <x:v>67</x:v>
      </x:c>
      <x:c r="B72" s="14" t="str">
        <x:f>IF(INDEX('Sheet2-计算明细'!$B$17:$B$99,$X72)="","",INDEX('Sheet2-计算明细'!$B$17:$B$99,$X72))</x:f>
        <x:v>晨翰11号</x:v>
      </x:c>
      <x:c r="C72" s="14" t="str">
        <x:f>IF(INDEX('Sheet2-计算明细'!$C$17:$C$99,$X72)="","",INDEX('Sheet2-计算明细'!$C$17:$C$99,$X72))</x:f>
        <x:v>SVT598</x:v>
      </x:c>
      <x:c r="D72" s="14" t="str">
        <x:f>IF(INDEX('Sheet2-计算明细'!$D$17:$D$99,$X72)="","",INDEX('Sheet2-计算明细'!$D$17:$D$99,$X72))</x:f>
        <x:v>晋江晨翰</x:v>
      </x:c>
      <x:c r="E72" s="14" t="str">
        <x:f>IF(INDEX('Sheet2-计算明细'!$G$17:$G$99,$X72)="","",INDEX('Sheet2-计算明细'!$G$17:$G$99,$X72))</x:f>
        <x:v>入池</x:v>
      </x:c>
      <x:c r="F72" s="52" t="n">
        <x:f>IF(ISNUMBER(INDEX('Sheet2-计算明细'!$I$17:$I$99,$X72)),INDEX('Sheet2-计算明细'!$I$17:$I$99,$X72),"")</x:f>
        <x:v>70</x:v>
      </x:c>
      <x:c r="G72" s="52" t="n">
        <x:f>IF(ISNUMBER(INDEX('Sheet2-计算明细'!$K$17:$K$99,$X72)),INDEX('Sheet2-计算明细'!$K$17:$K$99,$X72),"")</x:f>
        <x:v>100</x:v>
      </x:c>
      <x:c r="H72" s="52" t="n">
        <x:f>IF(ISNUMBER(INDEX('Sheet2-计算明细'!$L$17:$L$99,$X72)),INDEX('Sheet2-计算明细'!$L$17:$L$99,$X72),"")</x:f>
        <x:v>100</x:v>
      </x:c>
      <x:c r="I72" s="52" t="n">
        <x:f>IF(ISNUMBER(INDEX('Sheet2-计算明细'!$S$17:$S$99,$X72)),INDEX('Sheet2-计算明细'!$S$17:$S$99,$X72),"")</x:f>
        <x:v>12.28</x:v>
      </x:c>
      <x:c r="J72" s="52" t="n">
        <x:f>IF(ISNUMBER(INDEX('Sheet2-计算明细'!$Y$17:$Y$99,$X72)),INDEX('Sheet2-计算明细'!$Y$17:$Y$99,$X72),"")</x:f>
        <x:v>58.97</x:v>
      </x:c>
      <x:c r="K72" s="52" t="n">
        <x:f>IF(ISNUMBER(INDEX('Sheet2-计算明细'!$AC$17:$AC$99,$X72)),INDEX('Sheet2-计算明细'!$AC$17:$AC$99,$X72),"")</x:f>
        <x:v>51.72</x:v>
      </x:c>
      <x:c r="L72" s="52" t="n">
        <x:f>IF(ISNUMBER(INDEX('Sheet2-计算明细'!$AI$17:$AI$99,$X72)),INDEX('Sheet2-计算明细'!$AI$17:$AI$99,$X72),"")</x:f>
        <x:v>16.96</x:v>
      </x:c>
      <x:c r="M72" s="52" t="n">
        <x:f>IF(ISNUMBER(INDEX('Sheet2-计算明细'!$AK$17:$AK$99,$X72)),INDEX('Sheet2-计算明细'!$AK$17:$AK$99,$X72),"")</x:f>
        <x:v>100</x:v>
      </x:c>
      <x:c r="N72" s="52" t="n">
        <x:f>IF(ISNUMBER(INDEX('Sheet2-计算明细'!$AL$17:$AL$99,$X72)),INDEX('Sheet2-计算明细'!$AL$17:$AL$99,$X72),"")</x:f>
        <x:v>88</x:v>
      </x:c>
      <x:c r="O72" s="52" t="n">
        <x:f>IF(ISNUMBER(INDEX('Sheet2-计算明细'!$AM$17:$AM$99,$X72)),INDEX('Sheet2-计算明细'!$AM$17:$AM$99,$X72),"")</x:f>
        <x:v>26.29</x:v>
      </x:c>
      <x:c r="P72" s="52" t="n">
        <x:f>IF(ISNUMBER(INDEX('Sheet2-计算明细'!$AN$17:$AN$99,$X72)),INDEX('Sheet2-计算明细'!$AN$17:$AN$99,$X72),"")</x:f>
        <x:v>51.72</x:v>
      </x:c>
      <x:c r="Q72" s="52" t="n">
        <x:f>IF(ISNUMBER(INDEX('Sheet2-计算明细'!$AO$17:$AO$99,$X72)),INDEX('Sheet2-计算明细'!$AO$17:$AO$99,$X72),"")</x:f>
        <x:v>16.96</x:v>
      </x:c>
      <x:c r="R72" s="52" t="n">
        <x:f>IF(ISNUMBER(INDEX('Sheet2-计算明细'!$AP$17:$AP$99,$X72)),INDEX('Sheet2-计算明细'!$AP$17:$AP$99,$X72),"")</x:f>
        <x:v>100</x:v>
      </x:c>
      <x:c r="S72" s="27" t="n">
        <x:f>IF(ISNUMBER(INDEX('Sheet2-计算明细'!$AQ$17:$AQ$99,$X72)),INDEX('Sheet2-计算明细'!$AQ$17:$AQ$99,$X72),"")</x:f>
        <x:v>1</x:v>
      </x:c>
      <x:c r="T72" s="52" t="n">
        <x:f>IF(ISNUMBER(INDEX('Sheet2-计算明细'!$AR$17:$AR$99,$X72)),INDEX('Sheet2-计算明细'!$AR$17:$AR$99,$X72),"")</x:f>
        <x:v>46.47539</x:v>
      </x:c>
      <x:c r="U72" s="52" t="n">
        <x:f>IF(ISNUMBER(INDEX('Sheet2-计算明细'!$AS$17:$AS$99,$X72)),INDEX('Sheet2-计算明细'!$AS$17:$AS$99,$X72),"")</x:f>
        <x:v>46.48</x:v>
      </x:c>
      <x:c r="V72" s="52" t="n">
        <x:f>IF(ISNUMBER(INDEX('Sheet2-计算明细'!$AV$17:$AV$99,$X72)),INDEX('Sheet2-计算明细'!$AV$17:$AV$99,$X72),"")</x:f>
        <x:v>46.47539</x:v>
      </x:c>
      <x:c r="W72" s="40" t="str">
        <x:f>IF(INDEX('Sheet2-计算明细'!$AU$17:$AU$99,$X72)="","",INDEX('Sheet2-计算明细'!$AU$17:$AU$99,$X72))</x:f>
      </x:c>
      <x:c r="X72" s="49" t="n">
        <x:f>MATCH(ROWS($X$6:X72),'Sheet2-计算明细'!$BJ$17:$BJ$99,0)</x:f>
        <x:v>10</x:v>
      </x:c>
      <x:c r="Y72" s="14" t="str">
        <x:f>IF(INDEX('Sheet2-计算明细'!$AX$17:$AX$99,$X72)="","",INDEX('Sheet2-计算明细'!$AX$17:$AX$99,$X72))</x:f>
        <x:v>套利策略</x:v>
      </x:c>
      <x:c r="Z72" s="14" t="str">
        <x:f>IF(INDEX('Sheet2-计算明细'!$AY$17:$AY$99,$X72)="","",INDEX('Sheet2-计算明细'!$AY$17:$AY$99,$X72))</x:f>
        <x:v>期货套利</x:v>
      </x:c>
      <x:c r="AA72" s="14" t="str">
        <x:f>IF(INDEX('Sheet2-计算明细'!$AW$17:$AW$99,$X72)="","",INDEX('Sheet2-计算明细'!$AW$17:$AW$99,$X72))</x:f>
        <x:v>完整赋分</x:v>
      </x:c>
      <x:c r="AB72" s="49" t="n">
        <x:f>IF(ISNUMBER(INDEX('Sheet2-计算明细'!$A$17:$A$99,$X72)),INDEX('Sheet2-计算明细'!$A$17:$A$99,$X72),"")</x:f>
        <x:v>10</x:v>
      </x:c>
    </x:row>
    <x:row r="73" ht="44" customHeight="1">
      <x:c r="A73" s="14" t="n">
        <x:f>IF(ISNUMBER(INDEX('Sheet2-计算明细'!$AT$17:$AT$99,$X73)),INDEX('Sheet2-计算明细'!$AT$17:$AT$99,$X73),"")</x:f>
        <x:v>68</x:v>
      </x:c>
      <x:c r="B73" s="14" t="str">
        <x:f>IF(INDEX('Sheet2-计算明细'!$B$17:$B$99,$X73)="","",INDEX('Sheet2-计算明细'!$B$17:$B$99,$X73))</x:f>
        <x:v>悬铃C号</x:v>
      </x:c>
      <x:c r="C73" s="14" t="str">
        <x:f>IF(INDEX('Sheet2-计算明细'!$C$17:$C$99,$X73)="","",INDEX('Sheet2-计算明细'!$C$17:$C$99,$X73))</x:f>
        <x:v>SEK201</x:v>
      </x:c>
      <x:c r="D73" s="14" t="str">
        <x:f>IF(INDEX('Sheet2-计算明细'!$D$17:$D$99,$X73)="","",INDEX('Sheet2-计算明细'!$D$17:$D$99,$X73))</x:f>
        <x:v>上海悬铃</x:v>
      </x:c>
      <x:c r="E73" s="14" t="str">
        <x:f>IF(INDEX('Sheet2-计算明细'!$G$17:$G$99,$X73)="","",INDEX('Sheet2-计算明细'!$G$17:$G$99,$X73))</x:f>
        <x:v>入池</x:v>
      </x:c>
      <x:c r="F73" s="52" t="n">
        <x:f>IF(ISNUMBER(INDEX('Sheet2-计算明细'!$I$17:$I$99,$X73)),INDEX('Sheet2-计算明细'!$I$17:$I$99,$X73),"")</x:f>
        <x:v>90</x:v>
      </x:c>
      <x:c r="G73" s="52" t="n">
        <x:f>IF(ISNUMBER(INDEX('Sheet2-计算明细'!$K$17:$K$99,$X73)),INDEX('Sheet2-计算明细'!$K$17:$K$99,$X73),"")</x:f>
        <x:v>100</x:v>
      </x:c>
      <x:c r="H73" s="52" t="n">
        <x:f>IF(ISNUMBER(INDEX('Sheet2-计算明细'!$L$17:$L$99,$X73)),INDEX('Sheet2-计算明细'!$L$17:$L$99,$X73),"")</x:f>
        <x:v>100</x:v>
      </x:c>
      <x:c r="I73" s="52" t="str">
        <x:f>IF(ISNUMBER(INDEX('Sheet2-计算明细'!$S$17:$S$99,$X73)),INDEX('Sheet2-计算明细'!$S$17:$S$99,$X73),"")</x:f>
      </x:c>
      <x:c r="J73" s="52" t="str">
        <x:f>IF(ISNUMBER(INDEX('Sheet2-计算明细'!$Y$17:$Y$99,$X73)),INDEX('Sheet2-计算明细'!$Y$17:$Y$99,$X73),"")</x:f>
      </x:c>
      <x:c r="K73" s="52" t="n">
        <x:f>IF(ISNUMBER(INDEX('Sheet2-计算明细'!$AC$17:$AC$99,$X73)),INDEX('Sheet2-计算明细'!$AC$17:$AC$99,$X73),"")</x:f>
        <x:v>12.07</x:v>
      </x:c>
      <x:c r="L73" s="52" t="str">
        <x:f>IF(ISNUMBER(INDEX('Sheet2-计算明细'!$AI$17:$AI$99,$X73)),INDEX('Sheet2-计算明细'!$AI$17:$AI$99,$X73),"")</x:f>
      </x:c>
      <x:c r="M73" s="52" t="str">
        <x:f>IF(ISNUMBER(INDEX('Sheet2-计算明细'!$AK$17:$AK$99,$X73)),INDEX('Sheet2-计算明细'!$AK$17:$AK$99,$X73),"")</x:f>
      </x:c>
      <x:c r="N73" s="52" t="n">
        <x:f>IF(ISNUMBER(INDEX('Sheet2-计算明细'!$AL$17:$AL$99,$X73)),INDEX('Sheet2-计算明细'!$AL$17:$AL$99,$X73),"")</x:f>
        <x:v>96</x:v>
      </x:c>
      <x:c r="O73" s="52" t="str">
        <x:f>IF(ISNUMBER(INDEX('Sheet2-计算明细'!$AM$17:$AM$99,$X73)),INDEX('Sheet2-计算明细'!$AM$17:$AM$99,$X73),"")</x:f>
      </x:c>
      <x:c r="P73" s="52" t="n">
        <x:f>IF(ISNUMBER(INDEX('Sheet2-计算明细'!$AN$17:$AN$99,$X73)),INDEX('Sheet2-计算明细'!$AN$17:$AN$99,$X73),"")</x:f>
        <x:v>12.07</x:v>
      </x:c>
      <x:c r="Q73" s="52" t="str">
        <x:f>IF(ISNUMBER(INDEX('Sheet2-计算明细'!$AO$17:$AO$99,$X73)),INDEX('Sheet2-计算明细'!$AO$17:$AO$99,$X73),"")</x:f>
      </x:c>
      <x:c r="R73" s="52" t="str">
        <x:f>IF(ISNUMBER(INDEX('Sheet2-计算明细'!$AP$17:$AP$99,$X73)),INDEX('Sheet2-计算明细'!$AP$17:$AP$99,$X73),"")</x:f>
      </x:c>
      <x:c r="S73" s="27" t="n">
        <x:f>IF(ISNUMBER(INDEX('Sheet2-计算明细'!$AQ$17:$AQ$99,$X73)),INDEX('Sheet2-计算明细'!$AQ$17:$AQ$99,$X73),"")</x:f>
        <x:v>0.4</x:v>
      </x:c>
      <x:c r="T73" s="52" t="n">
        <x:f>IF(ISNUMBER(INDEX('Sheet2-计算明细'!$AR$17:$AR$99,$X73)),INDEX('Sheet2-计算明细'!$AR$17:$AR$99,$X73),"")</x:f>
        <x:v>17.417499999999997</x:v>
      </x:c>
      <x:c r="U73" s="52" t="n">
        <x:f>IF(ISNUMBER(INDEX('Sheet2-计算明细'!$AS$17:$AS$99,$X73)),INDEX('Sheet2-计算明细'!$AS$17:$AS$99,$X73),"")</x:f>
        <x:v>43.54</x:v>
      </x:c>
      <x:c r="V73" s="52" t="str">
        <x:f>IF(ISNUMBER(INDEX('Sheet2-计算明细'!$AV$17:$AV$99,$X73)),INDEX('Sheet2-计算明细'!$AV$17:$AV$99,$X73),"")</x:f>
      </x:c>
      <x:c r="W73" s="40" t="str">
        <x:f>IF(INDEX('Sheet2-计算明细'!$AU$17:$AU$99,$X73)="","",INDEX('Sheet2-计算明细'!$AU$17:$AU$99,$X73))</x:f>
        <x:v>近一年收益；近一年胜率；近一年卡玛；</x:v>
      </x:c>
      <x:c r="X73" s="49" t="n">
        <x:f>MATCH(ROWS($X$6:X73),'Sheet2-计算明细'!$BJ$17:$BJ$99,0)</x:f>
        <x:v>67</x:v>
      </x:c>
      <x:c r="Y73" s="14" t="str">
        <x:f>IF(INDEX('Sheet2-计算明细'!$AX$17:$AX$99,$X73)="","",INDEX('Sheet2-计算明细'!$AX$17:$AX$99,$X73))</x:f>
        <x:v>套利策略</x:v>
      </x:c>
      <x:c r="Z73" s="14" t="str">
        <x:f>IF(INDEX('Sheet2-计算明细'!$AY$17:$AY$99,$X73)="","",INDEX('Sheet2-计算明细'!$AY$17:$AY$99,$X73))</x:f>
        <x:v>可转债套利</x:v>
      </x:c>
      <x:c r="AA73" s="14" t="str">
        <x:f>IF(INDEX('Sheet2-计算明细'!$AW$17:$AW$99,$X73)="","",INDEX('Sheet2-计算明细'!$AW$17:$AW$99,$X73))</x:f>
        <x:v>暂定分／数据不完整</x:v>
      </x:c>
      <x:c r="AB73" s="49" t="n">
        <x:f>IF(ISNUMBER(INDEX('Sheet2-计算明细'!$A$17:$A$99,$X73)),INDEX('Sheet2-计算明细'!$A$17:$A$99,$X73),"")</x:f>
        <x:v>67</x:v>
      </x:c>
    </x:row>
    <x:row r="74" ht="44" customHeight="1">
      <x:c r="A74" s="14" t="n">
        <x:f>IF(ISNUMBER(INDEX('Sheet2-计算明细'!$AT$17:$AT$99,$X74)),INDEX('Sheet2-计算明细'!$AT$17:$AT$99,$X74),"")</x:f>
        <x:v>69</x:v>
      </x:c>
      <x:c r="B74" s="14" t="str">
        <x:f>IF(INDEX('Sheet2-计算明细'!$B$17:$B$99,$X74)="","",INDEX('Sheet2-计算明细'!$B$17:$B$99,$X74))</x:f>
        <x:v>晨翰6号</x:v>
      </x:c>
      <x:c r="C74" s="14" t="str">
        <x:f>IF(INDEX('Sheet2-计算明细'!$C$17:$C$99,$X74)="","",INDEX('Sheet2-计算明细'!$C$17:$C$99,$X74))</x:f>
        <x:v>STS460</x:v>
      </x:c>
      <x:c r="D74" s="14" t="str">
        <x:f>IF(INDEX('Sheet2-计算明细'!$D$17:$D$99,$X74)="","",INDEX('Sheet2-计算明细'!$D$17:$D$99,$X74))</x:f>
        <x:v>晋江晨翰</x:v>
      </x:c>
      <x:c r="E74" s="14" t="str">
        <x:f>IF(INDEX('Sheet2-计算明细'!$G$17:$G$99,$X74)="","",INDEX('Sheet2-计算明细'!$G$17:$G$99,$X74))</x:f>
        <x:v>入池</x:v>
      </x:c>
      <x:c r="F74" s="52" t="n">
        <x:f>IF(ISNUMBER(INDEX('Sheet2-计算明细'!$I$17:$I$99,$X74)),INDEX('Sheet2-计算明细'!$I$17:$I$99,$X74),"")</x:f>
        <x:v>70</x:v>
      </x:c>
      <x:c r="G74" s="52" t="n">
        <x:f>IF(ISNUMBER(INDEX('Sheet2-计算明细'!$K$17:$K$99,$X74)),INDEX('Sheet2-计算明细'!$K$17:$K$99,$X74),"")</x:f>
        <x:v>100</x:v>
      </x:c>
      <x:c r="H74" s="52" t="n">
        <x:f>IF(ISNUMBER(INDEX('Sheet2-计算明细'!$L$17:$L$99,$X74)),INDEX('Sheet2-计算明细'!$L$17:$L$99,$X74),"")</x:f>
        <x:v>100</x:v>
      </x:c>
      <x:c r="I74" s="52" t="n">
        <x:f>IF(ISNUMBER(INDEX('Sheet2-计算明细'!$S$17:$S$99,$X74)),INDEX('Sheet2-计算明细'!$S$17:$S$99,$X74),"")</x:f>
        <x:v>35.18</x:v>
      </x:c>
      <x:c r="J74" s="52" t="n">
        <x:f>IF(ISNUMBER(INDEX('Sheet2-计算明细'!$Y$17:$Y$99,$X74)),INDEX('Sheet2-计算明细'!$Y$17:$Y$99,$X74),"")</x:f>
        <x:v>51.02</x:v>
      </x:c>
      <x:c r="K74" s="52" t="n">
        <x:f>IF(ISNUMBER(INDEX('Sheet2-计算明细'!$AC$17:$AC$99,$X74)),INDEX('Sheet2-计算明细'!$AC$17:$AC$99,$X74),"")</x:f>
        <x:v>15.52</x:v>
      </x:c>
      <x:c r="L74" s="52" t="n">
        <x:f>IF(ISNUMBER(INDEX('Sheet2-计算明细'!$AI$17:$AI$99,$X74)),INDEX('Sheet2-计算明细'!$AI$17:$AI$99,$X74),"")</x:f>
        <x:v>10.91</x:v>
      </x:c>
      <x:c r="M74" s="52" t="n">
        <x:f>IF(ISNUMBER(INDEX('Sheet2-计算明细'!$AK$17:$AK$99,$X74)),INDEX('Sheet2-计算明细'!$AK$17:$AK$99,$X74),"")</x:f>
        <x:v>100</x:v>
      </x:c>
      <x:c r="N74" s="52" t="n">
        <x:f>IF(ISNUMBER(INDEX('Sheet2-计算明细'!$AL$17:$AL$99,$X74)),INDEX('Sheet2-计算明细'!$AL$17:$AL$99,$X74),"")</x:f>
        <x:v>88</x:v>
      </x:c>
      <x:c r="O74" s="52" t="n">
        <x:f>IF(ISNUMBER(INDEX('Sheet2-计算明细'!$AM$17:$AM$99,$X74)),INDEX('Sheet2-计算明细'!$AM$17:$AM$99,$X74),"")</x:f>
        <x:v>39.94</x:v>
      </x:c>
      <x:c r="P74" s="52" t="n">
        <x:f>IF(ISNUMBER(INDEX('Sheet2-计算明细'!$AN$17:$AN$99,$X74)),INDEX('Sheet2-计算明细'!$AN$17:$AN$99,$X74),"")</x:f>
        <x:v>15.52</x:v>
      </x:c>
      <x:c r="Q74" s="52" t="n">
        <x:f>IF(ISNUMBER(INDEX('Sheet2-计算明细'!$AO$17:$AO$99,$X74)),INDEX('Sheet2-计算明细'!$AO$17:$AO$99,$X74),"")</x:f>
        <x:v>10.91</x:v>
      </x:c>
      <x:c r="R74" s="52" t="n">
        <x:f>IF(ISNUMBER(INDEX('Sheet2-计算明细'!$AP$17:$AP$99,$X74)),INDEX('Sheet2-计算明细'!$AP$17:$AP$99,$X74),"")</x:f>
        <x:v>100</x:v>
      </x:c>
      <x:c r="S74" s="27" t="n">
        <x:f>IF(ISNUMBER(INDEX('Sheet2-计算明细'!$AQ$17:$AQ$99,$X74)),INDEX('Sheet2-计算明细'!$AQ$17:$AQ$99,$X74),"")</x:f>
        <x:v>0.88</x:v>
      </x:c>
      <x:c r="T74" s="52" t="n">
        <x:f>IF(ISNUMBER(INDEX('Sheet2-计算明细'!$AR$17:$AR$99,$X74)),INDEX('Sheet2-计算明细'!$AR$17:$AR$99,$X74),"")</x:f>
        <x:v>37.03086</x:v>
      </x:c>
      <x:c r="U74" s="52" t="n">
        <x:f>IF(ISNUMBER(INDEX('Sheet2-计算明细'!$AS$17:$AS$99,$X74)),INDEX('Sheet2-计算明细'!$AS$17:$AS$99,$X74),"")</x:f>
        <x:v>42.08</x:v>
      </x:c>
      <x:c r="V74" s="52" t="str">
        <x:f>IF(ISNUMBER(INDEX('Sheet2-计算明细'!$AV$17:$AV$99,$X74)),INDEX('Sheet2-计算明细'!$AV$17:$AV$99,$X74),"")</x:f>
      </x:c>
      <x:c r="W74" s="40" t="str">
        <x:f>IF(INDEX('Sheet2-计算明细'!$AU$17:$AU$99,$X74)="","",INDEX('Sheet2-计算明细'!$AU$17:$AU$99,$X74))</x:f>
        <x:v>DD_long不可识别；</x:v>
      </x:c>
      <x:c r="X74" s="49" t="n">
        <x:f>MATCH(ROWS($X$6:X74),'Sheet2-计算明细'!$BJ$17:$BJ$99,0)</x:f>
        <x:v>11</x:v>
      </x:c>
      <x:c r="Y74" s="14" t="str">
        <x:f>IF(INDEX('Sheet2-计算明细'!$AX$17:$AX$99,$X74)="","",INDEX('Sheet2-计算明细'!$AX$17:$AX$99,$X74))</x:f>
        <x:v>套利策略</x:v>
      </x:c>
      <x:c r="Z74" s="14" t="str">
        <x:f>IF(INDEX('Sheet2-计算明细'!$AY$17:$AY$99,$X74)="","",INDEX('Sheet2-计算明细'!$AY$17:$AY$99,$X74))</x:f>
        <x:v>期货套利</x:v>
      </x:c>
      <x:c r="AA74" s="14" t="str">
        <x:f>IF(INDEX('Sheet2-计算明细'!$AW$17:$AW$99,$X74)="","",INDEX('Sheet2-计算明细'!$AW$17:$AW$99,$X74))</x:f>
        <x:v>暂定分／数据不完整</x:v>
      </x:c>
      <x:c r="AB74" s="49" t="n">
        <x:f>IF(ISNUMBER(INDEX('Sheet2-计算明细'!$A$17:$A$99,$X74)),INDEX('Sheet2-计算明细'!$A$17:$A$99,$X74),"")</x:f>
        <x:v>11</x:v>
      </x:c>
    </x:row>
    <x:row r="75" ht="44" customHeight="1">
      <x:c r="A75" s="14" t="n">
        <x:f>IF(ISNUMBER(INDEX('Sheet2-计算明细'!$AT$17:$AT$99,$X75)),INDEX('Sheet2-计算明细'!$AT$17:$AT$99,$X75),"")</x:f>
        <x:v>70</x:v>
      </x:c>
      <x:c r="B75" s="14" t="str">
        <x:f>IF(INDEX('Sheet2-计算明细'!$B$17:$B$99,$X75)="","",INDEX('Sheet2-计算明细'!$B$17:$B$99,$X75))</x:f>
        <x:v>嘉和传承精研二期</x:v>
      </x:c>
      <x:c r="C75" s="14" t="str">
        <x:f>IF(INDEX('Sheet2-计算明细'!$C$17:$C$99,$X75)="","",INDEX('Sheet2-计算明细'!$C$17:$C$99,$X75))</x:f>
        <x:v>STD929</x:v>
      </x:c>
      <x:c r="D75" s="14" t="str">
        <x:f>IF(INDEX('Sheet2-计算明细'!$D$17:$D$99,$X75)="","",INDEX('Sheet2-计算明细'!$D$17:$D$99,$X75))</x:f>
        <x:v>上海嘉和传承</x:v>
      </x:c>
      <x:c r="E75" s="14" t="str">
        <x:f>IF(INDEX('Sheet2-计算明细'!$G$17:$G$99,$X75)="","",INDEX('Sheet2-计算明细'!$G$17:$G$99,$X75))</x:f>
        <x:v>入池</x:v>
      </x:c>
      <x:c r="F75" s="52" t="n">
        <x:f>IF(ISNUMBER(INDEX('Sheet2-计算明细'!$I$17:$I$99,$X75)),INDEX('Sheet2-计算明细'!$I$17:$I$99,$X75),"")</x:f>
        <x:v>70</x:v>
      </x:c>
      <x:c r="G75" s="52" t="n">
        <x:f>IF(ISNUMBER(INDEX('Sheet2-计算明细'!$K$17:$K$99,$X75)),INDEX('Sheet2-计算明细'!$K$17:$K$99,$X75),"")</x:f>
        <x:v>100</x:v>
      </x:c>
      <x:c r="H75" s="52" t="n">
        <x:f>IF(ISNUMBER(INDEX('Sheet2-计算明细'!$L$17:$L$99,$X75)),INDEX('Sheet2-计算明细'!$L$17:$L$99,$X75),"")</x:f>
        <x:v>100</x:v>
      </x:c>
      <x:c r="I75" s="52" t="n">
        <x:f>IF(ISNUMBER(INDEX('Sheet2-计算明细'!$S$17:$S$99,$X75)),INDEX('Sheet2-计算明细'!$S$17:$S$99,$X75),"")</x:f>
        <x:v>66.55</x:v>
      </x:c>
      <x:c r="J75" s="52" t="n">
        <x:f>IF(ISNUMBER(INDEX('Sheet2-计算明细'!$Y$17:$Y$99,$X75)),INDEX('Sheet2-计算明细'!$Y$17:$Y$99,$X75),"")</x:f>
        <x:v>57.31</x:v>
      </x:c>
      <x:c r="K75" s="52" t="n">
        <x:f>IF(ISNUMBER(INDEX('Sheet2-计算明细'!$AC$17:$AC$99,$X75)),INDEX('Sheet2-计算明细'!$AC$17:$AC$99,$X75),"")</x:f>
        <x:v>6.9</x:v>
      </x:c>
      <x:c r="L75" s="52" t="n">
        <x:f>IF(ISNUMBER(INDEX('Sheet2-计算明细'!$AI$17:$AI$99,$X75)),INDEX('Sheet2-计算明细'!$AI$17:$AI$99,$X75),"")</x:f>
        <x:v>3.64</x:v>
      </x:c>
      <x:c r="M75" s="52" t="n">
        <x:f>IF(ISNUMBER(INDEX('Sheet2-计算明细'!$AK$17:$AK$99,$X75)),INDEX('Sheet2-计算明细'!$AK$17:$AK$99,$X75),"")</x:f>
        <x:v>80</x:v>
      </x:c>
      <x:c r="N75" s="52" t="n">
        <x:f>IF(ISNUMBER(INDEX('Sheet2-计算明细'!$AL$17:$AL$99,$X75)),INDEX('Sheet2-计算明细'!$AL$17:$AL$99,$X75),"")</x:f>
        <x:v>88</x:v>
      </x:c>
      <x:c r="O75" s="52" t="n">
        <x:f>IF(ISNUMBER(INDEX('Sheet2-计算明细'!$AM$17:$AM$99,$X75)),INDEX('Sheet2-计算明细'!$AM$17:$AM$99,$X75),"")</x:f>
        <x:v>63.78</x:v>
      </x:c>
      <x:c r="P75" s="52" t="n">
        <x:f>IF(ISNUMBER(INDEX('Sheet2-计算明细'!$AN$17:$AN$99,$X75)),INDEX('Sheet2-计算明细'!$AN$17:$AN$99,$X75),"")</x:f>
        <x:v>6.9</x:v>
      </x:c>
      <x:c r="Q75" s="52" t="n">
        <x:f>IF(ISNUMBER(INDEX('Sheet2-计算明细'!$AO$17:$AO$99,$X75)),INDEX('Sheet2-计算明细'!$AO$17:$AO$99,$X75),"")</x:f>
        <x:v>3.64</x:v>
      </x:c>
      <x:c r="R75" s="52" t="n">
        <x:f>IF(ISNUMBER(INDEX('Sheet2-计算明细'!$AP$17:$AP$99,$X75)),INDEX('Sheet2-计算明细'!$AP$17:$AP$99,$X75),"")</x:f>
        <x:v>80</x:v>
      </x:c>
      <x:c r="S75" s="27" t="n">
        <x:f>IF(ISNUMBER(INDEX('Sheet2-计算明细'!$AQ$17:$AQ$99,$X75)),INDEX('Sheet2-计算明细'!$AQ$17:$AQ$99,$X75),"")</x:f>
        <x:v>0.88</x:v>
      </x:c>
      <x:c r="T75" s="52" t="n">
        <x:f>IF(ISNUMBER(INDEX('Sheet2-计算明细'!$AR$17:$AR$99,$X75)),INDEX('Sheet2-计算明细'!$AR$17:$AR$99,$X75),"")</x:f>
        <x:v>36.33549000000001</x:v>
      </x:c>
      <x:c r="U75" s="52" t="n">
        <x:f>IF(ISNUMBER(INDEX('Sheet2-计算明细'!$AS$17:$AS$99,$X75)),INDEX('Sheet2-计算明细'!$AS$17:$AS$99,$X75),"")</x:f>
        <x:v>41.29</x:v>
      </x:c>
      <x:c r="V75" s="52" t="str">
        <x:f>IF(ISNUMBER(INDEX('Sheet2-计算明细'!$AV$17:$AV$99,$X75)),INDEX('Sheet2-计算明细'!$AV$17:$AV$99,$X75),"")</x:f>
      </x:c>
      <x:c r="W75" s="40" t="str">
        <x:f>IF(INDEX('Sheet2-计算明细'!$AU$17:$AU$99,$X75)="","",INDEX('Sheet2-计算明细'!$AU$17:$AU$99,$X75))</x:f>
        <x:v>DD_long不可识别；</x:v>
      </x:c>
      <x:c r="X75" s="49" t="n">
        <x:f>MATCH(ROWS($X$6:X75),'Sheet2-计算明细'!$BJ$17:$BJ$99,0)</x:f>
        <x:v>23</x:v>
      </x:c>
      <x:c r="Y75" s="14" t="str">
        <x:f>IF(INDEX('Sheet2-计算明细'!$AX$17:$AX$99,$X75)="","",INDEX('Sheet2-计算明细'!$AX$17:$AX$99,$X75))</x:f>
        <x:v>套利策略</x:v>
      </x:c>
      <x:c r="Z75" s="14" t="str">
        <x:f>IF(INDEX('Sheet2-计算明细'!$AY$17:$AY$99,$X75)="","",INDEX('Sheet2-计算明细'!$AY$17:$AY$99,$X75))</x:f>
        <x:v>期货套利</x:v>
      </x:c>
      <x:c r="AA75" s="14" t="str">
        <x:f>IF(INDEX('Sheet2-计算明细'!$AW$17:$AW$99,$X75)="","",INDEX('Sheet2-计算明细'!$AW$17:$AW$99,$X75))</x:f>
        <x:v>暂定分／数据不完整</x:v>
      </x:c>
      <x:c r="AB75" s="49" t="n">
        <x:f>IF(ISNUMBER(INDEX('Sheet2-计算明细'!$A$17:$A$99,$X75)),INDEX('Sheet2-计算明细'!$A$17:$A$99,$X75),"")</x:f>
        <x:v>23</x:v>
      </x:c>
    </x:row>
    <x:row r="76" ht="44" customHeight="1">
      <x:c r="A76" s="14" t="n">
        <x:f>IF(ISNUMBER(INDEX('Sheet2-计算明细'!$AT$17:$AT$99,$X76)),INDEX('Sheet2-计算明细'!$AT$17:$AT$99,$X76),"")</x:f>
        <x:v>71</x:v>
      </x:c>
      <x:c r="B76" s="14" t="str">
        <x:f>IF(INDEX('Sheet2-计算明细'!$B$17:$B$99,$X76)="","",INDEX('Sheet2-计算明细'!$B$17:$B$99,$X76))</x:f>
        <x:v>涌涵农本一号</x:v>
      </x:c>
      <x:c r="C76" s="14" t="str">
        <x:f>IF(INDEX('Sheet2-计算明细'!$C$17:$C$99,$X76)="","",INDEX('Sheet2-计算明细'!$C$17:$C$99,$X76))</x:f>
        <x:v>SAWA30</x:v>
      </x:c>
      <x:c r="D76" s="14" t="str">
        <x:f>IF(INDEX('Sheet2-计算明细'!$D$17:$D$99,$X76)="","",INDEX('Sheet2-计算明细'!$D$17:$D$99,$X76))</x:f>
        <x:v>上海涌涵</x:v>
      </x:c>
      <x:c r="E76" s="14" t="str">
        <x:f>IF(INDEX('Sheet2-计算明细'!$G$17:$G$99,$X76)="","",INDEX('Sheet2-计算明细'!$G$17:$G$99,$X76))</x:f>
        <x:v>入池</x:v>
      </x:c>
      <x:c r="F76" s="52" t="n">
        <x:f>IF(ISNUMBER(INDEX('Sheet2-计算明细'!$I$17:$I$99,$X76)),INDEX('Sheet2-计算明细'!$I$17:$I$99,$X76),"")</x:f>
        <x:v>80</x:v>
      </x:c>
      <x:c r="G76" s="52" t="n">
        <x:f>IF(ISNUMBER(INDEX('Sheet2-计算明细'!$K$17:$K$99,$X76)),INDEX('Sheet2-计算明细'!$K$17:$K$99,$X76),"")</x:f>
        <x:v>100</x:v>
      </x:c>
      <x:c r="H76" s="52" t="n">
        <x:f>IF(ISNUMBER(INDEX('Sheet2-计算明细'!$L$17:$L$99,$X76)),INDEX('Sheet2-计算明细'!$L$17:$L$99,$X76),"")</x:f>
        <x:v>70</x:v>
      </x:c>
      <x:c r="I76" s="52" t="n">
        <x:f>IF(ISNUMBER(INDEX('Sheet2-计算明细'!$S$17:$S$99,$X76)),INDEX('Sheet2-计算明细'!$S$17:$S$99,$X76),"")</x:f>
        <x:v>55.72</x:v>
      </x:c>
      <x:c r="J76" s="52" t="n">
        <x:f>IF(ISNUMBER(INDEX('Sheet2-计算明细'!$Y$17:$Y$99,$X76)),INDEX('Sheet2-计算明细'!$Y$17:$Y$99,$X76),"")</x:f>
        <x:v>67.69</x:v>
      </x:c>
      <x:c r="K76" s="52" t="n">
        <x:f>IF(ISNUMBER(INDEX('Sheet2-计算明细'!$AC$17:$AC$99,$X76)),INDEX('Sheet2-计算明细'!$AC$17:$AC$99,$X76),"")</x:f>
        <x:v>1.72</x:v>
      </x:c>
      <x:c r="L76" s="52" t="n">
        <x:f>IF(ISNUMBER(INDEX('Sheet2-计算明细'!$AI$17:$AI$99,$X76)),INDEX('Sheet2-计算明细'!$AI$17:$AI$99,$X76),"")</x:f>
        <x:v>5.45</x:v>
      </x:c>
      <x:c r="M76" s="52" t="n">
        <x:f>IF(ISNUMBER(INDEX('Sheet2-计算明细'!$AK$17:$AK$99,$X76)),INDEX('Sheet2-计算明细'!$AK$17:$AK$99,$X76),"")</x:f>
        <x:v>100</x:v>
      </x:c>
      <x:c r="N76" s="52" t="n">
        <x:f>IF(ISNUMBER(INDEX('Sheet2-计算明细'!$AL$17:$AL$99,$X76)),INDEX('Sheet2-计算明细'!$AL$17:$AL$99,$X76),"")</x:f>
        <x:v>83</x:v>
      </x:c>
      <x:c r="O76" s="52" t="n">
        <x:f>IF(ISNUMBER(INDEX('Sheet2-计算明细'!$AM$17:$AM$99,$X76)),INDEX('Sheet2-计算明细'!$AM$17:$AM$99,$X76),"")</x:f>
        <x:v>59.31</x:v>
      </x:c>
      <x:c r="P76" s="52" t="n">
        <x:f>IF(ISNUMBER(INDEX('Sheet2-计算明细'!$AN$17:$AN$99,$X76)),INDEX('Sheet2-计算明细'!$AN$17:$AN$99,$X76),"")</x:f>
        <x:v>1.72</x:v>
      </x:c>
      <x:c r="Q76" s="52" t="n">
        <x:f>IF(ISNUMBER(INDEX('Sheet2-计算明细'!$AO$17:$AO$99,$X76)),INDEX('Sheet2-计算明细'!$AO$17:$AO$99,$X76),"")</x:f>
        <x:v>5.45</x:v>
      </x:c>
      <x:c r="R76" s="52" t="n">
        <x:f>IF(ISNUMBER(INDEX('Sheet2-计算明细'!$AP$17:$AP$99,$X76)),INDEX('Sheet2-计算明细'!$AP$17:$AP$99,$X76),"")</x:f>
        <x:v>100</x:v>
      </x:c>
      <x:c r="S76" s="27" t="n">
        <x:f>IF(ISNUMBER(INDEX('Sheet2-计算明细'!$AQ$17:$AQ$99,$X76)),INDEX('Sheet2-计算明细'!$AQ$17:$AQ$99,$X76),"")</x:f>
        <x:v>0.88</x:v>
      </x:c>
      <x:c r="T76" s="52" t="n">
        <x:f>IF(ISNUMBER(INDEX('Sheet2-计算明细'!$AR$17:$AR$99,$X76)),INDEX('Sheet2-计算明细'!$AR$17:$AR$99,$X76),"")</x:f>
        <x:v>35.72264</x:v>
      </x:c>
      <x:c r="U76" s="52" t="n">
        <x:f>IF(ISNUMBER(INDEX('Sheet2-计算明细'!$AS$17:$AS$99,$X76)),INDEX('Sheet2-计算明细'!$AS$17:$AS$99,$X76),"")</x:f>
        <x:v>40.59</x:v>
      </x:c>
      <x:c r="V76" s="52" t="str">
        <x:f>IF(ISNUMBER(INDEX('Sheet2-计算明细'!$AV$17:$AV$99,$X76)),INDEX('Sheet2-计算明细'!$AV$17:$AV$99,$X76),"")</x:f>
      </x:c>
      <x:c r="W76" s="40" t="str">
        <x:f>IF(INDEX('Sheet2-计算明细'!$AU$17:$AU$99,$X76)="","",INDEX('Sheet2-计算明细'!$AU$17:$AU$99,$X76))</x:f>
        <x:v>近三年收益；近三年胜率；近三年回撤；DD_long不可识别；</x:v>
      </x:c>
      <x:c r="X76" s="49" t="n">
        <x:f>MATCH(ROWS($X$6:X76),'Sheet2-计算明细'!$BJ$17:$BJ$99,0)</x:f>
        <x:v>72</x:v>
      </x:c>
      <x:c r="Y76" s="14" t="str">
        <x:f>IF(INDEX('Sheet2-计算明细'!$AX$17:$AX$99,$X76)="","",INDEX('Sheet2-计算明细'!$AX$17:$AX$99,$X76))</x:f>
        <x:v>套利策略</x:v>
      </x:c>
      <x:c r="Z76" s="14" t="str">
        <x:f>IF(INDEX('Sheet2-计算明细'!$AY$17:$AY$99,$X76)="","",INDEX('Sheet2-计算明细'!$AY$17:$AY$99,$X76))</x:f>
      </x:c>
      <x:c r="AA76" s="14" t="str">
        <x:f>IF(INDEX('Sheet2-计算明细'!$AW$17:$AW$99,$X76)="","",INDEX('Sheet2-计算明细'!$AW$17:$AW$99,$X76))</x:f>
        <x:v>暂定分／数据不完整</x:v>
      </x:c>
      <x:c r="AB76" s="49" t="n">
        <x:f>IF(ISNUMBER(INDEX('Sheet2-计算明细'!$A$17:$A$99,$X76)),INDEX('Sheet2-计算明细'!$A$17:$A$99,$X76),"")</x:f>
        <x:v>72</x:v>
      </x:c>
    </x:row>
    <x:row r="77" ht="44" customHeight="1">
      <x:c r="A77" s="14" t="n">
        <x:f>IF(ISNUMBER(INDEX('Sheet2-计算明细'!$AT$17:$AT$99,$X77)),INDEX('Sheet2-计算明细'!$AT$17:$AT$99,$X77),"")</x:f>
        <x:v>72</x:v>
      </x:c>
      <x:c r="B77" s="14" t="str">
        <x:f>IF(INDEX('Sheet2-计算明细'!$B$17:$B$99,$X77)="","",INDEX('Sheet2-计算明细'!$B$17:$B$99,$X77))</x:f>
        <x:v>盛冠达试金石3号</x:v>
      </x:c>
      <x:c r="C77" s="14" t="str">
        <x:f>IF(INDEX('Sheet2-计算明细'!$C$17:$C$99,$X77)="","",INDEX('Sheet2-计算明细'!$C$17:$C$99,$X77))</x:f>
        <x:v>SW1709</x:v>
      </x:c>
      <x:c r="D77" s="14" t="str">
        <x:f>IF(INDEX('Sheet2-计算明细'!$D$17:$D$99,$X77)="","",INDEX('Sheet2-计算明细'!$D$17:$D$99,$X77))</x:f>
        <x:v>海南盛冠达</x:v>
      </x:c>
      <x:c r="E77" s="14" t="str">
        <x:f>IF(INDEX('Sheet2-计算明细'!$G$17:$G$99,$X77)="","",INDEX('Sheet2-计算明细'!$G$17:$G$99,$X77))</x:f>
        <x:v>入池</x:v>
      </x:c>
      <x:c r="F77" s="52" t="n">
        <x:f>IF(ISNUMBER(INDEX('Sheet2-计算明细'!$I$17:$I$99,$X77)),INDEX('Sheet2-计算明细'!$I$17:$I$99,$X77),"")</x:f>
        <x:v>90</x:v>
      </x:c>
      <x:c r="G77" s="52" t="n">
        <x:f>IF(ISNUMBER(INDEX('Sheet2-计算明细'!$K$17:$K$99,$X77)),INDEX('Sheet2-计算明细'!$K$17:$K$99,$X77),"")</x:f>
        <x:v>100</x:v>
      </x:c>
      <x:c r="H77" s="52" t="n">
        <x:f>IF(ISNUMBER(INDEX('Sheet2-计算明细'!$L$17:$L$99,$X77)),INDEX('Sheet2-计算明细'!$L$17:$L$99,$X77),"")</x:f>
        <x:v>100</x:v>
      </x:c>
      <x:c r="I77" s="52" t="n">
        <x:f>IF(ISNUMBER(INDEX('Sheet2-计算明细'!$S$17:$S$99,$X77)),INDEX('Sheet2-计算明细'!$S$17:$S$99,$X77),"")</x:f>
        <x:v>19.1</x:v>
      </x:c>
      <x:c r="J77" s="52" t="n">
        <x:f>IF(ISNUMBER(INDEX('Sheet2-计算明细'!$Y$17:$Y$99,$X77)),INDEX('Sheet2-计算明细'!$Y$17:$Y$99,$X77),"")</x:f>
        <x:v>68.21</x:v>
      </x:c>
      <x:c r="K77" s="52" t="n">
        <x:f>IF(ISNUMBER(INDEX('Sheet2-计算明细'!$AC$17:$AC$99,$X77)),INDEX('Sheet2-计算明细'!$AC$17:$AC$99,$X77),"")</x:f>
        <x:v>27.59</x:v>
      </x:c>
      <x:c r="L77" s="52" t="n">
        <x:f>IF(ISNUMBER(INDEX('Sheet2-计算明细'!$AI$17:$AI$99,$X77)),INDEX('Sheet2-计算明细'!$AI$17:$AI$99,$X77),"")</x:f>
        <x:v>14.36</x:v>
      </x:c>
      <x:c r="M77" s="52" t="n">
        <x:f>IF(ISNUMBER(INDEX('Sheet2-计算明细'!$AK$17:$AK$99,$X77)),INDEX('Sheet2-计算明细'!$AK$17:$AK$99,$X77),"")</x:f>
        <x:v>80</x:v>
      </x:c>
      <x:c r="N77" s="52" t="n">
        <x:f>IF(ISNUMBER(INDEX('Sheet2-计算明细'!$AL$17:$AL$99,$X77)),INDEX('Sheet2-计算明细'!$AL$17:$AL$99,$X77),"")</x:f>
        <x:v>96</x:v>
      </x:c>
      <x:c r="O77" s="52" t="n">
        <x:f>IF(ISNUMBER(INDEX('Sheet2-计算明细'!$AM$17:$AM$99,$X77)),INDEX('Sheet2-计算明细'!$AM$17:$AM$99,$X77),"")</x:f>
        <x:v>33.83</x:v>
      </x:c>
      <x:c r="P77" s="52" t="n">
        <x:f>IF(ISNUMBER(INDEX('Sheet2-计算明细'!$AN$17:$AN$99,$X77)),INDEX('Sheet2-计算明细'!$AN$17:$AN$99,$X77),"")</x:f>
        <x:v>27.59</x:v>
      </x:c>
      <x:c r="Q77" s="52" t="n">
        <x:f>IF(ISNUMBER(INDEX('Sheet2-计算明细'!$AO$17:$AO$99,$X77)),INDEX('Sheet2-计算明细'!$AO$17:$AO$99,$X77),"")</x:f>
        <x:v>14.36</x:v>
      </x:c>
      <x:c r="R77" s="52" t="n">
        <x:f>IF(ISNUMBER(INDEX('Sheet2-计算明细'!$AP$17:$AP$99,$X77)),INDEX('Sheet2-计算明细'!$AP$17:$AP$99,$X77),"")</x:f>
        <x:v>80</x:v>
      </x:c>
      <x:c r="S77" s="27" t="n">
        <x:f>IF(ISNUMBER(INDEX('Sheet2-计算明细'!$AQ$17:$AQ$99,$X77)),INDEX('Sheet2-计算明细'!$AQ$17:$AQ$99,$X77),"")</x:f>
        <x:v>1</x:v>
      </x:c>
      <x:c r="T77" s="52" t="n">
        <x:f>IF(ISNUMBER(INDEX('Sheet2-计算明细'!$AR$17:$AR$99,$X77)),INDEX('Sheet2-计算明细'!$AR$17:$AR$99,$X77),"")</x:f>
        <x:v>40.372479999999996</x:v>
      </x:c>
      <x:c r="U77" s="52" t="n">
        <x:f>IF(ISNUMBER(INDEX('Sheet2-计算明细'!$AS$17:$AS$99,$X77)),INDEX('Sheet2-计算明细'!$AS$17:$AS$99,$X77),"")</x:f>
        <x:v>40.37</x:v>
      </x:c>
      <x:c r="V77" s="52" t="n">
        <x:f>IF(ISNUMBER(INDEX('Sheet2-计算明细'!$AV$17:$AV$99,$X77)),INDEX('Sheet2-计算明细'!$AV$17:$AV$99,$X77),"")</x:f>
        <x:v>40.372479999999996</x:v>
      </x:c>
      <x:c r="W77" s="40" t="str">
        <x:f>IF(INDEX('Sheet2-计算明细'!$AU$17:$AU$99,$X77)="","",INDEX('Sheet2-计算明细'!$AU$17:$AU$99,$X77))</x:f>
      </x:c>
      <x:c r="X77" s="49" t="n">
        <x:f>MATCH(ROWS($X$6:X77),'Sheet2-计算明细'!$BJ$17:$BJ$99,0)</x:f>
        <x:v>57</x:v>
      </x:c>
      <x:c r="Y77" s="14" t="str">
        <x:f>IF(INDEX('Sheet2-计算明细'!$AX$17:$AX$99,$X77)="","",INDEX('Sheet2-计算明细'!$AX$17:$AX$99,$X77))</x:f>
        <x:v>套利策略</x:v>
      </x:c>
      <x:c r="Z77" s="14" t="str">
        <x:f>IF(INDEX('Sheet2-计算明细'!$AY$17:$AY$99,$X77)="","",INDEX('Sheet2-计算明细'!$AY$17:$AY$99,$X77))</x:f>
        <x:v>期货套利</x:v>
      </x:c>
      <x:c r="AA77" s="14" t="str">
        <x:f>IF(INDEX('Sheet2-计算明细'!$AW$17:$AW$99,$X77)="","",INDEX('Sheet2-计算明细'!$AW$17:$AW$99,$X77))</x:f>
        <x:v>完整赋分</x:v>
      </x:c>
      <x:c r="AB77" s="49" t="n">
        <x:f>IF(ISNUMBER(INDEX('Sheet2-计算明细'!$A$17:$A$99,$X77)),INDEX('Sheet2-计算明细'!$A$17:$A$99,$X77),"")</x:f>
        <x:v>57</x:v>
      </x:c>
    </x:row>
    <x:row r="78" ht="44" customHeight="1">
      <x:c r="A78" s="14" t="n">
        <x:f>IF(ISNUMBER(INDEX('Sheet2-计算明细'!$AT$17:$AT$99,$X78)),INDEX('Sheet2-计算明细'!$AT$17:$AT$99,$X78),"")</x:f>
        <x:v>73</x:v>
      </x:c>
      <x:c r="B78" s="14" t="str">
        <x:f>IF(INDEX('Sheet2-计算明细'!$B$17:$B$99,$X78)="","",INDEX('Sheet2-计算明细'!$B$17:$B$99,$X78))</x:f>
        <x:v>尚湖期权套利安享1号</x:v>
      </x:c>
      <x:c r="C78" s="14" t="str">
        <x:f>IF(INDEX('Sheet2-计算明细'!$C$17:$C$99,$X78)="","",INDEX('Sheet2-计算明细'!$C$17:$C$99,$X78))</x:f>
        <x:v>SXZ850</x:v>
      </x:c>
      <x:c r="D78" s="14" t="str">
        <x:f>IF(INDEX('Sheet2-计算明细'!$D$17:$D$99,$X78)="","",INDEX('Sheet2-计算明细'!$D$17:$D$99,$X78))</x:f>
        <x:v>上海尚湖</x:v>
      </x:c>
      <x:c r="E78" s="14" t="str">
        <x:f>IF(INDEX('Sheet2-计算明细'!$G$17:$G$99,$X78)="","",INDEX('Sheet2-计算明细'!$G$17:$G$99,$X78))</x:f>
        <x:v>入池</x:v>
      </x:c>
      <x:c r="F78" s="52" t="n">
        <x:f>IF(ISNUMBER(INDEX('Sheet2-计算明细'!$I$17:$I$99,$X78)),INDEX('Sheet2-计算明细'!$I$17:$I$99,$X78),"")</x:f>
        <x:v>70</x:v>
      </x:c>
      <x:c r="G78" s="52" t="n">
        <x:f>IF(ISNUMBER(INDEX('Sheet2-计算明细'!$K$17:$K$99,$X78)),INDEX('Sheet2-计算明细'!$K$17:$K$99,$X78),"")</x:f>
        <x:v>100</x:v>
      </x:c>
      <x:c r="H78" s="52" t="n">
        <x:f>IF(ISNUMBER(INDEX('Sheet2-计算明细'!$L$17:$L$99,$X78)),INDEX('Sheet2-计算明细'!$L$17:$L$99,$X78),"")</x:f>
        <x:v>100</x:v>
      </x:c>
      <x:c r="I78" s="52" t="n">
        <x:f>IF(ISNUMBER(INDEX('Sheet2-计算明细'!$S$17:$S$99,$X78)),INDEX('Sheet2-计算明细'!$S$17:$S$99,$X78),"")</x:f>
        <x:v>21.65</x:v>
      </x:c>
      <x:c r="J78" s="52" t="n">
        <x:f>IF(ISNUMBER(INDEX('Sheet2-计算明细'!$Y$17:$Y$99,$X78)),INDEX('Sheet2-计算明细'!$Y$17:$Y$99,$X78),"")</x:f>
        <x:v>81.15</x:v>
      </x:c>
      <x:c r="K78" s="52" t="n">
        <x:f>IF(ISNUMBER(INDEX('Sheet2-计算明细'!$AC$17:$AC$99,$X78)),INDEX('Sheet2-计算明细'!$AC$17:$AC$99,$X78),"")</x:f>
        <x:v>18.97</x:v>
      </x:c>
      <x:c r="L78" s="52" t="n">
        <x:f>IF(ISNUMBER(INDEX('Sheet2-计算明细'!$AI$17:$AI$99,$X78)),INDEX('Sheet2-计算明细'!$AI$17:$AI$99,$X78),"")</x:f>
        <x:v>17.72</x:v>
      </x:c>
      <x:c r="M78" s="52" t="n">
        <x:f>IF(ISNUMBER(INDEX('Sheet2-计算明细'!$AK$17:$AK$99,$X78)),INDEX('Sheet2-计算明细'!$AK$17:$AK$99,$X78),"")</x:f>
        <x:v>80</x:v>
      </x:c>
      <x:c r="N78" s="52" t="n">
        <x:f>IF(ISNUMBER(INDEX('Sheet2-计算明细'!$AL$17:$AL$99,$X78)),INDEX('Sheet2-计算明细'!$AL$17:$AL$99,$X78),"")</x:f>
        <x:v>88</x:v>
      </x:c>
      <x:c r="O78" s="52" t="n">
        <x:f>IF(ISNUMBER(INDEX('Sheet2-计算明细'!$AM$17:$AM$99,$X78)),INDEX('Sheet2-计算明细'!$AM$17:$AM$99,$X78),"")</x:f>
        <x:v>39.5</x:v>
      </x:c>
      <x:c r="P78" s="52" t="n">
        <x:f>IF(ISNUMBER(INDEX('Sheet2-计算明细'!$AN$17:$AN$99,$X78)),INDEX('Sheet2-计算明细'!$AN$17:$AN$99,$X78),"")</x:f>
        <x:v>18.97</x:v>
      </x:c>
      <x:c r="Q78" s="52" t="n">
        <x:f>IF(ISNUMBER(INDEX('Sheet2-计算明细'!$AO$17:$AO$99,$X78)),INDEX('Sheet2-计算明细'!$AO$17:$AO$99,$X78),"")</x:f>
        <x:v>17.72</x:v>
      </x:c>
      <x:c r="R78" s="52" t="n">
        <x:f>IF(ISNUMBER(INDEX('Sheet2-计算明细'!$AP$17:$AP$99,$X78)),INDEX('Sheet2-计算明细'!$AP$17:$AP$99,$X78),"")</x:f>
        <x:v>80</x:v>
      </x:c>
      <x:c r="S78" s="27" t="n">
        <x:f>IF(ISNUMBER(INDEX('Sheet2-计算明细'!$AQ$17:$AQ$99,$X78)),INDEX('Sheet2-计算明细'!$AQ$17:$AQ$99,$X78),"")</x:f>
        <x:v>1</x:v>
      </x:c>
      <x:c r="T78" s="52" t="n">
        <x:f>IF(ISNUMBER(INDEX('Sheet2-计算明细'!$AR$17:$AR$99,$X78)),INDEX('Sheet2-计算明细'!$AR$17:$AR$99,$X78),"")</x:f>
        <x:v>39.157880000000006</x:v>
      </x:c>
      <x:c r="U78" s="52" t="n">
        <x:f>IF(ISNUMBER(INDEX('Sheet2-计算明细'!$AS$17:$AS$99,$X78)),INDEX('Sheet2-计算明细'!$AS$17:$AS$99,$X78),"")</x:f>
        <x:v>39.16</x:v>
      </x:c>
      <x:c r="V78" s="52" t="n">
        <x:f>IF(ISNUMBER(INDEX('Sheet2-计算明细'!$AV$17:$AV$99,$X78)),INDEX('Sheet2-计算明细'!$AV$17:$AV$99,$X78),"")</x:f>
        <x:v>39.157880000000006</x:v>
      </x:c>
      <x:c r="W78" s="40" t="str">
        <x:f>IF(INDEX('Sheet2-计算明细'!$AU$17:$AU$99,$X78)="","",INDEX('Sheet2-计算明细'!$AU$17:$AU$99,$X78))</x:f>
      </x:c>
      <x:c r="X78" s="49" t="n">
        <x:f>MATCH(ROWS($X$6:X78),'Sheet2-计算明细'!$BJ$17:$BJ$99,0)</x:f>
        <x:v>54</x:v>
      </x:c>
      <x:c r="Y78" s="14" t="str">
        <x:f>IF(INDEX('Sheet2-计算明细'!$AX$17:$AX$99,$X78)="","",INDEX('Sheet2-计算明细'!$AX$17:$AX$99,$X78))</x:f>
        <x:v>期权策略</x:v>
      </x:c>
      <x:c r="Z78" s="14" t="str">
        <x:f>IF(INDEX('Sheet2-计算明细'!$AY$17:$AY$99,$X78)="","",INDEX('Sheet2-计算明细'!$AY$17:$AY$99,$X78))</x:f>
        <x:v>场内期权</x:v>
      </x:c>
      <x:c r="AA78" s="14" t="str">
        <x:f>IF(INDEX('Sheet2-计算明细'!$AW$17:$AW$99,$X78)="","",INDEX('Sheet2-计算明细'!$AW$17:$AW$99,$X78))</x:f>
        <x:v>完整赋分</x:v>
      </x:c>
      <x:c r="AB78" s="49" t="n">
        <x:f>IF(ISNUMBER(INDEX('Sheet2-计算明细'!$A$17:$A$99,$X78)),INDEX('Sheet2-计算明细'!$A$17:$A$99,$X78),"")</x:f>
        <x:v>54</x:v>
      </x:c>
    </x:row>
    <x:row r="79" ht="44" customHeight="1">
      <x:c r="A79" s="14" t="n">
        <x:f>IF(ISNUMBER(INDEX('Sheet2-计算明细'!$AT$17:$AT$99,$X79)),INDEX('Sheet2-计算明细'!$AT$17:$AT$99,$X79),"")</x:f>
        <x:v>74</x:v>
      </x:c>
      <x:c r="B79" s="14" t="str">
        <x:f>IF(INDEX('Sheet2-计算明细'!$B$17:$B$99,$X79)="","",INDEX('Sheet2-计算明细'!$B$17:$B$99,$X79))</x:f>
        <x:v>刀锋期权套利</x:v>
      </x:c>
      <x:c r="C79" s="14" t="str">
        <x:f>IF(INDEX('Sheet2-计算明细'!$C$17:$C$99,$X79)="","",INDEX('Sheet2-计算明细'!$C$17:$C$99,$X79))</x:f>
        <x:v>SGR366</x:v>
      </x:c>
      <x:c r="D79" s="14" t="str">
        <x:f>IF(INDEX('Sheet2-计算明细'!$D$17:$D$99,$X79)="","",INDEX('Sheet2-计算明细'!$D$17:$D$99,$X79))</x:f>
        <x:v>深圳刀锋</x:v>
      </x:c>
      <x:c r="E79" s="14" t="str">
        <x:f>IF(INDEX('Sheet2-计算明细'!$G$17:$G$99,$X79)="","",INDEX('Sheet2-计算明细'!$G$17:$G$99,$X79))</x:f>
        <x:v>入池</x:v>
      </x:c>
      <x:c r="F79" s="52" t="n">
        <x:f>IF(ISNUMBER(INDEX('Sheet2-计算明细'!$I$17:$I$99,$X79)),INDEX('Sheet2-计算明细'!$I$17:$I$99,$X79),"")</x:f>
        <x:v>60</x:v>
      </x:c>
      <x:c r="G79" s="52" t="n">
        <x:f>IF(ISNUMBER(INDEX('Sheet2-计算明细'!$K$17:$K$99,$X79)),INDEX('Sheet2-计算明细'!$K$17:$K$99,$X79),"")</x:f>
        <x:v>100</x:v>
      </x:c>
      <x:c r="H79" s="52" t="n">
        <x:f>IF(ISNUMBER(INDEX('Sheet2-计算明细'!$L$17:$L$99,$X79)),INDEX('Sheet2-计算明细'!$L$17:$L$99,$X79),"")</x:f>
        <x:v>100</x:v>
      </x:c>
      <x:c r="I79" s="52" t="n">
        <x:f>IF(ISNUMBER(INDEX('Sheet2-计算明细'!$S$17:$S$99,$X79)),INDEX('Sheet2-计算明细'!$S$17:$S$99,$X79),"")</x:f>
        <x:v>56.01</x:v>
      </x:c>
      <x:c r="J79" s="52" t="n">
        <x:f>IF(ISNUMBER(INDEX('Sheet2-计算明细'!$Y$17:$Y$99,$X79)),INDEX('Sheet2-计算明细'!$Y$17:$Y$99,$X79),"")</x:f>
        <x:v>82.44</x:v>
      </x:c>
      <x:c r="K79" s="52" t="n">
        <x:f>IF(ISNUMBER(INDEX('Sheet2-计算明细'!$AC$17:$AC$99,$X79)),INDEX('Sheet2-计算明细'!$AC$17:$AC$99,$X79),"")</x:f>
        <x:v>5.17</x:v>
      </x:c>
      <x:c r="L79" s="52" t="n">
        <x:f>IF(ISNUMBER(INDEX('Sheet2-计算明细'!$AI$17:$AI$99,$X79)),INDEX('Sheet2-计算明细'!$AI$17:$AI$99,$X79),"")</x:f>
        <x:v>13.76</x:v>
      </x:c>
      <x:c r="M79" s="52" t="n">
        <x:f>IF(ISNUMBER(INDEX('Sheet2-计算明细'!$AK$17:$AK$99,$X79)),INDEX('Sheet2-计算明细'!$AK$17:$AK$99,$X79),"")</x:f>
        <x:v>80</x:v>
      </x:c>
      <x:c r="N79" s="52" t="n">
        <x:f>IF(ISNUMBER(INDEX('Sheet2-计算明细'!$AL$17:$AL$99,$X79)),INDEX('Sheet2-计算明细'!$AL$17:$AL$99,$X79),"")</x:f>
        <x:v>84</x:v>
      </x:c>
      <x:c r="O79" s="52" t="n">
        <x:f>IF(ISNUMBER(INDEX('Sheet2-计算明细'!$AM$17:$AM$99,$X79)),INDEX('Sheet2-计算明细'!$AM$17:$AM$99,$X79),"")</x:f>
        <x:v>63.94</x:v>
      </x:c>
      <x:c r="P79" s="52" t="n">
        <x:f>IF(ISNUMBER(INDEX('Sheet2-计算明细'!$AN$17:$AN$99,$X79)),INDEX('Sheet2-计算明细'!$AN$17:$AN$99,$X79),"")</x:f>
        <x:v>5.17</x:v>
      </x:c>
      <x:c r="Q79" s="52" t="n">
        <x:f>IF(ISNUMBER(INDEX('Sheet2-计算明细'!$AO$17:$AO$99,$X79)),INDEX('Sheet2-计算明细'!$AO$17:$AO$99,$X79),"")</x:f>
        <x:v>13.76</x:v>
      </x:c>
      <x:c r="R79" s="52" t="n">
        <x:f>IF(ISNUMBER(INDEX('Sheet2-计算明细'!$AP$17:$AP$99,$X79)),INDEX('Sheet2-计算明细'!$AP$17:$AP$99,$X79),"")</x:f>
        <x:v>80</x:v>
      </x:c>
      <x:c r="S79" s="27" t="n">
        <x:f>IF(ISNUMBER(INDEX('Sheet2-计算明细'!$AQ$17:$AQ$99,$X79)),INDEX('Sheet2-计算明细'!$AQ$17:$AQ$99,$X79),"")</x:f>
        <x:v>1</x:v>
      </x:c>
      <x:c r="T79" s="52" t="n">
        <x:f>IF(ISNUMBER(INDEX('Sheet2-计算明细'!$AR$17:$AR$99,$X79)),INDEX('Sheet2-计算明细'!$AR$17:$AR$99,$X79),"")</x:f>
        <x:v>38.80876</x:v>
      </x:c>
      <x:c r="U79" s="52" t="n">
        <x:f>IF(ISNUMBER(INDEX('Sheet2-计算明细'!$AS$17:$AS$99,$X79)),INDEX('Sheet2-计算明细'!$AS$17:$AS$99,$X79),"")</x:f>
        <x:v>38.81</x:v>
      </x:c>
      <x:c r="V79" s="52" t="n">
        <x:f>IF(ISNUMBER(INDEX('Sheet2-计算明细'!$AV$17:$AV$99,$X79)),INDEX('Sheet2-计算明细'!$AV$17:$AV$99,$X79),"")</x:f>
        <x:v>38.80876</x:v>
      </x:c>
      <x:c r="W79" s="40" t="str">
        <x:f>IF(INDEX('Sheet2-计算明细'!$AU$17:$AU$99,$X79)="","",INDEX('Sheet2-计算明细'!$AU$17:$AU$99,$X79))</x:f>
      </x:c>
      <x:c r="X79" s="49" t="n">
        <x:f>MATCH(ROWS($X$6:X79),'Sheet2-计算明细'!$BJ$17:$BJ$99,0)</x:f>
        <x:v>12</x:v>
      </x:c>
      <x:c r="Y79" s="14" t="str">
        <x:f>IF(INDEX('Sheet2-计算明细'!$AX$17:$AX$99,$X79)="","",INDEX('Sheet2-计算明细'!$AX$17:$AX$99,$X79))</x:f>
        <x:v>期权策略</x:v>
      </x:c>
      <x:c r="Z79" s="14" t="str">
        <x:f>IF(INDEX('Sheet2-计算明细'!$AY$17:$AY$99,$X79)="","",INDEX('Sheet2-计算明细'!$AY$17:$AY$99,$X79))</x:f>
        <x:v>场内期权</x:v>
      </x:c>
      <x:c r="AA79" s="14" t="str">
        <x:f>IF(INDEX('Sheet2-计算明细'!$AW$17:$AW$99,$X79)="","",INDEX('Sheet2-计算明细'!$AW$17:$AW$99,$X79))</x:f>
        <x:v>完整赋分</x:v>
      </x:c>
      <x:c r="AB79" s="49" t="n">
        <x:f>IF(ISNUMBER(INDEX('Sheet2-计算明细'!$A$17:$A$99,$X79)),INDEX('Sheet2-计算明细'!$A$17:$A$99,$X79),"")</x:f>
        <x:v>12</x:v>
      </x:c>
    </x:row>
    <x:row r="80" ht="44" customHeight="1">
      <x:c r="A80" s="14" t="n">
        <x:f>IF(ISNUMBER(INDEX('Sheet2-计算明细'!$AT$17:$AT$99,$X80)),INDEX('Sheet2-计算明细'!$AT$17:$AT$99,$X80),"")</x:f>
        <x:v>75</x:v>
      </x:c>
      <x:c r="B80" s="14" t="str">
        <x:f>IF(INDEX('Sheet2-计算明细'!$B$17:$B$99,$X80)="","",INDEX('Sheet2-计算明细'!$B$17:$B$99,$X80))</x:f>
        <x:v>致远投资昆仑1号</x:v>
      </x:c>
      <x:c r="C80" s="14" t="str">
        <x:f>IF(INDEX('Sheet2-计算明细'!$C$17:$C$99,$X80)="","",INDEX('Sheet2-计算明细'!$C$17:$C$99,$X80))</x:f>
        <x:v>SSD863</x:v>
      </x:c>
      <x:c r="D80" s="14" t="str">
        <x:f>IF(INDEX('Sheet2-计算明细'!$D$17:$D$99,$X80)="","",INDEX('Sheet2-计算明细'!$D$17:$D$99,$X80))</x:f>
        <x:v>广州致远</x:v>
      </x:c>
      <x:c r="E80" s="14" t="str">
        <x:f>IF(INDEX('Sheet2-计算明细'!$G$17:$G$99,$X80)="","",INDEX('Sheet2-计算明细'!$G$17:$G$99,$X80))</x:f>
        <x:v>入池</x:v>
      </x:c>
      <x:c r="F80" s="52" t="n">
        <x:f>IF(ISNUMBER(INDEX('Sheet2-计算明细'!$I$17:$I$99,$X80)),INDEX('Sheet2-计算明细'!$I$17:$I$99,$X80),"")</x:f>
        <x:v>90</x:v>
      </x:c>
      <x:c r="G80" s="52" t="n">
        <x:f>IF(ISNUMBER(INDEX('Sheet2-计算明细'!$K$17:$K$99,$X80)),INDEX('Sheet2-计算明细'!$K$17:$K$99,$X80),"")</x:f>
        <x:v>100</x:v>
      </x:c>
      <x:c r="H80" s="52" t="n">
        <x:f>IF(ISNUMBER(INDEX('Sheet2-计算明细'!$L$17:$L$99,$X80)),INDEX('Sheet2-计算明细'!$L$17:$L$99,$X80),"")</x:f>
        <x:v>100</x:v>
      </x:c>
      <x:c r="I80" s="52" t="n">
        <x:f>IF(ISNUMBER(INDEX('Sheet2-计算明细'!$S$17:$S$99,$X80)),INDEX('Sheet2-计算明细'!$S$17:$S$99,$X80),"")</x:f>
        <x:v>19.35</x:v>
      </x:c>
      <x:c r="J80" s="52" t="n">
        <x:f>IF(ISNUMBER(INDEX('Sheet2-计算明细'!$Y$17:$Y$99,$X80)),INDEX('Sheet2-计算明细'!$Y$17:$Y$99,$X80),"")</x:f>
        <x:v>56.02</x:v>
      </x:c>
      <x:c r="K80" s="52" t="n">
        <x:f>IF(ISNUMBER(INDEX('Sheet2-计算明细'!$AC$17:$AC$99,$X80)),INDEX('Sheet2-计算明细'!$AC$17:$AC$99,$X80),"")</x:f>
        <x:v>24.14</x:v>
      </x:c>
      <x:c r="L80" s="52" t="n">
        <x:f>IF(ISNUMBER(INDEX('Sheet2-计算明细'!$AI$17:$AI$99,$X80)),INDEX('Sheet2-计算明细'!$AI$17:$AI$99,$X80),"")</x:f>
        <x:v>14.03</x:v>
      </x:c>
      <x:c r="M80" s="52" t="n">
        <x:f>IF(ISNUMBER(INDEX('Sheet2-计算明细'!$AK$17:$AK$99,$X80)),INDEX('Sheet2-计算明细'!$AK$17:$AK$99,$X80),"")</x:f>
        <x:v>80</x:v>
      </x:c>
      <x:c r="N80" s="52" t="n">
        <x:f>IF(ISNUMBER(INDEX('Sheet2-计算明细'!$AL$17:$AL$99,$X80)),INDEX('Sheet2-计算明细'!$AL$17:$AL$99,$X80),"")</x:f>
        <x:v>96</x:v>
      </x:c>
      <x:c r="O80" s="52" t="n">
        <x:f>IF(ISNUMBER(INDEX('Sheet2-计算明细'!$AM$17:$AM$99,$X80)),INDEX('Sheet2-计算明细'!$AM$17:$AM$99,$X80),"")</x:f>
        <x:v>30.35</x:v>
      </x:c>
      <x:c r="P80" s="52" t="n">
        <x:f>IF(ISNUMBER(INDEX('Sheet2-计算明细'!$AN$17:$AN$99,$X80)),INDEX('Sheet2-计算明细'!$AN$17:$AN$99,$X80),"")</x:f>
        <x:v>24.14</x:v>
      </x:c>
      <x:c r="Q80" s="52" t="n">
        <x:f>IF(ISNUMBER(INDEX('Sheet2-计算明细'!$AO$17:$AO$99,$X80)),INDEX('Sheet2-计算明细'!$AO$17:$AO$99,$X80),"")</x:f>
        <x:v>14.03</x:v>
      </x:c>
      <x:c r="R80" s="52" t="n">
        <x:f>IF(ISNUMBER(INDEX('Sheet2-计算明细'!$AP$17:$AP$99,$X80)),INDEX('Sheet2-计算明细'!$AP$17:$AP$99,$X80),"")</x:f>
        <x:v>80</x:v>
      </x:c>
      <x:c r="S80" s="27" t="n">
        <x:f>IF(ISNUMBER(INDEX('Sheet2-计算明细'!$AQ$17:$AQ$99,$X80)),INDEX('Sheet2-计算明细'!$AQ$17:$AQ$99,$X80),"")</x:f>
        <x:v>1</x:v>
      </x:c>
      <x:c r="T80" s="52" t="n">
        <x:f>IF(ISNUMBER(INDEX('Sheet2-计算明细'!$AR$17:$AR$99,$X80)),INDEX('Sheet2-计算明细'!$AR$17:$AR$99,$X80),"")</x:f>
        <x:v>38.713449999999995</x:v>
      </x:c>
      <x:c r="U80" s="52" t="n">
        <x:f>IF(ISNUMBER(INDEX('Sheet2-计算明细'!$AS$17:$AS$99,$X80)),INDEX('Sheet2-计算明细'!$AS$17:$AS$99,$X80),"")</x:f>
        <x:v>38.71</x:v>
      </x:c>
      <x:c r="V80" s="52" t="n">
        <x:f>IF(ISNUMBER(INDEX('Sheet2-计算明细'!$AV$17:$AV$99,$X80)),INDEX('Sheet2-计算明细'!$AV$17:$AV$99,$X80),"")</x:f>
        <x:v>38.713449999999995</x:v>
      </x:c>
      <x:c r="W80" s="40" t="str">
        <x:f>IF(INDEX('Sheet2-计算明细'!$AU$17:$AU$99,$X80)="","",INDEX('Sheet2-计算明细'!$AU$17:$AU$99,$X80))</x:f>
      </x:c>
      <x:c r="X80" s="49" t="n">
        <x:f>MATCH(ROWS($X$6:X80),'Sheet2-计算明细'!$BJ$17:$BJ$99,0)</x:f>
        <x:v>79</x:v>
      </x:c>
      <x:c r="Y80" s="14" t="str">
        <x:f>IF(INDEX('Sheet2-计算明细'!$AX$17:$AX$99,$X80)="","",INDEX('Sheet2-计算明细'!$AX$17:$AX$99,$X80))</x:f>
        <x:v>期权策略</x:v>
      </x:c>
      <x:c r="Z80" s="14" t="str">
        <x:f>IF(INDEX('Sheet2-计算明细'!$AY$17:$AY$99,$X80)="","",INDEX('Sheet2-计算明细'!$AY$17:$AY$99,$X80))</x:f>
        <x:v>场内期权</x:v>
      </x:c>
      <x:c r="AA80" s="14" t="str">
        <x:f>IF(INDEX('Sheet2-计算明细'!$AW$17:$AW$99,$X80)="","",INDEX('Sheet2-计算明细'!$AW$17:$AW$99,$X80))</x:f>
        <x:v>完整赋分</x:v>
      </x:c>
      <x:c r="AB80" s="49" t="n">
        <x:f>IF(ISNUMBER(INDEX('Sheet2-计算明细'!$A$17:$A$99,$X80)),INDEX('Sheet2-计算明细'!$A$17:$A$99,$X80),"")</x:f>
        <x:v>79</x:v>
      </x:c>
    </x:row>
    <x:row r="81" ht="44" customHeight="1">
      <x:c r="A81" s="14" t="n">
        <x:f>IF(ISNUMBER(INDEX('Sheet2-计算明细'!$AT$17:$AT$99,$X81)),INDEX('Sheet2-计算明细'!$AT$17:$AT$99,$X81),"")</x:f>
        <x:v>76</x:v>
      </x:c>
      <x:c r="B81" s="14" t="str">
        <x:f>IF(INDEX('Sheet2-计算明细'!$B$17:$B$99,$X81)="","",INDEX('Sheet2-计算明细'!$B$17:$B$99,$X81))</x:f>
        <x:v>博牛转债策略2号</x:v>
      </x:c>
      <x:c r="C81" s="14" t="str">
        <x:f>IF(INDEX('Sheet2-计算明细'!$C$17:$C$99,$X81)="","",INDEX('Sheet2-计算明细'!$C$17:$C$99,$X81))</x:f>
        <x:v>SVY871</x:v>
      </x:c>
      <x:c r="D81" s="14" t="str">
        <x:f>IF(INDEX('Sheet2-计算明细'!$D$17:$D$99,$X81)="","",INDEX('Sheet2-计算明细'!$D$17:$D$99,$X81))</x:f>
        <x:v>广州博牛</x:v>
      </x:c>
      <x:c r="E81" s="14" t="str">
        <x:f>IF(INDEX('Sheet2-计算明细'!$G$17:$G$99,$X81)="","",INDEX('Sheet2-计算明细'!$G$17:$G$99,$X81))</x:f>
        <x:v>入池</x:v>
      </x:c>
      <x:c r="F81" s="52" t="n">
        <x:f>IF(ISNUMBER(INDEX('Sheet2-计算明细'!$I$17:$I$99,$X81)),INDEX('Sheet2-计算明细'!$I$17:$I$99,$X81),"")</x:f>
        <x:v>70</x:v>
      </x:c>
      <x:c r="G81" s="52" t="n">
        <x:f>IF(ISNUMBER(INDEX('Sheet2-计算明细'!$K$17:$K$99,$X81)),INDEX('Sheet2-计算明细'!$K$17:$K$99,$X81),"")</x:f>
        <x:v>100</x:v>
      </x:c>
      <x:c r="H81" s="52" t="n">
        <x:f>IF(ISNUMBER(INDEX('Sheet2-计算明细'!$L$17:$L$99,$X81)),INDEX('Sheet2-计算明细'!$L$17:$L$99,$X81),"")</x:f>
        <x:v>100</x:v>
      </x:c>
      <x:c r="I81" s="52" t="n">
        <x:f>IF(ISNUMBER(INDEX('Sheet2-计算明细'!$S$17:$S$99,$X81)),INDEX('Sheet2-计算明细'!$S$17:$S$99,$X81),"")</x:f>
        <x:v>18.52</x:v>
      </x:c>
      <x:c r="J81" s="52" t="n">
        <x:f>IF(ISNUMBER(INDEX('Sheet2-计算明细'!$Y$17:$Y$99,$X81)),INDEX('Sheet2-计算明细'!$Y$17:$Y$99,$X81),"")</x:f>
        <x:v>48.46</x:v>
      </x:c>
      <x:c r="K81" s="52" t="n">
        <x:f>IF(ISNUMBER(INDEX('Sheet2-计算明细'!$AC$17:$AC$99,$X81)),INDEX('Sheet2-计算明细'!$AC$17:$AC$99,$X81),"")</x:f>
        <x:v>20.69</x:v>
      </x:c>
      <x:c r="L81" s="52" t="n">
        <x:f>IF(ISNUMBER(INDEX('Sheet2-计算明细'!$AI$17:$AI$99,$X81)),INDEX('Sheet2-计算明细'!$AI$17:$AI$99,$X81),"")</x:f>
        <x:v>11.43</x:v>
      </x:c>
      <x:c r="M81" s="52" t="n">
        <x:f>IF(ISNUMBER(INDEX('Sheet2-计算明细'!$AK$17:$AK$99,$X81)),INDEX('Sheet2-计算明细'!$AK$17:$AK$99,$X81),"")</x:f>
        <x:v>80</x:v>
      </x:c>
      <x:c r="N81" s="52" t="n">
        <x:f>IF(ISNUMBER(INDEX('Sheet2-计算明细'!$AL$17:$AL$99,$X81)),INDEX('Sheet2-计算明细'!$AL$17:$AL$99,$X81),"")</x:f>
        <x:v>88</x:v>
      </x:c>
      <x:c r="O81" s="52" t="n">
        <x:f>IF(ISNUMBER(INDEX('Sheet2-计算明细'!$AM$17:$AM$99,$X81)),INDEX('Sheet2-计算明细'!$AM$17:$AM$99,$X81),"")</x:f>
        <x:v>27.5</x:v>
      </x:c>
      <x:c r="P81" s="52" t="n">
        <x:f>IF(ISNUMBER(INDEX('Sheet2-计算明细'!$AN$17:$AN$99,$X81)),INDEX('Sheet2-计算明细'!$AN$17:$AN$99,$X81),"")</x:f>
        <x:v>20.69</x:v>
      </x:c>
      <x:c r="Q81" s="52" t="n">
        <x:f>IF(ISNUMBER(INDEX('Sheet2-计算明细'!$AO$17:$AO$99,$X81)),INDEX('Sheet2-计算明细'!$AO$17:$AO$99,$X81),"")</x:f>
        <x:v>11.43</x:v>
      </x:c>
      <x:c r="R81" s="52" t="n">
        <x:f>IF(ISNUMBER(INDEX('Sheet2-计算明细'!$AP$17:$AP$99,$X81)),INDEX('Sheet2-计算明细'!$AP$17:$AP$99,$X81),"")</x:f>
        <x:v>80</x:v>
      </x:c>
      <x:c r="S81" s="27" t="n">
        <x:f>IF(ISNUMBER(INDEX('Sheet2-计算明细'!$AQ$17:$AQ$99,$X81)),INDEX('Sheet2-计算明细'!$AQ$17:$AQ$99,$X81),"")</x:f>
        <x:v>1</x:v>
      </x:c>
      <x:c r="T81" s="52" t="n">
        <x:f>IF(ISNUMBER(INDEX('Sheet2-计算明细'!$AR$17:$AR$99,$X81)),INDEX('Sheet2-计算明细'!$AR$17:$AR$99,$X81),"")</x:f>
        <x:v>35.301429999999996</x:v>
      </x:c>
      <x:c r="U81" s="52" t="n">
        <x:f>IF(ISNUMBER(INDEX('Sheet2-计算明细'!$AS$17:$AS$99,$X81)),INDEX('Sheet2-计算明细'!$AS$17:$AS$99,$X81),"")</x:f>
        <x:v>35.3</x:v>
      </x:c>
      <x:c r="V81" s="52" t="n">
        <x:f>IF(ISNUMBER(INDEX('Sheet2-计算明细'!$AV$17:$AV$99,$X81)),INDEX('Sheet2-计算明细'!$AV$17:$AV$99,$X81),"")</x:f>
        <x:v>35.301429999999996</x:v>
      </x:c>
      <x:c r="W81" s="40" t="str">
        <x:f>IF(INDEX('Sheet2-计算明细'!$AU$17:$AU$99,$X81)="","",INDEX('Sheet2-计算明细'!$AU$17:$AU$99,$X81))</x:f>
      </x:c>
      <x:c r="X81" s="49" t="n">
        <x:f>MATCH(ROWS($X$6:X81),'Sheet2-计算明细'!$BJ$17:$BJ$99,0)</x:f>
        <x:v>3</x:v>
      </x:c>
      <x:c r="Y81" s="14" t="str">
        <x:f>IF(INDEX('Sheet2-计算明细'!$AX$17:$AX$99,$X81)="","",INDEX('Sheet2-计算明细'!$AX$17:$AX$99,$X81))</x:f>
        <x:v>套利策略</x:v>
      </x:c>
      <x:c r="Z81" s="14" t="str">
        <x:f>IF(INDEX('Sheet2-计算明细'!$AY$17:$AY$99,$X81)="","",INDEX('Sheet2-计算明细'!$AY$17:$AY$99,$X81))</x:f>
        <x:v>可转债套利</x:v>
      </x:c>
      <x:c r="AA81" s="14" t="str">
        <x:f>IF(INDEX('Sheet2-计算明细'!$AW$17:$AW$99,$X81)="","",INDEX('Sheet2-计算明细'!$AW$17:$AW$99,$X81))</x:f>
        <x:v>完整赋分</x:v>
      </x:c>
      <x:c r="AB81" s="49" t="n">
        <x:f>IF(ISNUMBER(INDEX('Sheet2-计算明细'!$A$17:$A$99,$X81)),INDEX('Sheet2-计算明细'!$A$17:$A$99,$X81),"")</x:f>
        <x:v>3</x:v>
      </x:c>
    </x:row>
    <x:row r="82" ht="44" customHeight="1">
      <x:c r="A82" s="14" t="n">
        <x:f>IF(ISNUMBER(INDEX('Sheet2-计算明细'!$AT$17:$AT$99,$X82)),INDEX('Sheet2-计算明细'!$AT$17:$AT$99,$X82),"")</x:f>
        <x:v>77</x:v>
      </x:c>
      <x:c r="B82" s="14" t="str">
        <x:f>IF(INDEX('Sheet2-计算明细'!$B$17:$B$99,$X82)="","",INDEX('Sheet2-计算明细'!$B$17:$B$99,$X82))</x:f>
        <x:v>唐龙量化对冲99号</x:v>
      </x:c>
      <x:c r="C82" s="14" t="str">
        <x:f>IF(INDEX('Sheet2-计算明细'!$C$17:$C$99,$X82)="","",INDEX('Sheet2-计算明细'!$C$17:$C$99,$X82))</x:f>
        <x:v>SJQ683</x:v>
      </x:c>
      <x:c r="D82" s="14" t="str">
        <x:f>IF(INDEX('Sheet2-计算明细'!$D$17:$D$99,$X82)="","",INDEX('Sheet2-计算明细'!$D$17:$D$99,$X82))</x:f>
        <x:v>福建平潭唐龙资管</x:v>
      </x:c>
      <x:c r="E82" s="14" t="str">
        <x:f>IF(INDEX('Sheet2-计算明细'!$G$17:$G$99,$X82)="","",INDEX('Sheet2-计算明细'!$G$17:$G$99,$X82))</x:f>
        <x:v>入池</x:v>
      </x:c>
      <x:c r="F82" s="52" t="n">
        <x:f>IF(ISNUMBER(INDEX('Sheet2-计算明细'!$I$17:$I$99,$X82)),INDEX('Sheet2-计算明细'!$I$17:$I$99,$X82),"")</x:f>
        <x:v>70</x:v>
      </x:c>
      <x:c r="G82" s="52" t="n">
        <x:f>IF(ISNUMBER(INDEX('Sheet2-计算明细'!$K$17:$K$99,$X82)),INDEX('Sheet2-计算明细'!$K$17:$K$99,$X82),"")</x:f>
        <x:v>100</x:v>
      </x:c>
      <x:c r="H82" s="52" t="n">
        <x:f>IF(ISNUMBER(INDEX('Sheet2-计算明细'!$L$17:$L$99,$X82)),INDEX('Sheet2-计算明细'!$L$17:$L$99,$X82),"")</x:f>
        <x:v>100</x:v>
      </x:c>
      <x:c r="I82" s="52" t="n">
        <x:f>IF(ISNUMBER(INDEX('Sheet2-计算明细'!$S$17:$S$99,$X82)),INDEX('Sheet2-计算明细'!$S$17:$S$99,$X82),"")</x:f>
        <x:v>11.03</x:v>
      </x:c>
      <x:c r="J82" s="52" t="n">
        <x:f>IF(ISNUMBER(INDEX('Sheet2-计算明细'!$Y$17:$Y$99,$X82)),INDEX('Sheet2-计算明细'!$Y$17:$Y$99,$X82),"")</x:f>
        <x:v>63.59</x:v>
      </x:c>
      <x:c r="K82" s="52" t="n">
        <x:f>IF(ISNUMBER(INDEX('Sheet2-计算明细'!$AC$17:$AC$99,$X82)),INDEX('Sheet2-计算明细'!$AC$17:$AC$99,$X82),"")</x:f>
        <x:v>3.45</x:v>
      </x:c>
      <x:c r="L82" s="52" t="n">
        <x:f>IF(ISNUMBER(INDEX('Sheet2-计算明细'!$AI$17:$AI$99,$X82)),INDEX('Sheet2-计算明细'!$AI$17:$AI$99,$X82),"")</x:f>
        <x:v>24</x:v>
      </x:c>
      <x:c r="M82" s="52" t="n">
        <x:f>IF(ISNUMBER(INDEX('Sheet2-计算明细'!$AK$17:$AK$99,$X82)),INDEX('Sheet2-计算明细'!$AK$17:$AK$99,$X82),"")</x:f>
        <x:v>80</x:v>
      </x:c>
      <x:c r="N82" s="52" t="n">
        <x:f>IF(ISNUMBER(INDEX('Sheet2-计算明细'!$AL$17:$AL$99,$X82)),INDEX('Sheet2-计算明细'!$AL$17:$AL$99,$X82),"")</x:f>
        <x:v>88</x:v>
      </x:c>
      <x:c r="O82" s="52" t="n">
        <x:f>IF(ISNUMBER(INDEX('Sheet2-计算明细'!$AM$17:$AM$99,$X82)),INDEX('Sheet2-计算明细'!$AM$17:$AM$99,$X82),"")</x:f>
        <x:v>26.8</x:v>
      </x:c>
      <x:c r="P82" s="52" t="n">
        <x:f>IF(ISNUMBER(INDEX('Sheet2-计算明细'!$AN$17:$AN$99,$X82)),INDEX('Sheet2-计算明细'!$AN$17:$AN$99,$X82),"")</x:f>
        <x:v>3.45</x:v>
      </x:c>
      <x:c r="Q82" s="52" t="n">
        <x:f>IF(ISNUMBER(INDEX('Sheet2-计算明细'!$AO$17:$AO$99,$X82)),INDEX('Sheet2-计算明细'!$AO$17:$AO$99,$X82),"")</x:f>
        <x:v>24</x:v>
      </x:c>
      <x:c r="R82" s="52" t="n">
        <x:f>IF(ISNUMBER(INDEX('Sheet2-计算明细'!$AP$17:$AP$99,$X82)),INDEX('Sheet2-计算明细'!$AP$17:$AP$99,$X82),"")</x:f>
        <x:v>80</x:v>
      </x:c>
      <x:c r="S82" s="27" t="n">
        <x:f>IF(ISNUMBER(INDEX('Sheet2-计算明细'!$AQ$17:$AQ$99,$X82)),INDEX('Sheet2-计算明细'!$AQ$17:$AQ$99,$X82),"")</x:f>
        <x:v>1</x:v>
      </x:c>
      <x:c r="T82" s="52" t="n">
        <x:f>IF(ISNUMBER(INDEX('Sheet2-计算明细'!$AR$17:$AR$99,$X82)),INDEX('Sheet2-计算明细'!$AR$17:$AR$99,$X82),"")</x:f>
        <x:v>34.621939999999995</x:v>
      </x:c>
      <x:c r="U82" s="52" t="n">
        <x:f>IF(ISNUMBER(INDEX('Sheet2-计算明细'!$AS$17:$AS$99,$X82)),INDEX('Sheet2-计算明细'!$AS$17:$AS$99,$X82),"")</x:f>
        <x:v>34.62</x:v>
      </x:c>
      <x:c r="V82" s="52" t="n">
        <x:f>IF(ISNUMBER(INDEX('Sheet2-计算明细'!$AV$17:$AV$99,$X82)),INDEX('Sheet2-计算明细'!$AV$17:$AV$99,$X82),"")</x:f>
        <x:v>34.621939999999995</x:v>
      </x:c>
      <x:c r="W82" s="40" t="str">
        <x:f>IF(INDEX('Sheet2-计算明细'!$AU$17:$AU$99,$X82)="","",INDEX('Sheet2-计算明细'!$AU$17:$AU$99,$X82))</x:f>
      </x:c>
      <x:c r="X82" s="49" t="n">
        <x:f>MATCH(ROWS($X$6:X82),'Sheet2-计算明细'!$BJ$17:$BJ$99,0)</x:f>
        <x:v>65</x:v>
      </x:c>
      <x:c r="Y82" s="14" t="str">
        <x:f>IF(INDEX('Sheet2-计算明细'!$AX$17:$AX$99,$X82)="","",INDEX('Sheet2-计算明细'!$AX$17:$AX$99,$X82))</x:f>
        <x:v>套利策略</x:v>
      </x:c>
      <x:c r="Z82" s="14" t="str">
        <x:f>IF(INDEX('Sheet2-计算明细'!$AY$17:$AY$99,$X82)="","",INDEX('Sheet2-计算明细'!$AY$17:$AY$99,$X82))</x:f>
        <x:v>可转债套利</x:v>
      </x:c>
      <x:c r="AA82" s="14" t="str">
        <x:f>IF(INDEX('Sheet2-计算明细'!$AW$17:$AW$99,$X82)="","",INDEX('Sheet2-计算明细'!$AW$17:$AW$99,$X82))</x:f>
        <x:v>完整赋分</x:v>
      </x:c>
      <x:c r="AB82" s="49" t="n">
        <x:f>IF(ISNUMBER(INDEX('Sheet2-计算明细'!$A$17:$A$99,$X82)),INDEX('Sheet2-计算明细'!$A$17:$A$99,$X82),"")</x:f>
        <x:v>65</x:v>
      </x:c>
    </x:row>
    <x:row r="83" ht="44" customHeight="1">
      <x:c r="A83" s="14" t="n">
        <x:f>IF(ISNUMBER(INDEX('Sheet2-计算明细'!$AT$17:$AT$99,$X83)),INDEX('Sheet2-计算明细'!$AT$17:$AT$99,$X83),"")</x:f>
        <x:v>78</x:v>
      </x:c>
      <x:c r="B83" s="14" t="str">
        <x:f>IF(INDEX('Sheet2-计算明细'!$B$17:$B$99,$X83)="","",INDEX('Sheet2-计算明细'!$B$17:$B$99,$X83))</x:f>
        <x:v>数为道策套利一号</x:v>
      </x:c>
      <x:c r="C83" s="14" t="str">
        <x:f>IF(INDEX('Sheet2-计算明细'!$C$17:$C$99,$X83)="","",INDEX('Sheet2-计算明细'!$C$17:$C$99,$X83))</x:f>
        <x:v>SNA956</x:v>
      </x:c>
      <x:c r="D83" s="14" t="str">
        <x:f>IF(INDEX('Sheet2-计算明细'!$D$17:$D$99,$X83)="","",INDEX('Sheet2-计算明细'!$D$17:$D$99,$X83))</x:f>
        <x:v>福州数为</x:v>
      </x:c>
      <x:c r="E83" s="14" t="str">
        <x:f>IF(INDEX('Sheet2-计算明细'!$G$17:$G$99,$X83)="","",INDEX('Sheet2-计算明细'!$G$17:$G$99,$X83))</x:f>
        <x:v>入池</x:v>
      </x:c>
      <x:c r="F83" s="52" t="n">
        <x:f>IF(ISNUMBER(INDEX('Sheet2-计算明细'!$I$17:$I$99,$X83)),INDEX('Sheet2-计算明细'!$I$17:$I$99,$X83),"")</x:f>
        <x:v>60</x:v>
      </x:c>
      <x:c r="G83" s="52" t="n">
        <x:f>IF(ISNUMBER(INDEX('Sheet2-计算明细'!$K$17:$K$99,$X83)),INDEX('Sheet2-计算明细'!$K$17:$K$99,$X83),"")</x:f>
        <x:v>100</x:v>
      </x:c>
      <x:c r="H83" s="52" t="n">
        <x:f>IF(ISNUMBER(INDEX('Sheet2-计算明细'!$L$17:$L$99,$X83)),INDEX('Sheet2-计算明细'!$L$17:$L$99,$X83),"")</x:f>
        <x:v>100</x:v>
      </x:c>
      <x:c r="I83" s="52" t="str">
        <x:f>IF(ISNUMBER(INDEX('Sheet2-计算明细'!$S$17:$S$99,$X83)),INDEX('Sheet2-计算明细'!$S$17:$S$99,$X83),"")</x:f>
      </x:c>
      <x:c r="J83" s="52" t="str">
        <x:f>IF(ISNUMBER(INDEX('Sheet2-计算明细'!$Y$17:$Y$99,$X83)),INDEX('Sheet2-计算明细'!$Y$17:$Y$99,$X83),"")</x:f>
      </x:c>
      <x:c r="K83" s="52" t="n">
        <x:f>IF(ISNUMBER(INDEX('Sheet2-计算明细'!$AC$17:$AC$99,$X83)),INDEX('Sheet2-计算明细'!$AC$17:$AC$99,$X83),"")</x:f>
        <x:v>0</x:v>
      </x:c>
      <x:c r="L83" s="52" t="str">
        <x:f>IF(ISNUMBER(INDEX('Sheet2-计算明细'!$AI$17:$AI$99,$X83)),INDEX('Sheet2-计算明细'!$AI$17:$AI$99,$X83),"")</x:f>
      </x:c>
      <x:c r="M83" s="52" t="str">
        <x:f>IF(ISNUMBER(INDEX('Sheet2-计算明细'!$AK$17:$AK$99,$X83)),INDEX('Sheet2-计算明细'!$AK$17:$AK$99,$X83),"")</x:f>
      </x:c>
      <x:c r="N83" s="52" t="n">
        <x:f>IF(ISNUMBER(INDEX('Sheet2-计算明细'!$AL$17:$AL$99,$X83)),INDEX('Sheet2-计算明细'!$AL$17:$AL$99,$X83),"")</x:f>
        <x:v>84</x:v>
      </x:c>
      <x:c r="O83" s="52" t="str">
        <x:f>IF(ISNUMBER(INDEX('Sheet2-计算明细'!$AM$17:$AM$99,$X83)),INDEX('Sheet2-计算明细'!$AM$17:$AM$99,$X83),"")</x:f>
      </x:c>
      <x:c r="P83" s="52" t="n">
        <x:f>IF(ISNUMBER(INDEX('Sheet2-计算明细'!$AN$17:$AN$99,$X83)),INDEX('Sheet2-计算明细'!$AN$17:$AN$99,$X83),"")</x:f>
        <x:v>0</x:v>
      </x:c>
      <x:c r="Q83" s="52" t="str">
        <x:f>IF(ISNUMBER(INDEX('Sheet2-计算明细'!$AO$17:$AO$99,$X83)),INDEX('Sheet2-计算明细'!$AO$17:$AO$99,$X83),"")</x:f>
      </x:c>
      <x:c r="R83" s="52" t="str">
        <x:f>IF(ISNUMBER(INDEX('Sheet2-计算明细'!$AP$17:$AP$99,$X83)),INDEX('Sheet2-计算明细'!$AP$17:$AP$99,$X83),"")</x:f>
      </x:c>
      <x:c r="S83" s="27" t="n">
        <x:f>IF(ISNUMBER(INDEX('Sheet2-计算明细'!$AQ$17:$AQ$99,$X83)),INDEX('Sheet2-计算明细'!$AQ$17:$AQ$99,$X83),"")</x:f>
        <x:v>0.4</x:v>
      </x:c>
      <x:c r="T83" s="52" t="n">
        <x:f>IF(ISNUMBER(INDEX('Sheet2-计算明细'!$AR$17:$AR$99,$X83)),INDEX('Sheet2-计算明细'!$AR$17:$AR$99,$X83),"")</x:f>
        <x:v>12.6</x:v>
      </x:c>
      <x:c r="U83" s="52" t="n">
        <x:f>IF(ISNUMBER(INDEX('Sheet2-计算明细'!$AS$17:$AS$99,$X83)),INDEX('Sheet2-计算明细'!$AS$17:$AS$99,$X83),"")</x:f>
        <x:v>31.5</x:v>
      </x:c>
      <x:c r="V83" s="52" t="str">
        <x:f>IF(ISNUMBER(INDEX('Sheet2-计算明细'!$AV$17:$AV$99,$X83)),INDEX('Sheet2-计算明细'!$AV$17:$AV$99,$X83),"")</x:f>
      </x:c>
      <x:c r="W83" s="40" t="str">
        <x:f>IF(INDEX('Sheet2-计算明细'!$AU$17:$AU$99,$X83)="","",INDEX('Sheet2-计算明细'!$AU$17:$AU$99,$X83))</x:f>
        <x:v>近一年收益；近一年胜率；近一年卡玛；</x:v>
      </x:c>
      <x:c r="X83" s="49" t="n">
        <x:f>MATCH(ROWS($X$6:X83),'Sheet2-计算明细'!$BJ$17:$BJ$99,0)</x:f>
        <x:v>63</x:v>
      </x:c>
      <x:c r="Y83" s="14" t="str">
        <x:f>IF(INDEX('Sheet2-计算明细'!$AX$17:$AX$99,$X83)="","",INDEX('Sheet2-计算明细'!$AX$17:$AX$99,$X83))</x:f>
        <x:v>套利策略</x:v>
      </x:c>
      <x:c r="Z83" s="14" t="str">
        <x:f>IF(INDEX('Sheet2-计算明细'!$AY$17:$AY$99,$X83)="","",INDEX('Sheet2-计算明细'!$AY$17:$AY$99,$X83))</x:f>
        <x:v>基金套利</x:v>
      </x:c>
      <x:c r="AA83" s="14" t="str">
        <x:f>IF(INDEX('Sheet2-计算明细'!$AW$17:$AW$99,$X83)="","",INDEX('Sheet2-计算明细'!$AW$17:$AW$99,$X83))</x:f>
        <x:v>暂定分／数据不完整</x:v>
      </x:c>
      <x:c r="AB83" s="49" t="n">
        <x:f>IF(ISNUMBER(INDEX('Sheet2-计算明细'!$A$17:$A$99,$X83)),INDEX('Sheet2-计算明细'!$A$17:$A$99,$X83),"")</x:f>
        <x:v>63</x:v>
      </x:c>
    </x:row>
    <x:row r="84" ht="44" customHeight="1">
      <x:c r="A84" s="14" t="str">
        <x:f>IF(ISNUMBER(INDEX('Sheet2-计算明细'!$AT$17:$AT$99,$X84)),INDEX('Sheet2-计算明细'!$AT$17:$AT$99,$X84),"")</x:f>
      </x:c>
      <x:c r="B84" s="14" t="str">
        <x:f>IF(INDEX('Sheet2-计算明细'!$B$17:$B$99,$X84)="","",INDEX('Sheet2-计算明细'!$B$17:$B$99,$X84))</x:f>
        <x:v>东源投资丰源5号</x:v>
      </x:c>
      <x:c r="C84" s="14" t="str">
        <x:f>IF(INDEX('Sheet2-计算明细'!$C$17:$C$99,$X84)="","",INDEX('Sheet2-计算明细'!$C$17:$C$99,$X84))</x:f>
        <x:v>SBMG09</x:v>
      </x:c>
      <x:c r="D84" s="14" t="str">
        <x:f>IF(INDEX('Sheet2-计算明细'!$D$17:$D$99,$X84)="","",INDEX('Sheet2-计算明细'!$D$17:$D$99,$X84))</x:f>
        <x:v>天津东源投资</x:v>
      </x:c>
      <x:c r="E84" s="14" t="str">
        <x:f>IF(INDEX('Sheet2-计算明细'!$G$17:$G$99,$X84)="","",INDEX('Sheet2-计算明细'!$G$17:$G$99,$X84))</x:f>
        <x:v>不入池</x:v>
      </x:c>
      <x:c r="F84" s="52" t="n">
        <x:f>IF(ISNUMBER(INDEX('Sheet2-计算明细'!$I$17:$I$99,$X84)),INDEX('Sheet2-计算明细'!$I$17:$I$99,$X84),"")</x:f>
        <x:v>90</x:v>
      </x:c>
      <x:c r="G84" s="52" t="n">
        <x:f>IF(ISNUMBER(INDEX('Sheet2-计算明细'!$K$17:$K$99,$X84)),INDEX('Sheet2-计算明细'!$K$17:$K$99,$X84),"")</x:f>
        <x:v>100</x:v>
      </x:c>
      <x:c r="H84" s="52" t="str">
        <x:f>IF(ISNUMBER(INDEX('Sheet2-计算明细'!$L$17:$L$99,$X84)),INDEX('Sheet2-计算明细'!$L$17:$L$99,$X84),"")</x:f>
      </x:c>
      <x:c r="I84" s="52" t="str">
        <x:f>IF(ISNUMBER(INDEX('Sheet2-计算明细'!$S$17:$S$99,$X84)),INDEX('Sheet2-计算明细'!$S$17:$S$99,$X84),"")</x:f>
      </x:c>
      <x:c r="J84" s="52" t="str">
        <x:f>IF(ISNUMBER(INDEX('Sheet2-计算明细'!$Y$17:$Y$99,$X84)),INDEX('Sheet2-计算明细'!$Y$17:$Y$99,$X84),"")</x:f>
      </x:c>
      <x:c r="K84" s="52" t="str">
        <x:f>IF(ISNUMBER(INDEX('Sheet2-计算明细'!$AC$17:$AC$99,$X84)),INDEX('Sheet2-计算明细'!$AC$17:$AC$99,$X84),"")</x:f>
      </x:c>
      <x:c r="L84" s="52" t="str">
        <x:f>IF(ISNUMBER(INDEX('Sheet2-计算明细'!$AI$17:$AI$99,$X84)),INDEX('Sheet2-计算明细'!$AI$17:$AI$99,$X84),"")</x:f>
      </x:c>
      <x:c r="M84" s="52" t="str">
        <x:f>IF(ISNUMBER(INDEX('Sheet2-计算明细'!$AK$17:$AK$99,$X84)),INDEX('Sheet2-计算明细'!$AK$17:$AK$99,$X84),"")</x:f>
      </x:c>
      <x:c r="N84" s="52" t="n">
        <x:f>IF(ISNUMBER(INDEX('Sheet2-计算明细'!$AL$17:$AL$99,$X84)),INDEX('Sheet2-计算明细'!$AL$17:$AL$99,$X84),"")</x:f>
        <x:v>94.29</x:v>
      </x:c>
      <x:c r="O84" s="52" t="str">
        <x:f>IF(ISNUMBER(INDEX('Sheet2-计算明细'!$AM$17:$AM$99,$X84)),INDEX('Sheet2-计算明细'!$AM$17:$AM$99,$X84),"")</x:f>
      </x:c>
      <x:c r="P84" s="52" t="str">
        <x:f>IF(ISNUMBER(INDEX('Sheet2-计算明细'!$AN$17:$AN$99,$X84)),INDEX('Sheet2-计算明细'!$AN$17:$AN$99,$X84),"")</x:f>
      </x:c>
      <x:c r="Q84" s="52" t="str">
        <x:f>IF(ISNUMBER(INDEX('Sheet2-计算明细'!$AO$17:$AO$99,$X84)),INDEX('Sheet2-计算明细'!$AO$17:$AO$99,$X84),"")</x:f>
      </x:c>
      <x:c r="R84" s="52" t="str">
        <x:f>IF(ISNUMBER(INDEX('Sheet2-计算明细'!$AP$17:$AP$99,$X84)),INDEX('Sheet2-计算明细'!$AP$17:$AP$99,$X84),"")</x:f>
      </x:c>
      <x:c r="S84" s="27" t="n">
        <x:f>IF(ISNUMBER(INDEX('Sheet2-计算明细'!$AQ$17:$AQ$99,$X84)),INDEX('Sheet2-计算明细'!$AQ$17:$AQ$99,$X84),"")</x:f>
        <x:v>0</x:v>
      </x:c>
      <x:c r="T84" s="52" t="str">
        <x:f>IF(ISNUMBER(INDEX('Sheet2-计算明细'!$AR$17:$AR$99,$X84)),INDEX('Sheet2-计算明细'!$AR$17:$AR$99,$X84),"")</x:f>
      </x:c>
      <x:c r="U84" s="52" t="str">
        <x:f>IF(ISNUMBER(INDEX('Sheet2-计算明细'!$AS$17:$AS$99,$X84)),INDEX('Sheet2-计算明细'!$AS$17:$AS$99,$X84),"")</x:f>
      </x:c>
      <x:c r="V84" s="52" t="str">
        <x:f>IF(ISNUMBER(INDEX('Sheet2-计算明细'!$AV$17:$AV$99,$X84)),INDEX('Sheet2-计算明细'!$AV$17:$AV$99,$X84),"")</x:f>
      </x:c>
      <x:c r="W84" s="40" t="str">
        <x:f>IF(INDEX('Sheet2-计算明细'!$AU$17:$AU$99,$X84)="","",INDEX('Sheet2-计算明细'!$AU$17:$AU$99,$X84))</x:f>
        <x:v>近一年收益；近一年胜率；近三年收益；近三年胜率；近三年回撤；近一年卡玛；成立以来年化；</x:v>
      </x:c>
      <x:c r="X84" s="49" t="n">
        <x:f>MATCH(ROWS($X$6:X84),'Sheet2-计算明细'!$BJ$17:$BJ$99,0)</x:f>
        <x:v>14</x:v>
      </x:c>
      <x:c r="Y84" s="14" t="str">
        <x:f>IF(INDEX('Sheet2-计算明细'!$AX$17:$AX$99,$X84)="","",INDEX('Sheet2-计算明细'!$AX$17:$AX$99,$X84))</x:f>
        <x:v>套利策略</x:v>
      </x:c>
      <x:c r="Z84" s="14" t="str">
        <x:f>IF(INDEX('Sheet2-计算明细'!$AY$17:$AY$99,$X84)="","",INDEX('Sheet2-计算明细'!$AY$17:$AY$99,$X84))</x:f>
        <x:v>期权套利</x:v>
      </x:c>
      <x:c r="AA84" s="14" t="str">
        <x:f>IF(INDEX('Sheet2-计算明细'!$AW$17:$AW$99,$X84)="","",INDEX('Sheet2-计算明细'!$AW$17:$AW$99,$X84))</x:f>
        <x:v>不入池</x:v>
      </x:c>
      <x:c r="AB84" s="49" t="n">
        <x:f>IF(ISNUMBER(INDEX('Sheet2-计算明细'!$A$17:$A$99,$X84)),INDEX('Sheet2-计算明细'!$A$17:$A$99,$X84),"")</x:f>
        <x:v>14</x:v>
      </x:c>
    </x:row>
    <x:row r="85" ht="44" customHeight="1">
      <x:c r="A85" s="14" t="str">
        <x:f>IF(ISNUMBER(INDEX('Sheet2-计算明细'!$AT$17:$AT$99,$X85)),INDEX('Sheet2-计算明细'!$AT$17:$AT$99,$X85),"")</x:f>
      </x:c>
      <x:c r="B85" s="14" t="str">
        <x:f>IF(INDEX('Sheet2-计算明细'!$B$17:$B$99,$X85)="","",INDEX('Sheet2-计算明细'!$B$17:$B$99,$X85))</x:f>
        <x:v>东源投资乐源1号</x:v>
      </x:c>
      <x:c r="C85" s="14" t="str">
        <x:f>IF(INDEX('Sheet2-计算明细'!$C$17:$C$99,$X85)="","",INDEX('Sheet2-计算明细'!$C$17:$C$99,$X85))</x:f>
        <x:v>SBRX68</x:v>
      </x:c>
      <x:c r="D85" s="14" t="str">
        <x:f>IF(INDEX('Sheet2-计算明细'!$D$17:$D$99,$X85)="","",INDEX('Sheet2-计算明细'!$D$17:$D$99,$X85))</x:f>
        <x:v>天津东源投资</x:v>
      </x:c>
      <x:c r="E85" s="14" t="str">
        <x:f>IF(INDEX('Sheet2-计算明细'!$G$17:$G$99,$X85)="","",INDEX('Sheet2-计算明细'!$G$17:$G$99,$X85))</x:f>
        <x:v>不入池</x:v>
      </x:c>
      <x:c r="F85" s="52" t="n">
        <x:f>IF(ISNUMBER(INDEX('Sheet2-计算明细'!$I$17:$I$99,$X85)),INDEX('Sheet2-计算明细'!$I$17:$I$99,$X85),"")</x:f>
        <x:v>90</x:v>
      </x:c>
      <x:c r="G85" s="52" t="n">
        <x:f>IF(ISNUMBER(INDEX('Sheet2-计算明细'!$K$17:$K$99,$X85)),INDEX('Sheet2-计算明细'!$K$17:$K$99,$X85),"")</x:f>
        <x:v>100</x:v>
      </x:c>
      <x:c r="H85" s="52" t="str">
        <x:f>IF(ISNUMBER(INDEX('Sheet2-计算明细'!$L$17:$L$99,$X85)),INDEX('Sheet2-计算明细'!$L$17:$L$99,$X85),"")</x:f>
      </x:c>
      <x:c r="I85" s="52" t="str">
        <x:f>IF(ISNUMBER(INDEX('Sheet2-计算明细'!$S$17:$S$99,$X85)),INDEX('Sheet2-计算明细'!$S$17:$S$99,$X85),"")</x:f>
      </x:c>
      <x:c r="J85" s="52" t="str">
        <x:f>IF(ISNUMBER(INDEX('Sheet2-计算明细'!$Y$17:$Y$99,$X85)),INDEX('Sheet2-计算明细'!$Y$17:$Y$99,$X85),"")</x:f>
      </x:c>
      <x:c r="K85" s="52" t="str">
        <x:f>IF(ISNUMBER(INDEX('Sheet2-计算明细'!$AC$17:$AC$99,$X85)),INDEX('Sheet2-计算明细'!$AC$17:$AC$99,$X85),"")</x:f>
      </x:c>
      <x:c r="L85" s="52" t="str">
        <x:f>IF(ISNUMBER(INDEX('Sheet2-计算明细'!$AI$17:$AI$99,$X85)),INDEX('Sheet2-计算明细'!$AI$17:$AI$99,$X85),"")</x:f>
      </x:c>
      <x:c r="M85" s="52" t="str">
        <x:f>IF(ISNUMBER(INDEX('Sheet2-计算明细'!$AK$17:$AK$99,$X85)),INDEX('Sheet2-计算明细'!$AK$17:$AK$99,$X85),"")</x:f>
      </x:c>
      <x:c r="N85" s="52" t="n">
        <x:f>IF(ISNUMBER(INDEX('Sheet2-计算明细'!$AL$17:$AL$99,$X85)),INDEX('Sheet2-计算明细'!$AL$17:$AL$99,$X85),"")</x:f>
        <x:v>94.29</x:v>
      </x:c>
      <x:c r="O85" s="52" t="str">
        <x:f>IF(ISNUMBER(INDEX('Sheet2-计算明细'!$AM$17:$AM$99,$X85)),INDEX('Sheet2-计算明细'!$AM$17:$AM$99,$X85),"")</x:f>
      </x:c>
      <x:c r="P85" s="52" t="str">
        <x:f>IF(ISNUMBER(INDEX('Sheet2-计算明细'!$AN$17:$AN$99,$X85)),INDEX('Sheet2-计算明细'!$AN$17:$AN$99,$X85),"")</x:f>
      </x:c>
      <x:c r="Q85" s="52" t="str">
        <x:f>IF(ISNUMBER(INDEX('Sheet2-计算明细'!$AO$17:$AO$99,$X85)),INDEX('Sheet2-计算明细'!$AO$17:$AO$99,$X85),"")</x:f>
      </x:c>
      <x:c r="R85" s="52" t="str">
        <x:f>IF(ISNUMBER(INDEX('Sheet2-计算明细'!$AP$17:$AP$99,$X85)),INDEX('Sheet2-计算明细'!$AP$17:$AP$99,$X85),"")</x:f>
      </x:c>
      <x:c r="S85" s="27" t="n">
        <x:f>IF(ISNUMBER(INDEX('Sheet2-计算明细'!$AQ$17:$AQ$99,$X85)),INDEX('Sheet2-计算明细'!$AQ$17:$AQ$99,$X85),"")</x:f>
        <x:v>0</x:v>
      </x:c>
      <x:c r="T85" s="52" t="str">
        <x:f>IF(ISNUMBER(INDEX('Sheet2-计算明细'!$AR$17:$AR$99,$X85)),INDEX('Sheet2-计算明细'!$AR$17:$AR$99,$X85),"")</x:f>
      </x:c>
      <x:c r="U85" s="52" t="str">
        <x:f>IF(ISNUMBER(INDEX('Sheet2-计算明细'!$AS$17:$AS$99,$X85)),INDEX('Sheet2-计算明细'!$AS$17:$AS$99,$X85),"")</x:f>
      </x:c>
      <x:c r="V85" s="52" t="str">
        <x:f>IF(ISNUMBER(INDEX('Sheet2-计算明细'!$AV$17:$AV$99,$X85)),INDEX('Sheet2-计算明细'!$AV$17:$AV$99,$X85),"")</x:f>
      </x:c>
      <x:c r="W85" s="40" t="str">
        <x:f>IF(INDEX('Sheet2-计算明细'!$AU$17:$AU$99,$X85)="","",INDEX('Sheet2-计算明细'!$AU$17:$AU$99,$X85))</x:f>
        <x:v>近一年收益；近一年胜率；近三年收益；近三年胜率；近三年回撤；近一年卡玛；成立以来年化；</x:v>
      </x:c>
      <x:c r="X85" s="49" t="n">
        <x:f>MATCH(ROWS($X$6:X85),'Sheet2-计算明细'!$BJ$17:$BJ$99,0)</x:f>
        <x:v>15</x:v>
      </x:c>
      <x:c r="Y85" s="14" t="str">
        <x:f>IF(INDEX('Sheet2-计算明细'!$AX$17:$AX$99,$X85)="","",INDEX('Sheet2-计算明细'!$AX$17:$AX$99,$X85))</x:f>
        <x:v>套利策略</x:v>
      </x:c>
      <x:c r="Z85" s="14" t="str">
        <x:f>IF(INDEX('Sheet2-计算明细'!$AY$17:$AY$99,$X85)="","",INDEX('Sheet2-计算明细'!$AY$17:$AY$99,$X85))</x:f>
        <x:v>期权套利</x:v>
      </x:c>
      <x:c r="AA85" s="14" t="str">
        <x:f>IF(INDEX('Sheet2-计算明细'!$AW$17:$AW$99,$X85)="","",INDEX('Sheet2-计算明细'!$AW$17:$AW$99,$X85))</x:f>
        <x:v>不入池</x:v>
      </x:c>
      <x:c r="AB85" s="49" t="n">
        <x:f>IF(ISNUMBER(INDEX('Sheet2-计算明细'!$A$17:$A$99,$X85)),INDEX('Sheet2-计算明细'!$A$17:$A$99,$X85),"")</x:f>
        <x:v>15</x:v>
      </x:c>
    </x:row>
    <x:row r="86" ht="44" customHeight="1">
      <x:c r="A86" s="14" t="str">
        <x:f>IF(ISNUMBER(INDEX('Sheet2-计算明细'!$AT$17:$AT$99,$X86)),INDEX('Sheet2-计算明细'!$AT$17:$AT$99,$X86),"")</x:f>
      </x:c>
      <x:c r="B86" s="14" t="str">
        <x:f>IF(INDEX('Sheet2-计算明细'!$B$17:$B$99,$X86)="","",INDEX('Sheet2-计算明细'!$B$17:$B$99,$X86))</x:f>
        <x:v>九木套利9号A类</x:v>
      </x:c>
      <x:c r="C86" s="14" t="str">
        <x:f>IF(INDEX('Sheet2-计算明细'!$C$17:$C$99,$X86)="","",INDEX('Sheet2-计算明细'!$C$17:$C$99,$X86))</x:f>
        <x:v>BSA32A</x:v>
      </x:c>
      <x:c r="D86" s="14" t="str">
        <x:f>IF(INDEX('Sheet2-计算明细'!$D$17:$D$99,$X86)="","",INDEX('Sheet2-计算明细'!$D$17:$D$99,$X86))</x:f>
        <x:v>深圳九木</x:v>
      </x:c>
      <x:c r="E86" s="14" t="str">
        <x:f>IF(INDEX('Sheet2-计算明细'!$G$17:$G$99,$X86)="","",INDEX('Sheet2-计算明细'!$G$17:$G$99,$X86))</x:f>
        <x:v>不入池</x:v>
      </x:c>
      <x:c r="F86" s="52" t="n">
        <x:f>IF(ISNUMBER(INDEX('Sheet2-计算明细'!$I$17:$I$99,$X86)),INDEX('Sheet2-计算明细'!$I$17:$I$99,$X86),"")</x:f>
        <x:v>80</x:v>
      </x:c>
      <x:c r="G86" s="52" t="str">
        <x:f>IF(ISNUMBER(INDEX('Sheet2-计算明细'!$K$17:$K$99,$X86)),INDEX('Sheet2-计算明细'!$K$17:$K$99,$X86),"")</x:f>
      </x:c>
      <x:c r="H86" s="52" t="str">
        <x:f>IF(ISNUMBER(INDEX('Sheet2-计算明细'!$L$17:$L$99,$X86)),INDEX('Sheet2-计算明细'!$L$17:$L$99,$X86),"")</x:f>
      </x:c>
      <x:c r="I86" s="52" t="str">
        <x:f>IF(ISNUMBER(INDEX('Sheet2-计算明细'!$S$17:$S$99,$X86)),INDEX('Sheet2-计算明细'!$S$17:$S$99,$X86),"")</x:f>
      </x:c>
      <x:c r="J86" s="52" t="str">
        <x:f>IF(ISNUMBER(INDEX('Sheet2-计算明细'!$Y$17:$Y$99,$X86)),INDEX('Sheet2-计算明细'!$Y$17:$Y$99,$X86),"")</x:f>
      </x:c>
      <x:c r="K86" s="52" t="str">
        <x:f>IF(ISNUMBER(INDEX('Sheet2-计算明细'!$AC$17:$AC$99,$X86)),INDEX('Sheet2-计算明细'!$AC$17:$AC$99,$X86),"")</x:f>
      </x:c>
      <x:c r="L86" s="52" t="str">
        <x:f>IF(ISNUMBER(INDEX('Sheet2-计算明细'!$AI$17:$AI$99,$X86)),INDEX('Sheet2-计算明细'!$AI$17:$AI$99,$X86),"")</x:f>
      </x:c>
      <x:c r="M86" s="52" t="str">
        <x:f>IF(ISNUMBER(INDEX('Sheet2-计算明细'!$AK$17:$AK$99,$X86)),INDEX('Sheet2-计算明细'!$AK$17:$AK$99,$X86),"")</x:f>
      </x:c>
      <x:c r="N86" s="52" t="n">
        <x:f>IF(ISNUMBER(INDEX('Sheet2-计算明细'!$AL$17:$AL$99,$X86)),INDEX('Sheet2-计算明细'!$AL$17:$AL$99,$X86),"")</x:f>
        <x:v>80</x:v>
      </x:c>
      <x:c r="O86" s="52" t="str">
        <x:f>IF(ISNUMBER(INDEX('Sheet2-计算明细'!$AM$17:$AM$99,$X86)),INDEX('Sheet2-计算明细'!$AM$17:$AM$99,$X86),"")</x:f>
      </x:c>
      <x:c r="P86" s="52" t="str">
        <x:f>IF(ISNUMBER(INDEX('Sheet2-计算明细'!$AN$17:$AN$99,$X86)),INDEX('Sheet2-计算明细'!$AN$17:$AN$99,$X86),"")</x:f>
      </x:c>
      <x:c r="Q86" s="52" t="str">
        <x:f>IF(ISNUMBER(INDEX('Sheet2-计算明细'!$AO$17:$AO$99,$X86)),INDEX('Sheet2-计算明细'!$AO$17:$AO$99,$X86),"")</x:f>
      </x:c>
      <x:c r="R86" s="52" t="str">
        <x:f>IF(ISNUMBER(INDEX('Sheet2-计算明细'!$AP$17:$AP$99,$X86)),INDEX('Sheet2-计算明细'!$AP$17:$AP$99,$X86),"")</x:f>
      </x:c>
      <x:c r="S86" s="27" t="n">
        <x:f>IF(ISNUMBER(INDEX('Sheet2-计算明细'!$AQ$17:$AQ$99,$X86)),INDEX('Sheet2-计算明细'!$AQ$17:$AQ$99,$X86),"")</x:f>
        <x:v>0</x:v>
      </x:c>
      <x:c r="T86" s="52" t="str">
        <x:f>IF(ISNUMBER(INDEX('Sheet2-计算明细'!$AR$17:$AR$99,$X86)),INDEX('Sheet2-计算明细'!$AR$17:$AR$99,$X86),"")</x:f>
      </x:c>
      <x:c r="U86" s="52" t="str">
        <x:f>IF(ISNUMBER(INDEX('Sheet2-计算明细'!$AS$17:$AS$99,$X86)),INDEX('Sheet2-计算明细'!$AS$17:$AS$99,$X86),"")</x:f>
      </x:c>
      <x:c r="V86" s="52" t="str">
        <x:f>IF(ISNUMBER(INDEX('Sheet2-计算明细'!$AV$17:$AV$99,$X86)),INDEX('Sheet2-计算明细'!$AV$17:$AV$99,$X86),"")</x:f>
      </x:c>
      <x:c r="W86" s="40" t="str">
        <x:f>IF(INDEX('Sheet2-计算明细'!$AU$17:$AU$99,$X86)="","",INDEX('Sheet2-计算明细'!$AU$17:$AU$99,$X86))</x:f>
        <x:v>产品规模标识；近一年收益；近一年胜率；近三年收益；近三年胜率；近三年回撤；近一年卡玛；成立以来年化；</x:v>
      </x:c>
      <x:c r="X86" s="49" t="n">
        <x:f>MATCH(ROWS($X$6:X86),'Sheet2-计算明细'!$BJ$17:$BJ$99,0)</x:f>
        <x:v>28</x:v>
      </x:c>
      <x:c r="Y86" s="14" t="str">
        <x:f>IF(INDEX('Sheet2-计算明细'!$AX$17:$AX$99,$X86)="","",INDEX('Sheet2-计算明细'!$AX$17:$AX$99,$X86))</x:f>
        <x:v>套利策略</x:v>
      </x:c>
      <x:c r="Z86" s="14" t="str">
        <x:f>IF(INDEX('Sheet2-计算明细'!$AY$17:$AY$99,$X86)="","",INDEX('Sheet2-计算明细'!$AY$17:$AY$99,$X86))</x:f>
        <x:v>期货套利</x:v>
      </x:c>
      <x:c r="AA86" s="14" t="str">
        <x:f>IF(INDEX('Sheet2-计算明细'!$AW$17:$AW$99,$X86)="","",INDEX('Sheet2-计算明细'!$AW$17:$AW$99,$X86))</x:f>
        <x:v>不入池</x:v>
      </x:c>
      <x:c r="AB86" s="49" t="n">
        <x:f>IF(ISNUMBER(INDEX('Sheet2-计算明细'!$A$17:$A$99,$X86)),INDEX('Sheet2-计算明细'!$A$17:$A$99,$X86),"")</x:f>
        <x:v>28</x:v>
      </x:c>
    </x:row>
    <x:row r="87" ht="44" customHeight="1">
      <x:c r="A87" s="14" t="str">
        <x:f>IF(ISNUMBER(INDEX('Sheet2-计算明细'!$AT$17:$AT$99,$X87)),INDEX('Sheet2-计算明细'!$AT$17:$AT$99,$X87),"")</x:f>
      </x:c>
      <x:c r="B87" s="14" t="str">
        <x:f>IF(INDEX('Sheet2-计算明细'!$B$17:$B$99,$X87)="","",INDEX('Sheet2-计算明细'!$B$17:$B$99,$X87))</x:f>
        <x:v>澜胜稳赋套利1号</x:v>
      </x:c>
      <x:c r="C87" s="14" t="str">
        <x:f>IF(INDEX('Sheet2-计算明细'!$C$17:$C$99,$X87)="","",INDEX('Sheet2-计算明细'!$C$17:$C$99,$X87))</x:f>
        <x:v>SBPY84</x:v>
      </x:c>
      <x:c r="D87" s="14" t="str">
        <x:f>IF(INDEX('Sheet2-计算明细'!$D$17:$D$99,$X87)="","",INDEX('Sheet2-计算明细'!$D$17:$D$99,$X87))</x:f>
        <x:v>上海澜胜</x:v>
      </x:c>
      <x:c r="E87" s="14" t="str">
        <x:f>IF(INDEX('Sheet2-计算明细'!$G$17:$G$99,$X87)="","",INDEX('Sheet2-计算明细'!$G$17:$G$99,$X87))</x:f>
        <x:v>不入池</x:v>
      </x:c>
      <x:c r="F87" s="52" t="n">
        <x:f>IF(ISNUMBER(INDEX('Sheet2-计算明细'!$I$17:$I$99,$X87)),INDEX('Sheet2-计算明细'!$I$17:$I$99,$X87),"")</x:f>
        <x:v>60</x:v>
      </x:c>
      <x:c r="G87" s="52" t="n">
        <x:f>IF(ISNUMBER(INDEX('Sheet2-计算明细'!$K$17:$K$99,$X87)),INDEX('Sheet2-计算明细'!$K$17:$K$99,$X87),"")</x:f>
        <x:v>100</x:v>
      </x:c>
      <x:c r="H87" s="52" t="str">
        <x:f>IF(ISNUMBER(INDEX('Sheet2-计算明细'!$L$17:$L$99,$X87)),INDEX('Sheet2-计算明细'!$L$17:$L$99,$X87),"")</x:f>
      </x:c>
      <x:c r="I87" s="52" t="str">
        <x:f>IF(ISNUMBER(INDEX('Sheet2-计算明细'!$S$17:$S$99,$X87)),INDEX('Sheet2-计算明细'!$S$17:$S$99,$X87),"")</x:f>
      </x:c>
      <x:c r="J87" s="52" t="str">
        <x:f>IF(ISNUMBER(INDEX('Sheet2-计算明细'!$Y$17:$Y$99,$X87)),INDEX('Sheet2-计算明细'!$Y$17:$Y$99,$X87),"")</x:f>
      </x:c>
      <x:c r="K87" s="52" t="str">
        <x:f>IF(ISNUMBER(INDEX('Sheet2-计算明细'!$AC$17:$AC$99,$X87)),INDEX('Sheet2-计算明细'!$AC$17:$AC$99,$X87),"")</x:f>
      </x:c>
      <x:c r="L87" s="52" t="str">
        <x:f>IF(ISNUMBER(INDEX('Sheet2-计算明细'!$AI$17:$AI$99,$X87)),INDEX('Sheet2-计算明细'!$AI$17:$AI$99,$X87),"")</x:f>
      </x:c>
      <x:c r="M87" s="52" t="str">
        <x:f>IF(ISNUMBER(INDEX('Sheet2-计算明细'!$AK$17:$AK$99,$X87)),INDEX('Sheet2-计算明细'!$AK$17:$AK$99,$X87),"")</x:f>
      </x:c>
      <x:c r="N87" s="52" t="n">
        <x:f>IF(ISNUMBER(INDEX('Sheet2-计算明细'!$AL$17:$AL$99,$X87)),INDEX('Sheet2-计算明细'!$AL$17:$AL$99,$X87),"")</x:f>
        <x:v>77.14</x:v>
      </x:c>
      <x:c r="O87" s="52" t="str">
        <x:f>IF(ISNUMBER(INDEX('Sheet2-计算明细'!$AM$17:$AM$99,$X87)),INDEX('Sheet2-计算明细'!$AM$17:$AM$99,$X87),"")</x:f>
      </x:c>
      <x:c r="P87" s="52" t="str">
        <x:f>IF(ISNUMBER(INDEX('Sheet2-计算明细'!$AN$17:$AN$99,$X87)),INDEX('Sheet2-计算明细'!$AN$17:$AN$99,$X87),"")</x:f>
      </x:c>
      <x:c r="Q87" s="52" t="str">
        <x:f>IF(ISNUMBER(INDEX('Sheet2-计算明细'!$AO$17:$AO$99,$X87)),INDEX('Sheet2-计算明细'!$AO$17:$AO$99,$X87),"")</x:f>
      </x:c>
      <x:c r="R87" s="52" t="str">
        <x:f>IF(ISNUMBER(INDEX('Sheet2-计算明细'!$AP$17:$AP$99,$X87)),INDEX('Sheet2-计算明细'!$AP$17:$AP$99,$X87),"")</x:f>
      </x:c>
      <x:c r="S87" s="27" t="n">
        <x:f>IF(ISNUMBER(INDEX('Sheet2-计算明细'!$AQ$17:$AQ$99,$X87)),INDEX('Sheet2-计算明细'!$AQ$17:$AQ$99,$X87),"")</x:f>
        <x:v>0</x:v>
      </x:c>
      <x:c r="T87" s="52" t="str">
        <x:f>IF(ISNUMBER(INDEX('Sheet2-计算明细'!$AR$17:$AR$99,$X87)),INDEX('Sheet2-计算明细'!$AR$17:$AR$99,$X87),"")</x:f>
      </x:c>
      <x:c r="U87" s="52" t="str">
        <x:f>IF(ISNUMBER(INDEX('Sheet2-计算明细'!$AS$17:$AS$99,$X87)),INDEX('Sheet2-计算明细'!$AS$17:$AS$99,$X87),"")</x:f>
      </x:c>
      <x:c r="V87" s="52" t="str">
        <x:f>IF(ISNUMBER(INDEX('Sheet2-计算明细'!$AV$17:$AV$99,$X87)),INDEX('Sheet2-计算明细'!$AV$17:$AV$99,$X87),"")</x:f>
      </x:c>
      <x:c r="W87" s="40" t="str">
        <x:f>IF(INDEX('Sheet2-计算明细'!$AU$17:$AU$99,$X87)="","",INDEX('Sheet2-计算明细'!$AU$17:$AU$99,$X87))</x:f>
        <x:v>近一年收益；近一年胜率；近三年收益；近三年胜率；近三年回撤；近一年卡玛；成立以来年化；</x:v>
      </x:c>
      <x:c r="X87" s="49" t="n">
        <x:f>MATCH(ROWS($X$6:X87),'Sheet2-计算明细'!$BJ$17:$BJ$99,0)</x:f>
        <x:v>32</x:v>
      </x:c>
      <x:c r="Y87" s="14" t="str">
        <x:f>IF(INDEX('Sheet2-计算明细'!$AX$17:$AX$99,$X87)="","",INDEX('Sheet2-计算明细'!$AX$17:$AX$99,$X87))</x:f>
        <x:v>套利策略</x:v>
      </x:c>
      <x:c r="Z87" s="14" t="str">
        <x:f>IF(INDEX('Sheet2-计算明细'!$AY$17:$AY$99,$X87)="","",INDEX('Sheet2-计算明细'!$AY$17:$AY$99,$X87))</x:f>
      </x:c>
      <x:c r="AA87" s="14" t="str">
        <x:f>IF(INDEX('Sheet2-计算明细'!$AW$17:$AW$99,$X87)="","",INDEX('Sheet2-计算明细'!$AW$17:$AW$99,$X87))</x:f>
        <x:v>不入池</x:v>
      </x:c>
      <x:c r="AB87" s="49" t="n">
        <x:f>IF(ISNUMBER(INDEX('Sheet2-计算明细'!$A$17:$A$99,$X87)),INDEX('Sheet2-计算明细'!$A$17:$A$99,$X87),"")</x:f>
        <x:v>32</x:v>
      </x:c>
    </x:row>
    <x:row r="88" ht="44" customHeight="1">
      <x:c r="A88" s="14" t="str">
        <x:f>IF(ISNUMBER(INDEX('Sheet2-计算明细'!$AT$17:$AT$99,$X88)),INDEX('Sheet2-计算明细'!$AT$17:$AT$99,$X88),"")</x:f>
      </x:c>
      <x:c r="B88" s="14" t="str">
        <x:f>IF(INDEX('Sheet2-计算明细'!$B$17:$B$99,$X88)="","",INDEX('Sheet2-计算明细'!$B$17:$B$99,$X88))</x:f>
        <x:v>臻选期权套利一号</x:v>
      </x:c>
      <x:c r="C88" s="14" t="str">
        <x:f>IF(INDEX('Sheet2-计算明细'!$C$17:$C$99,$X88)="","",INDEX('Sheet2-计算明细'!$C$17:$C$99,$X88))</x:f>
        <x:v>SBEM86</x:v>
      </x:c>
      <x:c r="D88" s="14" t="str">
        <x:f>IF(INDEX('Sheet2-计算明细'!$D$17:$D$99,$X88)="","",INDEX('Sheet2-计算明细'!$D$17:$D$99,$X88))</x:f>
        <x:v>海南臻选</x:v>
      </x:c>
      <x:c r="E88" s="14" t="str">
        <x:f>IF(INDEX('Sheet2-计算明细'!$G$17:$G$99,$X88)="","",INDEX('Sheet2-计算明细'!$G$17:$G$99,$X88))</x:f>
        <x:v>不入池</x:v>
      </x:c>
      <x:c r="F88" s="52" t="n">
        <x:f>IF(ISNUMBER(INDEX('Sheet2-计算明细'!$I$17:$I$99,$X88)),INDEX('Sheet2-计算明细'!$I$17:$I$99,$X88),"")</x:f>
        <x:v>80</x:v>
      </x:c>
      <x:c r="G88" s="52" t="n">
        <x:f>IF(ISNUMBER(INDEX('Sheet2-计算明细'!$K$17:$K$99,$X88)),INDEX('Sheet2-计算明细'!$K$17:$K$99,$X88),"")</x:f>
        <x:v>100</x:v>
      </x:c>
      <x:c r="H88" s="52" t="str">
        <x:f>IF(ISNUMBER(INDEX('Sheet2-计算明细'!$L$17:$L$99,$X88)),INDEX('Sheet2-计算明细'!$L$17:$L$99,$X88),"")</x:f>
      </x:c>
      <x:c r="I88" s="52" t="str">
        <x:f>IF(ISNUMBER(INDEX('Sheet2-计算明细'!$S$17:$S$99,$X88)),INDEX('Sheet2-计算明细'!$S$17:$S$99,$X88),"")</x:f>
      </x:c>
      <x:c r="J88" s="52" t="str">
        <x:f>IF(ISNUMBER(INDEX('Sheet2-计算明细'!$Y$17:$Y$99,$X88)),INDEX('Sheet2-计算明细'!$Y$17:$Y$99,$X88),"")</x:f>
      </x:c>
      <x:c r="K88" s="52" t="str">
        <x:f>IF(ISNUMBER(INDEX('Sheet2-计算明细'!$AC$17:$AC$99,$X88)),INDEX('Sheet2-计算明细'!$AC$17:$AC$99,$X88),"")</x:f>
      </x:c>
      <x:c r="L88" s="52" t="str">
        <x:f>IF(ISNUMBER(INDEX('Sheet2-计算明细'!$AI$17:$AI$99,$X88)),INDEX('Sheet2-计算明细'!$AI$17:$AI$99,$X88),"")</x:f>
      </x:c>
      <x:c r="M88" s="52" t="str">
        <x:f>IF(ISNUMBER(INDEX('Sheet2-计算明细'!$AK$17:$AK$99,$X88)),INDEX('Sheet2-计算明细'!$AK$17:$AK$99,$X88),"")</x:f>
      </x:c>
      <x:c r="N88" s="52" t="n">
        <x:f>IF(ISNUMBER(INDEX('Sheet2-计算明细'!$AL$17:$AL$99,$X88)),INDEX('Sheet2-计算明细'!$AL$17:$AL$99,$X88),"")</x:f>
        <x:v>88.57</x:v>
      </x:c>
      <x:c r="O88" s="52" t="str">
        <x:f>IF(ISNUMBER(INDEX('Sheet2-计算明细'!$AM$17:$AM$99,$X88)),INDEX('Sheet2-计算明细'!$AM$17:$AM$99,$X88),"")</x:f>
      </x:c>
      <x:c r="P88" s="52" t="str">
        <x:f>IF(ISNUMBER(INDEX('Sheet2-计算明细'!$AN$17:$AN$99,$X88)),INDEX('Sheet2-计算明细'!$AN$17:$AN$99,$X88),"")</x:f>
      </x:c>
      <x:c r="Q88" s="52" t="str">
        <x:f>IF(ISNUMBER(INDEX('Sheet2-计算明细'!$AO$17:$AO$99,$X88)),INDEX('Sheet2-计算明细'!$AO$17:$AO$99,$X88),"")</x:f>
      </x:c>
      <x:c r="R88" s="52" t="str">
        <x:f>IF(ISNUMBER(INDEX('Sheet2-计算明细'!$AP$17:$AP$99,$X88)),INDEX('Sheet2-计算明细'!$AP$17:$AP$99,$X88),"")</x:f>
      </x:c>
      <x:c r="S88" s="27" t="n">
        <x:f>IF(ISNUMBER(INDEX('Sheet2-计算明细'!$AQ$17:$AQ$99,$X88)),INDEX('Sheet2-计算明细'!$AQ$17:$AQ$99,$X88),"")</x:f>
        <x:v>0</x:v>
      </x:c>
      <x:c r="T88" s="52" t="str">
        <x:f>IF(ISNUMBER(INDEX('Sheet2-计算明细'!$AR$17:$AR$99,$X88)),INDEX('Sheet2-计算明细'!$AR$17:$AR$99,$X88),"")</x:f>
      </x:c>
      <x:c r="U88" s="52" t="str">
        <x:f>IF(ISNUMBER(INDEX('Sheet2-计算明细'!$AS$17:$AS$99,$X88)),INDEX('Sheet2-计算明细'!$AS$17:$AS$99,$X88),"")</x:f>
      </x:c>
      <x:c r="V88" s="52" t="str">
        <x:f>IF(ISNUMBER(INDEX('Sheet2-计算明细'!$AV$17:$AV$99,$X88)),INDEX('Sheet2-计算明细'!$AV$17:$AV$99,$X88),"")</x:f>
      </x:c>
      <x:c r="W88" s="40" t="str">
        <x:f>IF(INDEX('Sheet2-计算明细'!$AU$17:$AU$99,$X88)="","",INDEX('Sheet2-计算明细'!$AU$17:$AU$99,$X88))</x:f>
        <x:v>近一年收益；近一年胜率；近三年收益；近三年胜率；近三年回撤；近一年卡玛；</x:v>
      </x:c>
      <x:c r="X88" s="49" t="n">
        <x:f>MATCH(ROWS($X$6:X88),'Sheet2-计算明细'!$BJ$17:$BJ$99,0)</x:f>
        <x:v>77</x:v>
      </x:c>
      <x:c r="Y88" s="14" t="str">
        <x:f>IF(INDEX('Sheet2-计算明细'!$AX$17:$AX$99,$X88)="","",INDEX('Sheet2-计算明细'!$AX$17:$AX$99,$X88))</x:f>
        <x:v>期权策略</x:v>
      </x:c>
      <x:c r="Z88" s="14" t="str">
        <x:f>IF(INDEX('Sheet2-计算明细'!$AY$17:$AY$99,$X88)="","",INDEX('Sheet2-计算明细'!$AY$17:$AY$99,$X88))</x:f>
      </x:c>
      <x:c r="AA88" s="14" t="str">
        <x:f>IF(INDEX('Sheet2-计算明细'!$AW$17:$AW$99,$X88)="","",INDEX('Sheet2-计算明细'!$AW$17:$AW$99,$X88))</x:f>
        <x:v>不入池</x:v>
      </x:c>
      <x:c r="AB88" s="49" t="n">
        <x:f>IF(ISNUMBER(INDEX('Sheet2-计算明细'!$A$17:$A$99,$X88)),INDEX('Sheet2-计算明细'!$A$17:$A$99,$X88),"")</x:f>
        <x:v>77</x:v>
      </x:c>
    </x:row>
  </x:sheetData>
  <x:conditionalFormatting sqref="AA6:AA88">
    <x:cfRule type="containsText" dxfId="1" priority="1" operator="containsText" text="暂定"/>
  </x:conditionalFormatting>
  <x:pageMargins left="0.7" right="0.7" top="0.75" bottom="0.75" header="0.3" footer="0.3"/>
  <x:tableParts count="1">
    <x:tablePart xmlns:r="http://schemas.openxmlformats.org/officeDocument/2006/relationships" r:id="Rdbf37419eb52478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  <x:col min="5" max="5" width="26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60" hidden="0" customWidth="1"/>
    <x:col min="18" max="18" width="22" hidden="0" customWidth="1"/>
  </x:cols>
  <x:sheetData>
    <x:row r="1" ht="44" customHeight="1">
      <x:c r="A1" s="20" t="str">
        <x:v>产品名称</x:v>
      </x:c>
      <x:c r="B1" s="21" t="str">
        <x:v>备案号</x:v>
      </x:c>
      <x:c r="C1" s="21" t="str">
        <x:v>一级策略</x:v>
      </x:c>
      <x:c r="D1" s="21" t="str">
        <x:v>二级策略</x:v>
      </x:c>
      <x:c r="E1" s="21" t="str">
        <x:v>管理人</x:v>
      </x:c>
      <x:c r="F1" s="21" t="str">
        <x:v>成立日期</x:v>
      </x:c>
      <x:c r="G1" s="21" t="str">
        <x:v>近一年年化收益</x:v>
      </x:c>
      <x:c r="H1" s="21" t="str">
        <x:v>近三年年化收益</x:v>
      </x:c>
      <x:c r="I1" s="21" t="str">
        <x:v>近三年月胜率</x:v>
      </x:c>
      <x:c r="J1" s="21" t="str">
        <x:v>近一年月胜率</x:v>
      </x:c>
      <x:c r="K1" s="21" t="str">
        <x:v>近三年最大回撤</x:v>
      </x:c>
      <x:c r="L1" s="21" t="str">
        <x:v>近三年卡玛比率</x:v>
      </x:c>
      <x:c r="M1" s="21" t="str">
        <x:v>近一年卡玛比率</x:v>
      </x:c>
      <x:c r="N1" s="21" t="str">
        <x:v>基准指数</x:v>
      </x:c>
      <x:c r="O1" s="21" t="str">
        <x:v>指标截止日</x:v>
      </x:c>
      <x:c r="P1" s="21" t="str">
        <x:v>提取日期</x:v>
      </x:c>
      <x:c r="Q1" s="21" t="str">
        <x:v>来源URL</x:v>
      </x:c>
      <x:c r="R1" s="22" t="str">
        <x:v>匹配状态</x:v>
      </x:c>
    </x:row>
    <x:row r="2" ht="24" customHeight="1">
      <x:c r="A2" s="45" t="str">
        <x:v>爱凡哲九号</x:v>
      </x:c>
      <x:c r="B2" s="45" t="str">
        <x:v>SJA112</x:v>
      </x:c>
      <x:c r="C2" s="45" t="str">
        <x:v>套利策略</x:v>
      </x:c>
      <x:c r="D2" s="45" t="str">
        <x:v>期货套利</x:v>
      </x:c>
      <x:c r="E2" s="45" t="str">
        <x:v>爱凡哲投资</x:v>
      </x:c>
      <x:c r="F2" s="46" t="n">
        <x:v>43710</x:v>
      </x:c>
      <x:c r="G2" s="47" t="n">
        <x:v>0.12390000000000001</x:v>
      </x:c>
      <x:c r="H2" s="47" t="n">
        <x:v>0.1185</x:v>
      </x:c>
      <x:c r="I2" s="47" t="n">
        <x:v>0.8919</x:v>
      </x:c>
      <x:c r="J2" s="47" t="n">
        <x:v>0.8462000000000001</x:v>
      </x:c>
      <x:c r="K2" s="47" t="n">
        <x:v>0.0129</x:v>
      </x:c>
      <x:c r="L2" s="48" t="n">
        <x:v>9.1845</x:v>
      </x:c>
      <x:c r="M2" s="48" t="n">
        <x:v>34.5789</x:v>
      </x:c>
      <x:c r="N2" s="45" t="str">
        <x:v>沪深300</x:v>
      </x:c>
      <x:c r="O2" s="46" t="n">
        <x:v>46269</x:v>
      </x:c>
      <x:c r="P2" s="46" t="n">
        <x:v>46275</x:v>
      </x:c>
      <x:c r="Q2" s="45" t="str">
        <x:v>https://mp.fof99.com/fund/view/8e641c904118560b</x:v>
      </x:c>
      <x:c r="R2" s="45" t="str">
        <x:v>备案号匹配</x:v>
      </x:c>
    </x:row>
    <x:row r="3" ht="24" customHeight="1">
      <x:c r="A3" s="45" t="str">
        <x:v>滨风风云瑞丰1号</x:v>
      </x:c>
      <x:c r="B3" s="45" t="str">
        <x:v>SXL267</x:v>
      </x:c>
      <x:c r="C3" s="45" t="str">
        <x:v>期货策略</x:v>
      </x:c>
      <x:c r="D3" s="45" t="str">
        <x:v>量化期货</x:v>
      </x:c>
      <x:c r="E3" s="45" t="str">
        <x:v>鹰潭滨风投资</x:v>
      </x:c>
      <x:c r="F3" s="46" t="n">
        <x:v>44897</x:v>
      </x:c>
      <x:c r="G3" s="47"/>
      <x:c r="H3" s="47"/>
      <x:c r="I3" s="47"/>
      <x:c r="J3" s="47"/>
      <x:c r="K3" s="47"/>
      <x:c r="L3" s="48"/>
      <x:c r="M3" s="48"/>
      <x:c r="N3" s="45" t="str">
        <x:v>南华商品指数</x:v>
      </x:c>
      <x:c r="O3" s="46" t="n">
        <x:v>46269</x:v>
      </x:c>
      <x:c r="P3" s="46" t="n">
        <x:v>46275</x:v>
      </x:c>
      <x:c r="Q3" s="45" t="str">
        <x:v>https://mp.fof99.com/fund/view/b03271229e00ba58</x:v>
      </x:c>
      <x:c r="R3" s="45" t="str">
        <x:v>备案号匹配</x:v>
      </x:c>
    </x:row>
    <x:row r="4" ht="24" customHeight="1">
      <x:c r="A4" s="45" t="str">
        <x:v>博牛转债策略2号</x:v>
      </x:c>
      <x:c r="B4" s="45" t="str">
        <x:v>SVY871</x:v>
      </x:c>
      <x:c r="C4" s="45" t="str">
        <x:v>套利策略</x:v>
      </x:c>
      <x:c r="D4" s="45" t="str">
        <x:v>可转债套利</x:v>
      </x:c>
      <x:c r="E4" s="45" t="str">
        <x:v>广州博牛</x:v>
      </x:c>
      <x:c r="F4" s="46" t="n">
        <x:v>44788</x:v>
      </x:c>
      <x:c r="G4" s="47" t="n">
        <x:v>-0.0148</x:v>
      </x:c>
      <x:c r="H4" s="47" t="n">
        <x:v>0.042699999999999995</x:v>
      </x:c>
      <x:c r="I4" s="47" t="n">
        <x:v>0.5946</x:v>
      </x:c>
      <x:c r="J4" s="47" t="n">
        <x:v>0.3077</x:v>
      </x:c>
      <x:c r="K4" s="47" t="n">
        <x:v>0.045</x:v>
      </x:c>
      <x:c r="L4" s="48" t="n">
        <x:v>0.9502</x:v>
      </x:c>
      <x:c r="M4" s="48" t="n">
        <x:v>-0.3298</x:v>
      </x:c>
      <x:c r="N4" s="45" t="str">
        <x:v>中证转债</x:v>
      </x:c>
      <x:c r="O4" s="46" t="n">
        <x:v>46269</x:v>
      </x:c>
      <x:c r="P4" s="46" t="n">
        <x:v>46275</x:v>
      </x:c>
      <x:c r="Q4" s="45" t="str">
        <x:v>https://mp.fof99.com/fund/view/9b20523c2bad1cdc</x:v>
      </x:c>
      <x:c r="R4" s="45" t="str">
        <x:v>备案号匹配</x:v>
      </x:c>
    </x:row>
    <x:row r="5" ht="24" customHeight="1">
      <x:c r="A5" s="45" t="str">
        <x:v>博润小牛3号</x:v>
      </x:c>
      <x:c r="B5" s="45" t="str">
        <x:v>STV728</x:v>
      </x:c>
      <x:c r="C5" s="45" t="str">
        <x:v>套利策略</x:v>
      </x:c>
      <x:c r="D5" s="45" t="str">
        <x:v>基金套利</x:v>
      </x:c>
      <x:c r="E5" s="45" t="str">
        <x:v>北京博润银泰投资</x:v>
      </x:c>
      <x:c r="F5" s="46" t="n">
        <x:v>44624</x:v>
      </x:c>
      <x:c r="G5" s="47" t="n">
        <x:v>0.1551</x:v>
      </x:c>
      <x:c r="H5" s="47" t="n">
        <x:v>0.168</x:v>
      </x:c>
      <x:c r="I5" s="47" t="n">
        <x:v>0.8378</x:v>
      </x:c>
      <x:c r="J5" s="47" t="n">
        <x:v>0.8462000000000001</x:v>
      </x:c>
      <x:c r="K5" s="47" t="n">
        <x:v>0.0223</x:v>
      </x:c>
      <x:c r="L5" s="48" t="n">
        <x:v>7.5386</x:v>
      </x:c>
      <x:c r="M5" s="48" t="n">
        <x:v>7.206</x:v>
      </x:c>
      <x:c r="N5" s="45" t="str">
        <x:v>沪深300</x:v>
      </x:c>
      <x:c r="O5" s="46" t="n">
        <x:v>46269</x:v>
      </x:c>
      <x:c r="P5" s="46" t="n">
        <x:v>46275</x:v>
      </x:c>
      <x:c r="Q5" s="45" t="str">
        <x:v>https://mp.fof99.com/fund/view/783b8a029943d82b</x:v>
      </x:c>
      <x:c r="R5" s="45" t="str">
        <x:v>备案号匹配</x:v>
      </x:c>
    </x:row>
    <x:row r="6" ht="24" customHeight="1">
      <x:c r="A6" s="45" t="str">
        <x:v>博润易量稳健1号</x:v>
      </x:c>
      <x:c r="B6" s="45" t="str">
        <x:v>SXL913</x:v>
      </x:c>
      <x:c r="C6" s="45" t="str">
        <x:v>套利策略</x:v>
      </x:c>
      <x:c r="D6" s="45" t="str">
        <x:v>期货套利</x:v>
      </x:c>
      <x:c r="E6" s="45" t="str">
        <x:v>北京博润银泰投资</x:v>
      </x:c>
      <x:c r="F6" s="46" t="n">
        <x:v>44895</x:v>
      </x:c>
      <x:c r="G6" s="47" t="n">
        <x:v>0.08289999999999999</x:v>
      </x:c>
      <x:c r="H6" s="47" t="n">
        <x:v>0.054299999999999994</x:v>
      </x:c>
      <x:c r="I6" s="47" t="n">
        <x:v>0.6215999999999999</x:v>
      </x:c>
      <x:c r="J6" s="47" t="n">
        <x:v>0.5385</x:v>
      </x:c>
      <x:c r="K6" s="47" t="n">
        <x:v>0.0368</x:v>
      </x:c>
      <x:c r="L6" s="48" t="n">
        <x:v>1.4748</x:v>
      </x:c>
      <x:c r="M6" s="48" t="n">
        <x:v>2.254</x:v>
      </x:c>
      <x:c r="N6" s="45" t="str">
        <x:v>沪深300</x:v>
      </x:c>
      <x:c r="O6" s="46" t="n">
        <x:v>46269</x:v>
      </x:c>
      <x:c r="P6" s="46" t="n">
        <x:v>46275</x:v>
      </x:c>
      <x:c r="Q6" s="45" t="str">
        <x:v>https://mp.fof99.com/fund/view/66f7dd55b7f90b97</x:v>
      </x:c>
      <x:c r="R6" s="45" t="str">
        <x:v>备案号匹配</x:v>
      </x:c>
    </x:row>
    <x:row r="7" ht="24" customHeight="1">
      <x:c r="A7" s="45" t="str">
        <x:v>博弈树金选套利2号</x:v>
      </x:c>
      <x:c r="B7" s="45" t="str">
        <x:v>SXR086</x:v>
      </x:c>
      <x:c r="C7" s="45" t="str">
        <x:v>套利策略</x:v>
      </x:c>
      <x:c r="D7" s="45" t="str">
        <x:v>期货套利</x:v>
      </x:c>
      <x:c r="E7" s="45" t="str">
        <x:v>广东丰煜</x:v>
      </x:c>
      <x:c r="F7" s="46" t="n">
        <x:v>44867</x:v>
      </x:c>
      <x:c r="G7" s="47" t="n">
        <x:v>0.2516</x:v>
      </x:c>
      <x:c r="H7" s="47" t="n">
        <x:v>0.1281</x:v>
      </x:c>
      <x:c r="I7" s="47" t="n">
        <x:v>0.7297</x:v>
      </x:c>
      <x:c r="J7" s="47" t="n">
        <x:v>0.7692</x:v>
      </x:c>
      <x:c r="K7" s="47" t="n">
        <x:v>0.040999999999999995</x:v>
      </x:c>
      <x:c r="L7" s="48" t="n">
        <x:v>3.1249</x:v>
      </x:c>
      <x:c r="M7" s="48" t="n">
        <x:v>6.1365</x:v>
      </x:c>
      <x:c r="N7" s="45" t="str">
        <x:v>沪深300</x:v>
      </x:c>
      <x:c r="O7" s="46" t="n">
        <x:v>46269</x:v>
      </x:c>
      <x:c r="P7" s="46" t="n">
        <x:v>46275</x:v>
      </x:c>
      <x:c r="Q7" s="45" t="str">
        <x:v>https://mp.fof99.com/fund/view/068bcb639f441262</x:v>
      </x:c>
      <x:c r="R7" s="45" t="str">
        <x:v>备案号匹配</x:v>
      </x:c>
    </x:row>
    <x:row r="8" ht="24" customHeight="1">
      <x:c r="A8" s="45" t="str">
        <x:v>常行7号</x:v>
      </x:c>
      <x:c r="B8" s="45" t="str">
        <x:v>SQH214</x:v>
      </x:c>
      <x:c r="C8" s="45" t="str">
        <x:v>套利策略</x:v>
      </x:c>
      <x:c r="D8" s="45" t="str">
        <x:v>期货套利</x:v>
      </x:c>
      <x:c r="E8" s="45" t="str">
        <x:v>江苏常行投资</x:v>
      </x:c>
      <x:c r="F8" s="46" t="n">
        <x:v>44288</x:v>
      </x:c>
      <x:c r="G8" s="47"/>
      <x:c r="H8" s="47"/>
      <x:c r="I8" s="47"/>
      <x:c r="J8" s="47"/>
      <x:c r="K8" s="47"/>
      <x:c r="L8" s="48"/>
      <x:c r="M8" s="48"/>
      <x:c r="N8" s="45" t="str">
        <x:v>沪深300</x:v>
      </x:c>
      <x:c r="O8" s="46" t="n">
        <x:v>46269</x:v>
      </x:c>
      <x:c r="P8" s="46" t="n">
        <x:v>46275</x:v>
      </x:c>
      <x:c r="Q8" s="45" t="str">
        <x:v>https://mp.fof99.com/fund/view/11dff1146ece63b4</x:v>
      </x:c>
      <x:c r="R8" s="45" t="str">
        <x:v>备案号匹配</x:v>
      </x:c>
    </x:row>
    <x:row r="9" ht="24" customHeight="1">
      <x:c r="A9" s="45" t="str">
        <x:v>辰元稳健2号</x:v>
      </x:c>
      <x:c r="B9" s="45" t="str">
        <x:v>SZJ724</x:v>
      </x:c>
      <x:c r="C9" s="45" t="str">
        <x:v>套利策略</x:v>
      </x:c>
      <x:c r="D9" s="45" t="str">
        <x:v>混合套利</x:v>
      </x:c>
      <x:c r="E9" s="45" t="str">
        <x:v>广东辰元</x:v>
      </x:c>
      <x:c r="F9" s="46" t="n">
        <x:v>44967</x:v>
      </x:c>
      <x:c r="G9" s="47" t="n">
        <x:v>0.0253</x:v>
      </x:c>
      <x:c r="H9" s="47" t="n">
        <x:v>0.061399999999999996</x:v>
      </x:c>
      <x:c r="I9" s="47" t="n">
        <x:v>0.8378</x:v>
      </x:c>
      <x:c r="J9" s="47" t="n">
        <x:v>0.6154</x:v>
      </x:c>
      <x:c r="K9" s="47" t="n">
        <x:v>0.0062</x:v>
      </x:c>
      <x:c r="L9" s="48" t="n">
        <x:v>9.8653</x:v>
      </x:c>
      <x:c r="M9" s="48" t="n">
        <x:v>5.1208</x:v>
      </x:c>
      <x:c r="N9" s="45" t="str">
        <x:v>沪深300</x:v>
      </x:c>
      <x:c r="O9" s="46" t="n">
        <x:v>46269</x:v>
      </x:c>
      <x:c r="P9" s="46" t="n">
        <x:v>46275</x:v>
      </x:c>
      <x:c r="Q9" s="45" t="str">
        <x:v>https://mp.fof99.com/fund/view/dfc323b7729ef01d</x:v>
      </x:c>
      <x:c r="R9" s="45" t="str">
        <x:v>备案号匹配</x:v>
      </x:c>
    </x:row>
    <x:row r="10" ht="24" customHeight="1">
      <x:c r="A10" s="45" t="str">
        <x:v>辰元优选稳健</x:v>
      </x:c>
      <x:c r="B10" s="45" t="str">
        <x:v>SZH690</x:v>
      </x:c>
      <x:c r="C10" s="45" t="str">
        <x:v>套利策略</x:v>
      </x:c>
      <x:c r="D10" s="45" t="str">
        <x:v>混合套利</x:v>
      </x:c>
      <x:c r="E10" s="45" t="str">
        <x:v>广东辰元</x:v>
      </x:c>
      <x:c r="F10" s="46" t="n">
        <x:v>44966</x:v>
      </x:c>
      <x:c r="G10" s="47" t="n">
        <x:v>0.028399999999999998</x:v>
      </x:c>
      <x:c r="H10" s="47" t="n">
        <x:v>0.0638</x:v>
      </x:c>
      <x:c r="I10" s="47" t="n">
        <x:v>0.8378</x:v>
      </x:c>
      <x:c r="J10" s="47" t="n">
        <x:v>0.6154</x:v>
      </x:c>
      <x:c r="K10" s="47" t="n">
        <x:v>0.0042</x:v>
      </x:c>
      <x:c r="L10" s="48" t="n">
        <x:v>15.1233</x:v>
      </x:c>
      <x:c r="M10" s="48" t="n">
        <x:v>6.7374</x:v>
      </x:c>
      <x:c r="N10" s="45" t="str">
        <x:v>沪深300</x:v>
      </x:c>
      <x:c r="O10" s="46" t="n">
        <x:v>46269</x:v>
      </x:c>
      <x:c r="P10" s="46" t="n">
        <x:v>46275</x:v>
      </x:c>
      <x:c r="Q10" s="45" t="str">
        <x:v>https://mp.fof99.com/fund/view/3712ae883b81c7b6</x:v>
      </x:c>
      <x:c r="R10" s="45" t="str">
        <x:v>备案号匹配</x:v>
      </x:c>
    </x:row>
    <x:row r="11" ht="24" customHeight="1">
      <x:c r="A11" s="45" t="str">
        <x:v>晨翰11号</x:v>
      </x:c>
      <x:c r="B11" s="45" t="str">
        <x:v>SVT598</x:v>
      </x:c>
      <x:c r="C11" s="45" t="str">
        <x:v>套利策略</x:v>
      </x:c>
      <x:c r="D11" s="45" t="str">
        <x:v>期货套利</x:v>
      </x:c>
      <x:c r="E11" s="45" t="str">
        <x:v>晋江晨翰</x:v>
      </x:c>
      <x:c r="F11" s="46" t="n">
        <x:v>44722</x:v>
      </x:c>
      <x:c r="G11" s="47" t="n">
        <x:v>0.0344</x:v>
      </x:c>
      <x:c r="H11" s="47" t="n">
        <x:v>0.0333</x:v>
      </x:c>
      <x:c r="I11" s="47" t="n">
        <x:v>0.6215999999999999</x:v>
      </x:c>
      <x:c r="J11" s="47" t="n">
        <x:v>0.5385</x:v>
      </x:c>
      <x:c r="K11" s="47" t="n">
        <x:v>0.0239</x:v>
      </x:c>
      <x:c r="L11" s="48" t="n">
        <x:v>1.3937</x:v>
      </x:c>
      <x:c r="M11" s="48" t="n">
        <x:v>2.2598</x:v>
      </x:c>
      <x:c r="N11" s="45" t="str">
        <x:v>沪深300</x:v>
      </x:c>
      <x:c r="O11" s="46" t="n">
        <x:v>46269</x:v>
      </x:c>
      <x:c r="P11" s="46" t="n">
        <x:v>46275</x:v>
      </x:c>
      <x:c r="Q11" s="45" t="str">
        <x:v>https://mp.fof99.com/fund/view/f56d280c5131a6c9</x:v>
      </x:c>
      <x:c r="R11" s="45" t="str">
        <x:v>备案号匹配</x:v>
      </x:c>
    </x:row>
    <x:row r="12" ht="24" customHeight="1">
      <x:c r="A12" s="45" t="str">
        <x:v>晨翰6号</x:v>
      </x:c>
      <x:c r="B12" s="45" t="str">
        <x:v>STS460</x:v>
      </x:c>
      <x:c r="C12" s="45" t="str">
        <x:v>套利策略</x:v>
      </x:c>
      <x:c r="D12" s="45" t="str">
        <x:v>期货套利</x:v>
      </x:c>
      <x:c r="E12" s="45" t="str">
        <x:v>晋江晨翰</x:v>
      </x:c>
      <x:c r="F12" s="46" t="n">
        <x:v>44575</x:v>
      </x:c>
      <x:c r="G12" s="47" t="n">
        <x:v>0.0864</x:v>
      </x:c>
      <x:c r="H12" s="47" t="n">
        <x:v>0.054000000000000006</x:v>
      </x:c>
      <x:c r="I12" s="47" t="n">
        <x:v>0.5405</x:v>
      </x:c>
      <x:c r="J12" s="47" t="n">
        <x:v>0.46149999999999997</x:v>
      </x:c>
      <x:c r="K12" s="47" t="n">
        <x:v>0.050300000000000004</x:v>
      </x:c>
      <x:c r="L12" s="48" t="n">
        <x:v>1.0741</x:v>
      </x:c>
      <x:c r="M12" s="48" t="n">
        <x:v>1.7177</x:v>
      </x:c>
      <x:c r="N12" s="45" t="str">
        <x:v>沪深300</x:v>
      </x:c>
      <x:c r="O12" s="46" t="n">
        <x:v>46269</x:v>
      </x:c>
      <x:c r="P12" s="46" t="n">
        <x:v>46275</x:v>
      </x:c>
      <x:c r="Q12" s="45" t="str">
        <x:v>https://mp.fof99.com/fund/view/99bf55b582e27685</x:v>
      </x:c>
      <x:c r="R12" s="45" t="str">
        <x:v>备案号匹配</x:v>
      </x:c>
    </x:row>
    <x:row r="13" ht="24" customHeight="1">
      <x:c r="A13" s="45" t="str">
        <x:v>刀锋期权套利</x:v>
      </x:c>
      <x:c r="B13" s="45" t="str">
        <x:v>SGR366</x:v>
      </x:c>
      <x:c r="C13" s="45" t="str">
        <x:v>期权策略</x:v>
      </x:c>
      <x:c r="D13" s="45" t="str">
        <x:v>场内期权</x:v>
      </x:c>
      <x:c r="E13" s="45" t="str">
        <x:v>深圳刀锋</x:v>
      </x:c>
      <x:c r="F13" s="46" t="n">
        <x:v>43627</x:v>
      </x:c>
      <x:c r="G13" s="47" t="n">
        <x:v>0.08560000000000001</x:v>
      </x:c>
      <x:c r="H13" s="47" t="n">
        <x:v>0.09359999999999999</x:v>
      </x:c>
      <x:c r="I13" s="47" t="n">
        <x:v>0.8108</x:v>
      </x:c>
      <x:c r="J13" s="47" t="n">
        <x:v>0.8462000000000001</x:v>
      </x:c>
      <x:c r="K13" s="47" t="n">
        <x:v>0.1121</x:v>
      </x:c>
      <x:c r="L13" s="48" t="n">
        <x:v>0.835</x:v>
      </x:c>
      <x:c r="M13" s="48" t="n">
        <x:v>2.377</x:v>
      </x:c>
      <x:c r="N13" s="45" t="str">
        <x:v>沪深300</x:v>
      </x:c>
      <x:c r="O13" s="46" t="n">
        <x:v>46269</x:v>
      </x:c>
      <x:c r="P13" s="46" t="n">
        <x:v>46275</x:v>
      </x:c>
      <x:c r="Q13" s="45" t="str">
        <x:v>https://mp.fof99.com/fund/view/fbf1de225e3e65af</x:v>
      </x:c>
      <x:c r="R13" s="45" t="str">
        <x:v>备案号匹配</x:v>
      </x:c>
    </x:row>
    <x:row r="14" ht="24" customHeight="1">
      <x:c r="A14" s="45" t="str">
        <x:v>东方富银命运1号</x:v>
      </x:c>
      <x:c r="B14" s="45" t="str">
        <x:v>SEG244</x:v>
      </x:c>
      <x:c r="C14" s="45" t="str">
        <x:v>套利策略</x:v>
      </x:c>
      <x:c r="D14" s="45" t="str">
        <x:v>可转债套利</x:v>
      </x:c>
      <x:c r="E14" s="45" t="str">
        <x:v>深圳东方富银投资</x:v>
      </x:c>
      <x:c r="F14" s="46" t="n">
        <x:v>43334</x:v>
      </x:c>
      <x:c r="G14" s="47" t="n">
        <x:v>0.059699999999999996</x:v>
      </x:c>
      <x:c r="H14" s="47" t="n">
        <x:v>0.0824</x:v>
      </x:c>
      <x:c r="I14" s="47" t="n">
        <x:v>0.7568</x:v>
      </x:c>
      <x:c r="J14" s="47" t="n">
        <x:v>0.8462000000000001</x:v>
      </x:c>
      <x:c r="K14" s="47" t="n">
        <x:v>0.034300000000000004</x:v>
      </x:c>
      <x:c r="L14" s="48" t="n">
        <x:v>2.3998</x:v>
      </x:c>
      <x:c r="M14" s="48" t="n">
        <x:v>7.9496</x:v>
      </x:c>
      <x:c r="N14" s="45" t="str">
        <x:v>沪深300</x:v>
      </x:c>
      <x:c r="O14" s="46" t="n">
        <x:v>46269</x:v>
      </x:c>
      <x:c r="P14" s="46" t="n">
        <x:v>46275</x:v>
      </x:c>
      <x:c r="Q14" s="45" t="str">
        <x:v>https://mp.fof99.com/fund/view/d7eeaf632af20fa7</x:v>
      </x:c>
      <x:c r="R14" s="45" t="str">
        <x:v>备案号匹配</x:v>
      </x:c>
    </x:row>
    <x:row r="15" ht="24" customHeight="1">
      <x:c r="A15" s="45" t="str">
        <x:v>东源投资丰源5号</x:v>
      </x:c>
      <x:c r="B15" s="45" t="str">
        <x:v>SBMG09</x:v>
      </x:c>
      <x:c r="C15" s="45" t="str">
        <x:v>套利策略</x:v>
      </x:c>
      <x:c r="D15" s="45" t="str">
        <x:v>期权套利</x:v>
      </x:c>
      <x:c r="E15" s="45" t="str">
        <x:v>天津东源投资</x:v>
      </x:c>
      <x:c r="F15" s="46" t="n">
        <x:v>46017</x:v>
      </x:c>
      <x:c r="G15" s="47"/>
      <x:c r="H15" s="47"/>
      <x:c r="I15" s="47"/>
      <x:c r="J15" s="47"/>
      <x:c r="K15" s="47"/>
      <x:c r="L15" s="48"/>
      <x:c r="M15" s="48"/>
      <x:c r="N15" s="45"/>
      <x:c r="O15" s="46" t="n">
        <x:v>46269</x:v>
      </x:c>
      <x:c r="P15" s="46" t="n">
        <x:v>46275</x:v>
      </x:c>
      <x:c r="Q15" s="45" t="str">
        <x:v>https://mp.fof99.com/fund/view/baa4ff727568ddb3</x:v>
      </x:c>
      <x:c r="R15" s="45" t="str">
        <x:v>备案号匹配</x:v>
      </x:c>
    </x:row>
    <x:row r="16" ht="24" customHeight="1">
      <x:c r="A16" s="45" t="str">
        <x:v>东源投资乐源1号</x:v>
      </x:c>
      <x:c r="B16" s="45" t="str">
        <x:v>SBRX68</x:v>
      </x:c>
      <x:c r="C16" s="45" t="str">
        <x:v>套利策略</x:v>
      </x:c>
      <x:c r="D16" s="45" t="str">
        <x:v>期权套利</x:v>
      </x:c>
      <x:c r="E16" s="45" t="str">
        <x:v>天津东源投资</x:v>
      </x:c>
      <x:c r="F16" s="46" t="n">
        <x:v>46066</x:v>
      </x:c>
      <x:c r="G16" s="47"/>
      <x:c r="H16" s="47"/>
      <x:c r="I16" s="47"/>
      <x:c r="J16" s="47"/>
      <x:c r="K16" s="47"/>
      <x:c r="L16" s="48"/>
      <x:c r="M16" s="48"/>
      <x:c r="N16" s="45"/>
      <x:c r="O16" s="46" t="n">
        <x:v>46269</x:v>
      </x:c>
      <x:c r="P16" s="46" t="n">
        <x:v>46275</x:v>
      </x:c>
      <x:c r="Q16" s="45" t="str">
        <x:v>https://mp.fof99.com/fund/view/dc199b33f4fce442</x:v>
      </x:c>
      <x:c r="R16" s="45" t="str">
        <x:v>备案号匹配</x:v>
      </x:c>
    </x:row>
    <x:row r="17" ht="24" customHeight="1">
      <x:c r="A17" s="45" t="str">
        <x:v>放牛人5号</x:v>
      </x:c>
      <x:c r="B17" s="45" t="str">
        <x:v>SVH487</x:v>
      </x:c>
      <x:c r="C17" s="45" t="str">
        <x:v>套利策略</x:v>
      </x:c>
      <x:c r="D17" s="45" t="str">
        <x:v>期货套利</x:v>
      </x:c>
      <x:c r="E17" s="45" t="str">
        <x:v>上海放牛人</x:v>
      </x:c>
      <x:c r="F17" s="46" t="n">
        <x:v>44729</x:v>
      </x:c>
      <x:c r="G17" s="47" t="n">
        <x:v>0.0944</x:v>
      </x:c>
      <x:c r="H17" s="47" t="n">
        <x:v>0.0809</x:v>
      </x:c>
      <x:c r="I17" s="47" t="n">
        <x:v>0.9459000000000001</x:v>
      </x:c>
      <x:c r="J17" s="47" t="n">
        <x:v>1</x:v>
      </x:c>
      <x:c r="K17" s="47" t="n">
        <x:v>0.0033</x:v>
      </x:c>
      <x:c r="L17" s="48" t="n">
        <x:v>24.1855</x:v>
      </x:c>
      <x:c r="M17" s="48" t="n">
        <x:v>89.586</x:v>
      </x:c>
      <x:c r="N17" s="45" t="str">
        <x:v>沪深300</x:v>
      </x:c>
      <x:c r="O17" s="46" t="n">
        <x:v>46269</x:v>
      </x:c>
      <x:c r="P17" s="46" t="n">
        <x:v>46275</x:v>
      </x:c>
      <x:c r="Q17" s="45" t="str">
        <x:v>https://mp.fof99.com/fund/view/572bc921ce9d2893</x:v>
      </x:c>
      <x:c r="R17" s="45" t="str">
        <x:v>备案号匹配</x:v>
      </x:c>
    </x:row>
    <x:row r="18" ht="24" customHeight="1">
      <x:c r="A18" s="45" t="str">
        <x:v>广联宏丰利1号</x:v>
      </x:c>
      <x:c r="B18" s="45" t="str">
        <x:v>SAGN89</x:v>
      </x:c>
      <x:c r="C18" s="45" t="str">
        <x:v>套利策略</x:v>
      </x:c>
      <x:c r="D18" s="45" t="str">
        <x:v>期货套利</x:v>
      </x:c>
      <x:c r="E18" s="45" t="str">
        <x:v>海南广联宏</x:v>
      </x:c>
      <x:c r="F18" s="46" t="n">
        <x:v>45322</x:v>
      </x:c>
      <x:c r="G18" s="47" t="n">
        <x:v>0.4446</x:v>
      </x:c>
      <x:c r="H18" s="47"/>
      <x:c r="I18" s="47"/>
      <x:c r="J18" s="47" t="n">
        <x:v>0.8462000000000001</x:v>
      </x:c>
      <x:c r="K18" s="47"/>
      <x:c r="L18" s="48"/>
      <x:c r="M18" s="48" t="n">
        <x:v>8.6489</x:v>
      </x:c>
      <x:c r="N18" s="45" t="str">
        <x:v>沪深300</x:v>
      </x:c>
      <x:c r="O18" s="46" t="n">
        <x:v>46269</x:v>
      </x:c>
      <x:c r="P18" s="46" t="n">
        <x:v>46275</x:v>
      </x:c>
      <x:c r="Q18" s="45" t="str">
        <x:v>https://mp.fof99.com/fund/view/bf37a6579525f8b3</x:v>
      </x:c>
      <x:c r="R18" s="45" t="str">
        <x:v>备案号匹配</x:v>
      </x:c>
    </x:row>
    <x:row r="19" ht="24" customHeight="1">
      <x:c r="A19" s="45" t="str">
        <x:v>广联宏稳健2号</x:v>
      </x:c>
      <x:c r="B19" s="45" t="str">
        <x:v>SATV20</x:v>
      </x:c>
      <x:c r="C19" s="45" t="str">
        <x:v>套利策略</x:v>
      </x:c>
      <x:c r="D19" s="45" t="str">
        <x:v>期货套利</x:v>
      </x:c>
      <x:c r="E19" s="45" t="str">
        <x:v>海南广联宏</x:v>
      </x:c>
      <x:c r="F19" s="46" t="n">
        <x:v>45705</x:v>
      </x:c>
      <x:c r="G19" s="47" t="n">
        <x:v>0.20670000000000002</x:v>
      </x:c>
      <x:c r="H19" s="47"/>
      <x:c r="I19" s="47"/>
      <x:c r="J19" s="47" t="n">
        <x:v>0.8462000000000001</x:v>
      </x:c>
      <x:c r="K19" s="47"/>
      <x:c r="L19" s="48"/>
      <x:c r="M19" s="48" t="n">
        <x:v>10.9897</x:v>
      </x:c>
      <x:c r="N19" s="45" t="str">
        <x:v>沪深300</x:v>
      </x:c>
      <x:c r="O19" s="46" t="n">
        <x:v>46269</x:v>
      </x:c>
      <x:c r="P19" s="46" t="n">
        <x:v>46275</x:v>
      </x:c>
      <x:c r="Q19" s="45" t="str">
        <x:v>https://mp.fof99.com/fund/view/c5b9a0c28942bf05</x:v>
      </x:c>
      <x:c r="R19" s="45" t="str">
        <x:v>备案号匹配</x:v>
      </x:c>
    </x:row>
    <x:row r="20" ht="24" customHeight="1">
      <x:c r="A20" s="45" t="str">
        <x:v>杭州探融-锦鲤智能量化3号</x:v>
      </x:c>
      <x:c r="B20" s="45" t="str">
        <x:v>SQC001</x:v>
      </x:c>
      <x:c r="C20" s="45" t="str">
        <x:v>套利策略</x:v>
      </x:c>
      <x:c r="D20" s="45" t="str">
        <x:v>可转债套利</x:v>
      </x:c>
      <x:c r="E20" s="45" t="str">
        <x:v>杭州探融投资</x:v>
      </x:c>
      <x:c r="F20" s="46" t="n">
        <x:v>44305</x:v>
      </x:c>
      <x:c r="G20" s="47" t="n">
        <x:v>0.0054</x:v>
      </x:c>
      <x:c r="H20" s="47" t="n">
        <x:v>0.0383</x:v>
      </x:c>
      <x:c r="I20" s="47" t="n">
        <x:v>0.5946</x:v>
      </x:c>
      <x:c r="J20" s="47" t="n">
        <x:v>0.3846</x:v>
      </x:c>
      <x:c r="K20" s="47" t="n">
        <x:v>0.0199</x:v>
      </x:c>
      <x:c r="L20" s="48" t="n">
        <x:v>1.9291</x:v>
      </x:c>
      <x:c r="M20" s="48" t="n">
        <x:v>0.2728</x:v>
      </x:c>
      <x:c r="N20" s="45" t="str">
        <x:v>沪深300</x:v>
      </x:c>
      <x:c r="O20" s="46" t="n">
        <x:v>46269</x:v>
      </x:c>
      <x:c r="P20" s="46" t="n">
        <x:v>46275</x:v>
      </x:c>
      <x:c r="Q20" s="45" t="str">
        <x:v>https://mp.fof99.com/fund/view/e556f77ef201098a</x:v>
      </x:c>
      <x:c r="R20" s="45" t="str">
        <x:v>备案号匹配</x:v>
      </x:c>
    </x:row>
    <x:row r="21" ht="24" customHeight="1">
      <x:c r="A21" s="45" t="str">
        <x:v>汇艾稳健3号</x:v>
      </x:c>
      <x:c r="B21" s="45" t="str">
        <x:v>SR8584</x:v>
      </x:c>
      <x:c r="C21" s="45" t="str">
        <x:v>套利策略</x:v>
      </x:c>
      <x:c r="D21" s="45" t="str">
        <x:v>期货套利</x:v>
      </x:c>
      <x:c r="E21" s="45" t="str">
        <x:v>上海汇艾资管</x:v>
      </x:c>
      <x:c r="F21" s="46" t="n">
        <x:v>42772</x:v>
      </x:c>
      <x:c r="G21" s="47" t="n">
        <x:v>0.0765</x:v>
      </x:c>
      <x:c r="H21" s="47" t="n">
        <x:v>0.0429</x:v>
      </x:c>
      <x:c r="I21" s="47" t="n">
        <x:v>0.8108</x:v>
      </x:c>
      <x:c r="J21" s="47" t="n">
        <x:v>1</x:v>
      </x:c>
      <x:c r="K21" s="47" t="n">
        <x:v>0.0106</x:v>
      </x:c>
      <x:c r="L21" s="48" t="n">
        <x:v>4.042</x:v>
      </x:c>
      <x:c r="M21" s="48" t="n">
        <x:v>9.7894</x:v>
      </x:c>
      <x:c r="N21" s="45" t="str">
        <x:v>沪深300</x:v>
      </x:c>
      <x:c r="O21" s="46" t="n">
        <x:v>46269</x:v>
      </x:c>
      <x:c r="P21" s="46" t="n">
        <x:v>46275</x:v>
      </x:c>
      <x:c r="Q21" s="45" t="str">
        <x:v>https://mp.fof99.com/fund/view/5a95543cf10b3b66</x:v>
      </x:c>
      <x:c r="R21" s="45" t="str">
        <x:v>备案号匹配</x:v>
      </x:c>
    </x:row>
    <x:row r="22" ht="24" customHeight="1">
      <x:c r="A22" s="45" t="str">
        <x:v>惠隆金选套利1号</x:v>
      </x:c>
      <x:c r="B22" s="45" t="str">
        <x:v>SQG026</x:v>
      </x:c>
      <x:c r="C22" s="45" t="str">
        <x:v>套利策略</x:v>
      </x:c>
      <x:c r="D22" s="45" t="str">
        <x:v>期货套利</x:v>
      </x:c>
      <x:c r="E22" s="45" t="str">
        <x:v>北京惠隆资管</x:v>
      </x:c>
      <x:c r="F22" s="46" t="n">
        <x:v>44462</x:v>
      </x:c>
      <x:c r="G22" s="47" t="n">
        <x:v>0.1359</x:v>
      </x:c>
      <x:c r="H22" s="47" t="n">
        <x:v>0.1668</x:v>
      </x:c>
      <x:c r="I22" s="47" t="n">
        <x:v>1</x:v>
      </x:c>
      <x:c r="J22" s="47" t="n">
        <x:v>1</x:v>
      </x:c>
      <x:c r="K22" s="47" t="n">
        <x:v>0.0027</x:v>
      </x:c>
      <x:c r="L22" s="48" t="n">
        <x:v>61.2582</x:v>
      </x:c>
      <x:c r="M22" s="48" t="n">
        <x:v>49.9044</x:v>
      </x:c>
      <x:c r="N22" s="45" t="str">
        <x:v>沪深300</x:v>
      </x:c>
      <x:c r="O22" s="46" t="n">
        <x:v>46269</x:v>
      </x:c>
      <x:c r="P22" s="46" t="n">
        <x:v>46275</x:v>
      </x:c>
      <x:c r="Q22" s="45" t="str">
        <x:v>https://mp.fof99.com/fund/view/3f5108a89aafc6d8</x:v>
      </x:c>
      <x:c r="R22" s="45" t="str">
        <x:v>备案号匹配</x:v>
      </x:c>
    </x:row>
    <x:row r="23" ht="24" customHeight="1">
      <x:c r="A23" s="45" t="str">
        <x:v>佳泽信享5号A类</x:v>
      </x:c>
      <x:c r="B23" s="45" t="str">
        <x:v>ZC395A</x:v>
      </x:c>
      <x:c r="C23" s="45" t="str">
        <x:v>套利策略</x:v>
      </x:c>
      <x:c r="D23" s="45" t="str">
        <x:v>期货套利</x:v>
      </x:c>
      <x:c r="E23" s="45" t="str">
        <x:v>海南佳泽</x:v>
      </x:c>
      <x:c r="F23" s="46" t="n">
        <x:v>44936</x:v>
      </x:c>
      <x:c r="G23" s="47" t="n">
        <x:v>0.076</x:v>
      </x:c>
      <x:c r="H23" s="47" t="n">
        <x:v>0.058899999999999994</x:v>
      </x:c>
      <x:c r="I23" s="47" t="n">
        <x:v>0.8108</x:v>
      </x:c>
      <x:c r="J23" s="47" t="n">
        <x:v>0.9231</x:v>
      </x:c>
      <x:c r="K23" s="47" t="n">
        <x:v>0.024399999999999998</x:v>
      </x:c>
      <x:c r="L23" s="48" t="n">
        <x:v>2.4113</x:v>
      </x:c>
      <x:c r="M23" s="48" t="n">
        <x:v>16.5592</x:v>
      </x:c>
      <x:c r="N23" s="45" t="str">
        <x:v>沪深300</x:v>
      </x:c>
      <x:c r="O23" s="46" t="n">
        <x:v>46269</x:v>
      </x:c>
      <x:c r="P23" s="46" t="n">
        <x:v>46275</x:v>
      </x:c>
      <x:c r="Q23" s="45" t="str">
        <x:v>https://mp.fof99.com/fund/view/441eaddd701f4a97</x:v>
      </x:c>
      <x:c r="R23" s="45" t="str">
        <x:v>备案号匹配</x:v>
      </x:c>
    </x:row>
    <x:row r="24" ht="24" customHeight="1">
      <x:c r="A24" s="45" t="str">
        <x:v>嘉和传承精研二期</x:v>
      </x:c>
      <x:c r="B24" s="45" t="str">
        <x:v>STD929</x:v>
      </x:c>
      <x:c r="C24" s="45" t="str">
        <x:v>套利策略</x:v>
      </x:c>
      <x:c r="D24" s="45" t="str">
        <x:v>期货套利</x:v>
      </x:c>
      <x:c r="E24" s="45" t="str">
        <x:v>上海嘉和传承</x:v>
      </x:c>
      <x:c r="F24" s="46" t="n">
        <x:v>44537</x:v>
      </x:c>
      <x:c r="G24" s="47" t="n">
        <x:v>0.0873</x:v>
      </x:c>
      <x:c r="H24" s="47" t="n">
        <x:v>0.11960000000000001</x:v>
      </x:c>
      <x:c r="I24" s="47" t="n">
        <x:v>0.5946</x:v>
      </x:c>
      <x:c r="J24" s="47" t="n">
        <x:v>0.5385</x:v>
      </x:c>
      <x:c r="K24" s="47" t="n">
        <x:v>0.0894</x:v>
      </x:c>
      <x:c r="L24" s="48" t="n">
        <x:v>1.3375</x:v>
      </x:c>
      <x:c r="M24" s="48" t="n">
        <x:v>0.9764</x:v>
      </x:c>
      <x:c r="N24" s="45" t="str">
        <x:v>沪深300</x:v>
      </x:c>
      <x:c r="O24" s="46" t="n">
        <x:v>46269</x:v>
      </x:c>
      <x:c r="P24" s="46" t="n">
        <x:v>46275</x:v>
      </x:c>
      <x:c r="Q24" s="45" t="str">
        <x:v>https://mp.fof99.com/fund/view/d8c5ba292c0e7653</x:v>
      </x:c>
      <x:c r="R24" s="45" t="str">
        <x:v>备案号匹配</x:v>
      </x:c>
    </x:row>
    <x:row r="25" ht="24" customHeight="1">
      <x:c r="A25" s="45" t="str">
        <x:v>阶石稳健1号</x:v>
      </x:c>
      <x:c r="B25" s="45" t="str">
        <x:v>SATE65</x:v>
      </x:c>
      <x:c r="C25" s="45" t="str">
        <x:v>套利策略</x:v>
      </x:c>
      <x:c r="D25" s="45" t="str">
        <x:v>基金套利</x:v>
      </x:c>
      <x:c r="E25" s="45" t="str">
        <x:v>深圳阶石</x:v>
      </x:c>
      <x:c r="F25" s="46" t="n">
        <x:v>45694</x:v>
      </x:c>
      <x:c r="G25" s="47"/>
      <x:c r="H25" s="47"/>
      <x:c r="I25" s="47"/>
      <x:c r="J25" s="47"/>
      <x:c r="K25" s="47"/>
      <x:c r="L25" s="48"/>
      <x:c r="M25" s="48"/>
      <x:c r="N25" s="45" t="str">
        <x:v>沪深300</x:v>
      </x:c>
      <x:c r="O25" s="46" t="n">
        <x:v>46269</x:v>
      </x:c>
      <x:c r="P25" s="46" t="n">
        <x:v>46275</x:v>
      </x:c>
      <x:c r="Q25" s="45" t="str">
        <x:v>https://mp.fof99.com/fund/view/735dc9bdc1713fc1</x:v>
      </x:c>
      <x:c r="R25" s="45" t="str">
        <x:v>备案号匹配</x:v>
      </x:c>
    </x:row>
    <x:row r="26" ht="24" customHeight="1">
      <x:c r="A26" s="45" t="str">
        <x:v>阶石稳健7号</x:v>
      </x:c>
      <x:c r="B26" s="45" t="str">
        <x:v>SAWS84</x:v>
      </x:c>
      <x:c r="C26" s="45" t="str">
        <x:v>套利策略</x:v>
      </x:c>
      <x:c r="D26" s="45" t="str">
        <x:v>基金套利</x:v>
      </x:c>
      <x:c r="E26" s="45" t="str">
        <x:v>深圳阶石</x:v>
      </x:c>
      <x:c r="F26" s="46" t="n">
        <x:v>45749</x:v>
      </x:c>
      <x:c r="G26" s="47"/>
      <x:c r="H26" s="47"/>
      <x:c r="I26" s="47"/>
      <x:c r="J26" s="47"/>
      <x:c r="K26" s="47"/>
      <x:c r="L26" s="48"/>
      <x:c r="M26" s="48"/>
      <x:c r="N26" s="45" t="str">
        <x:v>沪深300</x:v>
      </x:c>
      <x:c r="O26" s="46" t="n">
        <x:v>46269</x:v>
      </x:c>
      <x:c r="P26" s="46" t="n">
        <x:v>46275</x:v>
      </x:c>
      <x:c r="Q26" s="45" t="str">
        <x:v>https://mp.fof99.com/fund/view/a1580a40d8b17419</x:v>
      </x:c>
      <x:c r="R26" s="45" t="str">
        <x:v>备案号匹配</x:v>
      </x:c>
    </x:row>
    <x:row r="27" ht="24" customHeight="1">
      <x:c r="A27" s="45" t="str">
        <x:v>阶石稳健9号</x:v>
      </x:c>
      <x:c r="B27" s="45" t="str">
        <x:v>SAZW60</x:v>
      </x:c>
      <x:c r="C27" s="45" t="str">
        <x:v>套利策略</x:v>
      </x:c>
      <x:c r="D27" s="45" t="str">
        <x:v>基金套利</x:v>
      </x:c>
      <x:c r="E27" s="45" t="str">
        <x:v>深圳阶石</x:v>
      </x:c>
      <x:c r="F27" s="46" t="n">
        <x:v>45818</x:v>
      </x:c>
      <x:c r="G27" s="47"/>
      <x:c r="H27" s="47"/>
      <x:c r="I27" s="47"/>
      <x:c r="J27" s="47"/>
      <x:c r="K27" s="47"/>
      <x:c r="L27" s="48"/>
      <x:c r="M27" s="48"/>
      <x:c r="N27" s="45" t="str">
        <x:v>沪深300</x:v>
      </x:c>
      <x:c r="O27" s="46" t="n">
        <x:v>46269</x:v>
      </x:c>
      <x:c r="P27" s="46" t="n">
        <x:v>46275</x:v>
      </x:c>
      <x:c r="Q27" s="45" t="str">
        <x:v>https://mp.fof99.com/fund/view/4bda29597d3247b9</x:v>
      </x:c>
      <x:c r="R27" s="45" t="str">
        <x:v>备案号匹配</x:v>
      </x:c>
    </x:row>
    <x:row r="28" ht="24" customHeight="1">
      <x:c r="A28" s="45" t="str">
        <x:v>金锝牵星1号C类</x:v>
      </x:c>
      <x:c r="B28" s="45" t="str">
        <x:v>ASB89C</x:v>
      </x:c>
      <x:c r="C28" s="45" t="str">
        <x:v>套利策略</x:v>
      </x:c>
      <x:c r="D28" s="45" t="str">
        <x:v>期权套利</x:v>
      </x:c>
      <x:c r="E28" s="45" t="str">
        <x:v>上海金锝资管</x:v>
      </x:c>
      <x:c r="F28" s="46" t="n">
        <x:v>45652</x:v>
      </x:c>
      <x:c r="G28" s="47"/>
      <x:c r="H28" s="47"/>
      <x:c r="I28" s="47"/>
      <x:c r="J28" s="47"/>
      <x:c r="K28" s="47"/>
      <x:c r="L28" s="48"/>
      <x:c r="M28" s="48"/>
      <x:c r="N28" s="45" t="str">
        <x:v>沪深300</x:v>
      </x:c>
      <x:c r="O28" s="46" t="n">
        <x:v>46269</x:v>
      </x:c>
      <x:c r="P28" s="46" t="n">
        <x:v>46275</x:v>
      </x:c>
      <x:c r="Q28" s="45" t="str">
        <x:v>https://mp.fof99.com/fund/view/a0e2d40b33d92ad4</x:v>
      </x:c>
      <x:c r="R28" s="45" t="str">
        <x:v>备案号匹配</x:v>
      </x:c>
    </x:row>
    <x:row r="29" ht="24" customHeight="1">
      <x:c r="A29" s="45" t="str">
        <x:v>九木套利9号A类</x:v>
      </x:c>
      <x:c r="B29" s="45" t="str">
        <x:v>BSA32A</x:v>
      </x:c>
      <x:c r="C29" s="45" t="str">
        <x:v>套利策略</x:v>
      </x:c>
      <x:c r="D29" s="45" t="str">
        <x:v>期货套利</x:v>
      </x:c>
      <x:c r="E29" s="45" t="str">
        <x:v>深圳九木</x:v>
      </x:c>
      <x:c r="F29" s="46" t="n">
        <x:v>46094</x:v>
      </x:c>
      <x:c r="G29" s="47"/>
      <x:c r="H29" s="47"/>
      <x:c r="I29" s="47"/>
      <x:c r="J29" s="47"/>
      <x:c r="K29" s="47"/>
      <x:c r="L29" s="48"/>
      <x:c r="M29" s="48"/>
      <x:c r="N29" s="45"/>
      <x:c r="O29" s="46" t="n">
        <x:v>46269</x:v>
      </x:c>
      <x:c r="P29" s="46" t="n">
        <x:v>46275</x:v>
      </x:c>
      <x:c r="Q29" s="45" t="str">
        <x:v>https://mp.fof99.com/fund/view/54b1f815aaee62da</x:v>
      </x:c>
      <x:c r="R29" s="45" t="str">
        <x:v>备案号匹配</x:v>
      </x:c>
    </x:row>
    <x:row r="30" ht="24" customHeight="1">
      <x:c r="A30" s="45" t="str">
        <x:v>九招真格量化套利一号</x:v>
      </x:c>
      <x:c r="B30" s="45" t="str">
        <x:v>SQD546</x:v>
      </x:c>
      <x:c r="C30" s="45" t="str">
        <x:v>套利策略</x:v>
      </x:c>
      <x:c r="D30" s="45" t="str">
        <x:v>期货套利</x:v>
      </x:c>
      <x:c r="E30" s="45" t="str">
        <x:v>武汉九招</x:v>
      </x:c>
      <x:c r="F30" s="46" t="n">
        <x:v>44271</x:v>
      </x:c>
      <x:c r="G30" s="47" t="n">
        <x:v>0.1369</x:v>
      </x:c>
      <x:c r="H30" s="47" t="n">
        <x:v>0.1341</x:v>
      </x:c>
      <x:c r="I30" s="47" t="n">
        <x:v>0.8919</x:v>
      </x:c>
      <x:c r="J30" s="47" t="n">
        <x:v>1</x:v>
      </x:c>
      <x:c r="K30" s="47" t="n">
        <x:v>0.024900000000000002</x:v>
      </x:c>
      <x:c r="L30" s="48" t="n">
        <x:v>5.3886</x:v>
      </x:c>
      <x:c r="M30" s="48" t="n">
        <x:v>28.8428</x:v>
      </x:c>
      <x:c r="N30" s="45" t="str">
        <x:v>中证全债</x:v>
      </x:c>
      <x:c r="O30" s="46" t="n">
        <x:v>46269</x:v>
      </x:c>
      <x:c r="P30" s="46" t="n">
        <x:v>46275</x:v>
      </x:c>
      <x:c r="Q30" s="45" t="str">
        <x:v>https://mp.fof99.com/fund/view/206ccc429e7e2414</x:v>
      </x:c>
      <x:c r="R30" s="45" t="str">
        <x:v>备案号匹配</x:v>
      </x:c>
    </x:row>
    <x:row r="31" ht="24" customHeight="1">
      <x:c r="A31" s="45" t="str">
        <x:v>聚亿具臻B类</x:v>
      </x:c>
      <x:c r="B31" s="45" t="str">
        <x:v>LM995B</x:v>
      </x:c>
      <x:c r="C31" s="45" t="str">
        <x:v>套利策略</x:v>
      </x:c>
      <x:c r="D31" s="45" t="str">
        <x:v>期货套利</x:v>
      </x:c>
      <x:c r="E31" s="45" t="str">
        <x:v>珠海聚亿基金</x:v>
      </x:c>
      <x:c r="F31" s="46" t="n">
        <x:v>44061</x:v>
      </x:c>
      <x:c r="G31" s="47" t="n">
        <x:v>0.3558</x:v>
      </x:c>
      <x:c r="H31" s="47"/>
      <x:c r="I31" s="47"/>
      <x:c r="J31" s="47" t="n">
        <x:v>0.7692</x:v>
      </x:c>
      <x:c r="K31" s="47"/>
      <x:c r="L31" s="48"/>
      <x:c r="M31" s="48" t="n">
        <x:v>13.8749</x:v>
      </x:c>
      <x:c r="N31" s="45" t="str">
        <x:v>沪深300</x:v>
      </x:c>
      <x:c r="O31" s="46" t="n">
        <x:v>46269</x:v>
      </x:c>
      <x:c r="P31" s="46" t="n">
        <x:v>46275</x:v>
      </x:c>
      <x:c r="Q31" s="45" t="str">
        <x:v>https://mp.fof99.com/fund/view/62a3dc6ac3c3204d</x:v>
      </x:c>
      <x:c r="R31" s="45" t="str">
        <x:v>备案号匹配</x:v>
      </x:c>
    </x:row>
    <x:row r="32" ht="24" customHeight="1">
      <x:c r="A32" s="45" t="str">
        <x:v>钧誉厚德量化对冲11号</x:v>
      </x:c>
      <x:c r="B32" s="45" t="str">
        <x:v>SQN453</x:v>
      </x:c>
      <x:c r="C32" s="45" t="str">
        <x:v>套利策略</x:v>
      </x:c>
      <x:c r="D32" s="45" t="str">
        <x:v>期货套利</x:v>
      </x:c>
      <x:c r="E32" s="45" t="str">
        <x:v>珠海钧誉资管</x:v>
      </x:c>
      <x:c r="F32" s="46" t="n">
        <x:v>44323</x:v>
      </x:c>
      <x:c r="G32" s="47"/>
      <x:c r="H32" s="47"/>
      <x:c r="I32" s="47"/>
      <x:c r="J32" s="47"/>
      <x:c r="K32" s="47"/>
      <x:c r="L32" s="48"/>
      <x:c r="M32" s="48"/>
      <x:c r="N32" s="45" t="str">
        <x:v>沪深300</x:v>
      </x:c>
      <x:c r="O32" s="46" t="n">
        <x:v>46269</x:v>
      </x:c>
      <x:c r="P32" s="46" t="n">
        <x:v>46275</x:v>
      </x:c>
      <x:c r="Q32" s="45" t="str">
        <x:v>https://mp.fof99.com/fund/view/8e3ad7d155f41bc3</x:v>
      </x:c>
      <x:c r="R32" s="45" t="str">
        <x:v>备案号匹配</x:v>
      </x:c>
    </x:row>
    <x:row r="33" ht="24" customHeight="1">
      <x:c r="A33" s="45" t="str">
        <x:v>澜胜稳赋套利1号</x:v>
      </x:c>
      <x:c r="B33" s="45" t="str">
        <x:v>SBPY84</x:v>
      </x:c>
      <x:c r="C33" s="45" t="str">
        <x:v>套利策略</x:v>
      </x:c>
      <x:c r="D33" s="45"/>
      <x:c r="E33" s="45" t="str">
        <x:v>上海澜胜</x:v>
      </x:c>
      <x:c r="F33" s="46" t="n">
        <x:v>46049</x:v>
      </x:c>
      <x:c r="G33" s="47"/>
      <x:c r="H33" s="47"/>
      <x:c r="I33" s="47"/>
      <x:c r="J33" s="47"/>
      <x:c r="K33" s="47"/>
      <x:c r="L33" s="48"/>
      <x:c r="M33" s="48"/>
      <x:c r="N33" s="45" t="str">
        <x:v>沪深300</x:v>
      </x:c>
      <x:c r="O33" s="46" t="n">
        <x:v>46269</x:v>
      </x:c>
      <x:c r="P33" s="46" t="n">
        <x:v>46275</x:v>
      </x:c>
      <x:c r="Q33" s="45" t="str">
        <x:v>https://mp.fof99.com/fund/view/fd609fddab73af1e</x:v>
      </x:c>
      <x:c r="R33" s="45" t="str">
        <x:v>备案号匹配</x:v>
      </x:c>
    </x:row>
    <x:row r="34" ht="24" customHeight="1">
      <x:c r="A34" s="45" t="str">
        <x:v>量金灵瑞1号</x:v>
      </x:c>
      <x:c r="B34" s="45" t="str">
        <x:v>SAPV10</x:v>
      </x:c>
      <x:c r="C34" s="45" t="str">
        <x:v>套利策略</x:v>
      </x:c>
      <x:c r="D34" s="45" t="str">
        <x:v>期货套利</x:v>
      </x:c>
      <x:c r="E34" s="45" t="str">
        <x:v>上海坤灵</x:v>
      </x:c>
      <x:c r="F34" s="46" t="n">
        <x:v>45594</x:v>
      </x:c>
      <x:c r="G34" s="47"/>
      <x:c r="H34" s="47"/>
      <x:c r="I34" s="47"/>
      <x:c r="J34" s="47"/>
      <x:c r="K34" s="47"/>
      <x:c r="L34" s="48"/>
      <x:c r="M34" s="48"/>
      <x:c r="N34" s="45" t="str">
        <x:v>沪深300</x:v>
      </x:c>
      <x:c r="O34" s="46" t="n">
        <x:v>46269</x:v>
      </x:c>
      <x:c r="P34" s="46" t="n">
        <x:v>46275</x:v>
      </x:c>
      <x:c r="Q34" s="45" t="str">
        <x:v>https://mp.fof99.com/fund/view/672dc1ead9cd9d03</x:v>
      </x:c>
      <x:c r="R34" s="45" t="str">
        <x:v>备案号匹配</x:v>
      </x:c>
    </x:row>
    <x:row r="35" ht="24" customHeight="1">
      <x:c r="A35" s="45" t="str">
        <x:v>量客投资金选套利1号</x:v>
      </x:c>
      <x:c r="B35" s="45" t="str">
        <x:v>SNH457</x:v>
      </x:c>
      <x:c r="C35" s="45" t="str">
        <x:v>套利策略</x:v>
      </x:c>
      <x:c r="D35" s="45" t="str">
        <x:v>期权套利</x:v>
      </x:c>
      <x:c r="E35" s="45" t="str">
        <x:v>上海量客</x:v>
      </x:c>
      <x:c r="F35" s="46" t="n">
        <x:v>44196</x:v>
      </x:c>
      <x:c r="G35" s="47"/>
      <x:c r="H35" s="47"/>
      <x:c r="I35" s="47"/>
      <x:c r="J35" s="47"/>
      <x:c r="K35" s="47"/>
      <x:c r="L35" s="48"/>
      <x:c r="M35" s="48"/>
      <x:c r="N35" s="45" t="str">
        <x:v>沪深300</x:v>
      </x:c>
      <x:c r="O35" s="46" t="n">
        <x:v>46269</x:v>
      </x:c>
      <x:c r="P35" s="46" t="n">
        <x:v>46275</x:v>
      </x:c>
      <x:c r="Q35" s="45" t="str">
        <x:v>https://mp.fof99.com/fund/view/509478ab548cc2b3</x:v>
      </x:c>
      <x:c r="R35" s="45" t="str">
        <x:v>备案号匹配</x:v>
      </x:c>
    </x:row>
    <x:row r="36" ht="24" customHeight="1">
      <x:c r="A36" s="45" t="str">
        <x:v>龙帆恒盛稳固9号</x:v>
      </x:c>
      <x:c r="B36" s="45" t="str">
        <x:v>SSX605</x:v>
      </x:c>
      <x:c r="C36" s="45" t="str">
        <x:v>套利策略</x:v>
      </x:c>
      <x:c r="D36" s="45" t="str">
        <x:v>期货套利</x:v>
      </x:c>
      <x:c r="E36" s="45" t="str">
        <x:v>厦门龙帆资管</x:v>
      </x:c>
      <x:c r="F36" s="46" t="n">
        <x:v>44489</x:v>
      </x:c>
      <x:c r="G36" s="47" t="n">
        <x:v>0.08689999999999999</x:v>
      </x:c>
      <x:c r="H36" s="47" t="n">
        <x:v>0.049800000000000004</x:v>
      </x:c>
      <x:c r="I36" s="47" t="n">
        <x:v>0.7297</x:v>
      </x:c>
      <x:c r="J36" s="47" t="n">
        <x:v>0.7692</x:v>
      </x:c>
      <x:c r="K36" s="47" t="n">
        <x:v>0.013000000000000001</x:v>
      </x:c>
      <x:c r="L36" s="48" t="n">
        <x:v>3.8289</x:v>
      </x:c>
      <x:c r="M36" s="48" t="n">
        <x:v>20.6535</x:v>
      </x:c>
      <x:c r="N36" s="45" t="str">
        <x:v>沪深300</x:v>
      </x:c>
      <x:c r="O36" s="46" t="n">
        <x:v>46269</x:v>
      </x:c>
      <x:c r="P36" s="46" t="n">
        <x:v>46275</x:v>
      </x:c>
      <x:c r="Q36" s="45" t="str">
        <x:v>https://mp.fof99.com/fund/view/3ccbf07c4d4ac642</x:v>
      </x:c>
      <x:c r="R36" s="45" t="str">
        <x:v>备案号匹配</x:v>
      </x:c>
    </x:row>
    <x:row r="37" ht="24" customHeight="1">
      <x:c r="A37" s="45" t="str">
        <x:v>龙壹盛善时1号</x:v>
      </x:c>
      <x:c r="B37" s="45" t="str">
        <x:v>SB1261</x:v>
      </x:c>
      <x:c r="C37" s="45" t="str">
        <x:v>套利策略</x:v>
      </x:c>
      <x:c r="D37" s="45" t="str">
        <x:v>期货套利</x:v>
      </x:c>
      <x:c r="E37" s="45" t="str">
        <x:v>杭州龙壹盛</x:v>
      </x:c>
      <x:c r="F37" s="46" t="n">
        <x:v>45096</x:v>
      </x:c>
      <x:c r="G37" s="47"/>
      <x:c r="H37" s="47"/>
      <x:c r="I37" s="47"/>
      <x:c r="J37" s="47"/>
      <x:c r="K37" s="47"/>
      <x:c r="L37" s="48"/>
      <x:c r="M37" s="48"/>
      <x:c r="N37" s="45" t="str">
        <x:v>沪深300</x:v>
      </x:c>
      <x:c r="O37" s="46" t="n">
        <x:v>46269</x:v>
      </x:c>
      <x:c r="P37" s="46" t="n">
        <x:v>46275</x:v>
      </x:c>
      <x:c r="Q37" s="45" t="str">
        <x:v>https://mp.fof99.com/fund/view/beb13b86d2a4cfb2</x:v>
      </x:c>
      <x:c r="R37" s="45" t="str">
        <x:v>备案号匹配</x:v>
      </x:c>
    </x:row>
    <x:row r="38" ht="24" customHeight="1">
      <x:c r="A38" s="45" t="str">
        <x:v>鸣熙资产-招享套利1号</x:v>
      </x:c>
      <x:c r="B38" s="45" t="str">
        <x:v>SJZ381</x:v>
      </x:c>
      <x:c r="C38" s="45" t="str">
        <x:v>套利策略</x:v>
      </x:c>
      <x:c r="D38" s="45" t="str">
        <x:v>期货套利</x:v>
      </x:c>
      <x:c r="E38" s="45" t="str">
        <x:v>鸣熙资本</x:v>
      </x:c>
      <x:c r="F38" s="46" t="n">
        <x:v>43937</x:v>
      </x:c>
      <x:c r="G38" s="47" t="n">
        <x:v>0.0406</x:v>
      </x:c>
      <x:c r="H38" s="47" t="n">
        <x:v>0.0728</x:v>
      </x:c>
      <x:c r="I38" s="47" t="n">
        <x:v>0.8919</x:v>
      </x:c>
      <x:c r="J38" s="47" t="n">
        <x:v>0.7692</x:v>
      </x:c>
      <x:c r="K38" s="47" t="n">
        <x:v>0.004699999999999999</x:v>
      </x:c>
      <x:c r="L38" s="48" t="n">
        <x:v>15.5368</x:v>
      </x:c>
      <x:c r="M38" s="48" t="n">
        <x:v>8.6508</x:v>
      </x:c>
      <x:c r="N38" s="45" t="str">
        <x:v>沪深300</x:v>
      </x:c>
      <x:c r="O38" s="46" t="n">
        <x:v>46269</x:v>
      </x:c>
      <x:c r="P38" s="46" t="n">
        <x:v>46275</x:v>
      </x:c>
      <x:c r="Q38" s="45" t="str">
        <x:v>https://mp.fof99.com/fund/view/28d3372af2406528</x:v>
      </x:c>
      <x:c r="R38" s="45" t="str">
        <x:v>备案号匹配</x:v>
      </x:c>
    </x:row>
    <x:row r="39" ht="24" customHeight="1">
      <x:c r="A39" s="45" t="str">
        <x:v>铭杉量化稳健5号</x:v>
      </x:c>
      <x:c r="B39" s="45" t="str">
        <x:v>SLT573</x:v>
      </x:c>
      <x:c r="C39" s="45" t="str">
        <x:v>套利策略</x:v>
      </x:c>
      <x:c r="D39" s="45" t="str">
        <x:v>期货套利</x:v>
      </x:c>
      <x:c r="E39" s="45" t="str">
        <x:v>上海铭杉投资</x:v>
      </x:c>
      <x:c r="F39" s="46" t="n">
        <x:v>44088</x:v>
      </x:c>
      <x:c r="G39" s="47" t="n">
        <x:v>0.050499999999999996</x:v>
      </x:c>
      <x:c r="H39" s="47" t="n">
        <x:v>0.0567</x:v>
      </x:c>
      <x:c r="I39" s="47" t="n">
        <x:v>0.8649</x:v>
      </x:c>
      <x:c r="J39" s="47" t="n">
        <x:v>0.7692</x:v>
      </x:c>
      <x:c r="K39" s="47" t="n">
        <x:v>0.025099999999999997</x:v>
      </x:c>
      <x:c r="L39" s="48" t="n">
        <x:v>2.2574</x:v>
      </x:c>
      <x:c r="M39" s="48" t="n">
        <x:v>2.0133</x:v>
      </x:c>
      <x:c r="N39" s="45" t="str">
        <x:v>沪深300</x:v>
      </x:c>
      <x:c r="O39" s="46" t="n">
        <x:v>46269</x:v>
      </x:c>
      <x:c r="P39" s="46" t="n">
        <x:v>46275</x:v>
      </x:c>
      <x:c r="Q39" s="45" t="str">
        <x:v>https://mp.fof99.com/fund/view/9289c50ffc89f5de</x:v>
      </x:c>
      <x:c r="R39" s="45" t="str">
        <x:v>备案号匹配</x:v>
      </x:c>
    </x:row>
    <x:row r="40" ht="24" customHeight="1">
      <x:c r="A40" s="45" t="str">
        <x:v>摩旗ETF套利1号</x:v>
      </x:c>
      <x:c r="B40" s="45" t="str">
        <x:v>STR466</x:v>
      </x:c>
      <x:c r="C40" s="45" t="str">
        <x:v>套利策略</x:v>
      </x:c>
      <x:c r="D40" s="45" t="str">
        <x:v>基金套利</x:v>
      </x:c>
      <x:c r="E40" s="45" t="str">
        <x:v>上海摩旗投资</x:v>
      </x:c>
      <x:c r="F40" s="46" t="n">
        <x:v>44571</x:v>
      </x:c>
      <x:c r="G40" s="47" t="n">
        <x:v>0.1092</x:v>
      </x:c>
      <x:c r="H40" s="47" t="n">
        <x:v>0.1448</x:v>
      </x:c>
      <x:c r="I40" s="47" t="n">
        <x:v>0.9459000000000001</x:v>
      </x:c>
      <x:c r="J40" s="47" t="n">
        <x:v>0.9231</x:v>
      </x:c>
      <x:c r="K40" s="47" t="n">
        <x:v>0.005699999999999999</x:v>
      </x:c>
      <x:c r="L40" s="48" t="n">
        <x:v>25.3725</x:v>
      </x:c>
      <x:c r="M40" s="48" t="n">
        <x:v>19.1426</x:v>
      </x:c>
      <x:c r="N40" s="45" t="str">
        <x:v>沪深300</x:v>
      </x:c>
      <x:c r="O40" s="46" t="n">
        <x:v>46269</x:v>
      </x:c>
      <x:c r="P40" s="46" t="n">
        <x:v>46275</x:v>
      </x:c>
      <x:c r="Q40" s="45" t="str">
        <x:v>https://mp.fof99.com/fund/view/f263e8836aad5b82</x:v>
      </x:c>
      <x:c r="R40" s="45" t="str">
        <x:v>备案号匹配</x:v>
      </x:c>
    </x:row>
    <x:row r="41" ht="24" customHeight="1">
      <x:c r="A41" s="45" t="str">
        <x:v>慕途基本面量化1号</x:v>
      </x:c>
      <x:c r="B41" s="45" t="str">
        <x:v>SVW787</x:v>
      </x:c>
      <x:c r="C41" s="45" t="str">
        <x:v>套利策略</x:v>
      </x:c>
      <x:c r="D41" s="45" t="str">
        <x:v>期货套利</x:v>
      </x:c>
      <x:c r="E41" s="45" t="str">
        <x:v>慕途基金</x:v>
      </x:c>
      <x:c r="F41" s="46" t="n">
        <x:v>44750</x:v>
      </x:c>
      <x:c r="G41" s="47" t="n">
        <x:v>0.10310000000000001</x:v>
      </x:c>
      <x:c r="H41" s="47" t="n">
        <x:v>0.0898</x:v>
      </x:c>
      <x:c r="I41" s="47" t="n">
        <x:v>0.7027</x:v>
      </x:c>
      <x:c r="J41" s="47" t="n">
        <x:v>0.6923</x:v>
      </x:c>
      <x:c r="K41" s="47" t="n">
        <x:v>0.04019999999999999</x:v>
      </x:c>
      <x:c r="L41" s="48" t="n">
        <x:v>2.2337</x:v>
      </x:c>
      <x:c r="M41" s="48" t="n">
        <x:v>2.5636</x:v>
      </x:c>
      <x:c r="N41" s="45" t="str">
        <x:v>沪深300</x:v>
      </x:c>
      <x:c r="O41" s="46" t="n">
        <x:v>46269</x:v>
      </x:c>
      <x:c r="P41" s="46" t="n">
        <x:v>46275</x:v>
      </x:c>
      <x:c r="Q41" s="45" t="str">
        <x:v>https://mp.fof99.com/fund/view/437e3feded28d12d</x:v>
      </x:c>
      <x:c r="R41" s="45" t="str">
        <x:v>备案号匹配</x:v>
      </x:c>
    </x:row>
    <x:row r="42" ht="24" customHeight="1">
      <x:c r="A42" s="45" t="str">
        <x:v>慕途基本面量化2号</x:v>
      </x:c>
      <x:c r="B42" s="45" t="str">
        <x:v>SB9576</x:v>
      </x:c>
      <x:c r="C42" s="45" t="str">
        <x:v>套利策略</x:v>
      </x:c>
      <x:c r="D42" s="45" t="str">
        <x:v>期货套利</x:v>
      </x:c>
      <x:c r="E42" s="45" t="str">
        <x:v>慕途基金</x:v>
      </x:c>
      <x:c r="F42" s="46" t="n">
        <x:v>45166</x:v>
      </x:c>
      <x:c r="G42" s="47" t="n">
        <x:v>0.11019999999999999</x:v>
      </x:c>
      <x:c r="H42" s="47" t="n">
        <x:v>0.0942</x:v>
      </x:c>
      <x:c r="I42" s="47" t="n">
        <x:v>0.7837999999999999</x:v>
      </x:c>
      <x:c r="J42" s="47" t="n">
        <x:v>0.6923</x:v>
      </x:c>
      <x:c r="K42" s="47" t="n">
        <x:v>0.0375</x:v>
      </x:c>
      <x:c r="L42" s="48" t="n">
        <x:v>2.5144</x:v>
      </x:c>
      <x:c r="M42" s="48" t="n">
        <x:v>2.94</x:v>
      </x:c>
      <x:c r="N42" s="45" t="str">
        <x:v>沪深300</x:v>
      </x:c>
      <x:c r="O42" s="46" t="n">
        <x:v>46269</x:v>
      </x:c>
      <x:c r="P42" s="46" t="n">
        <x:v>46275</x:v>
      </x:c>
      <x:c r="Q42" s="45" t="str">
        <x:v>https://mp.fof99.com/fund/view/2b81990a6051e6e6</x:v>
      </x:c>
      <x:c r="R42" s="45" t="str">
        <x:v>备案号匹配</x:v>
      </x:c>
    </x:row>
    <x:row r="43" ht="24" customHeight="1">
      <x:c r="A43" s="45" t="str">
        <x:v>慕途商品套利1号</x:v>
      </x:c>
      <x:c r="B43" s="45" t="str">
        <x:v>SAHX36</x:v>
      </x:c>
      <x:c r="C43" s="45" t="str">
        <x:v>套利策略</x:v>
      </x:c>
      <x:c r="D43" s="45" t="str">
        <x:v>期货套利</x:v>
      </x:c>
      <x:c r="E43" s="45" t="str">
        <x:v>慕途基金</x:v>
      </x:c>
      <x:c r="F43" s="46" t="n">
        <x:v>45376</x:v>
      </x:c>
      <x:c r="G43" s="47" t="n">
        <x:v>0.1317</x:v>
      </x:c>
      <x:c r="H43" s="47"/>
      <x:c r="I43" s="47"/>
      <x:c r="J43" s="47" t="n">
        <x:v>0.8462000000000001</x:v>
      </x:c>
      <x:c r="K43" s="47"/>
      <x:c r="L43" s="48"/>
      <x:c r="M43" s="48" t="n">
        <x:v>10.4605</x:v>
      </x:c>
      <x:c r="N43" s="45" t="str">
        <x:v>沪深300</x:v>
      </x:c>
      <x:c r="O43" s="46" t="n">
        <x:v>46269</x:v>
      </x:c>
      <x:c r="P43" s="46" t="n">
        <x:v>46275</x:v>
      </x:c>
      <x:c r="Q43" s="45" t="str">
        <x:v>https://mp.fof99.com/fund/view/6170fbc34ea41205</x:v>
      </x:c>
      <x:c r="R43" s="45" t="str">
        <x:v>备案号匹配</x:v>
      </x:c>
    </x:row>
    <x:row r="44" ht="24" customHeight="1">
      <x:c r="A44" s="45" t="str">
        <x:v>慕途稳健1号</x:v>
      </x:c>
      <x:c r="B44" s="45" t="str">
        <x:v>SVM029</x:v>
      </x:c>
      <x:c r="C44" s="45" t="str">
        <x:v>期权策略</x:v>
      </x:c>
      <x:c r="D44" s="45" t="str">
        <x:v>场内期权</x:v>
      </x:c>
      <x:c r="E44" s="45" t="str">
        <x:v>慕途基金</x:v>
      </x:c>
      <x:c r="F44" s="46" t="n">
        <x:v>44691</x:v>
      </x:c>
      <x:c r="G44" s="47" t="n">
        <x:v>0.08039999999999999</x:v>
      </x:c>
      <x:c r="H44" s="47" t="n">
        <x:v>0.079</x:v>
      </x:c>
      <x:c r="I44" s="47" t="n">
        <x:v>1</x:v>
      </x:c>
      <x:c r="J44" s="47" t="n">
        <x:v>1</x:v>
      </x:c>
      <x:c r="K44" s="47" t="n">
        <x:v>0.0084</x:v>
      </x:c>
      <x:c r="L44" s="48" t="n">
        <x:v>9.4502</x:v>
      </x:c>
      <x:c r="M44" s="48" t="n">
        <x:v>23.319</x:v>
      </x:c>
      <x:c r="N44" s="45" t="str">
        <x:v>沪深300</x:v>
      </x:c>
      <x:c r="O44" s="46" t="n">
        <x:v>46269</x:v>
      </x:c>
      <x:c r="P44" s="46" t="n">
        <x:v>46275</x:v>
      </x:c>
      <x:c r="Q44" s="45" t="str">
        <x:v>https://mp.fof99.com/fund/view/1a1f9e733b6e6ee0</x:v>
      </x:c>
      <x:c r="R44" s="45" t="str">
        <x:v>备案号匹配</x:v>
      </x:c>
    </x:row>
    <x:row r="45" ht="24" customHeight="1">
      <x:c r="A45" s="45" t="str">
        <x:v>慕途盈川1号</x:v>
      </x:c>
      <x:c r="B45" s="45" t="str">
        <x:v>SAQQ67</x:v>
      </x:c>
      <x:c r="C45" s="45" t="str">
        <x:v>套利策略</x:v>
      </x:c>
      <x:c r="D45" s="45" t="str">
        <x:v>期货套利</x:v>
      </x:c>
      <x:c r="E45" s="45" t="str">
        <x:v>慕途基金</x:v>
      </x:c>
      <x:c r="F45" s="46" t="n">
        <x:v>45621</x:v>
      </x:c>
      <x:c r="G45" s="47" t="n">
        <x:v>0.1359</x:v>
      </x:c>
      <x:c r="H45" s="47"/>
      <x:c r="I45" s="47"/>
      <x:c r="J45" s="47" t="n">
        <x:v>0.7692</x:v>
      </x:c>
      <x:c r="K45" s="47"/>
      <x:c r="L45" s="48"/>
      <x:c r="M45" s="48" t="n">
        <x:v>6.0218</x:v>
      </x:c>
      <x:c r="N45" s="45" t="str">
        <x:v>沪深300</x:v>
      </x:c>
      <x:c r="O45" s="46" t="n">
        <x:v>46269</x:v>
      </x:c>
      <x:c r="P45" s="46" t="n">
        <x:v>46275</x:v>
      </x:c>
      <x:c r="Q45" s="45" t="str">
        <x:v>https://mp.fof99.com/fund/view/26b4ccb26333ca6a</x:v>
      </x:c>
      <x:c r="R45" s="45" t="str">
        <x:v>备案号匹配</x:v>
      </x:c>
    </x:row>
    <x:row r="46" ht="24" customHeight="1">
      <x:c r="A46" s="45" t="str">
        <x:v>奶酪鑫鑫宝二号</x:v>
      </x:c>
      <x:c r="B46" s="45" t="str">
        <x:v>SB2838</x:v>
      </x:c>
      <x:c r="C46" s="45" t="str">
        <x:v>套利策略</x:v>
      </x:c>
      <x:c r="D46" s="45" t="str">
        <x:v>期货套利</x:v>
      </x:c>
      <x:c r="E46" s="45" t="str">
        <x:v>广东奶酪</x:v>
      </x:c>
      <x:c r="F46" s="46" t="n">
        <x:v>45092</x:v>
      </x:c>
      <x:c r="G46" s="47" t="n">
        <x:v>0.0667</x:v>
      </x:c>
      <x:c r="H46" s="47" t="n">
        <x:v>0.0475</x:v>
      </x:c>
      <x:c r="I46" s="47" t="n">
        <x:v>1</x:v>
      </x:c>
      <x:c r="J46" s="47" t="n">
        <x:v>1</x:v>
      </x:c>
      <x:c r="K46" s="47" t="n">
        <x:v>0</x:v>
      </x:c>
      <x:c r="L46" s="48"/>
      <x:c r="M46" s="48"/>
      <x:c r="N46" s="45" t="str">
        <x:v>沪深300</x:v>
      </x:c>
      <x:c r="O46" s="46" t="n">
        <x:v>46269</x:v>
      </x:c>
      <x:c r="P46" s="46" t="n">
        <x:v>46275</x:v>
      </x:c>
      <x:c r="Q46" s="45" t="str">
        <x:v>https://mp.fof99.com/fund/view/3a6601028e5010ab</x:v>
      </x:c>
      <x:c r="R46" s="45" t="str">
        <x:v>备案号匹配</x:v>
      </x:c>
    </x:row>
    <x:row r="47" ht="24" customHeight="1">
      <x:c r="A47" s="45" t="str">
        <x:v>平凡凡响二号</x:v>
      </x:c>
      <x:c r="B47" s="45" t="str">
        <x:v>SZU727</x:v>
      </x:c>
      <x:c r="C47" s="45" t="str">
        <x:v>套利策略</x:v>
      </x:c>
      <x:c r="D47" s="45" t="str">
        <x:v>基金套利</x:v>
      </x:c>
      <x:c r="E47" s="45" t="str">
        <x:v>北京平凡</x:v>
      </x:c>
      <x:c r="F47" s="46" t="n">
        <x:v>45023</x:v>
      </x:c>
      <x:c r="G47" s="47" t="n">
        <x:v>0.0904</x:v>
      </x:c>
      <x:c r="H47" s="47" t="n">
        <x:v>0.0493</x:v>
      </x:c>
      <x:c r="I47" s="47" t="n">
        <x:v>0.8649</x:v>
      </x:c>
      <x:c r="J47" s="47" t="n">
        <x:v>1</x:v>
      </x:c>
      <x:c r="K47" s="47" t="n">
        <x:v>0.0068000000000000005</x:v>
      </x:c>
      <x:c r="L47" s="48" t="n">
        <x:v>7.2026</x:v>
      </x:c>
      <x:c r="M47" s="48" t="n">
        <x:v>69.4333</x:v>
      </x:c>
      <x:c r="N47" s="45" t="str">
        <x:v>沪深300</x:v>
      </x:c>
      <x:c r="O47" s="46" t="n">
        <x:v>46269</x:v>
      </x:c>
      <x:c r="P47" s="46" t="n">
        <x:v>46275</x:v>
      </x:c>
      <x:c r="Q47" s="45" t="str">
        <x:v>https://mp.fof99.com/fund/view/1cfd48f3c3164c34</x:v>
      </x:c>
      <x:c r="R47" s="45" t="str">
        <x:v>备案号匹配</x:v>
      </x:c>
    </x:row>
    <x:row r="48" ht="24" customHeight="1">
      <x:c r="A48" s="45" t="str">
        <x:v>平凡浩睿</x:v>
      </x:c>
      <x:c r="B48" s="45" t="str">
        <x:v>SJS890</x:v>
      </x:c>
      <x:c r="C48" s="45" t="str">
        <x:v>套利策略</x:v>
      </x:c>
      <x:c r="D48" s="45" t="str">
        <x:v>基金套利</x:v>
      </x:c>
      <x:c r="E48" s="45" t="str">
        <x:v>北京平凡</x:v>
      </x:c>
      <x:c r="F48" s="46" t="n">
        <x:v>43894</x:v>
      </x:c>
      <x:c r="G48" s="47" t="n">
        <x:v>0.20620000000000002</x:v>
      </x:c>
      <x:c r="H48" s="47" t="n">
        <x:v>0.1364</x:v>
      </x:c>
      <x:c r="I48" s="47" t="n">
        <x:v>0.8649</x:v>
      </x:c>
      <x:c r="J48" s="47" t="n">
        <x:v>0.9231</x:v>
      </x:c>
      <x:c r="K48" s="47" t="n">
        <x:v>0.025699999999999997</x:v>
      </x:c>
      <x:c r="L48" s="48" t="n">
        <x:v>5.3032</x:v>
      </x:c>
      <x:c r="M48" s="48" t="n">
        <x:v>51.564</x:v>
      </x:c>
      <x:c r="N48" s="45" t="str">
        <x:v>沪深300</x:v>
      </x:c>
      <x:c r="O48" s="46" t="n">
        <x:v>46269</x:v>
      </x:c>
      <x:c r="P48" s="46" t="n">
        <x:v>46275</x:v>
      </x:c>
      <x:c r="Q48" s="45" t="str">
        <x:v>https://mp.fof99.com/fund/view/cede2959c01b91f6</x:v>
      </x:c>
      <x:c r="R48" s="45" t="str">
        <x:v>备案号匹配</x:v>
      </x:c>
    </x:row>
    <x:row r="49" ht="24" customHeight="1">
      <x:c r="A49" s="45" t="str">
        <x:v>平凡悟鑫</x:v>
      </x:c>
      <x:c r="B49" s="45" t="str">
        <x:v>SJ2870</x:v>
      </x:c>
      <x:c r="C49" s="45" t="str">
        <x:v>套利策略</x:v>
      </x:c>
      <x:c r="D49" s="45" t="str">
        <x:v>基金套利</x:v>
      </x:c>
      <x:c r="E49" s="45" t="str">
        <x:v>北京平凡</x:v>
      </x:c>
      <x:c r="F49" s="46" t="n">
        <x:v>42479</x:v>
      </x:c>
      <x:c r="G49" s="47" t="n">
        <x:v>0.0719</x:v>
      </x:c>
      <x:c r="H49" s="47" t="n">
        <x:v>0.0646</x:v>
      </x:c>
      <x:c r="I49" s="47" t="n">
        <x:v>0.8919</x:v>
      </x:c>
      <x:c r="J49" s="47" t="n">
        <x:v>0.9231</x:v>
      </x:c>
      <x:c r="K49" s="47" t="n">
        <x:v>0.0097</x:v>
      </x:c>
      <x:c r="L49" s="48" t="n">
        <x:v>6.6467</x:v>
      </x:c>
      <x:c r="M49" s="48" t="n">
        <x:v>7.3998</x:v>
      </x:c>
      <x:c r="N49" s="45" t="str">
        <x:v>沪深300</x:v>
      </x:c>
      <x:c r="O49" s="46" t="n">
        <x:v>46269</x:v>
      </x:c>
      <x:c r="P49" s="46" t="n">
        <x:v>46275</x:v>
      </x:c>
      <x:c r="Q49" s="45" t="str">
        <x:v>https://mp.fof99.com/fund/view/8b4dbf527867d6d0</x:v>
      </x:c>
      <x:c r="R49" s="45" t="str">
        <x:v>备案号匹配</x:v>
      </x:c>
    </x:row>
    <x:row r="50" ht="24" customHeight="1">
      <x:c r="A50" s="45" t="str">
        <x:v>祁腾蜂赢1号</x:v>
      </x:c>
      <x:c r="B50" s="45" t="str">
        <x:v>SEV580</x:v>
      </x:c>
      <x:c r="C50" s="45" t="str">
        <x:v>套利策略</x:v>
      </x:c>
      <x:c r="D50" s="45" t="str">
        <x:v>期货套利</x:v>
      </x:c>
      <x:c r="E50" s="45" t="str">
        <x:v>宁波祁腾投资</x:v>
      </x:c>
      <x:c r="F50" s="46" t="n">
        <x:v>43490</x:v>
      </x:c>
      <x:c r="G50" s="47"/>
      <x:c r="H50" s="47"/>
      <x:c r="I50" s="47"/>
      <x:c r="J50" s="47"/>
      <x:c r="K50" s="47"/>
      <x:c r="L50" s="48"/>
      <x:c r="M50" s="48"/>
      <x:c r="N50" s="45" t="str">
        <x:v>沪深300</x:v>
      </x:c>
      <x:c r="O50" s="46" t="n">
        <x:v>46269</x:v>
      </x:c>
      <x:c r="P50" s="46" t="n">
        <x:v>46275</x:v>
      </x:c>
      <x:c r="Q50" s="45" t="str">
        <x:v>https://mp.fof99.com/fund/view/47e9165a9812665a</x:v>
      </x:c>
      <x:c r="R50" s="45" t="str">
        <x:v>备案号匹配</x:v>
      </x:c>
    </x:row>
    <x:row r="51" ht="24" customHeight="1">
      <x:c r="A51" s="45" t="str">
        <x:v>融昊青松CTA套利一号</x:v>
      </x:c>
      <x:c r="B51" s="45" t="str">
        <x:v>S09735</x:v>
      </x:c>
      <x:c r="C51" s="45" t="str">
        <x:v>期货策略</x:v>
      </x:c>
      <x:c r="D51" s="45" t="str">
        <x:v>主观期货</x:v>
      </x:c>
      <x:c r="E51" s="45" t="str">
        <x:v>上海融昊投资</x:v>
      </x:c>
      <x:c r="F51" s="46" t="n">
        <x:v>45064</x:v>
      </x:c>
      <x:c r="G51" s="47" t="n">
        <x:v>0.09449999999999999</x:v>
      </x:c>
      <x:c r="H51" s="47" t="n">
        <x:v>0.1009</x:v>
      </x:c>
      <x:c r="I51" s="47" t="n">
        <x:v>0.7837999999999999</x:v>
      </x:c>
      <x:c r="J51" s="47" t="n">
        <x:v>0.8462000000000001</x:v>
      </x:c>
      <x:c r="K51" s="47" t="n">
        <x:v>0.0362</x:v>
      </x:c>
      <x:c r="L51" s="48" t="n">
        <x:v>2.7913</x:v>
      </x:c>
      <x:c r="M51" s="48" t="n">
        <x:v>5.7555</x:v>
      </x:c>
      <x:c r="N51" s="45" t="str">
        <x:v>南华商品指数</x:v>
      </x:c>
      <x:c r="O51" s="46" t="n">
        <x:v>46269</x:v>
      </x:c>
      <x:c r="P51" s="46" t="n">
        <x:v>46275</x:v>
      </x:c>
      <x:c r="Q51" s="45" t="str">
        <x:v>https://mp.fof99.com/fund/view/a88265fe21033296</x:v>
      </x:c>
      <x:c r="R51" s="45" t="str">
        <x:v>备案号匹配</x:v>
      </x:c>
    </x:row>
    <x:row r="52" ht="24" customHeight="1">
      <x:c r="A52" s="45" t="str">
        <x:v>锐耐复利倍增2号C类</x:v>
      </x:c>
      <x:c r="B52" s="45" t="str">
        <x:v>XV513C</x:v>
      </x:c>
      <x:c r="C52" s="45" t="str">
        <x:v>套利策略</x:v>
      </x:c>
      <x:c r="D52" s="45" t="str">
        <x:v>期货套利</x:v>
      </x:c>
      <x:c r="E52" s="45" t="str">
        <x:v>上海锐耐</x:v>
      </x:c>
      <x:c r="F52" s="46" t="n">
        <x:v>44893</x:v>
      </x:c>
      <x:c r="G52" s="47"/>
      <x:c r="H52" s="47"/>
      <x:c r="I52" s="47"/>
      <x:c r="J52" s="47"/>
      <x:c r="K52" s="47"/>
      <x:c r="L52" s="48"/>
      <x:c r="M52" s="48"/>
      <x:c r="N52" s="45" t="str">
        <x:v>沪深300</x:v>
      </x:c>
      <x:c r="O52" s="46" t="n">
        <x:v>46269</x:v>
      </x:c>
      <x:c r="P52" s="46" t="n">
        <x:v>46275</x:v>
      </x:c>
      <x:c r="Q52" s="45" t="str">
        <x:v>https://mp.fof99.com/fund/view/31ef590a8e08938a</x:v>
      </x:c>
      <x:c r="R52" s="45" t="str">
        <x:v>备案号匹配</x:v>
      </x:c>
    </x:row>
    <x:row r="53" ht="24" customHeight="1">
      <x:c r="A53" s="45" t="str">
        <x:v>睿启鑫享1号</x:v>
      </x:c>
      <x:c r="B53" s="45" t="str">
        <x:v>SAQD46</x:v>
      </x:c>
      <x:c r="C53" s="45" t="str">
        <x:v>套利策略</x:v>
      </x:c>
      <x:c r="D53" s="45" t="str">
        <x:v>期货套利</x:v>
      </x:c>
      <x:c r="E53" s="45" t="str">
        <x:v>无锡睿启</x:v>
      </x:c>
      <x:c r="F53" s="46" t="n">
        <x:v>45595</x:v>
      </x:c>
      <x:c r="G53" s="47"/>
      <x:c r="H53" s="47"/>
      <x:c r="I53" s="47"/>
      <x:c r="J53" s="47"/>
      <x:c r="K53" s="47"/>
      <x:c r="L53" s="48"/>
      <x:c r="M53" s="48"/>
      <x:c r="N53" s="45" t="str">
        <x:v>沪深300</x:v>
      </x:c>
      <x:c r="O53" s="46" t="n">
        <x:v>46269</x:v>
      </x:c>
      <x:c r="P53" s="46" t="n">
        <x:v>46275</x:v>
      </x:c>
      <x:c r="Q53" s="45" t="str">
        <x:v>https://mp.fof99.com/fund/view/a9c8655ec835e06f</x:v>
      </x:c>
      <x:c r="R53" s="45" t="str">
        <x:v>备案号匹配</x:v>
      </x:c>
    </x:row>
    <x:row r="54" ht="24" customHeight="1">
      <x:c r="A54" s="45" t="str">
        <x:v>杉阳云杉混合1号A类</x:v>
      </x:c>
      <x:c r="B54" s="45" t="str">
        <x:v>LA063A</x:v>
      </x:c>
      <x:c r="C54" s="45" t="str">
        <x:v>套利策略</x:v>
      </x:c>
      <x:c r="D54" s="45" t="str">
        <x:v>期货套利</x:v>
      </x:c>
      <x:c r="E54" s="45" t="str">
        <x:v>上海杉阳</x:v>
      </x:c>
      <x:c r="F54" s="46" t="n">
        <x:v>43980</x:v>
      </x:c>
      <x:c r="G54" s="47" t="n">
        <x:v>0.0707</x:v>
      </x:c>
      <x:c r="H54" s="47" t="n">
        <x:v>0.038599999999999995</x:v>
      </x:c>
      <x:c r="I54" s="47" t="n">
        <x:v>0.6757</x:v>
      </x:c>
      <x:c r="J54" s="47" t="n">
        <x:v>0.7692</x:v>
      </x:c>
      <x:c r="K54" s="47" t="n">
        <x:v>0.031</x:v>
      </x:c>
      <x:c r="L54" s="48" t="n">
        <x:v>1.2434</x:v>
      </x:c>
      <x:c r="M54" s="48" t="n">
        <x:v>12.1029</x:v>
      </x:c>
      <x:c r="N54" s="45" t="str">
        <x:v>沪深300</x:v>
      </x:c>
      <x:c r="O54" s="46" t="n">
        <x:v>46269</x:v>
      </x:c>
      <x:c r="P54" s="46" t="n">
        <x:v>46275</x:v>
      </x:c>
      <x:c r="Q54" s="45" t="str">
        <x:v>https://mp.fof99.com/fund/view/da0c65e7ce600ec9</x:v>
      </x:c>
      <x:c r="R54" s="45" t="str">
        <x:v>备案号匹配</x:v>
      </x:c>
    </x:row>
    <x:row r="55" ht="24" customHeight="1">
      <x:c r="A55" s="45" t="str">
        <x:v>尚湖期权套利安享1号</x:v>
      </x:c>
      <x:c r="B55" s="45" t="str">
        <x:v>SXZ850</x:v>
      </x:c>
      <x:c r="C55" s="45" t="str">
        <x:v>期权策略</x:v>
      </x:c>
      <x:c r="D55" s="45" t="str">
        <x:v>场内期权</x:v>
      </x:c>
      <x:c r="E55" s="45" t="str">
        <x:v>上海尚湖</x:v>
      </x:c>
      <x:c r="F55" s="46" t="n">
        <x:v>44915</x:v>
      </x:c>
      <x:c r="G55" s="47" t="n">
        <x:v>0.025699999999999997</x:v>
      </x:c>
      <x:c r="H55" s="47" t="n">
        <x:v>0.049800000000000004</x:v>
      </x:c>
      <x:c r="I55" s="47" t="n">
        <x:v>0.8378</x:v>
      </x:c>
      <x:c r="J55" s="47" t="n">
        <x:v>0.7692</x:v>
      </x:c>
      <x:c r="K55" s="47" t="n">
        <x:v>0.049800000000000004</x:v>
      </x:c>
      <x:c r="L55" s="48" t="n">
        <x:v>0.9986</x:v>
      </x:c>
      <x:c r="M55" s="48" t="n">
        <x:v>2.4248</x:v>
      </x:c>
      <x:c r="N55" s="45" t="str">
        <x:v>沪深300</x:v>
      </x:c>
      <x:c r="O55" s="46" t="n">
        <x:v>46269</x:v>
      </x:c>
      <x:c r="P55" s="46" t="n">
        <x:v>46275</x:v>
      </x:c>
      <x:c r="Q55" s="45" t="str">
        <x:v>https://mp.fof99.com/fund/view/6522b5ad5dcbdcbd</x:v>
      </x:c>
      <x:c r="R55" s="45" t="str">
        <x:v>备案号匹配</x:v>
      </x:c>
    </x:row>
    <x:row r="56" ht="24" customHeight="1">
      <x:c r="A56" s="45" t="str">
        <x:v>深度梦扬量化1号</x:v>
      </x:c>
      <x:c r="B56" s="45" t="str">
        <x:v>SZM348</x:v>
      </x:c>
      <x:c r="C56" s="45" t="str">
        <x:v>期权策略</x:v>
      </x:c>
      <x:c r="D56" s="45" t="str">
        <x:v>场内期权</x:v>
      </x:c>
      <x:c r="E56" s="45" t="str">
        <x:v>杭州深度资管</x:v>
      </x:c>
      <x:c r="F56" s="46" t="n">
        <x:v>44985</x:v>
      </x:c>
      <x:c r="G56" s="47" t="n">
        <x:v>0.0924</x:v>
      </x:c>
      <x:c r="H56" s="47" t="n">
        <x:v>0.061900000000000004</x:v>
      </x:c>
      <x:c r="I56" s="47" t="n">
        <x:v>0.7568</x:v>
      </x:c>
      <x:c r="J56" s="47" t="n">
        <x:v>0.6923</x:v>
      </x:c>
      <x:c r="K56" s="47" t="n">
        <x:v>0.0365</x:v>
      </x:c>
      <x:c r="L56" s="48" t="n">
        <x:v>1.695</x:v>
      </x:c>
      <x:c r="M56" s="48" t="n">
        <x:v>2.5301</x:v>
      </x:c>
      <x:c r="N56" s="45" t="str">
        <x:v>沪深300</x:v>
      </x:c>
      <x:c r="O56" s="46" t="n">
        <x:v>46269</x:v>
      </x:c>
      <x:c r="P56" s="46" t="n">
        <x:v>46275</x:v>
      </x:c>
      <x:c r="Q56" s="45" t="str">
        <x:v>https://mp.fof99.com/fund/view/d84950ffb7571587</x:v>
      </x:c>
      <x:c r="R56" s="45" t="str">
        <x:v>备案号匹配</x:v>
      </x:c>
    </x:row>
    <x:row r="57" ht="24" customHeight="1">
      <x:c r="A57" s="45" t="str">
        <x:v>深度梦扬量化套利0号</x:v>
      </x:c>
      <x:c r="B57" s="45" t="str">
        <x:v>SQD620</x:v>
      </x:c>
      <x:c r="C57" s="45" t="str">
        <x:v>期权策略</x:v>
      </x:c>
      <x:c r="D57" s="45" t="str">
        <x:v>场内期权</x:v>
      </x:c>
      <x:c r="E57" s="45" t="str">
        <x:v>杭州深度资管</x:v>
      </x:c>
      <x:c r="F57" s="46" t="n">
        <x:v>44305</x:v>
      </x:c>
      <x:c r="G57" s="47"/>
      <x:c r="H57" s="47"/>
      <x:c r="I57" s="47"/>
      <x:c r="J57" s="47"/>
      <x:c r="K57" s="47"/>
      <x:c r="L57" s="48"/>
      <x:c r="M57" s="48"/>
      <x:c r="N57" s="45" t="str">
        <x:v>沪深300</x:v>
      </x:c>
      <x:c r="O57" s="46" t="n">
        <x:v>46269</x:v>
      </x:c>
      <x:c r="P57" s="46" t="n">
        <x:v>46275</x:v>
      </x:c>
      <x:c r="Q57" s="45" t="str">
        <x:v>https://mp.fof99.com/fund/view/56199c339d1a20c7</x:v>
      </x:c>
      <x:c r="R57" s="45" t="str">
        <x:v>备案号匹配</x:v>
      </x:c>
    </x:row>
    <x:row r="58" ht="24" customHeight="1">
      <x:c r="A58" s="45" t="str">
        <x:v>盛冠达试金石3号</x:v>
      </x:c>
      <x:c r="B58" s="45" t="str">
        <x:v>SW1709</x:v>
      </x:c>
      <x:c r="C58" s="45" t="str">
        <x:v>套利策略</x:v>
      </x:c>
      <x:c r="D58" s="45" t="str">
        <x:v>期货套利</x:v>
      </x:c>
      <x:c r="E58" s="45" t="str">
        <x:v>海南盛冠达</x:v>
      </x:c>
      <x:c r="F58" s="46" t="n">
        <x:v>43041</x:v>
      </x:c>
      <x:c r="G58" s="47" t="n">
        <x:v>0.0255</x:v>
      </x:c>
      <x:c r="H58" s="47" t="n">
        <x:v>0.0484</x:v>
      </x:c>
      <x:c r="I58" s="47" t="n">
        <x:v>0.6757</x:v>
      </x:c>
      <x:c r="J58" s="47" t="n">
        <x:v>0.6923</x:v>
      </x:c>
      <x:c r="K58" s="47" t="n">
        <x:v>0.0393</x:v>
      </x:c>
      <x:c r="L58" s="48" t="n">
        <x:v>1.2291</x:v>
      </x:c>
      <x:c r="M58" s="48" t="n">
        <x:v>1.2268</x:v>
      </x:c>
      <x:c r="N58" s="45" t="str">
        <x:v>沪深300</x:v>
      </x:c>
      <x:c r="O58" s="46" t="n">
        <x:v>46269</x:v>
      </x:c>
      <x:c r="P58" s="46" t="n">
        <x:v>46275</x:v>
      </x:c>
      <x:c r="Q58" s="45" t="str">
        <x:v>https://mp.fof99.com/fund/view/592f730fcd5623e4</x:v>
      </x:c>
      <x:c r="R58" s="45" t="str">
        <x:v>备案号匹配</x:v>
      </x:c>
    </x:row>
    <x:row r="59" ht="24" customHeight="1">
      <x:c r="A59" s="45" t="str">
        <x:v>世宽若水尘心2号B类</x:v>
      </x:c>
      <x:c r="B59" s="45" t="str">
        <x:v>XX769B</x:v>
      </x:c>
      <x:c r="C59" s="45" t="str">
        <x:v>套利策略</x:v>
      </x:c>
      <x:c r="D59" s="45" t="str">
        <x:v>期货套利</x:v>
      </x:c>
      <x:c r="E59" s="45" t="str">
        <x:v>厦门世宽</x:v>
      </x:c>
      <x:c r="F59" s="46" t="n">
        <x:v>44904</x:v>
      </x:c>
      <x:c r="G59" s="47" t="n">
        <x:v>0.1582</x:v>
      </x:c>
      <x:c r="H59" s="47"/>
      <x:c r="I59" s="47"/>
      <x:c r="J59" s="47" t="n">
        <x:v>0.6923</x:v>
      </x:c>
      <x:c r="K59" s="47"/>
      <x:c r="L59" s="48"/>
      <x:c r="M59" s="48" t="n">
        <x:v>10.8875</x:v>
      </x:c>
      <x:c r="N59" s="45" t="str">
        <x:v>沪深300</x:v>
      </x:c>
      <x:c r="O59" s="46" t="n">
        <x:v>46269</x:v>
      </x:c>
      <x:c r="P59" s="46" t="n">
        <x:v>46275</x:v>
      </x:c>
      <x:c r="Q59" s="45" t="str">
        <x:v>https://mp.fof99.com/fund/view/317110f339421a93</x:v>
      </x:c>
      <x:c r="R59" s="45" t="str">
        <x:v>备案号匹配</x:v>
      </x:c>
    </x:row>
    <x:row r="60" ht="24" customHeight="1">
      <x:c r="A60" s="45" t="str">
        <x:v>世宽若水尘心3号</x:v>
      </x:c>
      <x:c r="B60" s="45" t="str">
        <x:v>SXT730</x:v>
      </x:c>
      <x:c r="C60" s="45" t="str">
        <x:v>套利策略</x:v>
      </x:c>
      <x:c r="D60" s="45" t="str">
        <x:v>期货套利</x:v>
      </x:c>
      <x:c r="E60" s="45" t="str">
        <x:v>厦门世宽</x:v>
      </x:c>
      <x:c r="F60" s="46" t="n">
        <x:v>44883</x:v>
      </x:c>
      <x:c r="G60" s="47"/>
      <x:c r="H60" s="47"/>
      <x:c r="I60" s="47"/>
      <x:c r="J60" s="47"/>
      <x:c r="K60" s="47"/>
      <x:c r="L60" s="48"/>
      <x:c r="M60" s="48"/>
      <x:c r="N60" s="45" t="str">
        <x:v>沪深300</x:v>
      </x:c>
      <x:c r="O60" s="46" t="n">
        <x:v>46269</x:v>
      </x:c>
      <x:c r="P60" s="46" t="n">
        <x:v>46275</x:v>
      </x:c>
      <x:c r="Q60" s="45" t="str">
        <x:v>https://mp.fof99.com/fund/view/de992f1098047fe1</x:v>
      </x:c>
      <x:c r="R60" s="45" t="str">
        <x:v>备案号匹配</x:v>
      </x:c>
    </x:row>
    <x:row r="61" ht="24" customHeight="1">
      <x:c r="A61" s="45" t="str">
        <x:v>殊馥馥源套利1号</x:v>
      </x:c>
      <x:c r="B61" s="45" t="str">
        <x:v>SGM512</x:v>
      </x:c>
      <x:c r="C61" s="45" t="str">
        <x:v>套利策略</x:v>
      </x:c>
      <x:c r="D61" s="45" t="str">
        <x:v>基金套利</x:v>
      </x:c>
      <x:c r="E61" s="45" t="str">
        <x:v>上海殊馥投资</x:v>
      </x:c>
      <x:c r="F61" s="46" t="n">
        <x:v>43585</x:v>
      </x:c>
      <x:c r="G61" s="47" t="n">
        <x:v>0.0944</x:v>
      </x:c>
      <x:c r="H61" s="47" t="n">
        <x:v>0.0669</x:v>
      </x:c>
      <x:c r="I61" s="47" t="n">
        <x:v>0.8108</x:v>
      </x:c>
      <x:c r="J61" s="47" t="n">
        <x:v>1</x:v>
      </x:c>
      <x:c r="K61" s="47" t="n">
        <x:v>0.050199999999999995</x:v>
      </x:c>
      <x:c r="L61" s="48" t="n">
        <x:v>1.3332</x:v>
      </x:c>
      <x:c r="M61" s="48" t="n">
        <x:v>10.8113</x:v>
      </x:c>
      <x:c r="N61" s="45" t="str">
        <x:v>沪深300</x:v>
      </x:c>
      <x:c r="O61" s="46" t="n">
        <x:v>46269</x:v>
      </x:c>
      <x:c r="P61" s="46" t="n">
        <x:v>46275</x:v>
      </x:c>
      <x:c r="Q61" s="45" t="str">
        <x:v>https://mp.fof99.com/fund/view/7d1044d0dd00c1bd</x:v>
      </x:c>
      <x:c r="R61" s="45" t="str">
        <x:v>备案号匹配</x:v>
      </x:c>
    </x:row>
    <x:row r="62" ht="24" customHeight="1">
      <x:c r="A62" s="45" t="str">
        <x:v>殊馥兴义6号</x:v>
      </x:c>
      <x:c r="B62" s="45" t="str">
        <x:v>SXQ267</x:v>
      </x:c>
      <x:c r="C62" s="45" t="str">
        <x:v>套利策略</x:v>
      </x:c>
      <x:c r="D62" s="45" t="str">
        <x:v>期货套利</x:v>
      </x:c>
      <x:c r="E62" s="45" t="str">
        <x:v>上海殊馥投资</x:v>
      </x:c>
      <x:c r="F62" s="46" t="n">
        <x:v>44867</x:v>
      </x:c>
      <x:c r="G62" s="47" t="n">
        <x:v>0.0779</x:v>
      </x:c>
      <x:c r="H62" s="47" t="n">
        <x:v>0.06509999999999999</x:v>
      </x:c>
      <x:c r="I62" s="47" t="n">
        <x:v>0.8108</x:v>
      </x:c>
      <x:c r="J62" s="47" t="n">
        <x:v>0.7692</x:v>
      </x:c>
      <x:c r="K62" s="47" t="n">
        <x:v>0.0169</x:v>
      </x:c>
      <x:c r="L62" s="48" t="n">
        <x:v>3.8429</x:v>
      </x:c>
      <x:c r="M62" s="48" t="n">
        <x:v>4.599</x:v>
      </x:c>
      <x:c r="N62" s="45" t="str">
        <x:v>沪深300</x:v>
      </x:c>
      <x:c r="O62" s="46" t="n">
        <x:v>46269</x:v>
      </x:c>
      <x:c r="P62" s="46" t="n">
        <x:v>46275</x:v>
      </x:c>
      <x:c r="Q62" s="45" t="str">
        <x:v>https://mp.fof99.com/fund/view/7c4ebba3db529d5e</x:v>
      </x:c>
      <x:c r="R62" s="45" t="str">
        <x:v>备案号匹配</x:v>
      </x:c>
    </x:row>
    <x:row r="63" ht="24" customHeight="1">
      <x:c r="A63" s="45" t="str">
        <x:v>殊馥兴义7号</x:v>
      </x:c>
      <x:c r="B63" s="45" t="str">
        <x:v>SXT610</x:v>
      </x:c>
      <x:c r="C63" s="45" t="str">
        <x:v>套利策略</x:v>
      </x:c>
      <x:c r="D63" s="45" t="str">
        <x:v>期货套利</x:v>
      </x:c>
      <x:c r="E63" s="45" t="str">
        <x:v>上海殊馥投资</x:v>
      </x:c>
      <x:c r="F63" s="46" t="n">
        <x:v>44894</x:v>
      </x:c>
      <x:c r="G63" s="47" t="n">
        <x:v>0.07150000000000001</x:v>
      </x:c>
      <x:c r="H63" s="47" t="n">
        <x:v>0.0784</x:v>
      </x:c>
      <x:c r="I63" s="47" t="n">
        <x:v>0.8378</x:v>
      </x:c>
      <x:c r="J63" s="47" t="n">
        <x:v>0.8462000000000001</x:v>
      </x:c>
      <x:c r="K63" s="47" t="n">
        <x:v>0.0079</x:v>
      </x:c>
      <x:c r="L63" s="48" t="n">
        <x:v>9.9706</x:v>
      </x:c>
      <x:c r="M63" s="48" t="n">
        <x:v>9.0843</x:v>
      </x:c>
      <x:c r="N63" s="45" t="str">
        <x:v>沪深300</x:v>
      </x:c>
      <x:c r="O63" s="46" t="n">
        <x:v>46269</x:v>
      </x:c>
      <x:c r="P63" s="46" t="n">
        <x:v>46275</x:v>
      </x:c>
      <x:c r="Q63" s="45" t="str">
        <x:v>https://mp.fof99.com/fund/view/f26adec295039db6</x:v>
      </x:c>
      <x:c r="R63" s="45" t="str">
        <x:v>备案号匹配</x:v>
      </x:c>
    </x:row>
    <x:row r="64" ht="24" customHeight="1">
      <x:c r="A64" s="45" t="str">
        <x:v>数为道策套利一号</x:v>
      </x:c>
      <x:c r="B64" s="45" t="str">
        <x:v>SNA956</x:v>
      </x:c>
      <x:c r="C64" s="45" t="str">
        <x:v>套利策略</x:v>
      </x:c>
      <x:c r="D64" s="45" t="str">
        <x:v>基金套利</x:v>
      </x:c>
      <x:c r="E64" s="45" t="str">
        <x:v>福州数为</x:v>
      </x:c>
      <x:c r="F64" s="46" t="n">
        <x:v>44123</x:v>
      </x:c>
      <x:c r="G64" s="47"/>
      <x:c r="H64" s="47" t="n">
        <x:v>-0.11449999999999999</x:v>
      </x:c>
      <x:c r="I64" s="47" t="n">
        <x:v>0.3784</x:v>
      </x:c>
      <x:c r="J64" s="47"/>
      <x:c r="K64" s="47" t="n">
        <x:v>0.3667</x:v>
      </x:c>
      <x:c r="L64" s="48" t="n">
        <x:v>-0.3121</x:v>
      </x:c>
      <x:c r="M64" s="48"/>
      <x:c r="N64" s="45" t="str">
        <x:v>沪深300</x:v>
      </x:c>
      <x:c r="O64" s="46" t="n">
        <x:v>46269</x:v>
      </x:c>
      <x:c r="P64" s="46" t="n">
        <x:v>46275</x:v>
      </x:c>
      <x:c r="Q64" s="45" t="str">
        <x:v>https://mp.fof99.com/fund/view/2a7eea7355174458</x:v>
      </x:c>
      <x:c r="R64" s="45" t="str">
        <x:v>备案号匹配</x:v>
      </x:c>
    </x:row>
    <x:row r="65" ht="24" customHeight="1">
      <x:c r="A65" s="45" t="str">
        <x:v>唐德幽兰量化套利一号</x:v>
      </x:c>
      <x:c r="B65" s="45" t="str">
        <x:v>SAHM04</x:v>
      </x:c>
      <x:c r="C65" s="45" t="str">
        <x:v>套利策略</x:v>
      </x:c>
      <x:c r="D65" s="45" t="str">
        <x:v>期货套利</x:v>
      </x:c>
      <x:c r="E65" s="45" t="str">
        <x:v>深圳唐德</x:v>
      </x:c>
      <x:c r="F65" s="46" t="n">
        <x:v>45408</x:v>
      </x:c>
      <x:c r="G65" s="47" t="n">
        <x:v>0.0858</x:v>
      </x:c>
      <x:c r="H65" s="47"/>
      <x:c r="I65" s="47"/>
      <x:c r="J65" s="47" t="n">
        <x:v>0.8462000000000001</x:v>
      </x:c>
      <x:c r="K65" s="47"/>
      <x:c r="L65" s="48"/>
      <x:c r="M65" s="48" t="n">
        <x:v>3.3908</x:v>
      </x:c>
      <x:c r="N65" s="45" t="str">
        <x:v>沪深300</x:v>
      </x:c>
      <x:c r="O65" s="46" t="n">
        <x:v>46269</x:v>
      </x:c>
      <x:c r="P65" s="46" t="n">
        <x:v>46275</x:v>
      </x:c>
      <x:c r="Q65" s="45" t="str">
        <x:v>https://mp.fof99.com/fund/view/440208e7421f6896</x:v>
      </x:c>
      <x:c r="R65" s="45" t="str">
        <x:v>备案号匹配</x:v>
      </x:c>
    </x:row>
    <x:row r="66" ht="24" customHeight="1">
      <x:c r="A66" s="45" t="str">
        <x:v>唐龙量化对冲99号</x:v>
      </x:c>
      <x:c r="B66" s="45" t="str">
        <x:v>SJQ683</x:v>
      </x:c>
      <x:c r="C66" s="45" t="str">
        <x:v>套利策略</x:v>
      </x:c>
      <x:c r="D66" s="45" t="str">
        <x:v>可转债套利</x:v>
      </x:c>
      <x:c r="E66" s="45" t="str">
        <x:v>福建平潭唐龙资管</x:v>
      </x:c>
      <x:c r="F66" s="46" t="n">
        <x:v>43885</x:v>
      </x:c>
      <x:c r="G66" s="47" t="n">
        <x:v>0.0195</x:v>
      </x:c>
      <x:c r="H66" s="47" t="n">
        <x:v>0.0404</x:v>
      </x:c>
      <x:c r="I66" s="47" t="n">
        <x:v>0.6486</x:v>
      </x:c>
      <x:c r="J66" s="47" t="n">
        <x:v>0.6154</x:v>
      </x:c>
      <x:c r="K66" s="47" t="n">
        <x:v>0.1458</x:v>
      </x:c>
      <x:c r="L66" s="48" t="n">
        <x:v>0.2772</x:v>
      </x:c>
      <x:c r="M66" s="48" t="n">
        <x:v>5.898</x:v>
      </x:c>
      <x:c r="N66" s="45" t="str">
        <x:v>沪深300</x:v>
      </x:c>
      <x:c r="O66" s="46" t="n">
        <x:v>46269</x:v>
      </x:c>
      <x:c r="P66" s="46" t="n">
        <x:v>46275</x:v>
      </x:c>
      <x:c r="Q66" s="45" t="str">
        <x:v>https://mp.fof99.com/fund/view/55e83c08d572e2a7</x:v>
      </x:c>
      <x:c r="R66" s="45" t="str">
        <x:v>备案号匹配</x:v>
      </x:c>
    </x:row>
    <x:row r="67" ht="24" customHeight="1">
      <x:c r="A67" s="45" t="str">
        <x:v>系数CTA套利五号</x:v>
      </x:c>
      <x:c r="B67" s="45" t="str">
        <x:v>SXT086</x:v>
      </x:c>
      <x:c r="C67" s="45" t="str">
        <x:v>套利策略</x:v>
      </x:c>
      <x:c r="D67" s="45" t="str">
        <x:v>期货套利</x:v>
      </x:c>
      <x:c r="E67" s="45" t="str">
        <x:v>上海系数投资</x:v>
      </x:c>
      <x:c r="F67" s="46" t="n">
        <x:v>44881</x:v>
      </x:c>
      <x:c r="G67" s="47"/>
      <x:c r="H67" s="47"/>
      <x:c r="I67" s="47"/>
      <x:c r="J67" s="47"/>
      <x:c r="K67" s="47"/>
      <x:c r="L67" s="48"/>
      <x:c r="M67" s="48"/>
      <x:c r="N67" s="45" t="str">
        <x:v>南华商品指数</x:v>
      </x:c>
      <x:c r="O67" s="46" t="n">
        <x:v>46269</x:v>
      </x:c>
      <x:c r="P67" s="46" t="n">
        <x:v>46275</x:v>
      </x:c>
      <x:c r="Q67" s="45" t="str">
        <x:v>https://mp.fof99.com/fund/view/6c49b0993fc714bc</x:v>
      </x:c>
      <x:c r="R67" s="45" t="str">
        <x:v>备案号匹配</x:v>
      </x:c>
    </x:row>
    <x:row r="68" ht="24" customHeight="1">
      <x:c r="A68" s="45" t="str">
        <x:v>悬铃C号</x:v>
      </x:c>
      <x:c r="B68" s="45" t="str">
        <x:v>SEK201</x:v>
      </x:c>
      <x:c r="C68" s="45" t="str">
        <x:v>套利策略</x:v>
      </x:c>
      <x:c r="D68" s="45" t="str">
        <x:v>可转债套利</x:v>
      </x:c>
      <x:c r="E68" s="45" t="str">
        <x:v>上海悬铃</x:v>
      </x:c>
      <x:c r="F68" s="46" t="n">
        <x:v>43423</x:v>
      </x:c>
      <x:c r="G68" s="47"/>
      <x:c r="H68" s="47" t="n">
        <x:v>0.0638</x:v>
      </x:c>
      <x:c r="I68" s="47" t="n">
        <x:v>0.5</x:v>
      </x:c>
      <x:c r="J68" s="47"/>
      <x:c r="K68" s="47" t="n">
        <x:v>0.056100000000000004</x:v>
      </x:c>
      <x:c r="L68" s="48" t="n">
        <x:v>1.137</x:v>
      </x:c>
      <x:c r="M68" s="48"/>
      <x:c r="N68" s="45" t="str">
        <x:v>沪深300</x:v>
      </x:c>
      <x:c r="O68" s="46" t="n">
        <x:v>46269</x:v>
      </x:c>
      <x:c r="P68" s="46" t="n">
        <x:v>46275</x:v>
      </x:c>
      <x:c r="Q68" s="45" t="str">
        <x:v>https://mp.fof99.com/fund/view/858f6f879edbd061</x:v>
      </x:c>
      <x:c r="R68" s="45" t="str">
        <x:v>备案号匹配</x:v>
      </x:c>
    </x:row>
    <x:row r="69" ht="24" customHeight="1">
      <x:c r="A69" s="45" t="str">
        <x:v>英旷专享2号A类</x:v>
      </x:c>
      <x:c r="B69" s="45" t="str">
        <x:v>AKV28A</x:v>
      </x:c>
      <x:c r="C69" s="45" t="str">
        <x:v>套利策略</x:v>
      </x:c>
      <x:c r="D69" s="45" t="str">
        <x:v>可转债套利</x:v>
      </x:c>
      <x:c r="E69" s="45" t="str">
        <x:v>上海英旷资管</x:v>
      </x:c>
      <x:c r="F69" s="46" t="n">
        <x:v>45441</x:v>
      </x:c>
      <x:c r="G69" s="47" t="n">
        <x:v>0.087</x:v>
      </x:c>
      <x:c r="H69" s="47"/>
      <x:c r="I69" s="47"/>
      <x:c r="J69" s="47" t="n">
        <x:v>0.7692</x:v>
      </x:c>
      <x:c r="K69" s="47"/>
      <x:c r="L69" s="48"/>
      <x:c r="M69" s="48" t="n">
        <x:v>18.2994</x:v>
      </x:c>
      <x:c r="N69" s="45" t="str">
        <x:v>沪深300</x:v>
      </x:c>
      <x:c r="O69" s="46" t="n">
        <x:v>46269</x:v>
      </x:c>
      <x:c r="P69" s="46" t="n">
        <x:v>46275</x:v>
      </x:c>
      <x:c r="Q69" s="45" t="str">
        <x:v>https://mp.fof99.com/fund/view/8177b794c749fb2a</x:v>
      </x:c>
      <x:c r="R69" s="45" t="str">
        <x:v>备案号匹配</x:v>
      </x:c>
    </x:row>
    <x:row r="70" ht="24" customHeight="1">
      <x:c r="A70" s="45" t="str">
        <x:v>永泉奇点17号混合投资</x:v>
      </x:c>
      <x:c r="B70" s="45" t="str">
        <x:v>SNG016</x:v>
      </x:c>
      <x:c r="C70" s="45" t="str">
        <x:v>套利策略</x:v>
      </x:c>
      <x:c r="D70" s="45" t="str">
        <x:v>期货套利</x:v>
      </x:c>
      <x:c r="E70" s="45" t="str">
        <x:v>宁波永泉</x:v>
      </x:c>
      <x:c r="F70" s="46" t="n">
        <x:v>44155</x:v>
      </x:c>
      <x:c r="G70" s="47" t="n">
        <x:v>0.0553</x:v>
      </x:c>
      <x:c r="H70" s="47" t="n">
        <x:v>0.1192</x:v>
      </x:c>
      <x:c r="I70" s="47" t="n">
        <x:v>0.8108</x:v>
      </x:c>
      <x:c r="J70" s="47" t="n">
        <x:v>0.8462000000000001</x:v>
      </x:c>
      <x:c r="K70" s="47" t="n">
        <x:v>0.0108</x:v>
      </x:c>
      <x:c r="L70" s="48" t="n">
        <x:v>11.0857</x:v>
      </x:c>
      <x:c r="M70" s="48" t="n">
        <x:v>15.1012</x:v>
      </x:c>
      <x:c r="N70" s="45" t="str">
        <x:v>沪深300</x:v>
      </x:c>
      <x:c r="O70" s="46" t="n">
        <x:v>46269</x:v>
      </x:c>
      <x:c r="P70" s="46" t="n">
        <x:v>46275</x:v>
      </x:c>
      <x:c r="Q70" s="45" t="str">
        <x:v>https://mp.fof99.com/fund/view/12b6e6dc40e0626c</x:v>
      </x:c>
      <x:c r="R70" s="45" t="str">
        <x:v>备案号匹配</x:v>
      </x:c>
    </x:row>
    <x:row r="71" ht="24" customHeight="1">
      <x:c r="A71" s="45" t="str">
        <x:v>永泉奇点1号混合投资</x:v>
      </x:c>
      <x:c r="B71" s="45" t="str">
        <x:v>SGM299</x:v>
      </x:c>
      <x:c r="C71" s="45" t="str">
        <x:v>套利策略</x:v>
      </x:c>
      <x:c r="D71" s="45" t="str">
        <x:v>期货套利</x:v>
      </x:c>
      <x:c r="E71" s="45" t="str">
        <x:v>宁波永泉</x:v>
      </x:c>
      <x:c r="F71" s="46" t="n">
        <x:v>43585</x:v>
      </x:c>
      <x:c r="G71" s="47" t="n">
        <x:v>0.060899999999999996</x:v>
      </x:c>
      <x:c r="H71" s="47" t="n">
        <x:v>0.09300000000000001</x:v>
      </x:c>
      <x:c r="I71" s="47" t="n">
        <x:v>0.8649</x:v>
      </x:c>
      <x:c r="J71" s="47" t="n">
        <x:v>0.9231</x:v>
      </x:c>
      <x:c r="K71" s="47" t="n">
        <x:v>0.0144</x:v>
      </x:c>
      <x:c r="L71" s="48" t="n">
        <x:v>6.4572</x:v>
      </x:c>
      <x:c r="M71" s="48" t="n">
        <x:v>25.854</x:v>
      </x:c>
      <x:c r="N71" s="45" t="str">
        <x:v>沪深300</x:v>
      </x:c>
      <x:c r="O71" s="46" t="n">
        <x:v>46269</x:v>
      </x:c>
      <x:c r="P71" s="46" t="n">
        <x:v>46275</x:v>
      </x:c>
      <x:c r="Q71" s="45" t="str">
        <x:v>https://mp.fof99.com/fund/view/c8b8443b50a70919</x:v>
      </x:c>
      <x:c r="R71" s="45" t="str">
        <x:v>备案号匹配</x:v>
      </x:c>
    </x:row>
    <x:row r="72" ht="24" customHeight="1">
      <x:c r="A72" s="45" t="str">
        <x:v>永泉奇点2号混合投资</x:v>
      </x:c>
      <x:c r="B72" s="45" t="str">
        <x:v>SJB356</x:v>
      </x:c>
      <x:c r="C72" s="45" t="str">
        <x:v>套利策略</x:v>
      </x:c>
      <x:c r="D72" s="45" t="str">
        <x:v>期货套利</x:v>
      </x:c>
      <x:c r="E72" s="45" t="str">
        <x:v>宁波永泉</x:v>
      </x:c>
      <x:c r="F72" s="46" t="n">
        <x:v>43728</x:v>
      </x:c>
      <x:c r="G72" s="47" t="n">
        <x:v>0.0583</x:v>
      </x:c>
      <x:c r="H72" s="47" t="n">
        <x:v>0.1242</x:v>
      </x:c>
      <x:c r="I72" s="47" t="n">
        <x:v>0.8649</x:v>
      </x:c>
      <x:c r="J72" s="47" t="n">
        <x:v>1</x:v>
      </x:c>
      <x:c r="K72" s="47" t="n">
        <x:v>0.0227</x:v>
      </x:c>
      <x:c r="L72" s="48" t="n">
        <x:v>5.461</x:v>
      </x:c>
      <x:c r="M72" s="48" t="n">
        <x:v>18.2945</x:v>
      </x:c>
      <x:c r="N72" s="45" t="str">
        <x:v>沪深300</x:v>
      </x:c>
      <x:c r="O72" s="46" t="n">
        <x:v>46269</x:v>
      </x:c>
      <x:c r="P72" s="46" t="n">
        <x:v>46275</x:v>
      </x:c>
      <x:c r="Q72" s="45" t="str">
        <x:v>https://mp.fof99.com/fund/view/82e5c285d80c294f</x:v>
      </x:c>
      <x:c r="R72" s="45" t="str">
        <x:v>备案号匹配</x:v>
      </x:c>
    </x:row>
    <x:row r="73" ht="24" customHeight="1">
      <x:c r="A73" s="45" t="str">
        <x:v>涌涵农本一号</x:v>
      </x:c>
      <x:c r="B73" s="45" t="str">
        <x:v>SAWA30</x:v>
      </x:c>
      <x:c r="C73" s="45" t="str">
        <x:v>套利策略</x:v>
      </x:c>
      <x:c r="D73" s="45"/>
      <x:c r="E73" s="45" t="str">
        <x:v>上海涌涵</x:v>
      </x:c>
      <x:c r="F73" s="46" t="n">
        <x:v>45803</x:v>
      </x:c>
      <x:c r="G73" s="47" t="n">
        <x:v>0.24050000000000002</x:v>
      </x:c>
      <x:c r="H73" s="47"/>
      <x:c r="I73" s="47"/>
      <x:c r="J73" s="47" t="n">
        <x:v>0.46149999999999997</x:v>
      </x:c>
      <x:c r="K73" s="47"/>
      <x:c r="L73" s="48"/>
      <x:c r="M73" s="48" t="n">
        <x:v>1.2242</x:v>
      </x:c>
      <x:c r="N73" s="45" t="str">
        <x:v>沪深300</x:v>
      </x:c>
      <x:c r="O73" s="46" t="n">
        <x:v>46269</x:v>
      </x:c>
      <x:c r="P73" s="46" t="n">
        <x:v>46275</x:v>
      </x:c>
      <x:c r="Q73" s="45" t="str">
        <x:v>https://mp.fof99.com/fund/view/fbdc1fb41bf9e1b4</x:v>
      </x:c>
      <x:c r="R73" s="45" t="str">
        <x:v>备案号匹配</x:v>
      </x:c>
    </x:row>
    <x:row r="74" ht="24" customHeight="1">
      <x:c r="A74" s="45" t="str">
        <x:v>裕锦量化专享1号</x:v>
      </x:c>
      <x:c r="B74" s="45" t="str">
        <x:v>SNE165</x:v>
      </x:c>
      <x:c r="C74" s="45" t="str">
        <x:v>套利策略</x:v>
      </x:c>
      <x:c r="D74" s="45" t="str">
        <x:v>期货套利</x:v>
      </x:c>
      <x:c r="E74" s="45" t="str">
        <x:v>深圳裕锦</x:v>
      </x:c>
      <x:c r="F74" s="46" t="n">
        <x:v>44166</x:v>
      </x:c>
      <x:c r="G74" s="47" t="n">
        <x:v>0.1855</x:v>
      </x:c>
      <x:c r="H74" s="47" t="n">
        <x:v>0.172</x:v>
      </x:c>
      <x:c r="I74" s="47" t="n">
        <x:v>0.8378</x:v>
      </x:c>
      <x:c r="J74" s="47" t="n">
        <x:v>0.7692</x:v>
      </x:c>
      <x:c r="K74" s="47" t="n">
        <x:v>0.0105</x:v>
      </x:c>
      <x:c r="L74" s="48" t="n">
        <x:v>16.4367</x:v>
      </x:c>
      <x:c r="M74" s="48" t="n">
        <x:v>39.9118</x:v>
      </x:c>
      <x:c r="N74" s="45" t="str">
        <x:v>沪深300</x:v>
      </x:c>
      <x:c r="O74" s="46" t="n">
        <x:v>46269</x:v>
      </x:c>
      <x:c r="P74" s="46" t="n">
        <x:v>46275</x:v>
      </x:c>
      <x:c r="Q74" s="45" t="str">
        <x:v>https://mp.fof99.com/fund/view/5fbd2c74a9d29c0f</x:v>
      </x:c>
      <x:c r="R74" s="45" t="str">
        <x:v>备案号匹配</x:v>
      </x:c>
    </x:row>
    <x:row r="75" ht="24" customHeight="1">
      <x:c r="A75" s="45" t="str">
        <x:v>在赢套利一号</x:v>
      </x:c>
      <x:c r="B75" s="45" t="str">
        <x:v>SGW281</x:v>
      </x:c>
      <x:c r="C75" s="45" t="str">
        <x:v>期货策略</x:v>
      </x:c>
      <x:c r="D75" s="45" t="str">
        <x:v>主观期货</x:v>
      </x:c>
      <x:c r="E75" s="45" t="str">
        <x:v>浙江在赢</x:v>
      </x:c>
      <x:c r="F75" s="46" t="n">
        <x:v>43710</x:v>
      </x:c>
      <x:c r="G75" s="47" t="n">
        <x:v>0.1844</x:v>
      </x:c>
      <x:c r="H75" s="47" t="n">
        <x:v>0.1427</x:v>
      </x:c>
      <x:c r="I75" s="47" t="n">
        <x:v>0.7297</x:v>
      </x:c>
      <x:c r="J75" s="47" t="n">
        <x:v>0.8462000000000001</x:v>
      </x:c>
      <x:c r="K75" s="47" t="n">
        <x:v>0.0584</x:v>
      </x:c>
      <x:c r="L75" s="48" t="n">
        <x:v>2.4432</x:v>
      </x:c>
      <x:c r="M75" s="48" t="n">
        <x:v>8.3045</x:v>
      </x:c>
      <x:c r="N75" s="45" t="str">
        <x:v>南华商品指数</x:v>
      </x:c>
      <x:c r="O75" s="46" t="n">
        <x:v>46269</x:v>
      </x:c>
      <x:c r="P75" s="46" t="n">
        <x:v>46275</x:v>
      </x:c>
      <x:c r="Q75" s="45" t="str">
        <x:v>https://mp.fof99.com/fund/view/2f189375b75b47fd</x:v>
      </x:c>
      <x:c r="R75" s="45" t="str">
        <x:v>备案号匹配</x:v>
      </x:c>
    </x:row>
    <x:row r="76" ht="24" customHeight="1">
      <x:c r="A76" s="45" t="str">
        <x:v>哲石君顺易安贰号</x:v>
      </x:c>
      <x:c r="B76" s="45" t="str">
        <x:v>SBBC37</x:v>
      </x:c>
      <x:c r="C76" s="45" t="str">
        <x:v>套利策略</x:v>
      </x:c>
      <x:c r="D76" s="45" t="str">
        <x:v>期货套利</x:v>
      </x:c>
      <x:c r="E76" s="45" t="str">
        <x:v>杭州哲石</x:v>
      </x:c>
      <x:c r="F76" s="46" t="n">
        <x:v>45848</x:v>
      </x:c>
      <x:c r="G76" s="47"/>
      <x:c r="H76" s="47"/>
      <x:c r="I76" s="47"/>
      <x:c r="J76" s="47"/>
      <x:c r="K76" s="47"/>
      <x:c r="L76" s="48"/>
      <x:c r="M76" s="48"/>
      <x:c r="N76" s="45" t="str">
        <x:v>沪深300</x:v>
      </x:c>
      <x:c r="O76" s="46" t="n">
        <x:v>46269</x:v>
      </x:c>
      <x:c r="P76" s="46" t="n">
        <x:v>46275</x:v>
      </x:c>
      <x:c r="Q76" s="45" t="str">
        <x:v>https://mp.fof99.com/fund/view/3c9e7c114b369c69</x:v>
      </x:c>
      <x:c r="R76" s="45" t="str">
        <x:v>备案号匹配</x:v>
      </x:c>
    </x:row>
    <x:row r="77" ht="24" customHeight="1">
      <x:c r="A77" s="45" t="str">
        <x:v>哲石君顺易安壹号</x:v>
      </x:c>
      <x:c r="B77" s="45" t="str">
        <x:v>SAVN21</x:v>
      </x:c>
      <x:c r="C77" s="45" t="str">
        <x:v>套利策略</x:v>
      </x:c>
      <x:c r="D77" s="45" t="str">
        <x:v>期货套利</x:v>
      </x:c>
      <x:c r="E77" s="45" t="str">
        <x:v>杭州哲石</x:v>
      </x:c>
      <x:c r="F77" s="46" t="n">
        <x:v>45749</x:v>
      </x:c>
      <x:c r="G77" s="47"/>
      <x:c r="H77" s="47"/>
      <x:c r="I77" s="47"/>
      <x:c r="J77" s="47"/>
      <x:c r="K77" s="47"/>
      <x:c r="L77" s="48"/>
      <x:c r="M77" s="48"/>
      <x:c r="N77" s="45" t="str">
        <x:v>沪深300</x:v>
      </x:c>
      <x:c r="O77" s="46" t="n">
        <x:v>46269</x:v>
      </x:c>
      <x:c r="P77" s="46" t="n">
        <x:v>46275</x:v>
      </x:c>
      <x:c r="Q77" s="45" t="str">
        <x:v>https://mp.fof99.com/fund/view/e71e4de667b3a0df</x:v>
      </x:c>
      <x:c r="R77" s="45" t="str">
        <x:v>备案号匹配</x:v>
      </x:c>
    </x:row>
    <x:row r="78" ht="24" customHeight="1">
      <x:c r="A78" s="45" t="str">
        <x:v>臻选期权套利一号</x:v>
      </x:c>
      <x:c r="B78" s="45" t="str">
        <x:v>SBEM86</x:v>
      </x:c>
      <x:c r="C78" s="45" t="str">
        <x:v>期权策略</x:v>
      </x:c>
      <x:c r="D78" s="45"/>
      <x:c r="E78" s="45" t="str">
        <x:v>海南臻选</x:v>
      </x:c>
      <x:c r="F78" s="46" t="n">
        <x:v>45929</x:v>
      </x:c>
      <x:c r="G78" s="47"/>
      <x:c r="H78" s="47"/>
      <x:c r="I78" s="47"/>
      <x:c r="J78" s="47"/>
      <x:c r="K78" s="47"/>
      <x:c r="L78" s="48"/>
      <x:c r="M78" s="48"/>
      <x:c r="N78" s="45" t="str">
        <x:v>沪深300</x:v>
      </x:c>
      <x:c r="O78" s="46" t="n">
        <x:v>46269</x:v>
      </x:c>
      <x:c r="P78" s="46" t="n">
        <x:v>46275</x:v>
      </x:c>
      <x:c r="Q78" s="45" t="str">
        <x:v>https://mp.fof99.com/fund/view/6a8da1db45b76b2f</x:v>
      </x:c>
      <x:c r="R78" s="45" t="str">
        <x:v>备案号匹配</x:v>
      </x:c>
    </x:row>
    <x:row r="79" ht="24" customHeight="1">
      <x:c r="A79" s="45" t="str">
        <x:v>致同稳盈对冲</x:v>
      </x:c>
      <x:c r="B79" s="45" t="str">
        <x:v>SS8645</x:v>
      </x:c>
      <x:c r="C79" s="45" t="str">
        <x:v>套利策略</x:v>
      </x:c>
      <x:c r="D79" s="45" t="str">
        <x:v>期货套利</x:v>
      </x:c>
      <x:c r="E79" s="45" t="str">
        <x:v>上海致同投资</x:v>
      </x:c>
      <x:c r="F79" s="46" t="n">
        <x:v>42857</x:v>
      </x:c>
      <x:c r="G79" s="47" t="n">
        <x:v>0.0381</x:v>
      </x:c>
      <x:c r="H79" s="47" t="n">
        <x:v>0.048</x:v>
      </x:c>
      <x:c r="I79" s="47" t="n">
        <x:v>0.7837999999999999</x:v>
      </x:c>
      <x:c r="J79" s="47" t="n">
        <x:v>0.6923</x:v>
      </x:c>
      <x:c r="K79" s="47" t="n">
        <x:v>0.0134</x:v>
      </x:c>
      <x:c r="L79" s="48" t="n">
        <x:v>3.5896</x:v>
      </x:c>
      <x:c r="M79" s="48" t="n">
        <x:v>2.8512</x:v>
      </x:c>
      <x:c r="N79" s="45" t="str">
        <x:v>沪深300</x:v>
      </x:c>
      <x:c r="O79" s="46" t="n">
        <x:v>46269</x:v>
      </x:c>
      <x:c r="P79" s="46" t="n">
        <x:v>46275</x:v>
      </x:c>
      <x:c r="Q79" s="45" t="str">
        <x:v>https://mp.fof99.com/fund/view/691a98bba5e4cde6</x:v>
      </x:c>
      <x:c r="R79" s="45" t="str">
        <x:v>备案号匹配</x:v>
      </x:c>
    </x:row>
    <x:row r="80" ht="24" customHeight="1">
      <x:c r="A80" s="45" t="str">
        <x:v>致远投资昆仑1号</x:v>
      </x:c>
      <x:c r="B80" s="45" t="str">
        <x:v>SSD863</x:v>
      </x:c>
      <x:c r="C80" s="45" t="str">
        <x:v>期权策略</x:v>
      </x:c>
      <x:c r="D80" s="45" t="str">
        <x:v>场内期权</x:v>
      </x:c>
      <x:c r="E80" s="45" t="str">
        <x:v>广州致远</x:v>
      </x:c>
      <x:c r="F80" s="46" t="n">
        <x:v>44550</x:v>
      </x:c>
      <x:c r="G80" s="47" t="n">
        <x:v>0.030899999999999997</x:v>
      </x:c>
      <x:c r="H80" s="47" t="n">
        <x:v>0.048600000000000004</x:v>
      </x:c>
      <x:c r="I80" s="47" t="n">
        <x:v>0.6215999999999999</x:v>
      </x:c>
      <x:c r="J80" s="47" t="n">
        <x:v>0.46149999999999997</x:v>
      </x:c>
      <x:c r="K80" s="47" t="n">
        <x:v>0.040999999999999995</x:v>
      </x:c>
      <x:c r="L80" s="48" t="n">
        <x:v>1.1848</x:v>
      </x:c>
      <x:c r="M80" s="48" t="n">
        <x:v>1.391</x:v>
      </x:c>
      <x:c r="N80" s="45" t="str">
        <x:v>沪深300</x:v>
      </x:c>
      <x:c r="O80" s="46" t="n">
        <x:v>46269</x:v>
      </x:c>
      <x:c r="P80" s="46" t="n">
        <x:v>46275</x:v>
      </x:c>
      <x:c r="Q80" s="45" t="str">
        <x:v>https://mp.fof99.com/fund/view/134f91eefa4596c1</x:v>
      </x:c>
      <x:c r="R80" s="45" t="str">
        <x:v>备案号匹配</x:v>
      </x:c>
    </x:row>
    <x:row r="81" ht="24" customHeight="1">
      <x:c r="A81" s="45" t="str">
        <x:v>智领泽临套利六号</x:v>
      </x:c>
      <x:c r="B81" s="45" t="str">
        <x:v>SAYU23</x:v>
      </x:c>
      <x:c r="C81" s="45" t="str">
        <x:v>套利策略</x:v>
      </x:c>
      <x:c r="D81" s="45"/>
      <x:c r="E81" s="45" t="str">
        <x:v>福州智领三联</x:v>
      </x:c>
      <x:c r="F81" s="46" t="n">
        <x:v>45800</x:v>
      </x:c>
      <x:c r="G81" s="47" t="n">
        <x:v>0.11720000000000001</x:v>
      </x:c>
      <x:c r="H81" s="47"/>
      <x:c r="I81" s="47"/>
      <x:c r="J81" s="47" t="n">
        <x:v>0.9231</x:v>
      </x:c>
      <x:c r="K81" s="47"/>
      <x:c r="L81" s="48"/>
      <x:c r="M81" s="48" t="n">
        <x:v>21.0627</x:v>
      </x:c>
      <x:c r="N81" s="45" t="str">
        <x:v>沪深300</x:v>
      </x:c>
      <x:c r="O81" s="46" t="n">
        <x:v>46269</x:v>
      </x:c>
      <x:c r="P81" s="46" t="n">
        <x:v>46275</x:v>
      </x:c>
      <x:c r="Q81" s="45" t="str">
        <x:v>https://mp.fof99.com/fund/view/e4ab70da8204cae4</x:v>
      </x:c>
      <x:c r="R81" s="45" t="str">
        <x:v>备案号匹配</x:v>
      </x:c>
    </x:row>
    <x:row r="82" ht="24" customHeight="1">
      <x:c r="A82" s="45" t="str">
        <x:v>中益仁梅香千寒</x:v>
      </x:c>
      <x:c r="B82" s="45" t="str">
        <x:v>SBAF26</x:v>
      </x:c>
      <x:c r="C82" s="45" t="str">
        <x:v>套利策略</x:v>
      </x:c>
      <x:c r="D82" s="45" t="str">
        <x:v>期货套利</x:v>
      </x:c>
      <x:c r="E82" s="45" t="str">
        <x:v>日照中益仁</x:v>
      </x:c>
      <x:c r="F82" s="46" t="n">
        <x:v>45826</x:v>
      </x:c>
      <x:c r="G82" s="47" t="n">
        <x:v>0.3154</x:v>
      </x:c>
      <x:c r="H82" s="47"/>
      <x:c r="I82" s="47"/>
      <x:c r="J82" s="47" t="n">
        <x:v>0.8462000000000001</x:v>
      </x:c>
      <x:c r="K82" s="47"/>
      <x:c r="L82" s="48"/>
      <x:c r="M82" s="48" t="n">
        <x:v>4.7185</x:v>
      </x:c>
      <x:c r="N82" s="45" t="str">
        <x:v>沪深300</x:v>
      </x:c>
      <x:c r="O82" s="46" t="n">
        <x:v>46269</x:v>
      </x:c>
      <x:c r="P82" s="46" t="n">
        <x:v>46275</x:v>
      </x:c>
      <x:c r="Q82" s="45" t="str">
        <x:v>https://mp.fof99.com/fund/view/bd503e768e8f0dca</x:v>
      </x:c>
      <x:c r="R82" s="45" t="str">
        <x:v>备案号匹配</x:v>
      </x:c>
    </x:row>
    <x:row r="83" ht="24" customHeight="1">
      <x:c r="A83" s="45" t="str">
        <x:v>庄贤对冲3号</x:v>
      </x:c>
      <x:c r="B83" s="45" t="str">
        <x:v>SGW091</x:v>
      </x:c>
      <x:c r="C83" s="45" t="str">
        <x:v>期权策略</x:v>
      </x:c>
      <x:c r="D83" s="45" t="str">
        <x:v>场内期权</x:v>
      </x:c>
      <x:c r="E83" s="45" t="str">
        <x:v>杭州庄贤投资</x:v>
      </x:c>
      <x:c r="F83" s="46" t="n">
        <x:v>43665</x:v>
      </x:c>
      <x:c r="G83" s="47" t="n">
        <x:v>0.0433</x:v>
      </x:c>
      <x:c r="H83" s="47" t="n">
        <x:v>0.0463</x:v>
      </x:c>
      <x:c r="I83" s="47" t="n">
        <x:v>0.7568</x:v>
      </x:c>
      <x:c r="J83" s="47" t="n">
        <x:v>0.6923</x:v>
      </x:c>
      <x:c r="K83" s="47" t="n">
        <x:v>0.0268</x:v>
      </x:c>
      <x:c r="L83" s="48" t="n">
        <x:v>1.7263</x:v>
      </x:c>
      <x:c r="M83" s="48" t="n">
        <x:v>5.6782</x:v>
      </x:c>
      <x:c r="N83" s="45" t="str">
        <x:v>沪深300</x:v>
      </x:c>
      <x:c r="O83" s="46" t="n">
        <x:v>46269</x:v>
      </x:c>
      <x:c r="P83" s="46" t="n">
        <x:v>46275</x:v>
      </x:c>
      <x:c r="Q83" s="45" t="str">
        <x:v>https://mp.fof99.com/fund/view/a96d179026030f2d</x:v>
      </x:c>
      <x:c r="R83" s="45" t="str">
        <x:v>备案号匹配</x:v>
      </x:c>
    </x:row>
    <x:row r="84" ht="24" customHeight="1">
      <x:c r="A84" s="45" t="str">
        <x:v>合绎塑造者10号</x:v>
      </x:c>
      <x:c r="B84" s="45" t="str">
        <x:v>SAHP82</x:v>
      </x:c>
      <x:c r="C84" s="45" t="str">
        <x:v>期权策略</x:v>
      </x:c>
      <x:c r="D84" s="45"/>
      <x:c r="E84" s="45" t="str">
        <x:v>上海合绎投资</x:v>
      </x:c>
      <x:c r="F84" s="46" t="n">
        <x:v>45363</x:v>
      </x:c>
      <x:c r="G84" s="47"/>
      <x:c r="H84" s="47"/>
      <x:c r="I84" s="47"/>
      <x:c r="J84" s="47"/>
      <x:c r="K84" s="47"/>
      <x:c r="L84" s="48"/>
      <x:c r="M84" s="48"/>
      <x:c r="N84" s="45" t="str">
        <x:v>沪深300</x:v>
      </x:c>
      <x:c r="O84" s="46" t="n">
        <x:v>46269</x:v>
      </x:c>
      <x:c r="P84" s="46" t="n">
        <x:v>46275</x:v>
      </x:c>
      <x:c r="Q84" s="45" t="str">
        <x:v>https://mp.fof99.com/fund/view/acbdbde1b1c49c01</x:v>
      </x:c>
      <x:c r="R84" s="45" t="str">
        <x:v>备案号匹配</x:v>
      </x:c>
    </x:row>
  </x:sheetData>
  <x:pageMargins left="0.7" right="0.7" top="0.75" bottom="0.75" header="0.3" footer="0.3"/>
  <x:tableParts count="1">
    <x:tablePart xmlns:r="http://schemas.openxmlformats.org/officeDocument/2006/relationships" r:id="Rd23f365dcb3e4a2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2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60" hidden="0" customWidth="1"/>
    <x:col min="10" max="10" width="15" hidden="0" customWidth="1"/>
    <x:col min="11" max="11" width="28" hidden="0" customWidth="1"/>
    <x:col min="12" max="12" width="60" hidden="0" customWidth="1"/>
    <x:col min="13" max="13" width="15" hidden="0" customWidth="1"/>
    <x:col min="14" max="14" width="15" hidden="0" customWidth="1"/>
    <x:col min="15" max="15" width="60" hidden="0" customWidth="1"/>
    <x:col min="16" max="16" width="15" hidden="0" customWidth="1"/>
    <x:col min="17" max="17" width="15" hidden="0" customWidth="1"/>
    <x:col min="18" max="18" width="78" hidden="0" customWidth="1"/>
    <x:col min="19" max="19" width="28" hidden="0" customWidth="1"/>
    <x:col min="20" max="20" width="28" hidden="0" customWidth="1"/>
    <x:col min="21" max="21" width="15" hidden="0" customWidth="1"/>
    <x:col min="22" max="22" width="15" hidden="0" customWidth="1"/>
  </x:cols>
  <x:sheetData>
    <x:row r="1" ht="44" customHeight="1">
      <x:c r="A1" s="20" t="str">
        <x:v>原表行号</x:v>
      </x:c>
      <x:c r="B1" s="21" t="str">
        <x:v>原表产品名称</x:v>
      </x:c>
      <x:c r="C1" s="21" t="str">
        <x:v>原表备案号</x:v>
      </x:c>
      <x:c r="D1" s="21" t="str">
        <x:v>查询备案号线索</x:v>
      </x:c>
      <x:c r="E1" s="21" t="str">
        <x:v>平台备案号</x:v>
      </x:c>
      <x:c r="F1" s="21" t="str">
        <x:v>匹配状态</x:v>
      </x:c>
      <x:c r="G1" s="21" t="str">
        <x:v>提取日期</x:v>
      </x:c>
      <x:c r="H1" s="21" t="str">
        <x:v>指标截止日</x:v>
      </x:c>
      <x:c r="I1" s="21" t="str">
        <x:v>产品来源URL</x:v>
      </x:c>
      <x:c r="J1" s="21" t="str">
        <x:v>导出文件名</x:v>
      </x:c>
      <x:c r="K1" s="21" t="str">
        <x:v>管理人规模区间</x:v>
      </x:c>
      <x:c r="L1" s="21" t="str">
        <x:v>管理人规模来源</x:v>
      </x:c>
      <x:c r="M1" s="21" t="str">
        <x:v>管理人规模日期</x:v>
      </x:c>
      <x:c r="N1" s="21" t="str">
        <x:v>低于1000万提示（1有/0无）</x:v>
      </x:c>
      <x:c r="O1" s="21" t="str">
        <x:v>产品标识来源</x:v>
      </x:c>
      <x:c r="P1" s="21" t="str">
        <x:v>产品标识核验日期</x:v>
      </x:c>
      <x:c r="Q1" s="21" t="str">
        <x:v>成立以来年化收益</x:v>
      </x:c>
      <x:c r="R1" s="21" t="str">
        <x:v>查询与数据说明</x:v>
      </x:c>
      <x:c r="S1" s="21" t="str">
        <x:v>原表统一策略</x:v>
      </x:c>
      <x:c r="T1" s="21" t="str">
        <x:v>协会产品名称</x:v>
      </x:c>
      <x:c r="U1" s="21" t="str">
        <x:v>协会备案号</x:v>
      </x:c>
      <x:c r="V1" s="22" t="str">
        <x:v>已精确匹配完整公示</x:v>
      </x:c>
    </x:row>
    <x:row r="2" ht="58" customHeight="1">
      <x:c r="A2" s="45" t="n">
        <x:v>2</x:v>
      </x:c>
      <x:c r="B2" s="45" t="str">
        <x:v>爱凡哲九号</x:v>
      </x:c>
      <x:c r="C2" s="45" t="str">
        <x:v>SJA112</x:v>
      </x:c>
      <x:c r="D2" s="45" t="str">
        <x:v>SJA112</x:v>
      </x:c>
      <x:c r="E2" s="45" t="str">
        <x:v>SJA112</x:v>
      </x:c>
      <x:c r="F2" s="45" t="str">
        <x:v>备案号匹配</x:v>
      </x:c>
      <x:c r="G2" s="46" t="n">
        <x:v>46275</x:v>
      </x:c>
      <x:c r="H2" s="46" t="n">
        <x:v>46269</x:v>
      </x:c>
      <x:c r="I2" s="50" t="str">
        <x:v>https://mp.fof99.com/fund/view/8e641c904118560b</x:v>
      </x:c>
      <x:c r="J2" s="45" t="str">
        <x:v>私募基金 (1).xlsx</x:v>
      </x:c>
      <x:c r="K2" s="45" t="str">
        <x:v>20-50亿元</x:v>
      </x:c>
      <x:c r="L2" s="50" t="str">
        <x:v>https://mp.fof99.com/fund/view/8e641c904118560b</x:v>
      </x:c>
      <x:c r="M2" s="46" t="n">
        <x:v>46275</x:v>
      </x:c>
      <x:c r="N2" s="51" t="n">
        <x:v>0</x:v>
      </x:c>
      <x:c r="O2" s="50" t="str">
        <x:v>https://gs.amac.org.cn/amac-infodisc/res/pof/fund/1909051919107161.html</x:v>
      </x:c>
      <x:c r="P2" s="46" t="n">
        <x:v>46275</x:v>
      </x:c>
      <x:c r="Q2" s="47" t="n">
        <x:v>0.10300000000000001</x:v>
      </x:c>
      <x:c r="R2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2" s="45" t="str">
        <x:v>套利策略—期货套利</x:v>
      </x:c>
      <x:c r="T2" s="45" t="str"/>
      <x:c r="U2" s="45" t="str">
        <x:v>SJA112</x:v>
      </x:c>
      <x:c r="V2" s="45" t="str">
        <x:v>是</x:v>
      </x:c>
    </x:row>
    <x:row r="3" ht="58" customHeight="1">
      <x:c r="A3" s="45" t="n">
        <x:v>3</x:v>
      </x:c>
      <x:c r="B3" s="45" t="str">
        <x:v>滨风风云瑞丰1号</x:v>
      </x:c>
      <x:c r="C3" s="45" t="str">
        <x:v>SXL267</x:v>
      </x:c>
      <x:c r="D3" s="45" t="str">
        <x:v>SXL267</x:v>
      </x:c>
      <x:c r="E3" s="45" t="str">
        <x:v>SXL267</x:v>
      </x:c>
      <x:c r="F3" s="45" t="str">
        <x:v>备案号匹配</x:v>
      </x:c>
      <x:c r="G3" s="46" t="n">
        <x:v>46275</x:v>
      </x:c>
      <x:c r="H3" s="46" t="n">
        <x:v>46269</x:v>
      </x:c>
      <x:c r="I3" s="50" t="str">
        <x:v>https://mp.fof99.com/fund/view/b03271229e00ba58</x:v>
      </x:c>
      <x:c r="J3" s="45" t="str">
        <x:v>私募基金 (2).xlsx</x:v>
      </x:c>
      <x:c r="K3" s="45" t="str">
        <x:v>5-10亿元</x:v>
      </x:c>
      <x:c r="L3" s="50" t="str">
        <x:v>https://mp.fof99.com/fund/view/b03271229e00ba58</x:v>
      </x:c>
      <x:c r="M3" s="46" t="n">
        <x:v>46275</x:v>
      </x:c>
      <x:c r="N3" s="51" t="n">
        <x:v>0</x:v>
      </x:c>
      <x:c r="O3" s="50" t="str">
        <x:v>https://gs.amac.org.cn/amac-infodisc/res/pof/fund/2212071732101603.html</x:v>
      </x:c>
      <x:c r="P3" s="46" t="n">
        <x:v>46275</x:v>
      </x:c>
      <x:c r="Q3" s="47"/>
      <x:c r="R3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3" s="45" t="str">
        <x:v>管理期货—量化CTA</x:v>
      </x:c>
      <x:c r="T3" s="45" t="str"/>
      <x:c r="U3" s="45" t="str">
        <x:v>SXL267</x:v>
      </x:c>
      <x:c r="V3" s="45" t="str">
        <x:v>是</x:v>
      </x:c>
    </x:row>
    <x:row r="4" ht="58" customHeight="1">
      <x:c r="A4" s="45" t="n">
        <x:v>4</x:v>
      </x:c>
      <x:c r="B4" s="45" t="str">
        <x:v>博牛转债策略2号</x:v>
      </x:c>
      <x:c r="C4" s="45" t="str">
        <x:v>SVY871</x:v>
      </x:c>
      <x:c r="D4" s="45" t="str">
        <x:v>SVY871</x:v>
      </x:c>
      <x:c r="E4" s="45" t="str">
        <x:v>SVY871</x:v>
      </x:c>
      <x:c r="F4" s="45" t="str">
        <x:v>备案号匹配</x:v>
      </x:c>
      <x:c r="G4" s="46" t="n">
        <x:v>46275</x:v>
      </x:c>
      <x:c r="H4" s="46" t="n">
        <x:v>46269</x:v>
      </x:c>
      <x:c r="I4" s="50" t="str">
        <x:v>https://mp.fof99.com/fund/view/9b20523c2bad1cdc</x:v>
      </x:c>
      <x:c r="J4" s="45" t="str">
        <x:v>私募基金 (3).xlsx</x:v>
      </x:c>
      <x:c r="K4" s="45" t="str">
        <x:v>5-10亿元</x:v>
      </x:c>
      <x:c r="L4" s="50" t="str">
        <x:v>https://mp.fof99.com/fund/view/9b20523c2bad1cdc</x:v>
      </x:c>
      <x:c r="M4" s="46" t="n">
        <x:v>46275</x:v>
      </x:c>
      <x:c r="N4" s="51" t="n">
        <x:v>0</x:v>
      </x:c>
      <x:c r="O4" s="50" t="str">
        <x:v>https://gs.amac.org.cn/amac-infodisc/res/pof/fund/2208121907108282.html</x:v>
      </x:c>
      <x:c r="P4" s="46" t="n">
        <x:v>46275</x:v>
      </x:c>
      <x:c r="Q4" s="47" t="n">
        <x:v>0.0478</x:v>
      </x:c>
      <x:c r="R4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4" s="45" t="str">
        <x:v>套利策略—可转债套利</x:v>
      </x:c>
      <x:c r="T4" s="45" t="str"/>
      <x:c r="U4" s="45" t="str">
        <x:v>SVY871</x:v>
      </x:c>
      <x:c r="V4" s="45" t="str">
        <x:v>是</x:v>
      </x:c>
    </x:row>
    <x:row r="5" ht="58" customHeight="1">
      <x:c r="A5" s="45" t="n">
        <x:v>5</x:v>
      </x:c>
      <x:c r="B5" s="45" t="str">
        <x:v>博润小牛3号</x:v>
      </x:c>
      <x:c r="C5" s="45" t="str">
        <x:v>STV728</x:v>
      </x:c>
      <x:c r="D5" s="45" t="str">
        <x:v>STV728</x:v>
      </x:c>
      <x:c r="E5" s="45" t="str">
        <x:v>STV728</x:v>
      </x:c>
      <x:c r="F5" s="45" t="str">
        <x:v>备案号匹配</x:v>
      </x:c>
      <x:c r="G5" s="46" t="n">
        <x:v>46275</x:v>
      </x:c>
      <x:c r="H5" s="46" t="n">
        <x:v>46269</x:v>
      </x:c>
      <x:c r="I5" s="50" t="str">
        <x:v>https://mp.fof99.com/fund/view/783b8a029943d82b</x:v>
      </x:c>
      <x:c r="J5" s="45" t="str">
        <x:v>私募基金 (4).xlsx</x:v>
      </x:c>
      <x:c r="K5" s="45" t="str">
        <x:v>100亿元以上</x:v>
      </x:c>
      <x:c r="L5" s="50" t="str">
        <x:v>https://mp.fof99.com/fund/view/783b8a029943d82b</x:v>
      </x:c>
      <x:c r="M5" s="46" t="n">
        <x:v>46275</x:v>
      </x:c>
      <x:c r="N5" s="51" t="n">
        <x:v>0</x:v>
      </x:c>
      <x:c r="O5" s="50" t="str">
        <x:v>https://gs.amac.org.cn/amac-infodisc/res/pof/fund/2203041707107702.html</x:v>
      </x:c>
      <x:c r="P5" s="46" t="n">
        <x:v>46275</x:v>
      </x:c>
      <x:c r="Q5" s="47" t="n">
        <x:v>0.1427</x:v>
      </x:c>
      <x:c r="R5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5" s="45" t="str">
        <x:v>套利策略—基金套利</x:v>
      </x:c>
      <x:c r="T5" s="45" t="str"/>
      <x:c r="U5" s="45" t="str">
        <x:v>STV728</x:v>
      </x:c>
      <x:c r="V5" s="45" t="str">
        <x:v>是</x:v>
      </x:c>
    </x:row>
    <x:row r="6" ht="58" customHeight="1">
      <x:c r="A6" s="45" t="n">
        <x:v>6</x:v>
      </x:c>
      <x:c r="B6" s="45" t="str">
        <x:v>博润易量稳健1号</x:v>
      </x:c>
      <x:c r="C6" s="45" t="str">
        <x:v>SXL913</x:v>
      </x:c>
      <x:c r="D6" s="45" t="str">
        <x:v>SXL913</x:v>
      </x:c>
      <x:c r="E6" s="45" t="str">
        <x:v>SXL913</x:v>
      </x:c>
      <x:c r="F6" s="45" t="str">
        <x:v>备案号匹配</x:v>
      </x:c>
      <x:c r="G6" s="46" t="n">
        <x:v>46275</x:v>
      </x:c>
      <x:c r="H6" s="46" t="n">
        <x:v>46269</x:v>
      </x:c>
      <x:c r="I6" s="50" t="str">
        <x:v>https://mp.fof99.com/fund/view/66f7dd55b7f90b97</x:v>
      </x:c>
      <x:c r="J6" s="45" t="str">
        <x:v>私募基金 (5).xlsx</x:v>
      </x:c>
      <x:c r="K6" s="45" t="str">
        <x:v>100亿元以上</x:v>
      </x:c>
      <x:c r="L6" s="50" t="str">
        <x:v>https://mp.fof99.com/fund/view/66f7dd55b7f90b97</x:v>
      </x:c>
      <x:c r="M6" s="46" t="n">
        <x:v>46275</x:v>
      </x:c>
      <x:c r="N6" s="51" t="n">
        <x:v>0</x:v>
      </x:c>
      <x:c r="O6" s="50" t="str">
        <x:v>https://gs.amac.org.cn/amac-infodisc/res/pof/fund/2211291710107928.html</x:v>
      </x:c>
      <x:c r="P6" s="46" t="n">
        <x:v>46275</x:v>
      </x:c>
      <x:c r="Q6" s="47" t="n">
        <x:v>0.042300000000000004</x:v>
      </x:c>
      <x:c r="R6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6" s="45" t="str">
        <x:v>套利策略—期货套利</x:v>
      </x:c>
      <x:c r="T6" s="45" t="str"/>
      <x:c r="U6" s="45" t="str">
        <x:v>SXL913</x:v>
      </x:c>
      <x:c r="V6" s="45" t="str">
        <x:v>是</x:v>
      </x:c>
    </x:row>
    <x:row r="7" ht="58" customHeight="1">
      <x:c r="A7" s="45" t="n">
        <x:v>7</x:v>
      </x:c>
      <x:c r="B7" s="45" t="str">
        <x:v>博弈树金选套利2号</x:v>
      </x:c>
      <x:c r="C7" s="45" t="str">
        <x:v>SXR086</x:v>
      </x:c>
      <x:c r="D7" s="45" t="str">
        <x:v>SXR086</x:v>
      </x:c>
      <x:c r="E7" s="45" t="str">
        <x:v>SXR086</x:v>
      </x:c>
      <x:c r="F7" s="45" t="str">
        <x:v>备案号匹配</x:v>
      </x:c>
      <x:c r="G7" s="46" t="n">
        <x:v>46275</x:v>
      </x:c>
      <x:c r="H7" s="46" t="n">
        <x:v>46269</x:v>
      </x:c>
      <x:c r="I7" s="50" t="str">
        <x:v>https://mp.fof99.com/fund/view/068bcb639f441262</x:v>
      </x:c>
      <x:c r="J7" s="45" t="str">
        <x:v>私募基金 (6).xlsx</x:v>
      </x:c>
      <x:c r="K7" s="45" t="str">
        <x:v>0-5亿元</x:v>
      </x:c>
      <x:c r="L7" s="50" t="str">
        <x:v>https://mp.fof99.com/fund/view/068bcb639f441262</x:v>
      </x:c>
      <x:c r="M7" s="46" t="n">
        <x:v>46275</x:v>
      </x:c>
      <x:c r="N7" s="51" t="n">
        <x:v>0</x:v>
      </x:c>
      <x:c r="O7" s="50" t="str">
        <x:v>https://gs.amac.org.cn/amac-infodisc/res/pof/fund/2211100902114438.html</x:v>
      </x:c>
      <x:c r="P7" s="46" t="n">
        <x:v>46275</x:v>
      </x:c>
      <x:c r="Q7" s="47" t="n">
        <x:v>0.12279999999999999</x:v>
      </x:c>
      <x:c r="R7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7" s="45" t="str">
        <x:v>套利策略—期货套利</x:v>
      </x:c>
      <x:c r="T7" s="45" t="str"/>
      <x:c r="U7" s="45" t="str">
        <x:v>SXR086</x:v>
      </x:c>
      <x:c r="V7" s="45" t="str">
        <x:v>是</x:v>
      </x:c>
    </x:row>
    <x:row r="8" ht="58" customHeight="1">
      <x:c r="A8" s="45" t="n">
        <x:v>8</x:v>
      </x:c>
      <x:c r="B8" s="45" t="str">
        <x:v>常行7号</x:v>
      </x:c>
      <x:c r="C8" s="45" t="str">
        <x:v>SQH214</x:v>
      </x:c>
      <x:c r="D8" s="45" t="str">
        <x:v>SQH214</x:v>
      </x:c>
      <x:c r="E8" s="45" t="str">
        <x:v>SQH214</x:v>
      </x:c>
      <x:c r="F8" s="45" t="str">
        <x:v>备案号匹配</x:v>
      </x:c>
      <x:c r="G8" s="46" t="n">
        <x:v>46275</x:v>
      </x:c>
      <x:c r="H8" s="46" t="n">
        <x:v>46269</x:v>
      </x:c>
      <x:c r="I8" s="50" t="str">
        <x:v>https://mp.fof99.com/fund/view/11dff1146ece63b4</x:v>
      </x:c>
      <x:c r="J8" s="45" t="str">
        <x:v>私募基金 (7).xlsx</x:v>
      </x:c>
      <x:c r="K8" s="45" t="str">
        <x:v>5-10亿元</x:v>
      </x:c>
      <x:c r="L8" s="50" t="str">
        <x:v>https://mp.fof99.com/fund/view/11dff1146ece63b4</x:v>
      </x:c>
      <x:c r="M8" s="46" t="n">
        <x:v>46275</x:v>
      </x:c>
      <x:c r="N8" s="51" t="n">
        <x:v>0</x:v>
      </x:c>
      <x:c r="O8" s="50" t="str">
        <x:v>https://gs.amac.org.cn/amac-infodisc/res/pof/fund/2104131319108374.html</x:v>
      </x:c>
      <x:c r="P8" s="46" t="n">
        <x:v>46275</x:v>
      </x:c>
      <x:c r="Q8" s="47"/>
      <x:c r="R8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8" s="45" t="str">
        <x:v>套利策略—期货套利</x:v>
      </x:c>
      <x:c r="T8" s="45" t="str"/>
      <x:c r="U8" s="45" t="str">
        <x:v>SQH214</x:v>
      </x:c>
      <x:c r="V8" s="45" t="str">
        <x:v>是</x:v>
      </x:c>
    </x:row>
    <x:row r="9" ht="58" customHeight="1">
      <x:c r="A9" s="45" t="n">
        <x:v>9</x:v>
      </x:c>
      <x:c r="B9" s="45" t="str">
        <x:v>辰元稳健2号</x:v>
      </x:c>
      <x:c r="C9" s="45" t="str">
        <x:v>SZJ724</x:v>
      </x:c>
      <x:c r="D9" s="45" t="str">
        <x:v>SZJ724</x:v>
      </x:c>
      <x:c r="E9" s="45" t="str">
        <x:v>SZJ724</x:v>
      </x:c>
      <x:c r="F9" s="45" t="str">
        <x:v>备案号匹配</x:v>
      </x:c>
      <x:c r="G9" s="46" t="n">
        <x:v>46275</x:v>
      </x:c>
      <x:c r="H9" s="46" t="n">
        <x:v>46269</x:v>
      </x:c>
      <x:c r="I9" s="50" t="str">
        <x:v>https://mp.fof99.com/fund/view/dfc323b7729ef01d</x:v>
      </x:c>
      <x:c r="J9" s="45" t="str">
        <x:v>私募基金 (8).xlsx</x:v>
      </x:c>
      <x:c r="K9" s="45" t="str">
        <x:v>20-50亿元</x:v>
      </x:c>
      <x:c r="L9" s="50" t="str">
        <x:v>https://mp.fof99.com/fund/view/dfc323b7729ef01d</x:v>
      </x:c>
      <x:c r="M9" s="46" t="n">
        <x:v>46275</x:v>
      </x:c>
      <x:c r="N9" s="51" t="n">
        <x:v>0</x:v>
      </x:c>
      <x:c r="O9" s="50" t="str">
        <x:v>https://gs.amac.org.cn/amac-infodisc/res/pof/fund/2302151739100614.html</x:v>
      </x:c>
      <x:c r="P9" s="46" t="n">
        <x:v>46275</x:v>
      </x:c>
      <x:c r="Q9" s="47" t="n">
        <x:v>0.0696</x:v>
      </x:c>
      <x:c r="R9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9" s="45" t="str">
        <x:v>套利策略—混合套利</x:v>
      </x:c>
      <x:c r="T9" s="45" t="str"/>
      <x:c r="U9" s="45" t="str">
        <x:v>SZJ724</x:v>
      </x:c>
      <x:c r="V9" s="45" t="str">
        <x:v>是</x:v>
      </x:c>
    </x:row>
    <x:row r="10" ht="58" customHeight="1">
      <x:c r="A10" s="45" t="n">
        <x:v>10</x:v>
      </x:c>
      <x:c r="B10" s="45" t="str">
        <x:v>辰元优选稳健</x:v>
      </x:c>
      <x:c r="C10" s="45" t="str">
        <x:v>SZH690</x:v>
      </x:c>
      <x:c r="D10" s="45" t="str">
        <x:v>SZH690</x:v>
      </x:c>
      <x:c r="E10" s="45" t="str">
        <x:v>SZH690</x:v>
      </x:c>
      <x:c r="F10" s="45" t="str">
        <x:v>备案号匹配</x:v>
      </x:c>
      <x:c r="G10" s="46" t="n">
        <x:v>46275</x:v>
      </x:c>
      <x:c r="H10" s="46" t="n">
        <x:v>46269</x:v>
      </x:c>
      <x:c r="I10" s="50" t="str">
        <x:v>https://mp.fof99.com/fund/view/3712ae883b81c7b6</x:v>
      </x:c>
      <x:c r="J10" s="45" t="str">
        <x:v>私募基金 (9).xlsx</x:v>
      </x:c>
      <x:c r="K10" s="45" t="str">
        <x:v>20-50亿元</x:v>
      </x:c>
      <x:c r="L10" s="50" t="str">
        <x:v>https://mp.fof99.com/fund/view/3712ae883b81c7b6</x:v>
      </x:c>
      <x:c r="M10" s="46" t="n">
        <x:v>46275</x:v>
      </x:c>
      <x:c r="N10" s="51" t="n">
        <x:v>0</x:v>
      </x:c>
      <x:c r="O10" s="50" t="str">
        <x:v>https://gs.amac.org.cn/amac-infodisc/res/pof/fund/2302141700101335.html</x:v>
      </x:c>
      <x:c r="P10" s="46" t="n">
        <x:v>46275</x:v>
      </x:c>
      <x:c r="Q10" s="47" t="n">
        <x:v>0.07139999999999999</x:v>
      </x:c>
      <x:c r="R10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10" s="45" t="str">
        <x:v>套利策略—混合套利</x:v>
      </x:c>
      <x:c r="T10" s="45" t="str"/>
      <x:c r="U10" s="45" t="str">
        <x:v>SZH690</x:v>
      </x:c>
      <x:c r="V10" s="45" t="str">
        <x:v>是</x:v>
      </x:c>
    </x:row>
    <x:row r="11" ht="58" customHeight="1">
      <x:c r="A11" s="45" t="n">
        <x:v>11</x:v>
      </x:c>
      <x:c r="B11" s="45" t="str">
        <x:v>晨翰11号</x:v>
      </x:c>
      <x:c r="C11" s="45" t="str">
        <x:v>SVT598</x:v>
      </x:c>
      <x:c r="D11" s="45" t="str">
        <x:v>SVT598</x:v>
      </x:c>
      <x:c r="E11" s="45" t="str">
        <x:v>SVT598</x:v>
      </x:c>
      <x:c r="F11" s="45" t="str">
        <x:v>备案号匹配</x:v>
      </x:c>
      <x:c r="G11" s="46" t="n">
        <x:v>46275</x:v>
      </x:c>
      <x:c r="H11" s="46" t="n">
        <x:v>46269</x:v>
      </x:c>
      <x:c r="I11" s="50" t="str">
        <x:v>https://mp.fof99.com/fund/view/f56d280c5131a6c9</x:v>
      </x:c>
      <x:c r="J11" s="45" t="str">
        <x:v>私募基金 (10).xlsx</x:v>
      </x:c>
      <x:c r="K11" s="45" t="str">
        <x:v>5-10亿元</x:v>
      </x:c>
      <x:c r="L11" s="50" t="str">
        <x:v>https://mp.fof99.com/fund/view/f56d280c5131a6c9</x:v>
      </x:c>
      <x:c r="M11" s="46" t="n">
        <x:v>46275</x:v>
      </x:c>
      <x:c r="N11" s="51" t="n">
        <x:v>0</x:v>
      </x:c>
      <x:c r="O11" s="50" t="str">
        <x:v>https://gs.amac.org.cn/amac-infodisc/res/pof/fund/2206171628103559.html</x:v>
      </x:c>
      <x:c r="P11" s="46" t="n">
        <x:v>46275</x:v>
      </x:c>
      <x:c r="Q11" s="47" t="n">
        <x:v>0.061900000000000004</x:v>
      </x:c>
      <x:c r="R11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11" s="45" t="str">
        <x:v>套利策略—期货套利</x:v>
      </x:c>
      <x:c r="T11" s="45" t="str"/>
      <x:c r="U11" s="45" t="str">
        <x:v>SVT598</x:v>
      </x:c>
      <x:c r="V11" s="45" t="str">
        <x:v>是</x:v>
      </x:c>
    </x:row>
    <x:row r="12" ht="58" customHeight="1">
      <x:c r="A12" s="45" t="n">
        <x:v>12</x:v>
      </x:c>
      <x:c r="B12" s="45" t="str">
        <x:v>晨翰6号</x:v>
      </x:c>
      <x:c r="C12" s="45" t="str">
        <x:v>STS460</x:v>
      </x:c>
      <x:c r="D12" s="45" t="str">
        <x:v>STS460</x:v>
      </x:c>
      <x:c r="E12" s="45" t="str">
        <x:v>STS460</x:v>
      </x:c>
      <x:c r="F12" s="45" t="str">
        <x:v>备案号匹配</x:v>
      </x:c>
      <x:c r="G12" s="46" t="n">
        <x:v>46275</x:v>
      </x:c>
      <x:c r="H12" s="46" t="n">
        <x:v>46269</x:v>
      </x:c>
      <x:c r="I12" s="50" t="str">
        <x:v>https://mp.fof99.com/fund/view/99bf55b582e27685</x:v>
      </x:c>
      <x:c r="J12" s="45" t="str">
        <x:v>私募基金 (11).xlsx</x:v>
      </x:c>
      <x:c r="K12" s="45" t="str">
        <x:v>5-10亿元</x:v>
      </x:c>
      <x:c r="L12" s="50" t="str">
        <x:v>https://mp.fof99.com/fund/view/99bf55b582e27685</x:v>
      </x:c>
      <x:c r="M12" s="46" t="n">
        <x:v>46275</x:v>
      </x:c>
      <x:c r="N12" s="51" t="n">
        <x:v>0</x:v>
      </x:c>
      <x:c r="O12" s="50" t="str">
        <x:v>https://gs.amac.org.cn/amac-infodisc/res/pof/fund/2201191737119713.html</x:v>
      </x:c>
      <x:c r="P12" s="46" t="n">
        <x:v>46275</x:v>
      </x:c>
      <x:c r="Q12" s="47" t="n">
        <x:v>0.0915</x:v>
      </x:c>
      <x:c r="R12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12" s="45" t="str">
        <x:v>套利策略—期货套利</x:v>
      </x:c>
      <x:c r="T12" s="45" t="str"/>
      <x:c r="U12" s="45" t="str">
        <x:v>STS460</x:v>
      </x:c>
      <x:c r="V12" s="45" t="str">
        <x:v>是</x:v>
      </x:c>
    </x:row>
    <x:row r="13" ht="58" customHeight="1">
      <x:c r="A13" s="45" t="n">
        <x:v>13</x:v>
      </x:c>
      <x:c r="B13" s="45" t="str">
        <x:v>刀锋期权套利</x:v>
      </x:c>
      <x:c r="C13" s="45" t="str">
        <x:v>SGR366</x:v>
      </x:c>
      <x:c r="D13" s="45" t="str">
        <x:v>SGR366</x:v>
      </x:c>
      <x:c r="E13" s="45" t="str">
        <x:v>SGR366</x:v>
      </x:c>
      <x:c r="F13" s="45" t="str">
        <x:v>备案号匹配</x:v>
      </x:c>
      <x:c r="G13" s="46" t="n">
        <x:v>46275</x:v>
      </x:c>
      <x:c r="H13" s="46" t="n">
        <x:v>46269</x:v>
      </x:c>
      <x:c r="I13" s="50" t="str">
        <x:v>https://mp.fof99.com/fund/view/fbf1de225e3e65af</x:v>
      </x:c>
      <x:c r="J13" s="45" t="str">
        <x:v>私募基金 (12).xlsx</x:v>
      </x:c>
      <x:c r="K13" s="45" t="str">
        <x:v>0-5亿元</x:v>
      </x:c>
      <x:c r="L13" s="50" t="str">
        <x:v>https://mp.fof99.com/fund/view/fbf1de225e3e65af</x:v>
      </x:c>
      <x:c r="M13" s="46" t="n">
        <x:v>46275</x:v>
      </x:c>
      <x:c r="N13" s="51" t="n">
        <x:v>0</x:v>
      </x:c>
      <x:c r="O13" s="50" t="str">
        <x:v>https://gs.amac.org.cn/amac-infodisc/res/pof/fund/1906251702101405.html</x:v>
      </x:c>
      <x:c r="P13" s="46" t="n">
        <x:v>46275</x:v>
      </x:c>
      <x:c r="Q13" s="47" t="n">
        <x:v>0.0252</x:v>
      </x:c>
      <x:c r="R13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13" s="45" t="str">
        <x:v>期权策略</x:v>
      </x:c>
      <x:c r="T13" s="45" t="str"/>
      <x:c r="U13" s="45" t="str">
        <x:v>SGR366</x:v>
      </x:c>
      <x:c r="V13" s="45" t="str">
        <x:v>是</x:v>
      </x:c>
    </x:row>
    <x:row r="14" ht="58" customHeight="1">
      <x:c r="A14" s="45" t="n">
        <x:v>14</x:v>
      </x:c>
      <x:c r="B14" s="45" t="str">
        <x:v>东方富银命运1号</x:v>
      </x:c>
      <x:c r="C14" s="45" t="str">
        <x:v>SEG244</x:v>
      </x:c>
      <x:c r="D14" s="45" t="str">
        <x:v>SEG244</x:v>
      </x:c>
      <x:c r="E14" s="45" t="str">
        <x:v>SEG244</x:v>
      </x:c>
      <x:c r="F14" s="45" t="str">
        <x:v>备案号匹配</x:v>
      </x:c>
      <x:c r="G14" s="46" t="n">
        <x:v>46275</x:v>
      </x:c>
      <x:c r="H14" s="46" t="n">
        <x:v>46269</x:v>
      </x:c>
      <x:c r="I14" s="50" t="str">
        <x:v>https://mp.fof99.com/fund/view/d7eeaf632af20fa7</x:v>
      </x:c>
      <x:c r="J14" s="45" t="str">
        <x:v>私募基金 (13).xlsx</x:v>
      </x:c>
      <x:c r="K14" s="45" t="str">
        <x:v>0-5亿元</x:v>
      </x:c>
      <x:c r="L14" s="50" t="str">
        <x:v>https://mp.fof99.com/fund/view/d7eeaf632af20fa7</x:v>
      </x:c>
      <x:c r="M14" s="46" t="n">
        <x:v>46275</x:v>
      </x:c>
      <x:c r="N14" s="51" t="n">
        <x:v>0</x:v>
      </x:c>
      <x:c r="O14" s="50" t="str">
        <x:v>https://gs.amac.org.cn/amac-infodisc/res/pof/fund/1809041832107174.html</x:v>
      </x:c>
      <x:c r="P14" s="46" t="n">
        <x:v>46275</x:v>
      </x:c>
      <x:c r="Q14" s="47" t="n">
        <x:v>0.071</x:v>
      </x:c>
      <x:c r="R14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14" s="45" t="str">
        <x:v>套利策略—可转债套利</x:v>
      </x:c>
      <x:c r="T14" s="45" t="str"/>
      <x:c r="U14" s="45" t="str">
        <x:v>SEG244</x:v>
      </x:c>
      <x:c r="V14" s="45" t="str">
        <x:v>是</x:v>
      </x:c>
    </x:row>
    <x:row r="15" ht="58" customHeight="1">
      <x:c r="A15" s="45" t="n">
        <x:v>15</x:v>
      </x:c>
      <x:c r="B15" s="45" t="str">
        <x:v>东源投资丰源5号</x:v>
      </x:c>
      <x:c r="C15" s="45" t="str">
        <x:v>SBMG09</x:v>
      </x:c>
      <x:c r="D15" s="45" t="str">
        <x:v>SBMG09</x:v>
      </x:c>
      <x:c r="E15" s="45" t="str">
        <x:v>SBMG09</x:v>
      </x:c>
      <x:c r="F15" s="45" t="str">
        <x:v>备案号匹配</x:v>
      </x:c>
      <x:c r="G15" s="46" t="n">
        <x:v>46275</x:v>
      </x:c>
      <x:c r="H15" s="46" t="n">
        <x:v>46269</x:v>
      </x:c>
      <x:c r="I15" s="50" t="str">
        <x:v>https://mp.fof99.com/fund/view/baa4ff727568ddb3</x:v>
      </x:c>
      <x:c r="J15" s="45" t="str">
        <x:v>私募基金 (14).xlsx</x:v>
      </x:c>
      <x:c r="K15" s="45" t="str">
        <x:v>20-50亿元</x:v>
      </x:c>
      <x:c r="L15" s="50" t="str">
        <x:v>https://mp.fof99.com/fund/view/baa4ff727568ddb3</x:v>
      </x:c>
      <x:c r="M15" s="46" t="n">
        <x:v>46275</x:v>
      </x:c>
      <x:c r="N15" s="51" t="n">
        <x:v>0</x:v>
      </x:c>
      <x:c r="O15" s="50" t="str">
        <x:v>https://gs.amac.org.cn/amac-infodisc/res/pof/fund/2601061744102444.html</x:v>
      </x:c>
      <x:c r="P15" s="46" t="n">
        <x:v>46275</x:v>
      </x:c>
      <x:c r="Q15" s="47"/>
      <x:c r="R15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15" s="45" t="str">
        <x:v>套利策略—期权套利</x:v>
      </x:c>
      <x:c r="T15" s="45" t="str"/>
      <x:c r="U15" s="45" t="str">
        <x:v>SBMG09</x:v>
      </x:c>
      <x:c r="V15" s="45" t="str">
        <x:v>是</x:v>
      </x:c>
    </x:row>
    <x:row r="16" ht="58" customHeight="1">
      <x:c r="A16" s="45" t="n">
        <x:v>16</x:v>
      </x:c>
      <x:c r="B16" s="45" t="str">
        <x:v>东源投资乐源1号</x:v>
      </x:c>
      <x:c r="C16" s="45" t="str">
        <x:v>SBRX68</x:v>
      </x:c>
      <x:c r="D16" s="45" t="str">
        <x:v>SBRX68</x:v>
      </x:c>
      <x:c r="E16" s="45" t="str">
        <x:v>SBRX68</x:v>
      </x:c>
      <x:c r="F16" s="45" t="str">
        <x:v>备案号匹配</x:v>
      </x:c>
      <x:c r="G16" s="46" t="n">
        <x:v>46275</x:v>
      </x:c>
      <x:c r="H16" s="46" t="n">
        <x:v>46269</x:v>
      </x:c>
      <x:c r="I16" s="50" t="str">
        <x:v>https://mp.fof99.com/fund/view/dc199b33f4fce442</x:v>
      </x:c>
      <x:c r="J16" s="45" t="str">
        <x:v>私募基金 (15).xlsx</x:v>
      </x:c>
      <x:c r="K16" s="45" t="str">
        <x:v>20-50亿元</x:v>
      </x:c>
      <x:c r="L16" s="50" t="str">
        <x:v>https://mp.fof99.com/fund/view/dc199b33f4fce442</x:v>
      </x:c>
      <x:c r="M16" s="46" t="n">
        <x:v>46275</x:v>
      </x:c>
      <x:c r="N16" s="51" t="n">
        <x:v>0</x:v>
      </x:c>
      <x:c r="O16" s="50" t="str">
        <x:v>https://gs.amac.org.cn/amac-infodisc/res/pof/fund/2602271455104411.html</x:v>
      </x:c>
      <x:c r="P16" s="46" t="n">
        <x:v>46275</x:v>
      </x:c>
      <x:c r="Q16" s="47"/>
      <x:c r="R16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16" s="45" t="str">
        <x:v>套利策略—期权套利</x:v>
      </x:c>
      <x:c r="T16" s="45" t="str"/>
      <x:c r="U16" s="45" t="str">
        <x:v>SBRX68</x:v>
      </x:c>
      <x:c r="V16" s="45" t="str">
        <x:v>是</x:v>
      </x:c>
    </x:row>
    <x:row r="17" ht="58" customHeight="1">
      <x:c r="A17" s="45" t="n">
        <x:v>17</x:v>
      </x:c>
      <x:c r="B17" s="45" t="str">
        <x:v>放牛人5号</x:v>
      </x:c>
      <x:c r="C17" s="45" t="str">
        <x:v>SVH487</x:v>
      </x:c>
      <x:c r="D17" s="45" t="str">
        <x:v>SVH487</x:v>
      </x:c>
      <x:c r="E17" s="45" t="str">
        <x:v>SVH487</x:v>
      </x:c>
      <x:c r="F17" s="45" t="str">
        <x:v>备案号匹配</x:v>
      </x:c>
      <x:c r="G17" s="46" t="n">
        <x:v>46275</x:v>
      </x:c>
      <x:c r="H17" s="46" t="n">
        <x:v>46269</x:v>
      </x:c>
      <x:c r="I17" s="50" t="str">
        <x:v>https://mp.fof99.com/fund/view/572bc921ce9d2893</x:v>
      </x:c>
      <x:c r="J17" s="45" t="str">
        <x:v>私募基金 (16).xlsx</x:v>
      </x:c>
      <x:c r="K17" s="45" t="str">
        <x:v>0-5亿元</x:v>
      </x:c>
      <x:c r="L17" s="50" t="str">
        <x:v>https://mp.fof99.com/fund/view/572bc921ce9d2893</x:v>
      </x:c>
      <x:c r="M17" s="46" t="n">
        <x:v>46275</x:v>
      </x:c>
      <x:c r="N17" s="51" t="n">
        <x:v>0</x:v>
      </x:c>
      <x:c r="O17" s="50" t="str">
        <x:v>https://gs.amac.org.cn/amac-infodisc/res/pof/fund/2206241503107051.html</x:v>
      </x:c>
      <x:c r="P17" s="46" t="n">
        <x:v>46275</x:v>
      </x:c>
      <x:c r="Q17" s="47" t="n">
        <x:v>0.0713</x:v>
      </x:c>
      <x:c r="R17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17" s="45" t="str">
        <x:v>套利策略—期货套利</x:v>
      </x:c>
      <x:c r="T17" s="45" t="str"/>
      <x:c r="U17" s="45" t="str">
        <x:v>SVH487</x:v>
      </x:c>
      <x:c r="V17" s="45" t="str">
        <x:v>是</x:v>
      </x:c>
    </x:row>
    <x:row r="18" ht="58" customHeight="1">
      <x:c r="A18" s="45" t="n">
        <x:v>18</x:v>
      </x:c>
      <x:c r="B18" s="45" t="str">
        <x:v>广联宏丰利1号</x:v>
      </x:c>
      <x:c r="C18" s="45" t="str">
        <x:v>SAGN89</x:v>
      </x:c>
      <x:c r="D18" s="45" t="str">
        <x:v>SAGN89</x:v>
      </x:c>
      <x:c r="E18" s="45" t="str">
        <x:v>SAGN89</x:v>
      </x:c>
      <x:c r="F18" s="45" t="str">
        <x:v>备案号匹配</x:v>
      </x:c>
      <x:c r="G18" s="46" t="n">
        <x:v>46275</x:v>
      </x:c>
      <x:c r="H18" s="46" t="n">
        <x:v>46269</x:v>
      </x:c>
      <x:c r="I18" s="50" t="str">
        <x:v>https://mp.fof99.com/fund/view/bf37a6579525f8b3</x:v>
      </x:c>
      <x:c r="J18" s="45" t="str">
        <x:v>私募基金 (17).xlsx</x:v>
      </x:c>
      <x:c r="K18" s="45" t="str">
        <x:v>5-10亿元</x:v>
      </x:c>
      <x:c r="L18" s="50" t="str">
        <x:v>https://mp.fof99.com/fund/view/bf37a6579525f8b3</x:v>
      </x:c>
      <x:c r="M18" s="46" t="n">
        <x:v>46275</x:v>
      </x:c>
      <x:c r="N18" s="51" t="n">
        <x:v>0</x:v>
      </x:c>
      <x:c r="O18" s="50" t="str">
        <x:v>https://gs.amac.org.cn/amac-infodisc/res/pof/fund/2402061715110753.html</x:v>
      </x:c>
      <x:c r="P18" s="46" t="n">
        <x:v>46275</x:v>
      </x:c>
      <x:c r="Q18" s="47" t="n">
        <x:v>0.3039</x:v>
      </x:c>
      <x:c r="R18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18" s="45" t="str">
        <x:v>套利策略—期货套利</x:v>
      </x:c>
      <x:c r="T18" s="45" t="str"/>
      <x:c r="U18" s="45" t="str">
        <x:v>SAGN89</x:v>
      </x:c>
      <x:c r="V18" s="45" t="str">
        <x:v>是</x:v>
      </x:c>
    </x:row>
    <x:row r="19" ht="58" customHeight="1">
      <x:c r="A19" s="45" t="n">
        <x:v>19</x:v>
      </x:c>
      <x:c r="B19" s="45" t="str">
        <x:v>广联宏稳健2号</x:v>
      </x:c>
      <x:c r="C19" s="45" t="str">
        <x:v>SATV20</x:v>
      </x:c>
      <x:c r="D19" s="45" t="str">
        <x:v>SATV20</x:v>
      </x:c>
      <x:c r="E19" s="45" t="str">
        <x:v>SATV20</x:v>
      </x:c>
      <x:c r="F19" s="45" t="str">
        <x:v>备案号匹配</x:v>
      </x:c>
      <x:c r="G19" s="46" t="n">
        <x:v>46275</x:v>
      </x:c>
      <x:c r="H19" s="46" t="n">
        <x:v>46269</x:v>
      </x:c>
      <x:c r="I19" s="50" t="str">
        <x:v>https://mp.fof99.com/fund/view/c5b9a0c28942bf05</x:v>
      </x:c>
      <x:c r="J19" s="45" t="str">
        <x:v>私募基金 (18).xlsx</x:v>
      </x:c>
      <x:c r="K19" s="45" t="str">
        <x:v>5-10亿元</x:v>
      </x:c>
      <x:c r="L19" s="50" t="str">
        <x:v>https://mp.fof99.com/fund/view/c5b9a0c28942bf05</x:v>
      </x:c>
      <x:c r="M19" s="46" t="n">
        <x:v>46275</x:v>
      </x:c>
      <x:c r="N19" s="51" t="n">
        <x:v>0</x:v>
      </x:c>
      <x:c r="O19" s="50" t="str">
        <x:v>https://gs.amac.org.cn/amac-infodisc/res/pof/fund/2502201715102727.html</x:v>
      </x:c>
      <x:c r="P19" s="46" t="n">
        <x:v>46275</x:v>
      </x:c>
      <x:c r="Q19" s="47" t="n">
        <x:v>0.18760000000000002</x:v>
      </x:c>
      <x:c r="R19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19" s="45" t="str">
        <x:v>套利策略—期货套利</x:v>
      </x:c>
      <x:c r="T19" s="45" t="str"/>
      <x:c r="U19" s="45" t="str">
        <x:v>SATV20</x:v>
      </x:c>
      <x:c r="V19" s="45" t="str">
        <x:v>是</x:v>
      </x:c>
    </x:row>
    <x:row r="20" ht="58" customHeight="1">
      <x:c r="A20" s="45" t="n">
        <x:v>20</x:v>
      </x:c>
      <x:c r="B20" s="45" t="str">
        <x:v>杭州探融-锦鲤智能量化3号</x:v>
      </x:c>
      <x:c r="C20" s="45" t="str">
        <x:v>SQC001</x:v>
      </x:c>
      <x:c r="D20" s="45" t="str">
        <x:v>SQC001</x:v>
      </x:c>
      <x:c r="E20" s="45" t="str">
        <x:v>SQC001</x:v>
      </x:c>
      <x:c r="F20" s="45" t="str">
        <x:v>备案号匹配</x:v>
      </x:c>
      <x:c r="G20" s="46" t="n">
        <x:v>46275</x:v>
      </x:c>
      <x:c r="H20" s="46" t="n">
        <x:v>46269</x:v>
      </x:c>
      <x:c r="I20" s="50" t="str">
        <x:v>https://mp.fof99.com/fund/view/e556f77ef201098a</x:v>
      </x:c>
      <x:c r="J20" s="45" t="str">
        <x:v>私募基金 (19).xlsx</x:v>
      </x:c>
      <x:c r="K20" s="45" t="str">
        <x:v>0-5亿元</x:v>
      </x:c>
      <x:c r="L20" s="50" t="str">
        <x:v>https://mp.fof99.com/fund/view/e556f77ef201098a</x:v>
      </x:c>
      <x:c r="M20" s="46" t="n">
        <x:v>46275</x:v>
      </x:c>
      <x:c r="N20" s="51" t="n">
        <x:v>0</x:v>
      </x:c>
      <x:c r="O20" s="50" t="str">
        <x:v>https://gs.amac.org.cn/amac-infodisc/res/pof/fund/2104231724118753.html</x:v>
      </x:c>
      <x:c r="P20" s="46" t="n">
        <x:v>46275</x:v>
      </x:c>
      <x:c r="Q20" s="47" t="n">
        <x:v>0.0466</x:v>
      </x:c>
      <x:c r="R20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20" s="45" t="str">
        <x:v>套利策略—可转债套利</x:v>
      </x:c>
      <x:c r="T20" s="45" t="str"/>
      <x:c r="U20" s="45" t="str">
        <x:v>SQC001</x:v>
      </x:c>
      <x:c r="V20" s="45" t="str">
        <x:v>是</x:v>
      </x:c>
    </x:row>
    <x:row r="21" ht="58" customHeight="1">
      <x:c r="A21" s="45" t="n">
        <x:v>21</x:v>
      </x:c>
      <x:c r="B21" s="45" t="str">
        <x:v>汇艾稳健3号</x:v>
      </x:c>
      <x:c r="C21" s="45" t="str">
        <x:v>SR8584</x:v>
      </x:c>
      <x:c r="D21" s="45" t="str">
        <x:v>SR8584</x:v>
      </x:c>
      <x:c r="E21" s="45" t="str">
        <x:v>SR8584</x:v>
      </x:c>
      <x:c r="F21" s="45" t="str">
        <x:v>备案号匹配</x:v>
      </x:c>
      <x:c r="G21" s="46" t="n">
        <x:v>46275</x:v>
      </x:c>
      <x:c r="H21" s="46" t="n">
        <x:v>46269</x:v>
      </x:c>
      <x:c r="I21" s="50" t="str">
        <x:v>https://mp.fof99.com/fund/view/5a95543cf10b3b66</x:v>
      </x:c>
      <x:c r="J21" s="45" t="str">
        <x:v>私募基金 (20).xlsx</x:v>
      </x:c>
      <x:c r="K21" s="45" t="str">
        <x:v>0-5亿元</x:v>
      </x:c>
      <x:c r="L21" s="50" t="str">
        <x:v>https://mp.fof99.com/fund/view/5a95543cf10b3b66</x:v>
      </x:c>
      <x:c r="M21" s="46" t="n">
        <x:v>46275</x:v>
      </x:c>
      <x:c r="N21" s="51" t="n">
        <x:v>0</x:v>
      </x:c>
      <x:c r="O21" s="50" t="str">
        <x:v>https://gs.amac.org.cn/amac-infodisc/res/pof/fund/351000760422.html</x:v>
      </x:c>
      <x:c r="P21" s="46" t="n">
        <x:v>46275</x:v>
      </x:c>
      <x:c r="Q21" s="47" t="n">
        <x:v>0.1093</x:v>
      </x:c>
      <x:c r="R21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21" s="45" t="str">
        <x:v>套利策略—期货套利</x:v>
      </x:c>
      <x:c r="T21" s="45" t="str"/>
      <x:c r="U21" s="45" t="str">
        <x:v>SR8584</x:v>
      </x:c>
      <x:c r="V21" s="45" t="str">
        <x:v>是</x:v>
      </x:c>
    </x:row>
    <x:row r="22" ht="58" customHeight="1">
      <x:c r="A22" s="45" t="n">
        <x:v>22</x:v>
      </x:c>
      <x:c r="B22" s="45" t="str">
        <x:v>惠隆金选套利1号</x:v>
      </x:c>
      <x:c r="C22" s="45" t="str">
        <x:v>SQG026</x:v>
      </x:c>
      <x:c r="D22" s="45" t="str">
        <x:v>SQG026</x:v>
      </x:c>
      <x:c r="E22" s="45" t="str">
        <x:v>SQG026</x:v>
      </x:c>
      <x:c r="F22" s="45" t="str">
        <x:v>备案号匹配</x:v>
      </x:c>
      <x:c r="G22" s="46" t="n">
        <x:v>46275</x:v>
      </x:c>
      <x:c r="H22" s="46" t="n">
        <x:v>46269</x:v>
      </x:c>
      <x:c r="I22" s="50" t="str">
        <x:v>https://mp.fof99.com/fund/view/3f5108a89aafc6d8</x:v>
      </x:c>
      <x:c r="J22" s="45" t="str">
        <x:v>私募基金 (21).xlsx</x:v>
      </x:c>
      <x:c r="K22" s="45" t="str">
        <x:v>10-20亿元</x:v>
      </x:c>
      <x:c r="L22" s="50" t="str">
        <x:v>https://mp.fof99.com/fund/view/3f5108a89aafc6d8</x:v>
      </x:c>
      <x:c r="M22" s="46" t="n">
        <x:v>46275</x:v>
      </x:c>
      <x:c r="N22" s="51" t="n">
        <x:v>0</x:v>
      </x:c>
      <x:c r="O22" s="50" t="str">
        <x:v>https://gs.amac.org.cn/amac-infodisc/res/pof/fund/2109281437101671.html</x:v>
      </x:c>
      <x:c r="P22" s="46" t="n">
        <x:v>46275</x:v>
      </x:c>
      <x:c r="Q22" s="47" t="n">
        <x:v>0.1457</x:v>
      </x:c>
      <x:c r="R22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22" s="45" t="str">
        <x:v>套利策略—期货套利</x:v>
      </x:c>
      <x:c r="T22" s="45" t="str"/>
      <x:c r="U22" s="45" t="str">
        <x:v>SQG026</x:v>
      </x:c>
      <x:c r="V22" s="45" t="str">
        <x:v>是</x:v>
      </x:c>
    </x:row>
    <x:row r="23" ht="58" customHeight="1">
      <x:c r="A23" s="45" t="n">
        <x:v>23</x:v>
      </x:c>
      <x:c r="B23" s="45" t="str">
        <x:v>佳泽信享5号A类</x:v>
      </x:c>
      <x:c r="C23" s="45" t="str">
        <x:v>ZC395A</x:v>
      </x:c>
      <x:c r="D23" s="45" t="str">
        <x:v>ZC395A</x:v>
      </x:c>
      <x:c r="E23" s="45" t="str">
        <x:v>ZC395A</x:v>
      </x:c>
      <x:c r="F23" s="45" t="str">
        <x:v>备案号匹配</x:v>
      </x:c>
      <x:c r="G23" s="46" t="n">
        <x:v>46275</x:v>
      </x:c>
      <x:c r="H23" s="46" t="n">
        <x:v>46269</x:v>
      </x:c>
      <x:c r="I23" s="50" t="str">
        <x:v>https://mp.fof99.com/fund/view/441eaddd701f4a97</x:v>
      </x:c>
      <x:c r="J23" s="45" t="str">
        <x:v>私募基金 (22).xlsx</x:v>
      </x:c>
      <x:c r="K23" s="45" t="str">
        <x:v>0-5亿元</x:v>
      </x:c>
      <x:c r="L23" s="50" t="str">
        <x:v>https://mp.fof99.com/fund/view/441eaddd701f4a97</x:v>
      </x:c>
      <x:c r="M23" s="46" t="n">
        <x:v>46275</x:v>
      </x:c>
      <x:c r="N23" s="51"/>
      <x:c r="O23" s="50" t="str"/>
      <x:c r="P23" s="46"/>
      <x:c r="Q23" s="47" t="n">
        <x:v>0.051399999999999994</x:v>
      </x:c>
      <x:c r="R23" s="50" t="str">
        <x:v>火富牛平台未提供产品协会链接，产品低规模标识未核验，不能按满分处理；原表类型：私募。</x:v>
      </x:c>
      <x:c r="S23" s="45" t="str">
        <x:v>套利策略—期货套利</x:v>
      </x:c>
      <x:c r="T23" s="45" t="str"/>
      <x:c r="U23" s="45" t="str"/>
      <x:c r="V23" s="45" t="str">
        <x:v>未核验</x:v>
      </x:c>
    </x:row>
    <x:row r="24" ht="58" customHeight="1">
      <x:c r="A24" s="45" t="n">
        <x:v>24</x:v>
      </x:c>
      <x:c r="B24" s="45" t="str">
        <x:v>嘉和传承精研二期</x:v>
      </x:c>
      <x:c r="C24" s="45" t="str">
        <x:v>STD929</x:v>
      </x:c>
      <x:c r="D24" s="45" t="str">
        <x:v>STD929</x:v>
      </x:c>
      <x:c r="E24" s="45" t="str">
        <x:v>STD929</x:v>
      </x:c>
      <x:c r="F24" s="45" t="str">
        <x:v>备案号匹配</x:v>
      </x:c>
      <x:c r="G24" s="46" t="n">
        <x:v>46275</x:v>
      </x:c>
      <x:c r="H24" s="46" t="n">
        <x:v>46269</x:v>
      </x:c>
      <x:c r="I24" s="50" t="str">
        <x:v>https://mp.fof99.com/fund/view/d8c5ba292c0e7653</x:v>
      </x:c>
      <x:c r="J24" s="45" t="str">
        <x:v>私募基金 (23).xlsx</x:v>
      </x:c>
      <x:c r="K24" s="45" t="str">
        <x:v>5-10亿元</x:v>
      </x:c>
      <x:c r="L24" s="50" t="str">
        <x:v>https://mp.fof99.com/fund/view/d8c5ba292c0e7653</x:v>
      </x:c>
      <x:c r="M24" s="46" t="n">
        <x:v>46275</x:v>
      </x:c>
      <x:c r="N24" s="51" t="n">
        <x:v>0</x:v>
      </x:c>
      <x:c r="O24" s="50" t="str">
        <x:v>https://gs.amac.org.cn/amac-infodisc/res/pof/fund/2112091906107607.html</x:v>
      </x:c>
      <x:c r="P24" s="46" t="n">
        <x:v>46275</x:v>
      </x:c>
      <x:c r="Q24" s="47" t="n">
        <x:v>0.10369999999999999</x:v>
      </x:c>
      <x:c r="R24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24" s="45" t="str">
        <x:v>套利策略—期货套利</x:v>
      </x:c>
      <x:c r="T24" s="45" t="str"/>
      <x:c r="U24" s="45" t="str">
        <x:v>STD929</x:v>
      </x:c>
      <x:c r="V24" s="45" t="str">
        <x:v>是</x:v>
      </x:c>
    </x:row>
    <x:row r="25" ht="58" customHeight="1">
      <x:c r="A25" s="45" t="n">
        <x:v>25</x:v>
      </x:c>
      <x:c r="B25" s="45" t="str">
        <x:v>阶石稳健1号</x:v>
      </x:c>
      <x:c r="C25" s="45" t="str">
        <x:v>SATE65</x:v>
      </x:c>
      <x:c r="D25" s="45" t="str">
        <x:v>SATE65</x:v>
      </x:c>
      <x:c r="E25" s="45" t="str">
        <x:v>SATE65</x:v>
      </x:c>
      <x:c r="F25" s="45" t="str">
        <x:v>备案号匹配</x:v>
      </x:c>
      <x:c r="G25" s="46" t="n">
        <x:v>46275</x:v>
      </x:c>
      <x:c r="H25" s="46" t="n">
        <x:v>46269</x:v>
      </x:c>
      <x:c r="I25" s="50" t="str">
        <x:v>https://mp.fof99.com/fund/view/735dc9bdc1713fc1</x:v>
      </x:c>
      <x:c r="J25" s="45" t="str">
        <x:v>私募基金 (24).xlsx</x:v>
      </x:c>
      <x:c r="K25" s="45" t="str">
        <x:v>5-10亿元</x:v>
      </x:c>
      <x:c r="L25" s="50" t="str">
        <x:v>https://mp.fof99.com/fund/view/4bda29597d3247b9</x:v>
      </x:c>
      <x:c r="M25" s="46" t="n">
        <x:v>46275</x:v>
      </x:c>
      <x:c r="N25" s="51" t="n">
        <x:v>0</x:v>
      </x:c>
      <x:c r="O25" s="50" t="str">
        <x:v>https://gs.amac.org.cn/amac-infodisc/res/pof/fund/2502121708108102.html</x:v>
      </x:c>
      <x:c r="P25" s="46" t="n">
        <x:v>46275</x:v>
      </x:c>
      <x:c r="Q25" s="47"/>
      <x:c r="R25" s="50" t="str">
        <x:v>已读取完整产品公示并精确匹配基金编号。；产品特别提示栏目未公示“存续规模低于1000万元”；0 仅表示未见该公示提示，不代表已核实实际规模达到1000万元。；管理人规模引用：本产品与 SAZW60 的已核验 AMAC 管理人 URL 完全相同，引用该产品火富牛详情读取的管理人规模，来源仍为原详情 URL。</x:v>
      </x:c>
      <x:c r="S25" s="45" t="str">
        <x:v>套利策略—基金套利</x:v>
      </x:c>
      <x:c r="T25" s="45" t="str"/>
      <x:c r="U25" s="45" t="str">
        <x:v>SATE65</x:v>
      </x:c>
      <x:c r="V25" s="45" t="str">
        <x:v>是</x:v>
      </x:c>
    </x:row>
    <x:row r="26" ht="58" customHeight="1">
      <x:c r="A26" s="45" t="n">
        <x:v>26</x:v>
      </x:c>
      <x:c r="B26" s="45" t="str">
        <x:v>阶石稳健7号</x:v>
      </x:c>
      <x:c r="C26" s="45" t="str">
        <x:v>SAWS84</x:v>
      </x:c>
      <x:c r="D26" s="45" t="str">
        <x:v>SAWS84</x:v>
      </x:c>
      <x:c r="E26" s="45" t="str">
        <x:v>SAWS84</x:v>
      </x:c>
      <x:c r="F26" s="45" t="str">
        <x:v>备案号匹配</x:v>
      </x:c>
      <x:c r="G26" s="46" t="n">
        <x:v>46275</x:v>
      </x:c>
      <x:c r="H26" s="46" t="n">
        <x:v>46269</x:v>
      </x:c>
      <x:c r="I26" s="50" t="str">
        <x:v>https://mp.fof99.com/fund/view/a1580a40d8b17419</x:v>
      </x:c>
      <x:c r="J26" s="45" t="str">
        <x:v>私募基金 (25).xlsx</x:v>
      </x:c>
      <x:c r="K26" s="45" t="str">
        <x:v>5-10亿元</x:v>
      </x:c>
      <x:c r="L26" s="50" t="str">
        <x:v>https://mp.fof99.com/fund/view/4bda29597d3247b9</x:v>
      </x:c>
      <x:c r="M26" s="46" t="n">
        <x:v>46275</x:v>
      </x:c>
      <x:c r="N26" s="51" t="n">
        <x:v>0</x:v>
      </x:c>
      <x:c r="O26" s="50" t="str">
        <x:v>https://gs.amac.org.cn/amac-infodisc/res/pof/fund/2504081731100688.html</x:v>
      </x:c>
      <x:c r="P26" s="46" t="n">
        <x:v>46275</x:v>
      </x:c>
      <x:c r="Q26" s="47"/>
      <x:c r="R26" s="50" t="str">
        <x:v>已读取完整产品公示并精确匹配基金编号。；产品特别提示栏目未公示“存续规模低于1000万元”；0 仅表示未见该公示提示，不代表已核实实际规模达到1000万元。；管理人规模引用：本产品与 SAZW60 的已核验 AMAC 管理人 URL 完全相同，引用该产品火富牛详情读取的管理人规模，来源仍为原详情 URL。</x:v>
      </x:c>
      <x:c r="S26" s="45" t="str">
        <x:v>套利策略—基金套利</x:v>
      </x:c>
      <x:c r="T26" s="45" t="str"/>
      <x:c r="U26" s="45" t="str">
        <x:v>SAWS84</x:v>
      </x:c>
      <x:c r="V26" s="45" t="str">
        <x:v>是</x:v>
      </x:c>
    </x:row>
    <x:row r="27" ht="58" customHeight="1">
      <x:c r="A27" s="45" t="n">
        <x:v>27</x:v>
      </x:c>
      <x:c r="B27" s="45" t="str">
        <x:v>阶石稳健9号</x:v>
      </x:c>
      <x:c r="C27" s="45" t="str">
        <x:v>SAZW60</x:v>
      </x:c>
      <x:c r="D27" s="45" t="str">
        <x:v>SAZW60</x:v>
      </x:c>
      <x:c r="E27" s="45" t="str">
        <x:v>SAZW60</x:v>
      </x:c>
      <x:c r="F27" s="45" t="str">
        <x:v>备案号匹配</x:v>
      </x:c>
      <x:c r="G27" s="46" t="n">
        <x:v>46275</x:v>
      </x:c>
      <x:c r="H27" s="46" t="n">
        <x:v>46269</x:v>
      </x:c>
      <x:c r="I27" s="50" t="str">
        <x:v>https://mp.fof99.com/fund/view/4bda29597d3247b9</x:v>
      </x:c>
      <x:c r="J27" s="45" t="str">
        <x:v>私募基金 (26).xlsx</x:v>
      </x:c>
      <x:c r="K27" s="45" t="str">
        <x:v>5-10亿元</x:v>
      </x:c>
      <x:c r="L27" s="50" t="str">
        <x:v>https://mp.fof99.com/fund/view/4bda29597d3247b9</x:v>
      </x:c>
      <x:c r="M27" s="46" t="n">
        <x:v>46275</x:v>
      </x:c>
      <x:c r="N27" s="51" t="n">
        <x:v>0</x:v>
      </x:c>
      <x:c r="O27" s="50" t="str">
        <x:v>https://gs.amac.org.cn/amac-infodisc/res/pof/fund/2506161812101029.html</x:v>
      </x:c>
      <x:c r="P27" s="46" t="n">
        <x:v>46275</x:v>
      </x:c>
      <x:c r="Q27" s="47"/>
      <x:c r="R27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27" s="45" t="str">
        <x:v>套利策略—基金套利</x:v>
      </x:c>
      <x:c r="T27" s="45" t="str"/>
      <x:c r="U27" s="45" t="str">
        <x:v>SAZW60</x:v>
      </x:c>
      <x:c r="V27" s="45" t="str">
        <x:v>是</x:v>
      </x:c>
    </x:row>
    <x:row r="28" ht="58" customHeight="1">
      <x:c r="A28" s="45" t="n">
        <x:v>28</x:v>
      </x:c>
      <x:c r="B28" s="45" t="str">
        <x:v>金锝牵星1号C类</x:v>
      </x:c>
      <x:c r="C28" s="45" t="str">
        <x:v>ASB89C</x:v>
      </x:c>
      <x:c r="D28" s="45" t="str">
        <x:v>ASB89C</x:v>
      </x:c>
      <x:c r="E28" s="45" t="str">
        <x:v>ASB89C</x:v>
      </x:c>
      <x:c r="F28" s="45" t="str">
        <x:v>备案号匹配</x:v>
      </x:c>
      <x:c r="G28" s="46" t="n">
        <x:v>46275</x:v>
      </x:c>
      <x:c r="H28" s="46" t="n">
        <x:v>46269</x:v>
      </x:c>
      <x:c r="I28" s="50" t="str">
        <x:v>https://mp.fof99.com/fund/view/a0e2d40b33d92ad4</x:v>
      </x:c>
      <x:c r="J28" s="45" t="str">
        <x:v>私募基金 (27).xlsx</x:v>
      </x:c>
      <x:c r="K28" s="45" t="str">
        <x:v>100亿元以上</x:v>
      </x:c>
      <x:c r="L28" s="50" t="str">
        <x:v>https://mp.fof99.com/fund/view/a0e2d40b33d92ad4</x:v>
      </x:c>
      <x:c r="M28" s="46" t="n">
        <x:v>46275</x:v>
      </x:c>
      <x:c r="N28" s="51"/>
      <x:c r="O28" s="50" t="str"/>
      <x:c r="P28" s="46"/>
      <x:c r="Q28" s="47"/>
      <x:c r="R28" s="50" t="str">
        <x:v>火富牛产品详情未提供 AMAC 产品公示链接；产品低规模标识未知。；火富牛平台未提供产品协会链接，产品低规模标识未核验，不能按满分处理；原表类型：私募。</x:v>
      </x:c>
      <x:c r="S28" s="45" t="str">
        <x:v>套利策略—期权套利</x:v>
      </x:c>
      <x:c r="T28" s="45" t="str"/>
      <x:c r="U28" s="45" t="str"/>
      <x:c r="V28" s="45" t="str">
        <x:v>未核验</x:v>
      </x:c>
    </x:row>
    <x:row r="29" ht="58" customHeight="1">
      <x:c r="A29" s="45" t="n">
        <x:v>29</x:v>
      </x:c>
      <x:c r="B29" s="45" t="str">
        <x:v>九木套利9号A类</x:v>
      </x:c>
      <x:c r="C29" s="45" t="str">
        <x:v>BSA32A</x:v>
      </x:c>
      <x:c r="D29" s="45" t="str">
        <x:v>BSA32A</x:v>
      </x:c>
      <x:c r="E29" s="45" t="str">
        <x:v>BSA32A</x:v>
      </x:c>
      <x:c r="F29" s="45" t="str">
        <x:v>备案号匹配</x:v>
      </x:c>
      <x:c r="G29" s="46" t="n">
        <x:v>46275</x:v>
      </x:c>
      <x:c r="H29" s="46" t="n">
        <x:v>46269</x:v>
      </x:c>
      <x:c r="I29" s="50" t="str">
        <x:v>https://mp.fof99.com/fund/view/54b1f815aaee62da</x:v>
      </x:c>
      <x:c r="J29" s="45" t="str">
        <x:v>私募基金 (28).xlsx</x:v>
      </x:c>
      <x:c r="K29" s="45" t="str">
        <x:v>10-20亿元</x:v>
      </x:c>
      <x:c r="L29" s="50" t="str">
        <x:v>https://mp.fof99.com/fund/view/54b1f815aaee62da</x:v>
      </x:c>
      <x:c r="M29" s="46" t="n">
        <x:v>46275</x:v>
      </x:c>
      <x:c r="N29" s="51"/>
      <x:c r="O29" s="50" t="str"/>
      <x:c r="P29" s="46"/>
      <x:c r="Q29" s="47"/>
      <x:c r="R29" s="50" t="str">
        <x:v>火富牛产品详情未提供 AMAC 产品公示链接；产品低规模标识未知。；火富牛平台未提供产品协会链接，产品低规模标识未核验，不能按满分处理；原表类型：私募。</x:v>
      </x:c>
      <x:c r="S29" s="45" t="str">
        <x:v>套利策略—期货套利</x:v>
      </x:c>
      <x:c r="T29" s="45" t="str"/>
      <x:c r="U29" s="45" t="str"/>
      <x:c r="V29" s="45" t="str">
        <x:v>未核验</x:v>
      </x:c>
    </x:row>
    <x:row r="30" ht="58" customHeight="1">
      <x:c r="A30" s="45" t="n">
        <x:v>30</x:v>
      </x:c>
      <x:c r="B30" s="45" t="str">
        <x:v>九招真格量化套利一号</x:v>
      </x:c>
      <x:c r="C30" s="45" t="str">
        <x:v>SQD546</x:v>
      </x:c>
      <x:c r="D30" s="45" t="str">
        <x:v>SQD546</x:v>
      </x:c>
      <x:c r="E30" s="45" t="str">
        <x:v>SQD546</x:v>
      </x:c>
      <x:c r="F30" s="45" t="str">
        <x:v>备案号匹配</x:v>
      </x:c>
      <x:c r="G30" s="46" t="n">
        <x:v>46275</x:v>
      </x:c>
      <x:c r="H30" s="46" t="n">
        <x:v>46269</x:v>
      </x:c>
      <x:c r="I30" s="50" t="str">
        <x:v>https://mp.fof99.com/fund/view/206ccc429e7e2414</x:v>
      </x:c>
      <x:c r="J30" s="45" t="str">
        <x:v>私募基金 (29).xlsx</x:v>
      </x:c>
      <x:c r="K30" s="45" t="str">
        <x:v>5-10亿元</x:v>
      </x:c>
      <x:c r="L30" s="50" t="str">
        <x:v>https://mp.fof99.com/fund/view/206ccc429e7e2414</x:v>
      </x:c>
      <x:c r="M30" s="46" t="n">
        <x:v>46275</x:v>
      </x:c>
      <x:c r="N30" s="51" t="n">
        <x:v>0</x:v>
      </x:c>
      <x:c r="O30" s="50" t="str">
        <x:v>https://gs.amac.org.cn/amac-infodisc/res/pof/fund/2103231905105915.html</x:v>
      </x:c>
      <x:c r="P30" s="46" t="n">
        <x:v>46275</x:v>
      </x:c>
      <x:c r="Q30" s="47" t="n">
        <x:v>0.1149</x:v>
      </x:c>
      <x:c r="R30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30" s="45" t="str">
        <x:v>套利策略—期货套利</x:v>
      </x:c>
      <x:c r="T30" s="45" t="str"/>
      <x:c r="U30" s="45" t="str">
        <x:v>SQD546</x:v>
      </x:c>
      <x:c r="V30" s="45" t="str">
        <x:v>是</x:v>
      </x:c>
    </x:row>
    <x:row r="31" ht="58" customHeight="1">
      <x:c r="A31" s="45" t="n">
        <x:v>31</x:v>
      </x:c>
      <x:c r="B31" s="45" t="str">
        <x:v>聚亿具臻B类</x:v>
      </x:c>
      <x:c r="C31" s="45" t="str">
        <x:v>LM995B</x:v>
      </x:c>
      <x:c r="D31" s="45" t="str">
        <x:v>LM995B</x:v>
      </x:c>
      <x:c r="E31" s="45" t="str">
        <x:v>LM995B</x:v>
      </x:c>
      <x:c r="F31" s="45" t="str">
        <x:v>备案号匹配</x:v>
      </x:c>
      <x:c r="G31" s="46" t="n">
        <x:v>46275</x:v>
      </x:c>
      <x:c r="H31" s="46" t="n">
        <x:v>46269</x:v>
      </x:c>
      <x:c r="I31" s="50" t="str">
        <x:v>https://mp.fof99.com/fund/view/62a3dc6ac3c3204d</x:v>
      </x:c>
      <x:c r="J31" s="45" t="str">
        <x:v>私募基金 (30).xlsx</x:v>
      </x:c>
      <x:c r="K31" s="45" t="str">
        <x:v>0-5亿元</x:v>
      </x:c>
      <x:c r="L31" s="50" t="str">
        <x:v>https://mp.fof99.com/fund/view/62a3dc6ac3c3204d</x:v>
      </x:c>
      <x:c r="M31" s="46" t="n">
        <x:v>46275</x:v>
      </x:c>
      <x:c r="N31" s="51"/>
      <x:c r="O31" s="50" t="str"/>
      <x:c r="P31" s="46"/>
      <x:c r="Q31" s="47" t="n">
        <x:v>0.27390000000000003</x:v>
      </x:c>
      <x:c r="R31" s="50" t="str">
        <x:v>火富牛产品详情未提供 AMAC 产品公示链接；产品低规模标识未知。；火富牛平台未提供产品协会链接，产品低规模标识未核验，不能按满分处理；原表类型：私募。</x:v>
      </x:c>
      <x:c r="S31" s="45" t="str">
        <x:v>套利策略—期货套利</x:v>
      </x:c>
      <x:c r="T31" s="45" t="str"/>
      <x:c r="U31" s="45" t="str"/>
      <x:c r="V31" s="45" t="str">
        <x:v>未核验</x:v>
      </x:c>
    </x:row>
    <x:row r="32" ht="58" customHeight="1">
      <x:c r="A32" s="45" t="n">
        <x:v>32</x:v>
      </x:c>
      <x:c r="B32" s="45" t="str">
        <x:v>钧誉厚德量化对冲11号</x:v>
      </x:c>
      <x:c r="C32" s="45" t="str">
        <x:v>SQN453</x:v>
      </x:c>
      <x:c r="D32" s="45" t="str">
        <x:v>SQN453</x:v>
      </x:c>
      <x:c r="E32" s="45" t="str">
        <x:v>SQN453</x:v>
      </x:c>
      <x:c r="F32" s="45" t="str">
        <x:v>备案号匹配</x:v>
      </x:c>
      <x:c r="G32" s="46" t="n">
        <x:v>46275</x:v>
      </x:c>
      <x:c r="H32" s="46" t="n">
        <x:v>46269</x:v>
      </x:c>
      <x:c r="I32" s="50" t="str">
        <x:v>https://mp.fof99.com/fund/view/8e3ad7d155f41bc3</x:v>
      </x:c>
      <x:c r="J32" s="45" t="str">
        <x:v>私募基金 (31).xlsx</x:v>
      </x:c>
      <x:c r="K32" s="45" t="str">
        <x:v>0-5亿元</x:v>
      </x:c>
      <x:c r="L32" s="50" t="str">
        <x:v>https://mp.fof99.com/fund/view/8e3ad7d155f41bc3</x:v>
      </x:c>
      <x:c r="M32" s="46" t="n">
        <x:v>46275</x:v>
      </x:c>
      <x:c r="N32" s="51" t="n">
        <x:v>0</x:v>
      </x:c>
      <x:c r="O32" s="50" t="str">
        <x:v>https://gs.amac.org.cn/amac-infodisc/res/pof/fund/2105111737102298.html</x:v>
      </x:c>
      <x:c r="P32" s="46" t="n">
        <x:v>46275</x:v>
      </x:c>
      <x:c r="Q32" s="47"/>
      <x:c r="R32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32" s="45" t="str">
        <x:v>套利策略—期货套利</x:v>
      </x:c>
      <x:c r="T32" s="45" t="str"/>
      <x:c r="U32" s="45" t="str">
        <x:v>SQN453</x:v>
      </x:c>
      <x:c r="V32" s="45" t="str">
        <x:v>是</x:v>
      </x:c>
    </x:row>
    <x:row r="33" ht="58" customHeight="1">
      <x:c r="A33" s="45" t="n">
        <x:v>33</x:v>
      </x:c>
      <x:c r="B33" s="45" t="str">
        <x:v>澜胜稳赋套利1号</x:v>
      </x:c>
      <x:c r="C33" s="45" t="str">
        <x:v>SBPY84</x:v>
      </x:c>
      <x:c r="D33" s="45" t="str">
        <x:v>SBPY84</x:v>
      </x:c>
      <x:c r="E33" s="45" t="str">
        <x:v>SBPY84</x:v>
      </x:c>
      <x:c r="F33" s="45" t="str">
        <x:v>备案号匹配</x:v>
      </x:c>
      <x:c r="G33" s="46" t="n">
        <x:v>46275</x:v>
      </x:c>
      <x:c r="H33" s="46" t="n">
        <x:v>46269</x:v>
      </x:c>
      <x:c r="I33" s="50" t="str">
        <x:v>https://mp.fof99.com/fund/view/fd609fddab73af1e</x:v>
      </x:c>
      <x:c r="J33" s="45" t="str">
        <x:v>私募基金 (32).xlsx</x:v>
      </x:c>
      <x:c r="K33" s="45" t="str">
        <x:v>0-5亿元</x:v>
      </x:c>
      <x:c r="L33" s="50" t="str">
        <x:v>https://mp.fof99.com/fund/view/fd609fddab73af1e</x:v>
      </x:c>
      <x:c r="M33" s="46" t="n">
        <x:v>46275</x:v>
      </x:c>
      <x:c r="N33" s="51" t="n">
        <x:v>0</x:v>
      </x:c>
      <x:c r="O33" s="50" t="str">
        <x:v>https://gs.amac.org.cn/amac-infodisc/res/pof/fund/2602121726109819.html</x:v>
      </x:c>
      <x:c r="P33" s="46" t="n">
        <x:v>46275</x:v>
      </x:c>
      <x:c r="Q33" s="47"/>
      <x:c r="R33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33" s="45" t="str">
        <x:v>套利策略—其他</x:v>
      </x:c>
      <x:c r="T33" s="45" t="str"/>
      <x:c r="U33" s="45" t="str">
        <x:v>SBPY84</x:v>
      </x:c>
      <x:c r="V33" s="45" t="str">
        <x:v>是</x:v>
      </x:c>
    </x:row>
    <x:row r="34" ht="58" customHeight="1">
      <x:c r="A34" s="45" t="n">
        <x:v>34</x:v>
      </x:c>
      <x:c r="B34" s="45" t="str">
        <x:v>量金灵瑞1号</x:v>
      </x:c>
      <x:c r="C34" s="45" t="str">
        <x:v>SAPV10</x:v>
      </x:c>
      <x:c r="D34" s="45" t="str">
        <x:v>SAPV10</x:v>
      </x:c>
      <x:c r="E34" s="45" t="str">
        <x:v>SAPV10</x:v>
      </x:c>
      <x:c r="F34" s="45" t="str">
        <x:v>备案号匹配</x:v>
      </x:c>
      <x:c r="G34" s="46" t="n">
        <x:v>46275</x:v>
      </x:c>
      <x:c r="H34" s="46" t="n">
        <x:v>46269</x:v>
      </x:c>
      <x:c r="I34" s="50" t="str">
        <x:v>https://mp.fof99.com/fund/view/672dc1ead9cd9d03</x:v>
      </x:c>
      <x:c r="J34" s="45" t="str">
        <x:v>私募基金 (33).xlsx</x:v>
      </x:c>
      <x:c r="K34" s="45" t="str">
        <x:v>20-50亿元</x:v>
      </x:c>
      <x:c r="L34" s="50" t="str">
        <x:v>https://mp.fof99.com/fund/view/672dc1ead9cd9d03</x:v>
      </x:c>
      <x:c r="M34" s="46" t="n">
        <x:v>46275</x:v>
      </x:c>
      <x:c r="N34" s="51" t="n">
        <x:v>0</x:v>
      </x:c>
      <x:c r="O34" s="50" t="str">
        <x:v>https://gs.amac.org.cn/amac-infodisc/res/pof/fund/2410291900103465.html</x:v>
      </x:c>
      <x:c r="P34" s="46" t="n">
        <x:v>46275</x:v>
      </x:c>
      <x:c r="Q34" s="47"/>
      <x:c r="R34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34" s="45" t="str">
        <x:v>套利策略—期货套利</x:v>
      </x:c>
      <x:c r="T34" s="45" t="str"/>
      <x:c r="U34" s="45" t="str">
        <x:v>SAPV10</x:v>
      </x:c>
      <x:c r="V34" s="45" t="str">
        <x:v>是</x:v>
      </x:c>
    </x:row>
    <x:row r="35" ht="58" customHeight="1">
      <x:c r="A35" s="45" t="n">
        <x:v>35</x:v>
      </x:c>
      <x:c r="B35" s="45" t="str">
        <x:v>量客投资金选套利1号</x:v>
      </x:c>
      <x:c r="C35" s="45" t="str">
        <x:v>SNH457</x:v>
      </x:c>
      <x:c r="D35" s="45" t="str">
        <x:v>SNH457</x:v>
      </x:c>
      <x:c r="E35" s="45" t="str">
        <x:v>SNH457</x:v>
      </x:c>
      <x:c r="F35" s="45" t="str">
        <x:v>备案号匹配</x:v>
      </x:c>
      <x:c r="G35" s="46" t="n">
        <x:v>46275</x:v>
      </x:c>
      <x:c r="H35" s="46" t="n">
        <x:v>46269</x:v>
      </x:c>
      <x:c r="I35" s="50" t="str">
        <x:v>https://mp.fof99.com/fund/view/509478ab548cc2b3</x:v>
      </x:c>
      <x:c r="J35" s="45" t="str">
        <x:v>私募基金 (34).xlsx</x:v>
      </x:c>
      <x:c r="K35" s="45" t="str">
        <x:v>50-100亿元</x:v>
      </x:c>
      <x:c r="L35" s="50" t="str">
        <x:v>https://mp.fof99.com/fund/view/509478ab548cc2b3</x:v>
      </x:c>
      <x:c r="M35" s="46" t="n">
        <x:v>46275</x:v>
      </x:c>
      <x:c r="N35" s="51" t="n">
        <x:v>0</x:v>
      </x:c>
      <x:c r="O35" s="50" t="str">
        <x:v>https://gs.amac.org.cn/amac-infodisc/res/pof/fund/2101061734111873.html</x:v>
      </x:c>
      <x:c r="P35" s="46" t="n">
        <x:v>46275</x:v>
      </x:c>
      <x:c r="Q35" s="47"/>
      <x:c r="R35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35" s="45" t="str">
        <x:v>套利策略—期权套利</x:v>
      </x:c>
      <x:c r="T35" s="45" t="str"/>
      <x:c r="U35" s="45" t="str">
        <x:v>SNH457</x:v>
      </x:c>
      <x:c r="V35" s="45" t="str">
        <x:v>是</x:v>
      </x:c>
    </x:row>
    <x:row r="36" ht="58" customHeight="1">
      <x:c r="A36" s="45" t="n">
        <x:v>36</x:v>
      </x:c>
      <x:c r="B36" s="45" t="str">
        <x:v>龙帆恒盛稳固9号</x:v>
      </x:c>
      <x:c r="C36" s="45" t="str">
        <x:v>SSX605</x:v>
      </x:c>
      <x:c r="D36" s="45" t="str">
        <x:v>SSX605</x:v>
      </x:c>
      <x:c r="E36" s="45" t="str">
        <x:v>SSX605</x:v>
      </x:c>
      <x:c r="F36" s="45" t="str">
        <x:v>备案号匹配</x:v>
      </x:c>
      <x:c r="G36" s="46" t="n">
        <x:v>46275</x:v>
      </x:c>
      <x:c r="H36" s="46" t="n">
        <x:v>46269</x:v>
      </x:c>
      <x:c r="I36" s="50" t="str">
        <x:v>https://mp.fof99.com/fund/view/3ccbf07c4d4ac642</x:v>
      </x:c>
      <x:c r="J36" s="45" t="str">
        <x:v>私募基金 (35).xlsx</x:v>
      </x:c>
      <x:c r="K36" s="45" t="str">
        <x:v>5-10亿元</x:v>
      </x:c>
      <x:c r="L36" s="50" t="str">
        <x:v>https://mp.fof99.com/fund/view/3ccbf07c4d4ac642</x:v>
      </x:c>
      <x:c r="M36" s="46" t="n">
        <x:v>46275</x:v>
      </x:c>
      <x:c r="N36" s="51" t="n">
        <x:v>0</x:v>
      </x:c>
      <x:c r="O36" s="50" t="str">
        <x:v>https://gs.amac.org.cn/amac-infodisc/res/pof/fund/2110191748104317.html</x:v>
      </x:c>
      <x:c r="P36" s="46" t="n">
        <x:v>46275</x:v>
      </x:c>
      <x:c r="Q36" s="47" t="n">
        <x:v>0.0697</x:v>
      </x:c>
      <x:c r="R36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36" s="45" t="str">
        <x:v>套利策略—期货套利</x:v>
      </x:c>
      <x:c r="T36" s="45" t="str"/>
      <x:c r="U36" s="45" t="str">
        <x:v>SSX605</x:v>
      </x:c>
      <x:c r="V36" s="45" t="str">
        <x:v>是</x:v>
      </x:c>
    </x:row>
    <x:row r="37" ht="58" customHeight="1">
      <x:c r="A37" s="45" t="n">
        <x:v>37</x:v>
      </x:c>
      <x:c r="B37" s="45" t="str">
        <x:v>龙壹盛善时1号</x:v>
      </x:c>
      <x:c r="C37" s="45" t="str">
        <x:v>SB1261</x:v>
      </x:c>
      <x:c r="D37" s="45" t="str">
        <x:v>SB1261</x:v>
      </x:c>
      <x:c r="E37" s="45" t="str">
        <x:v>SB1261</x:v>
      </x:c>
      <x:c r="F37" s="45" t="str">
        <x:v>备案号匹配</x:v>
      </x:c>
      <x:c r="G37" s="46" t="n">
        <x:v>46275</x:v>
      </x:c>
      <x:c r="H37" s="46" t="n">
        <x:v>46269</x:v>
      </x:c>
      <x:c r="I37" s="50" t="str">
        <x:v>https://mp.fof99.com/fund/view/beb13b86d2a4cfb2</x:v>
      </x:c>
      <x:c r="J37" s="45" t="str">
        <x:v>私募基金 (36).xlsx</x:v>
      </x:c>
      <x:c r="K37" s="45" t="str">
        <x:v>10-20亿元</x:v>
      </x:c>
      <x:c r="L37" s="50" t="str">
        <x:v>https://mp.fof99.com/fund/view/beb13b86d2a4cfb2</x:v>
      </x:c>
      <x:c r="M37" s="46" t="n">
        <x:v>46275</x:v>
      </x:c>
      <x:c r="N37" s="51" t="n">
        <x:v>0</x:v>
      </x:c>
      <x:c r="O37" s="50" t="str">
        <x:v>https://gs.amac.org.cn/amac-infodisc/res/pof/fund/2306261750102641.html</x:v>
      </x:c>
      <x:c r="P37" s="46" t="n">
        <x:v>46275</x:v>
      </x:c>
      <x:c r="Q37" s="47"/>
      <x:c r="R37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37" s="45" t="str">
        <x:v>套利策略—期货套利</x:v>
      </x:c>
      <x:c r="T37" s="45" t="str"/>
      <x:c r="U37" s="45" t="str">
        <x:v>SB1261</x:v>
      </x:c>
      <x:c r="V37" s="45" t="str">
        <x:v>是</x:v>
      </x:c>
    </x:row>
    <x:row r="38" ht="58" customHeight="1">
      <x:c r="A38" s="45" t="n">
        <x:v>38</x:v>
      </x:c>
      <x:c r="B38" s="45" t="str">
        <x:v>鸣熙资产-招享套利1号</x:v>
      </x:c>
      <x:c r="C38" s="45" t="str">
        <x:v>SJZ381</x:v>
      </x:c>
      <x:c r="D38" s="45" t="str">
        <x:v>SJZ381</x:v>
      </x:c>
      <x:c r="E38" s="45" t="str">
        <x:v>SJZ381</x:v>
      </x:c>
      <x:c r="F38" s="45" t="str">
        <x:v>备案号匹配</x:v>
      </x:c>
      <x:c r="G38" s="46" t="n">
        <x:v>46275</x:v>
      </x:c>
      <x:c r="H38" s="46" t="n">
        <x:v>46269</x:v>
      </x:c>
      <x:c r="I38" s="50" t="str">
        <x:v>https://mp.fof99.com/fund/view/28d3372af2406528</x:v>
      </x:c>
      <x:c r="J38" s="45" t="str">
        <x:v>私募基金 (37).xlsx</x:v>
      </x:c>
      <x:c r="K38" s="45" t="str">
        <x:v>100亿元以上</x:v>
      </x:c>
      <x:c r="L38" s="50" t="str">
        <x:v>https://mp.fof99.com/fund/view/28d3372af2406528</x:v>
      </x:c>
      <x:c r="M38" s="46" t="n">
        <x:v>46275</x:v>
      </x:c>
      <x:c r="N38" s="51" t="n">
        <x:v>0</x:v>
      </x:c>
      <x:c r="O38" s="50" t="str">
        <x:v>https://gs.amac.org.cn/amac-infodisc/res/pof/fund/2004141732109376.html</x:v>
      </x:c>
      <x:c r="P38" s="46" t="n">
        <x:v>46275</x:v>
      </x:c>
      <x:c r="Q38" s="47" t="n">
        <x:v>0.1002</x:v>
      </x:c>
      <x:c r="R38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38" s="45" t="str">
        <x:v>套利策略—期货套利</x:v>
      </x:c>
      <x:c r="T38" s="45" t="str"/>
      <x:c r="U38" s="45" t="str">
        <x:v>SJZ381</x:v>
      </x:c>
      <x:c r="V38" s="45" t="str">
        <x:v>是</x:v>
      </x:c>
    </x:row>
    <x:row r="39" ht="58" customHeight="1">
      <x:c r="A39" s="45" t="n">
        <x:v>39</x:v>
      </x:c>
      <x:c r="B39" s="45" t="str">
        <x:v>铭杉量化稳健5号</x:v>
      </x:c>
      <x:c r="C39" s="45" t="str">
        <x:v>SLT573</x:v>
      </x:c>
      <x:c r="D39" s="45" t="str">
        <x:v>SLT573</x:v>
      </x:c>
      <x:c r="E39" s="45" t="str">
        <x:v>SLT573</x:v>
      </x:c>
      <x:c r="F39" s="45" t="str">
        <x:v>备案号匹配</x:v>
      </x:c>
      <x:c r="G39" s="46" t="n">
        <x:v>46275</x:v>
      </x:c>
      <x:c r="H39" s="46" t="n">
        <x:v>46269</x:v>
      </x:c>
      <x:c r="I39" s="50" t="str">
        <x:v>https://mp.fof99.com/fund/view/9289c50ffc89f5de</x:v>
      </x:c>
      <x:c r="J39" s="45" t="str">
        <x:v>私募基金 (38).xlsx</x:v>
      </x:c>
      <x:c r="K39" s="45" t="str">
        <x:v>0-5亿元</x:v>
      </x:c>
      <x:c r="L39" s="50" t="str">
        <x:v>https://mp.fof99.com/fund/view/9289c50ffc89f5de</x:v>
      </x:c>
      <x:c r="M39" s="46" t="n">
        <x:v>46275</x:v>
      </x:c>
      <x:c r="N39" s="51" t="n">
        <x:v>0</x:v>
      </x:c>
      <x:c r="O39" s="50" t="str">
        <x:v>https://gs.amac.org.cn/amac-infodisc/res/pof/fund/2009171717131963.html</x:v>
      </x:c>
      <x:c r="P39" s="46" t="n">
        <x:v>46275</x:v>
      </x:c>
      <x:c r="Q39" s="47" t="n">
        <x:v>0.0599</x:v>
      </x:c>
      <x:c r="R39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39" s="45" t="str">
        <x:v>套利策略—期货套利</x:v>
      </x:c>
      <x:c r="T39" s="45" t="str"/>
      <x:c r="U39" s="45" t="str">
        <x:v>SLT573</x:v>
      </x:c>
      <x:c r="V39" s="45" t="str">
        <x:v>是</x:v>
      </x:c>
    </x:row>
    <x:row r="40" ht="58" customHeight="1">
      <x:c r="A40" s="45" t="n">
        <x:v>40</x:v>
      </x:c>
      <x:c r="B40" s="45" t="str">
        <x:v>摩旗ETF套利1号</x:v>
      </x:c>
      <x:c r="C40" s="45" t="str">
        <x:v>STR466</x:v>
      </x:c>
      <x:c r="D40" s="45" t="str">
        <x:v>STR466</x:v>
      </x:c>
      <x:c r="E40" s="45" t="str">
        <x:v>STR466</x:v>
      </x:c>
      <x:c r="F40" s="45" t="str">
        <x:v>备案号匹配</x:v>
      </x:c>
      <x:c r="G40" s="46" t="n">
        <x:v>46275</x:v>
      </x:c>
      <x:c r="H40" s="46" t="n">
        <x:v>46269</x:v>
      </x:c>
      <x:c r="I40" s="50" t="str">
        <x:v>https://mp.fof99.com/fund/view/f263e8836aad5b82</x:v>
      </x:c>
      <x:c r="J40" s="45" t="str">
        <x:v>私募基金 (39).xlsx</x:v>
      </x:c>
      <x:c r="K40" s="45" t="str">
        <x:v>10-20亿元</x:v>
      </x:c>
      <x:c r="L40" s="50" t="str">
        <x:v>https://mp.fof99.com/fund/view/f263e8836aad5b82</x:v>
      </x:c>
      <x:c r="M40" s="46" t="n">
        <x:v>46275</x:v>
      </x:c>
      <x:c r="N40" s="51" t="n">
        <x:v>0</x:v>
      </x:c>
      <x:c r="O40" s="50" t="str">
        <x:v>https://gs.amac.org.cn/amac-infodisc/res/pof/fund/2201111049116796.html</x:v>
      </x:c>
      <x:c r="P40" s="46" t="n">
        <x:v>46275</x:v>
      </x:c>
      <x:c r="Q40" s="47" t="n">
        <x:v>0.1133</x:v>
      </x:c>
      <x:c r="R40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40" s="45" t="str">
        <x:v>套利策略—基金套利</x:v>
      </x:c>
      <x:c r="T40" s="45" t="str"/>
      <x:c r="U40" s="45" t="str">
        <x:v>STR466</x:v>
      </x:c>
      <x:c r="V40" s="45" t="str">
        <x:v>是</x:v>
      </x:c>
    </x:row>
    <x:row r="41" ht="58" customHeight="1">
      <x:c r="A41" s="45" t="n">
        <x:v>41</x:v>
      </x:c>
      <x:c r="B41" s="45" t="str">
        <x:v>慕途基本面量化1号</x:v>
      </x:c>
      <x:c r="C41" s="45" t="str">
        <x:v>SVW787</x:v>
      </x:c>
      <x:c r="D41" s="45" t="str">
        <x:v>SVW787</x:v>
      </x:c>
      <x:c r="E41" s="45" t="str">
        <x:v>SVW787</x:v>
      </x:c>
      <x:c r="F41" s="45" t="str">
        <x:v>备案号匹配</x:v>
      </x:c>
      <x:c r="G41" s="46" t="n">
        <x:v>46275</x:v>
      </x:c>
      <x:c r="H41" s="46" t="n">
        <x:v>46269</x:v>
      </x:c>
      <x:c r="I41" s="50" t="str">
        <x:v>https://mp.fof99.com/fund/view/437e3feded28d12d</x:v>
      </x:c>
      <x:c r="J41" s="45" t="str">
        <x:v>私募基金 (40).xlsx</x:v>
      </x:c>
      <x:c r="K41" s="45" t="str">
        <x:v>10-20亿元</x:v>
      </x:c>
      <x:c r="L41" s="50" t="str">
        <x:v>https://mp.fof99.com/fund/view/437e3feded28d12d</x:v>
      </x:c>
      <x:c r="M41" s="46" t="n">
        <x:v>46275</x:v>
      </x:c>
      <x:c r="N41" s="51" t="n">
        <x:v>0</x:v>
      </x:c>
      <x:c r="O41" s="50" t="str">
        <x:v>https://gs.amac.org.cn/amac-infodisc/res/pof/fund/2207141704102568.html</x:v>
      </x:c>
      <x:c r="P41" s="46" t="n">
        <x:v>46275</x:v>
      </x:c>
      <x:c r="Q41" s="47" t="n">
        <x:v>0.1139</x:v>
      </x:c>
      <x:c r="R41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41" s="45" t="str">
        <x:v>套利策略—期货套利</x:v>
      </x:c>
      <x:c r="T41" s="45" t="str"/>
      <x:c r="U41" s="45" t="str">
        <x:v>SVW787</x:v>
      </x:c>
      <x:c r="V41" s="45" t="str">
        <x:v>是</x:v>
      </x:c>
    </x:row>
    <x:row r="42" ht="58" customHeight="1">
      <x:c r="A42" s="45" t="n">
        <x:v>42</x:v>
      </x:c>
      <x:c r="B42" s="45" t="str">
        <x:v>慕途基本面量化2号</x:v>
      </x:c>
      <x:c r="C42" s="45" t="str">
        <x:v>SB9576</x:v>
      </x:c>
      <x:c r="D42" s="45" t="str">
        <x:v>SB9576</x:v>
      </x:c>
      <x:c r="E42" s="45" t="str">
        <x:v>SB9576</x:v>
      </x:c>
      <x:c r="F42" s="45" t="str">
        <x:v>备案号匹配</x:v>
      </x:c>
      <x:c r="G42" s="46" t="n">
        <x:v>46275</x:v>
      </x:c>
      <x:c r="H42" s="46" t="n">
        <x:v>46269</x:v>
      </x:c>
      <x:c r="I42" s="50" t="str">
        <x:v>https://mp.fof99.com/fund/view/2b81990a6051e6e6</x:v>
      </x:c>
      <x:c r="J42" s="45" t="str">
        <x:v>私募基金 (41).xlsx</x:v>
      </x:c>
      <x:c r="K42" s="45" t="str">
        <x:v>10-20亿元</x:v>
      </x:c>
      <x:c r="L42" s="50" t="str">
        <x:v>https://mp.fof99.com/fund/view/2b81990a6051e6e6</x:v>
      </x:c>
      <x:c r="M42" s="46" t="n">
        <x:v>46275</x:v>
      </x:c>
      <x:c r="N42" s="51" t="n">
        <x:v>0</x:v>
      </x:c>
      <x:c r="O42" s="50" t="str">
        <x:v>https://gs.amac.org.cn/amac-infodisc/res/pof/fund/2309061045105511.html</x:v>
      </x:c>
      <x:c r="P42" s="46" t="n">
        <x:v>46275</x:v>
      </x:c>
      <x:c r="Q42" s="47" t="n">
        <x:v>0.09390000000000001</x:v>
      </x:c>
      <x:c r="R42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42" s="45" t="str">
        <x:v>套利策略—期货套利</x:v>
      </x:c>
      <x:c r="T42" s="45" t="str"/>
      <x:c r="U42" s="45" t="str">
        <x:v>SB9576</x:v>
      </x:c>
      <x:c r="V42" s="45" t="str">
        <x:v>是</x:v>
      </x:c>
    </x:row>
    <x:row r="43" ht="58" customHeight="1">
      <x:c r="A43" s="45" t="n">
        <x:v>43</x:v>
      </x:c>
      <x:c r="B43" s="45" t="str">
        <x:v>慕途商品套利1号</x:v>
      </x:c>
      <x:c r="C43" s="45" t="str">
        <x:v>SAHX36</x:v>
      </x:c>
      <x:c r="D43" s="45" t="str">
        <x:v>SAHX36</x:v>
      </x:c>
      <x:c r="E43" s="45" t="str">
        <x:v>SAHX36</x:v>
      </x:c>
      <x:c r="F43" s="45" t="str">
        <x:v>备案号匹配</x:v>
      </x:c>
      <x:c r="G43" s="46" t="n">
        <x:v>46275</x:v>
      </x:c>
      <x:c r="H43" s="46" t="n">
        <x:v>46269</x:v>
      </x:c>
      <x:c r="I43" s="50" t="str">
        <x:v>https://mp.fof99.com/fund/view/6170fbc34ea41205</x:v>
      </x:c>
      <x:c r="J43" s="45" t="str">
        <x:v>私募基金 (83).xlsx</x:v>
      </x:c>
      <x:c r="K43" s="45" t="str">
        <x:v>10-20亿元</x:v>
      </x:c>
      <x:c r="L43" s="50" t="str">
        <x:v>https://mp.fof99.com/fund/view/6170fbc34ea41205</x:v>
      </x:c>
      <x:c r="M43" s="46" t="n">
        <x:v>46275</x:v>
      </x:c>
      <x:c r="N43" s="51" t="n">
        <x:v>0</x:v>
      </x:c>
      <x:c r="O43" s="50" t="str">
        <x:v>https://gs.amac.org.cn/amac-infodisc/res/pof/fund/2404081616103724.html</x:v>
      </x:c>
      <x:c r="P43" s="46" t="n">
        <x:v>46275</x:v>
      </x:c>
      <x:c r="Q43" s="47" t="n">
        <x:v>0.0882</x:v>
      </x:c>
      <x:c r="R43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43" s="45" t="str">
        <x:v>套利策略—期货套利</x:v>
      </x:c>
      <x:c r="T43" s="45" t="str"/>
      <x:c r="U43" s="45" t="str">
        <x:v>SAHX36</x:v>
      </x:c>
      <x:c r="V43" s="45" t="str">
        <x:v>是</x:v>
      </x:c>
    </x:row>
    <x:row r="44" ht="58" customHeight="1">
      <x:c r="A44" s="45" t="n">
        <x:v>44</x:v>
      </x:c>
      <x:c r="B44" s="45" t="str">
        <x:v>慕途稳健1号</x:v>
      </x:c>
      <x:c r="C44" s="45" t="str">
        <x:v>SVM029</x:v>
      </x:c>
      <x:c r="D44" s="45" t="str">
        <x:v>SVM029</x:v>
      </x:c>
      <x:c r="E44" s="45" t="str">
        <x:v>SVM029</x:v>
      </x:c>
      <x:c r="F44" s="45" t="str">
        <x:v>备案号匹配</x:v>
      </x:c>
      <x:c r="G44" s="46" t="n">
        <x:v>46275</x:v>
      </x:c>
      <x:c r="H44" s="46" t="n">
        <x:v>46269</x:v>
      </x:c>
      <x:c r="I44" s="50" t="str">
        <x:v>https://mp.fof99.com/fund/view/1a1f9e733b6e6ee0</x:v>
      </x:c>
      <x:c r="J44" s="45" t="str">
        <x:v>私募基金 (42).xlsx</x:v>
      </x:c>
      <x:c r="K44" s="45" t="str">
        <x:v>10-20亿元</x:v>
      </x:c>
      <x:c r="L44" s="50" t="str">
        <x:v>https://mp.fof99.com/fund/view/1a1f9e733b6e6ee0</x:v>
      </x:c>
      <x:c r="M44" s="46" t="n">
        <x:v>46275</x:v>
      </x:c>
      <x:c r="N44" s="51" t="n">
        <x:v>0</x:v>
      </x:c>
      <x:c r="O44" s="50" t="str">
        <x:v>https://gs.amac.org.cn/amac-infodisc/res/pof/fund/2205181829119258.html</x:v>
      </x:c>
      <x:c r="P44" s="46" t="n">
        <x:v>46275</x:v>
      </x:c>
      <x:c r="Q44" s="47" t="n">
        <x:v>0.0767</x:v>
      </x:c>
      <x:c r="R44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44" s="45" t="str">
        <x:v>期权策略</x:v>
      </x:c>
      <x:c r="T44" s="45" t="str"/>
      <x:c r="U44" s="45" t="str">
        <x:v>SVM029</x:v>
      </x:c>
      <x:c r="V44" s="45" t="str">
        <x:v>是</x:v>
      </x:c>
    </x:row>
    <x:row r="45" ht="58" customHeight="1">
      <x:c r="A45" s="45" t="n">
        <x:v>45</x:v>
      </x:c>
      <x:c r="B45" s="45" t="str">
        <x:v>慕途盈川1号</x:v>
      </x:c>
      <x:c r="C45" s="45" t="str">
        <x:v>SAQQ67</x:v>
      </x:c>
      <x:c r="D45" s="45" t="str">
        <x:v>SAQQ67</x:v>
      </x:c>
      <x:c r="E45" s="45" t="str">
        <x:v>SAQQ67</x:v>
      </x:c>
      <x:c r="F45" s="45" t="str">
        <x:v>备案号匹配</x:v>
      </x:c>
      <x:c r="G45" s="46" t="n">
        <x:v>46275</x:v>
      </x:c>
      <x:c r="H45" s="46" t="n">
        <x:v>46269</x:v>
      </x:c>
      <x:c r="I45" s="50" t="str">
        <x:v>https://mp.fof99.com/fund/view/26b4ccb26333ca6a</x:v>
      </x:c>
      <x:c r="J45" s="45" t="str">
        <x:v>私募基金 (43).xlsx</x:v>
      </x:c>
      <x:c r="K45" s="45" t="str">
        <x:v>10-20亿元</x:v>
      </x:c>
      <x:c r="L45" s="50" t="str">
        <x:v>https://mp.fof99.com/fund/view/26b4ccb26333ca6a</x:v>
      </x:c>
      <x:c r="M45" s="46" t="n">
        <x:v>46275</x:v>
      </x:c>
      <x:c r="N45" s="51" t="n">
        <x:v>0</x:v>
      </x:c>
      <x:c r="O45" s="50" t="str">
        <x:v>https://gs.amac.org.cn/amac-infodisc/res/pof/fund/2412092007109429.html</x:v>
      </x:c>
      <x:c r="P45" s="46" t="n">
        <x:v>46275</x:v>
      </x:c>
      <x:c r="Q45" s="47" t="n">
        <x:v>0.1099</x:v>
      </x:c>
      <x:c r="R45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45" s="45" t="str">
        <x:v>套利策略—期货套利</x:v>
      </x:c>
      <x:c r="T45" s="45" t="str"/>
      <x:c r="U45" s="45" t="str">
        <x:v>SAQQ67</x:v>
      </x:c>
      <x:c r="V45" s="45" t="str">
        <x:v>是</x:v>
      </x:c>
    </x:row>
    <x:row r="46" ht="58" customHeight="1">
      <x:c r="A46" s="45" t="n">
        <x:v>46</x:v>
      </x:c>
      <x:c r="B46" s="45" t="str">
        <x:v>奶酪鑫鑫宝二号</x:v>
      </x:c>
      <x:c r="C46" s="45" t="str">
        <x:v>SB2838</x:v>
      </x:c>
      <x:c r="D46" s="45" t="str">
        <x:v>SB2838</x:v>
      </x:c>
      <x:c r="E46" s="45" t="str">
        <x:v>SB2838</x:v>
      </x:c>
      <x:c r="F46" s="45" t="str">
        <x:v>备案号匹配</x:v>
      </x:c>
      <x:c r="G46" s="46" t="n">
        <x:v>46275</x:v>
      </x:c>
      <x:c r="H46" s="46" t="n">
        <x:v>46269</x:v>
      </x:c>
      <x:c r="I46" s="50" t="str">
        <x:v>https://mp.fof99.com/fund/view/3a6601028e5010ab</x:v>
      </x:c>
      <x:c r="J46" s="45" t="str">
        <x:v>私募基金 (44).xlsx</x:v>
      </x:c>
      <x:c r="K46" s="45" t="str">
        <x:v>10-20亿元</x:v>
      </x:c>
      <x:c r="L46" s="50" t="str">
        <x:v>https://mp.fof99.com/fund/view/3a6601028e5010ab</x:v>
      </x:c>
      <x:c r="M46" s="46" t="n">
        <x:v>46275</x:v>
      </x:c>
      <x:c r="N46" s="51" t="n">
        <x:v>0</x:v>
      </x:c>
      <x:c r="O46" s="50" t="str">
        <x:v>https://gs.amac.org.cn/amac-infodisc/res/pof/fund/2306141909104356.html</x:v>
      </x:c>
      <x:c r="P46" s="46" t="n">
        <x:v>46275</x:v>
      </x:c>
      <x:c r="Q46" s="47" t="n">
        <x:v>0.047</x:v>
      </x:c>
      <x:c r="R46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46" s="45" t="str">
        <x:v>套利策略—期货套利</x:v>
      </x:c>
      <x:c r="T46" s="45" t="str"/>
      <x:c r="U46" s="45" t="str">
        <x:v>SB2838</x:v>
      </x:c>
      <x:c r="V46" s="45" t="str">
        <x:v>是</x:v>
      </x:c>
    </x:row>
    <x:row r="47" ht="58" customHeight="1">
      <x:c r="A47" s="45" t="n">
        <x:v>47</x:v>
      </x:c>
      <x:c r="B47" s="45" t="str">
        <x:v>平凡凡响二号</x:v>
      </x:c>
      <x:c r="C47" s="45" t="str">
        <x:v>SZU727</x:v>
      </x:c>
      <x:c r="D47" s="45" t="str">
        <x:v>SZU727</x:v>
      </x:c>
      <x:c r="E47" s="45" t="str">
        <x:v>SZU727</x:v>
      </x:c>
      <x:c r="F47" s="45" t="str">
        <x:v>备案号匹配</x:v>
      </x:c>
      <x:c r="G47" s="46" t="n">
        <x:v>46275</x:v>
      </x:c>
      <x:c r="H47" s="46" t="n">
        <x:v>46269</x:v>
      </x:c>
      <x:c r="I47" s="50" t="str">
        <x:v>https://mp.fof99.com/fund/view/1cfd48f3c3164c34</x:v>
      </x:c>
      <x:c r="J47" s="45" t="str">
        <x:v>私募基金 (45).xlsx</x:v>
      </x:c>
      <x:c r="K47" s="45" t="str">
        <x:v>50-100亿元</x:v>
      </x:c>
      <x:c r="L47" s="50" t="str">
        <x:v>https://mp.fof99.com/fund/view/1cfd48f3c3164c34</x:v>
      </x:c>
      <x:c r="M47" s="46" t="n">
        <x:v>46275</x:v>
      </x:c>
      <x:c r="N47" s="51" t="n">
        <x:v>0</x:v>
      </x:c>
      <x:c r="O47" s="50" t="str">
        <x:v>https://gs.amac.org.cn/amac-infodisc/res/pof/fund/2304121918100513.html</x:v>
      </x:c>
      <x:c r="P47" s="46" t="n">
        <x:v>46275</x:v>
      </x:c>
      <x:c r="Q47" s="47" t="n">
        <x:v>0.044800000000000006</x:v>
      </x:c>
      <x:c r="R47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47" s="45" t="str">
        <x:v>套利策略—基金套利</x:v>
      </x:c>
      <x:c r="T47" s="45" t="str"/>
      <x:c r="U47" s="45" t="str">
        <x:v>SZU727</x:v>
      </x:c>
      <x:c r="V47" s="45" t="str">
        <x:v>是</x:v>
      </x:c>
    </x:row>
    <x:row r="48" ht="58" customHeight="1">
      <x:c r="A48" s="45" t="n">
        <x:v>48</x:v>
      </x:c>
      <x:c r="B48" s="45" t="str">
        <x:v>平凡浩睿</x:v>
      </x:c>
      <x:c r="C48" s="45" t="str">
        <x:v>SJS890</x:v>
      </x:c>
      <x:c r="D48" s="45" t="str">
        <x:v>SJS890</x:v>
      </x:c>
      <x:c r="E48" s="45" t="str">
        <x:v>SJS890</x:v>
      </x:c>
      <x:c r="F48" s="45" t="str">
        <x:v>备案号匹配</x:v>
      </x:c>
      <x:c r="G48" s="46" t="n">
        <x:v>46275</x:v>
      </x:c>
      <x:c r="H48" s="46" t="n">
        <x:v>46269</x:v>
      </x:c>
      <x:c r="I48" s="50" t="str">
        <x:v>https://mp.fof99.com/fund/view/cede2959c01b91f6</x:v>
      </x:c>
      <x:c r="J48" s="45" t="str">
        <x:v>私募基金 (46).xlsx</x:v>
      </x:c>
      <x:c r="K48" s="45" t="str">
        <x:v>50-100亿元</x:v>
      </x:c>
      <x:c r="L48" s="50" t="str">
        <x:v>https://mp.fof99.com/fund/view/cede2959c01b91f6</x:v>
      </x:c>
      <x:c r="M48" s="46" t="n">
        <x:v>46275</x:v>
      </x:c>
      <x:c r="N48" s="51" t="n">
        <x:v>0</x:v>
      </x:c>
      <x:c r="O48" s="50" t="str">
        <x:v>https://gs.amac.org.cn/amac-infodisc/res/pof/fund/2003111724111317.html</x:v>
      </x:c>
      <x:c r="P48" s="46" t="n">
        <x:v>46275</x:v>
      </x:c>
      <x:c r="Q48" s="47" t="n">
        <x:v>0.1454</x:v>
      </x:c>
      <x:c r="R48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48" s="45" t="str">
        <x:v>套利策略—基金套利</x:v>
      </x:c>
      <x:c r="T48" s="45" t="str"/>
      <x:c r="U48" s="45" t="str">
        <x:v>SJS890</x:v>
      </x:c>
      <x:c r="V48" s="45" t="str">
        <x:v>是</x:v>
      </x:c>
    </x:row>
    <x:row r="49" ht="58" customHeight="1">
      <x:c r="A49" s="45" t="n">
        <x:v>49</x:v>
      </x:c>
      <x:c r="B49" s="45" t="str">
        <x:v>平凡悟鑫</x:v>
      </x:c>
      <x:c r="C49" s="45" t="str">
        <x:v>SJ2870</x:v>
      </x:c>
      <x:c r="D49" s="45" t="str">
        <x:v>SJ2870</x:v>
      </x:c>
      <x:c r="E49" s="45" t="str">
        <x:v>SJ2870</x:v>
      </x:c>
      <x:c r="F49" s="45" t="str">
        <x:v>备案号匹配</x:v>
      </x:c>
      <x:c r="G49" s="46" t="n">
        <x:v>46275</x:v>
      </x:c>
      <x:c r="H49" s="46" t="n">
        <x:v>46269</x:v>
      </x:c>
      <x:c r="I49" s="50" t="str">
        <x:v>https://mp.fof99.com/fund/view/8b4dbf527867d6d0</x:v>
      </x:c>
      <x:c r="J49" s="45" t="str">
        <x:v>私募基金 (47).xlsx</x:v>
      </x:c>
      <x:c r="K49" s="45" t="str">
        <x:v>50-100亿元</x:v>
      </x:c>
      <x:c r="L49" s="50" t="str">
        <x:v>https://mp.fof99.com/fund/view/8b4dbf527867d6d0</x:v>
      </x:c>
      <x:c r="M49" s="46" t="n">
        <x:v>46275</x:v>
      </x:c>
      <x:c r="N49" s="51" t="n">
        <x:v>0</x:v>
      </x:c>
      <x:c r="O49" s="50" t="str">
        <x:v>https://gs.amac.org.cn/amac-infodisc/res/pof/fund/351000410825.html</x:v>
      </x:c>
      <x:c r="P49" s="46" t="n">
        <x:v>46275</x:v>
      </x:c>
      <x:c r="Q49" s="47" t="n">
        <x:v>0.0786</x:v>
      </x:c>
      <x:c r="R49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49" s="45" t="str">
        <x:v>套利策略—基金套利</x:v>
      </x:c>
      <x:c r="T49" s="45" t="str"/>
      <x:c r="U49" s="45" t="str">
        <x:v>SJ2870</x:v>
      </x:c>
      <x:c r="V49" s="45" t="str">
        <x:v>是</x:v>
      </x:c>
    </x:row>
    <x:row r="50" ht="58" customHeight="1">
      <x:c r="A50" s="45" t="n">
        <x:v>50</x:v>
      </x:c>
      <x:c r="B50" s="45" t="str">
        <x:v>祁腾蜂赢1号</x:v>
      </x:c>
      <x:c r="C50" s="45" t="str">
        <x:v>SEV580</x:v>
      </x:c>
      <x:c r="D50" s="45" t="str">
        <x:v>SEV580</x:v>
      </x:c>
      <x:c r="E50" s="45" t="str">
        <x:v>SEV580</x:v>
      </x:c>
      <x:c r="F50" s="45" t="str">
        <x:v>备案号匹配</x:v>
      </x:c>
      <x:c r="G50" s="46" t="n">
        <x:v>46275</x:v>
      </x:c>
      <x:c r="H50" s="46" t="n">
        <x:v>46269</x:v>
      </x:c>
      <x:c r="I50" s="50" t="str">
        <x:v>https://mp.fof99.com/fund/view/47e9165a9812665a</x:v>
      </x:c>
      <x:c r="J50" s="45" t="str">
        <x:v>私募基金 (48).xlsx</x:v>
      </x:c>
      <x:c r="K50" s="45" t="str">
        <x:v>0-5亿元</x:v>
      </x:c>
      <x:c r="L50" s="50" t="str">
        <x:v>https://mp.fof99.com/fund/view/47e9165a9812665a</x:v>
      </x:c>
      <x:c r="M50" s="46" t="n">
        <x:v>46275</x:v>
      </x:c>
      <x:c r="N50" s="51" t="n">
        <x:v>0</x:v>
      </x:c>
      <x:c r="O50" s="50" t="str">
        <x:v>https://gs.amac.org.cn/amac-infodisc/res/pof/fund/1902010925104002.html</x:v>
      </x:c>
      <x:c r="P50" s="46" t="n">
        <x:v>46275</x:v>
      </x:c>
      <x:c r="Q50" s="47"/>
      <x:c r="R50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50" s="45" t="str">
        <x:v>套利策略—期货套利</x:v>
      </x:c>
      <x:c r="T50" s="45" t="str"/>
      <x:c r="U50" s="45" t="str">
        <x:v>SEV580</x:v>
      </x:c>
      <x:c r="V50" s="45" t="str">
        <x:v>是</x:v>
      </x:c>
    </x:row>
    <x:row r="51" ht="58" customHeight="1">
      <x:c r="A51" s="45" t="n">
        <x:v>51</x:v>
      </x:c>
      <x:c r="B51" s="45" t="str">
        <x:v>融昊青松CTA套利一号</x:v>
      </x:c>
      <x:c r="C51" s="45" t="str">
        <x:v>S09735</x:v>
      </x:c>
      <x:c r="D51" s="45" t="str">
        <x:v>S09735</x:v>
      </x:c>
      <x:c r="E51" s="45" t="str">
        <x:v>S09735</x:v>
      </x:c>
      <x:c r="F51" s="45" t="str">
        <x:v>备案号匹配</x:v>
      </x:c>
      <x:c r="G51" s="46" t="n">
        <x:v>46275</x:v>
      </x:c>
      <x:c r="H51" s="46" t="n">
        <x:v>46269</x:v>
      </x:c>
      <x:c r="I51" s="50" t="str">
        <x:v>https://mp.fof99.com/fund/view/a88265fe21033296</x:v>
      </x:c>
      <x:c r="J51" s="45" t="str">
        <x:v>私募基金 (49).xlsx</x:v>
      </x:c>
      <x:c r="K51" s="45" t="str">
        <x:v>10-20亿元</x:v>
      </x:c>
      <x:c r="L51" s="50" t="str">
        <x:v>https://mp.fof99.com/fund/view/a88265fe21033296</x:v>
      </x:c>
      <x:c r="M51" s="46" t="n">
        <x:v>46275</x:v>
      </x:c>
      <x:c r="N51" s="51" t="n">
        <x:v>0</x:v>
      </x:c>
      <x:c r="O51" s="50" t="str">
        <x:v>https://gs.amac.org.cn/amac-infodisc/res/pof/fund/2305231100107580.html</x:v>
      </x:c>
      <x:c r="P51" s="46" t="n">
        <x:v>46275</x:v>
      </x:c>
      <x:c r="Q51" s="47" t="n">
        <x:v>0.0924</x:v>
      </x:c>
      <x:c r="R51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51" s="45" t="str">
        <x:v>管理期货—主观CTA</x:v>
      </x:c>
      <x:c r="T51" s="45" t="str"/>
      <x:c r="U51" s="45" t="str">
        <x:v>S09735</x:v>
      </x:c>
      <x:c r="V51" s="45" t="str">
        <x:v>是</x:v>
      </x:c>
    </x:row>
    <x:row r="52" ht="58" customHeight="1">
      <x:c r="A52" s="45" t="n">
        <x:v>52</x:v>
      </x:c>
      <x:c r="B52" s="45" t="str">
        <x:v>锐耐复利倍增2号C类</x:v>
      </x:c>
      <x:c r="C52" s="45" t="str">
        <x:v>XV513C</x:v>
      </x:c>
      <x:c r="D52" s="45" t="str">
        <x:v>XV513C</x:v>
      </x:c>
      <x:c r="E52" s="45" t="str">
        <x:v>XV513C</x:v>
      </x:c>
      <x:c r="F52" s="45" t="str">
        <x:v>备案号匹配</x:v>
      </x:c>
      <x:c r="G52" s="46" t="n">
        <x:v>46275</x:v>
      </x:c>
      <x:c r="H52" s="46" t="n">
        <x:v>46269</x:v>
      </x:c>
      <x:c r="I52" s="50" t="str">
        <x:v>https://mp.fof99.com/fund/view/31ef590a8e08938a</x:v>
      </x:c>
      <x:c r="J52" s="45" t="str">
        <x:v>私募基金 (50).xlsx</x:v>
      </x:c>
      <x:c r="K52" s="45" t="str">
        <x:v>20-50亿元</x:v>
      </x:c>
      <x:c r="L52" s="50" t="str">
        <x:v>https://mp.fof99.com/fund/view/31ef590a8e08938a</x:v>
      </x:c>
      <x:c r="M52" s="46" t="n">
        <x:v>46275</x:v>
      </x:c>
      <x:c r="N52" s="51"/>
      <x:c r="O52" s="50" t="str"/>
      <x:c r="P52" s="46"/>
      <x:c r="Q52" s="47"/>
      <x:c r="R52" s="50" t="str">
        <x:v>火富牛平台未提供产品协会链接，产品低规模标识未核验，不能按满分处理；原表类型：私募。</x:v>
      </x:c>
      <x:c r="S52" s="45" t="str">
        <x:v>套利策略—期货套利</x:v>
      </x:c>
      <x:c r="T52" s="45" t="str"/>
      <x:c r="U52" s="45" t="str"/>
      <x:c r="V52" s="45" t="str">
        <x:v>未核验</x:v>
      </x:c>
    </x:row>
    <x:row r="53" ht="58" customHeight="1">
      <x:c r="A53" s="45" t="n">
        <x:v>53</x:v>
      </x:c>
      <x:c r="B53" s="45" t="str">
        <x:v>睿启鑫享1号</x:v>
      </x:c>
      <x:c r="C53" s="45" t="str">
        <x:v>SAQD46</x:v>
      </x:c>
      <x:c r="D53" s="45" t="str">
        <x:v>SAQD46</x:v>
      </x:c>
      <x:c r="E53" s="45" t="str">
        <x:v>SAQD46</x:v>
      </x:c>
      <x:c r="F53" s="45" t="str">
        <x:v>备案号匹配</x:v>
      </x:c>
      <x:c r="G53" s="46" t="n">
        <x:v>46275</x:v>
      </x:c>
      <x:c r="H53" s="46" t="n">
        <x:v>46269</x:v>
      </x:c>
      <x:c r="I53" s="50" t="str">
        <x:v>https://mp.fof99.com/fund/view/a9c8655ec835e06f</x:v>
      </x:c>
      <x:c r="J53" s="45" t="str">
        <x:v>私募基金 (51).xlsx</x:v>
      </x:c>
      <x:c r="K53" s="45" t="str">
        <x:v>5-10亿元</x:v>
      </x:c>
      <x:c r="L53" s="50" t="str">
        <x:v>https://mp.fof99.com/fund/view/a9c8655ec835e06f</x:v>
      </x:c>
      <x:c r="M53" s="46" t="n">
        <x:v>46275</x:v>
      </x:c>
      <x:c r="N53" s="51" t="n">
        <x:v>0</x:v>
      </x:c>
      <x:c r="O53" s="50" t="str">
        <x:v>https://gs.amac.org.cn/amac-infodisc/res/pof/fund/2411111031107269.html</x:v>
      </x:c>
      <x:c r="P53" s="46" t="n">
        <x:v>46275</x:v>
      </x:c>
      <x:c r="Q53" s="47"/>
      <x:c r="R53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53" s="45" t="str">
        <x:v>套利策略—期货套利</x:v>
      </x:c>
      <x:c r="T53" s="45" t="str"/>
      <x:c r="U53" s="45" t="str">
        <x:v>SAQD46</x:v>
      </x:c>
      <x:c r="V53" s="45" t="str">
        <x:v>是</x:v>
      </x:c>
    </x:row>
    <x:row r="54" ht="58" customHeight="1">
      <x:c r="A54" s="45" t="n">
        <x:v>54</x:v>
      </x:c>
      <x:c r="B54" s="45" t="str">
        <x:v>杉阳云杉混合1号A类</x:v>
      </x:c>
      <x:c r="C54" s="45" t="str">
        <x:v>LA063A</x:v>
      </x:c>
      <x:c r="D54" s="45" t="str">
        <x:v>LA063A</x:v>
      </x:c>
      <x:c r="E54" s="45" t="str">
        <x:v>LA063A</x:v>
      </x:c>
      <x:c r="F54" s="45" t="str">
        <x:v>备案号匹配</x:v>
      </x:c>
      <x:c r="G54" s="46" t="n">
        <x:v>46275</x:v>
      </x:c>
      <x:c r="H54" s="46" t="n">
        <x:v>46269</x:v>
      </x:c>
      <x:c r="I54" s="50" t="str">
        <x:v>https://mp.fof99.com/fund/view/da0c65e7ce600ec9</x:v>
      </x:c>
      <x:c r="J54" s="45" t="str">
        <x:v>私募基金 (52).xlsx</x:v>
      </x:c>
      <x:c r="K54" s="45" t="str">
        <x:v>0-5亿元</x:v>
      </x:c>
      <x:c r="L54" s="50" t="str">
        <x:v>https://mp.fof99.com/fund/view/da0c65e7ce600ec9</x:v>
      </x:c>
      <x:c r="M54" s="46" t="n">
        <x:v>46275</x:v>
      </x:c>
      <x:c r="N54" s="51"/>
      <x:c r="O54" s="50" t="str"/>
      <x:c r="P54" s="46"/>
      <x:c r="Q54" s="47" t="n">
        <x:v>0.06860000000000001</x:v>
      </x:c>
      <x:c r="R54" s="50" t="str">
        <x:v>火富牛平台未提供产品协会链接，产品低规模标识未核验，不能按满分处理；原表类型：私募。</x:v>
      </x:c>
      <x:c r="S54" s="45" t="str">
        <x:v>套利策略—期货套利</x:v>
      </x:c>
      <x:c r="T54" s="45" t="str"/>
      <x:c r="U54" s="45" t="str"/>
      <x:c r="V54" s="45" t="str">
        <x:v>未核验</x:v>
      </x:c>
    </x:row>
    <x:row r="55" ht="58" customHeight="1">
      <x:c r="A55" s="45" t="n">
        <x:v>55</x:v>
      </x:c>
      <x:c r="B55" s="45" t="str">
        <x:v>尚湖期权套利安享1号</x:v>
      </x:c>
      <x:c r="C55" s="45" t="str">
        <x:v>SXZ850</x:v>
      </x:c>
      <x:c r="D55" s="45" t="str">
        <x:v>SXZ850</x:v>
      </x:c>
      <x:c r="E55" s="45" t="str">
        <x:v>SXZ850</x:v>
      </x:c>
      <x:c r="F55" s="45" t="str">
        <x:v>备案号匹配</x:v>
      </x:c>
      <x:c r="G55" s="46" t="n">
        <x:v>46275</x:v>
      </x:c>
      <x:c r="H55" s="46" t="n">
        <x:v>46269</x:v>
      </x:c>
      <x:c r="I55" s="50" t="str">
        <x:v>https://mp.fof99.com/fund/view/6522b5ad5dcbdcbd</x:v>
      </x:c>
      <x:c r="J55" s="45" t="str">
        <x:v>私募基金 (53).xlsx</x:v>
      </x:c>
      <x:c r="K55" s="45" t="str">
        <x:v>5-10亿元</x:v>
      </x:c>
      <x:c r="L55" s="50" t="str">
        <x:v>https://mp.fof99.com/fund/view/6522b5ad5dcbdcbd</x:v>
      </x:c>
      <x:c r="M55" s="46" t="n">
        <x:v>46275</x:v>
      </x:c>
      <x:c r="N55" s="51" t="n">
        <x:v>0</x:v>
      </x:c>
      <x:c r="O55" s="50" t="str">
        <x:v>https://gs.amac.org.cn/amac-infodisc/res/pof/fund/2212281000105421.html</x:v>
      </x:c>
      <x:c r="P55" s="46" t="n">
        <x:v>46275</x:v>
      </x:c>
      <x:c r="Q55" s="47" t="n">
        <x:v>0.050300000000000004</x:v>
      </x:c>
      <x:c r="R55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55" s="45" t="str">
        <x:v>期权策略</x:v>
      </x:c>
      <x:c r="T55" s="45" t="str"/>
      <x:c r="U55" s="45" t="str">
        <x:v>SXZ850</x:v>
      </x:c>
      <x:c r="V55" s="45" t="str">
        <x:v>是</x:v>
      </x:c>
    </x:row>
    <x:row r="56" ht="58" customHeight="1">
      <x:c r="A56" s="45" t="n">
        <x:v>56</x:v>
      </x:c>
      <x:c r="B56" s="45" t="str">
        <x:v>深度梦扬量化1号</x:v>
      </x:c>
      <x:c r="C56" s="45" t="str">
        <x:v>SZM348</x:v>
      </x:c>
      <x:c r="D56" s="45" t="str">
        <x:v>SZM348</x:v>
      </x:c>
      <x:c r="E56" s="45" t="str">
        <x:v>SZM348</x:v>
      </x:c>
      <x:c r="F56" s="45" t="str">
        <x:v>备案号匹配</x:v>
      </x:c>
      <x:c r="G56" s="46" t="n">
        <x:v>46275</x:v>
      </x:c>
      <x:c r="H56" s="46" t="n">
        <x:v>46269</x:v>
      </x:c>
      <x:c r="I56" s="50" t="str">
        <x:v>https://mp.fof99.com/fund/view/d84950ffb7571587</x:v>
      </x:c>
      <x:c r="J56" s="45" t="str">
        <x:v>私募基金 (54).xlsx</x:v>
      </x:c>
      <x:c r="K56" s="45" t="str">
        <x:v>10-20亿元</x:v>
      </x:c>
      <x:c r="L56" s="50" t="str">
        <x:v>https://mp.fof99.com/fund/view/d84950ffb7571587</x:v>
      </x:c>
      <x:c r="M56" s="46" t="n">
        <x:v>46275</x:v>
      </x:c>
      <x:c r="N56" s="51" t="n">
        <x:v>0</x:v>
      </x:c>
      <x:c r="O56" s="50" t="str">
        <x:v>https://gs.amac.org.cn/amac-infodisc/res/pof/fund/2303031716101421.html</x:v>
      </x:c>
      <x:c r="P56" s="46" t="n">
        <x:v>46275</x:v>
      </x:c>
      <x:c r="Q56" s="47" t="n">
        <x:v>0.054400000000000004</x:v>
      </x:c>
      <x:c r="R56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56" s="45" t="str">
        <x:v>期权策略</x:v>
      </x:c>
      <x:c r="T56" s="45" t="str"/>
      <x:c r="U56" s="45" t="str">
        <x:v>SZM348</x:v>
      </x:c>
      <x:c r="V56" s="45" t="str">
        <x:v>是</x:v>
      </x:c>
    </x:row>
    <x:row r="57" ht="58" customHeight="1">
      <x:c r="A57" s="45" t="n">
        <x:v>57</x:v>
      </x:c>
      <x:c r="B57" s="45" t="str">
        <x:v>深度梦扬量化套利0号</x:v>
      </x:c>
      <x:c r="C57" s="45" t="str">
        <x:v>SQD620</x:v>
      </x:c>
      <x:c r="D57" s="45" t="str">
        <x:v>SQD620</x:v>
      </x:c>
      <x:c r="E57" s="45" t="str">
        <x:v>SQD620</x:v>
      </x:c>
      <x:c r="F57" s="45" t="str">
        <x:v>备案号匹配</x:v>
      </x:c>
      <x:c r="G57" s="46" t="n">
        <x:v>46275</x:v>
      </x:c>
      <x:c r="H57" s="46" t="n">
        <x:v>46269</x:v>
      </x:c>
      <x:c r="I57" s="50" t="str">
        <x:v>https://mp.fof99.com/fund/view/56199c339d1a20c7</x:v>
      </x:c>
      <x:c r="J57" s="45" t="str">
        <x:v>私募基金 (55).xlsx</x:v>
      </x:c>
      <x:c r="K57" s="45" t="str">
        <x:v>10-20亿元</x:v>
      </x:c>
      <x:c r="L57" s="50" t="str">
        <x:v>https://mp.fof99.com/fund/view/56199c339d1a20c7</x:v>
      </x:c>
      <x:c r="M57" s="46" t="n">
        <x:v>46275</x:v>
      </x:c>
      <x:c r="N57" s="51" t="n">
        <x:v>0</x:v>
      </x:c>
      <x:c r="O57" s="50" t="str">
        <x:v>https://gs.amac.org.cn/amac-infodisc/res/pof/fund/2104230845102170.html</x:v>
      </x:c>
      <x:c r="P57" s="46" t="n">
        <x:v>46275</x:v>
      </x:c>
      <x:c r="Q57" s="47"/>
      <x:c r="R57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57" s="45" t="str">
        <x:v>期权策略</x:v>
      </x:c>
      <x:c r="T57" s="45" t="str"/>
      <x:c r="U57" s="45" t="str">
        <x:v>SQD620</x:v>
      </x:c>
      <x:c r="V57" s="45" t="str">
        <x:v>是</x:v>
      </x:c>
    </x:row>
    <x:row r="58" ht="58" customHeight="1">
      <x:c r="A58" s="45" t="n">
        <x:v>58</x:v>
      </x:c>
      <x:c r="B58" s="45" t="str">
        <x:v>盛冠达试金石3号</x:v>
      </x:c>
      <x:c r="C58" s="45" t="str">
        <x:v>SW1709</x:v>
      </x:c>
      <x:c r="D58" s="45" t="str">
        <x:v>SW1709</x:v>
      </x:c>
      <x:c r="E58" s="45" t="str">
        <x:v>SW1709</x:v>
      </x:c>
      <x:c r="F58" s="45" t="str">
        <x:v>备案号匹配</x:v>
      </x:c>
      <x:c r="G58" s="46" t="n">
        <x:v>46275</x:v>
      </x:c>
      <x:c r="H58" s="46" t="n">
        <x:v>46269</x:v>
      </x:c>
      <x:c r="I58" s="50" t="str">
        <x:v>https://mp.fof99.com/fund/view/592f730fcd5623e4</x:v>
      </x:c>
      <x:c r="J58" s="45" t="str">
        <x:v>私募基金 (56).xlsx</x:v>
      </x:c>
      <x:c r="K58" s="45" t="str">
        <x:v>20-50亿元</x:v>
      </x:c>
      <x:c r="L58" s="50" t="str">
        <x:v>https://mp.fof99.com/fund/view/592f730fcd5623e4</x:v>
      </x:c>
      <x:c r="M58" s="46" t="n">
        <x:v>46275</x:v>
      </x:c>
      <x:c r="N58" s="51" t="n">
        <x:v>0</x:v>
      </x:c>
      <x:c r="O58" s="50" t="str">
        <x:v>https://gs.amac.org.cn/amac-infodisc/res/pof/fund/1711131228105655.html</x:v>
      </x:c>
      <x:c r="P58" s="46" t="n">
        <x:v>46275</x:v>
      </x:c>
      <x:c r="Q58" s="47" t="n">
        <x:v>0.0753</x:v>
      </x:c>
      <x:c r="R58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58" s="45" t="str">
        <x:v>套利策略—期货套利</x:v>
      </x:c>
      <x:c r="T58" s="45" t="str"/>
      <x:c r="U58" s="45" t="str">
        <x:v>SW1709</x:v>
      </x:c>
      <x:c r="V58" s="45" t="str">
        <x:v>是</x:v>
      </x:c>
    </x:row>
    <x:row r="59" ht="58" customHeight="1">
      <x:c r="A59" s="45" t="n">
        <x:v>59</x:v>
      </x:c>
      <x:c r="B59" s="45" t="str">
        <x:v>世宽若水尘心2号B类</x:v>
      </x:c>
      <x:c r="C59" s="45" t="str">
        <x:v>XX769B</x:v>
      </x:c>
      <x:c r="D59" s="45" t="str">
        <x:v>XX769B</x:v>
      </x:c>
      <x:c r="E59" s="45" t="str">
        <x:v>XX769B</x:v>
      </x:c>
      <x:c r="F59" s="45" t="str">
        <x:v>备案号匹配</x:v>
      </x:c>
      <x:c r="G59" s="46" t="n">
        <x:v>46275</x:v>
      </x:c>
      <x:c r="H59" s="46" t="n">
        <x:v>46269</x:v>
      </x:c>
      <x:c r="I59" s="50" t="str">
        <x:v>https://mp.fof99.com/fund/view/317110f339421a93</x:v>
      </x:c>
      <x:c r="J59" s="45" t="str">
        <x:v>私募基金 (57).xlsx</x:v>
      </x:c>
      <x:c r="K59" s="45" t="str">
        <x:v>0-5亿元</x:v>
      </x:c>
      <x:c r="L59" s="50" t="str">
        <x:v>https://mp.fof99.com/fund/view/317110f339421a93</x:v>
      </x:c>
      <x:c r="M59" s="46" t="n">
        <x:v>46275</x:v>
      </x:c>
      <x:c r="N59" s="51"/>
      <x:c r="O59" s="50" t="str"/>
      <x:c r="P59" s="46"/>
      <x:c r="Q59" s="47" t="n">
        <x:v>0.1782</x:v>
      </x:c>
      <x:c r="R59" s="50" t="str">
        <x:v>火富牛产品详情未提供 AMAC 产品公示链接；产品低规模标识未知。；火富牛平台未提供产品协会链接，产品低规模标识未核验，不能按满分处理；原表类型：私募。</x:v>
      </x:c>
      <x:c r="S59" s="45" t="str">
        <x:v>套利策略—期货套利</x:v>
      </x:c>
      <x:c r="T59" s="45" t="str"/>
      <x:c r="U59" s="45" t="str"/>
      <x:c r="V59" s="45" t="str">
        <x:v>未核验</x:v>
      </x:c>
    </x:row>
    <x:row r="60" ht="58" customHeight="1">
      <x:c r="A60" s="45" t="n">
        <x:v>60</x:v>
      </x:c>
      <x:c r="B60" s="45" t="str">
        <x:v>世宽若水尘心3号</x:v>
      </x:c>
      <x:c r="C60" s="45" t="str">
        <x:v>SXT730</x:v>
      </x:c>
      <x:c r="D60" s="45" t="str">
        <x:v>SXT730</x:v>
      </x:c>
      <x:c r="E60" s="45" t="str">
        <x:v>SXT730</x:v>
      </x:c>
      <x:c r="F60" s="45" t="str">
        <x:v>备案号匹配</x:v>
      </x:c>
      <x:c r="G60" s="46" t="n">
        <x:v>46275</x:v>
      </x:c>
      <x:c r="H60" s="46" t="n">
        <x:v>46269</x:v>
      </x:c>
      <x:c r="I60" s="50" t="str">
        <x:v>https://mp.fof99.com/fund/view/de992f1098047fe1</x:v>
      </x:c>
      <x:c r="J60" s="45" t="str">
        <x:v>私募基金 (58).xlsx</x:v>
      </x:c>
      <x:c r="K60" s="45" t="str">
        <x:v>0-5亿元</x:v>
      </x:c>
      <x:c r="L60" s="50" t="str">
        <x:v>https://mp.fof99.com/fund/view/de992f1098047fe1</x:v>
      </x:c>
      <x:c r="M60" s="46" t="n">
        <x:v>46275</x:v>
      </x:c>
      <x:c r="N60" s="51" t="n">
        <x:v>0</x:v>
      </x:c>
      <x:c r="O60" s="50" t="str">
        <x:v>https://gs.amac.org.cn/amac-infodisc/res/pof/fund/2211252020100971.html</x:v>
      </x:c>
      <x:c r="P60" s="46" t="n">
        <x:v>46275</x:v>
      </x:c>
      <x:c r="Q60" s="47"/>
      <x:c r="R60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60" s="45" t="str">
        <x:v>套利策略—期货套利</x:v>
      </x:c>
      <x:c r="T60" s="45" t="str"/>
      <x:c r="U60" s="45" t="str">
        <x:v>SXT730</x:v>
      </x:c>
      <x:c r="V60" s="45" t="str">
        <x:v>是</x:v>
      </x:c>
    </x:row>
    <x:row r="61" ht="58" customHeight="1">
      <x:c r="A61" s="45" t="n">
        <x:v>61</x:v>
      </x:c>
      <x:c r="B61" s="45" t="str">
        <x:v>殊馥馥源套利1号</x:v>
      </x:c>
      <x:c r="C61" s="45" t="str">
        <x:v>SGM512</x:v>
      </x:c>
      <x:c r="D61" s="45" t="str">
        <x:v>SGM512</x:v>
      </x:c>
      <x:c r="E61" s="45" t="str">
        <x:v>SGM512</x:v>
      </x:c>
      <x:c r="F61" s="45" t="str">
        <x:v>备案号匹配</x:v>
      </x:c>
      <x:c r="G61" s="46" t="n">
        <x:v>46275</x:v>
      </x:c>
      <x:c r="H61" s="46" t="n">
        <x:v>46269</x:v>
      </x:c>
      <x:c r="I61" s="50" t="str">
        <x:v>https://mp.fof99.com/fund/view/7d1044d0dd00c1bd</x:v>
      </x:c>
      <x:c r="J61" s="45" t="str">
        <x:v>私募基金 (59).xlsx</x:v>
      </x:c>
      <x:c r="K61" s="45" t="str">
        <x:v>10-20亿元</x:v>
      </x:c>
      <x:c r="L61" s="50" t="str">
        <x:v>https://mp.fof99.com/fund/view/7d1044d0dd00c1bd</x:v>
      </x:c>
      <x:c r="M61" s="46" t="n">
        <x:v>46275</x:v>
      </x:c>
      <x:c r="N61" s="51" t="n">
        <x:v>0</x:v>
      </x:c>
      <x:c r="O61" s="50" t="str">
        <x:v>https://gs.amac.org.cn/amac-infodisc/res/pof/fund/1905151920101338.html</x:v>
      </x:c>
      <x:c r="P61" s="46" t="n">
        <x:v>46275</x:v>
      </x:c>
      <x:c r="Q61" s="47" t="n">
        <x:v>0.0751</x:v>
      </x:c>
      <x:c r="R61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61" s="45" t="str">
        <x:v>套利策略—基金套利</x:v>
      </x:c>
      <x:c r="T61" s="45" t="str"/>
      <x:c r="U61" s="45" t="str">
        <x:v>SGM512</x:v>
      </x:c>
      <x:c r="V61" s="45" t="str">
        <x:v>是</x:v>
      </x:c>
    </x:row>
    <x:row r="62" ht="58" customHeight="1">
      <x:c r="A62" s="45" t="n">
        <x:v>62</x:v>
      </x:c>
      <x:c r="B62" s="45" t="str">
        <x:v>殊馥兴义6号</x:v>
      </x:c>
      <x:c r="C62" s="45" t="str">
        <x:v>SXQ267</x:v>
      </x:c>
      <x:c r="D62" s="45" t="str">
        <x:v>SXQ267</x:v>
      </x:c>
      <x:c r="E62" s="45" t="str">
        <x:v>SXQ267</x:v>
      </x:c>
      <x:c r="F62" s="45" t="str">
        <x:v>备案号匹配</x:v>
      </x:c>
      <x:c r="G62" s="46" t="n">
        <x:v>46275</x:v>
      </x:c>
      <x:c r="H62" s="46" t="n">
        <x:v>46269</x:v>
      </x:c>
      <x:c r="I62" s="50" t="str">
        <x:v>https://mp.fof99.com/fund/view/7c4ebba3db529d5e</x:v>
      </x:c>
      <x:c r="J62" s="45" t="str">
        <x:v>私募基金 (60).xlsx</x:v>
      </x:c>
      <x:c r="K62" s="45" t="str">
        <x:v>10-20亿元</x:v>
      </x:c>
      <x:c r="L62" s="50" t="str">
        <x:v>https://mp.fof99.com/fund/view/7c4ebba3db529d5e</x:v>
      </x:c>
      <x:c r="M62" s="46" t="n">
        <x:v>46275</x:v>
      </x:c>
      <x:c r="N62" s="51" t="n">
        <x:v>0</x:v>
      </x:c>
      <x:c r="O62" s="50" t="str">
        <x:v>https://gs.amac.org.cn/amac-infodisc/res/pof/fund/2211021355100496.html</x:v>
      </x:c>
      <x:c r="P62" s="46" t="n">
        <x:v>46275</x:v>
      </x:c>
      <x:c r="Q62" s="47" t="n">
        <x:v>0.1025</x:v>
      </x:c>
      <x:c r="R62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62" s="45" t="str">
        <x:v>套利策略—期货套利</x:v>
      </x:c>
      <x:c r="T62" s="45" t="str"/>
      <x:c r="U62" s="45" t="str">
        <x:v>SXQ267</x:v>
      </x:c>
      <x:c r="V62" s="45" t="str">
        <x:v>是</x:v>
      </x:c>
    </x:row>
    <x:row r="63" ht="58" customHeight="1">
      <x:c r="A63" s="45" t="n">
        <x:v>63</x:v>
      </x:c>
      <x:c r="B63" s="45" t="str">
        <x:v>殊馥兴义7号</x:v>
      </x:c>
      <x:c r="C63" s="45" t="str">
        <x:v>SXT610</x:v>
      </x:c>
      <x:c r="D63" s="45" t="str">
        <x:v>SXT610</x:v>
      </x:c>
      <x:c r="E63" s="45" t="str">
        <x:v>SXT610</x:v>
      </x:c>
      <x:c r="F63" s="45" t="str">
        <x:v>备案号匹配</x:v>
      </x:c>
      <x:c r="G63" s="46" t="n">
        <x:v>46275</x:v>
      </x:c>
      <x:c r="H63" s="46" t="n">
        <x:v>46269</x:v>
      </x:c>
      <x:c r="I63" s="50" t="str">
        <x:v>https://mp.fof99.com/fund/view/f26adec295039db6</x:v>
      </x:c>
      <x:c r="J63" s="45" t="str">
        <x:v>私募基金 (61).xlsx</x:v>
      </x:c>
      <x:c r="K63" s="45" t="str">
        <x:v>10-20亿元</x:v>
      </x:c>
      <x:c r="L63" s="50" t="str">
        <x:v>https://mp.fof99.com/fund/view/f26adec295039db6</x:v>
      </x:c>
      <x:c r="M63" s="46" t="n">
        <x:v>46275</x:v>
      </x:c>
      <x:c r="N63" s="51" t="n">
        <x:v>0</x:v>
      </x:c>
      <x:c r="O63" s="50" t="str">
        <x:v>https://gs.amac.org.cn/amac-infodisc/res/pof/fund/2211291421100191.html</x:v>
      </x:c>
      <x:c r="P63" s="46" t="n">
        <x:v>46275</x:v>
      </x:c>
      <x:c r="Q63" s="47" t="n">
        <x:v>0.08839999999999999</x:v>
      </x:c>
      <x:c r="R63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63" s="45" t="str">
        <x:v>套利策略—期货套利</x:v>
      </x:c>
      <x:c r="T63" s="45" t="str"/>
      <x:c r="U63" s="45" t="str">
        <x:v>SXT610</x:v>
      </x:c>
      <x:c r="V63" s="45" t="str">
        <x:v>是</x:v>
      </x:c>
    </x:row>
    <x:row r="64" ht="58" customHeight="1">
      <x:c r="A64" s="45" t="n">
        <x:v>64</x:v>
      </x:c>
      <x:c r="B64" s="45" t="str">
        <x:v>数为道策套利一号</x:v>
      </x:c>
      <x:c r="C64" s="45" t="str">
        <x:v>SNA956</x:v>
      </x:c>
      <x:c r="D64" s="45" t="str">
        <x:v>SNA956</x:v>
      </x:c>
      <x:c r="E64" s="45" t="str">
        <x:v>SNA956</x:v>
      </x:c>
      <x:c r="F64" s="45" t="str">
        <x:v>备案号匹配</x:v>
      </x:c>
      <x:c r="G64" s="46" t="n">
        <x:v>46275</x:v>
      </x:c>
      <x:c r="H64" s="46" t="n">
        <x:v>46269</x:v>
      </x:c>
      <x:c r="I64" s="50" t="str">
        <x:v>https://mp.fof99.com/fund/view/2a7eea7355174458</x:v>
      </x:c>
      <x:c r="J64" s="45" t="str">
        <x:v>私募基金 (62).xlsx</x:v>
      </x:c>
      <x:c r="K64" s="45" t="str">
        <x:v>0-5亿元</x:v>
      </x:c>
      <x:c r="L64" s="50" t="str">
        <x:v>https://mp.fof99.com/fund/view/2a7eea7355174458</x:v>
      </x:c>
      <x:c r="M64" s="46" t="n">
        <x:v>46275</x:v>
      </x:c>
      <x:c r="N64" s="51" t="n">
        <x:v>0</x:v>
      </x:c>
      <x:c r="O64" s="50" t="str">
        <x:v>https://gs.amac.org.cn/amac-infodisc/res/pof/fund/2010271707103406.html</x:v>
      </x:c>
      <x:c r="P64" s="46" t="n">
        <x:v>46275</x:v>
      </x:c>
      <x:c r="Q64" s="47" t="n">
        <x:v>-0.0366</x:v>
      </x:c>
      <x:c r="R64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64" s="45" t="str">
        <x:v>套利策略—基金套利</x:v>
      </x:c>
      <x:c r="T64" s="45" t="str"/>
      <x:c r="U64" s="45" t="str">
        <x:v>SNA956</x:v>
      </x:c>
      <x:c r="V64" s="45" t="str">
        <x:v>是</x:v>
      </x:c>
    </x:row>
    <x:row r="65" ht="58" customHeight="1">
      <x:c r="A65" s="45" t="n">
        <x:v>65</x:v>
      </x:c>
      <x:c r="B65" s="45" t="str">
        <x:v>唐德幽兰量化套利一号</x:v>
      </x:c>
      <x:c r="C65" s="45" t="str">
        <x:v>SAHM04</x:v>
      </x:c>
      <x:c r="D65" s="45" t="str">
        <x:v>SAHM04</x:v>
      </x:c>
      <x:c r="E65" s="45" t="str">
        <x:v>SAHM04</x:v>
      </x:c>
      <x:c r="F65" s="45" t="str">
        <x:v>备案号匹配</x:v>
      </x:c>
      <x:c r="G65" s="46" t="n">
        <x:v>46275</x:v>
      </x:c>
      <x:c r="H65" s="46" t="n">
        <x:v>46269</x:v>
      </x:c>
      <x:c r="I65" s="50" t="str">
        <x:v>https://mp.fof99.com/fund/view/440208e7421f6896</x:v>
      </x:c>
      <x:c r="J65" s="45" t="str">
        <x:v>私募基金 (63).xlsx</x:v>
      </x:c>
      <x:c r="K65" s="45" t="str">
        <x:v>0-5亿元</x:v>
      </x:c>
      <x:c r="L65" s="50" t="str">
        <x:v>https://mp.fof99.com/fund/view/440208e7421f6896</x:v>
      </x:c>
      <x:c r="M65" s="46" t="n">
        <x:v>46275</x:v>
      </x:c>
      <x:c r="N65" s="51" t="n">
        <x:v>0</x:v>
      </x:c>
      <x:c r="O65" s="50" t="str">
        <x:v>https://gs.amac.org.cn/amac-infodisc/res/pof/fund/2404301325106956.html</x:v>
      </x:c>
      <x:c r="P65" s="46" t="n">
        <x:v>46275</x:v>
      </x:c>
      <x:c r="Q65" s="47" t="n">
        <x:v>0.079</x:v>
      </x:c>
      <x:c r="R65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65" s="45" t="str">
        <x:v>套利策略—期货套利</x:v>
      </x:c>
      <x:c r="T65" s="45" t="str"/>
      <x:c r="U65" s="45" t="str">
        <x:v>SAHM04</x:v>
      </x:c>
      <x:c r="V65" s="45" t="str">
        <x:v>是</x:v>
      </x:c>
    </x:row>
    <x:row r="66" ht="58" customHeight="1">
      <x:c r="A66" s="45" t="n">
        <x:v>66</x:v>
      </x:c>
      <x:c r="B66" s="45" t="str">
        <x:v>唐龙量化对冲99号</x:v>
      </x:c>
      <x:c r="C66" s="45" t="str">
        <x:v>SJQ683</x:v>
      </x:c>
      <x:c r="D66" s="45" t="str">
        <x:v>SJQ683</x:v>
      </x:c>
      <x:c r="E66" s="45" t="str">
        <x:v>SJQ683</x:v>
      </x:c>
      <x:c r="F66" s="45" t="str">
        <x:v>备案号匹配</x:v>
      </x:c>
      <x:c r="G66" s="46" t="n">
        <x:v>46275</x:v>
      </x:c>
      <x:c r="H66" s="46" t="n">
        <x:v>46269</x:v>
      </x:c>
      <x:c r="I66" s="50" t="str">
        <x:v>https://mp.fof99.com/fund/view/55e83c08d572e2a7</x:v>
      </x:c>
      <x:c r="J66" s="45" t="str">
        <x:v>私募基金 (64).xlsx</x:v>
      </x:c>
      <x:c r="K66" s="45" t="str">
        <x:v>5-10亿元</x:v>
      </x:c>
      <x:c r="L66" s="50" t="str">
        <x:v>https://mp.fof99.com/fund/view/55e83c08d572e2a7</x:v>
      </x:c>
      <x:c r="M66" s="46" t="n">
        <x:v>46275</x:v>
      </x:c>
      <x:c r="N66" s="51" t="n">
        <x:v>0</x:v>
      </x:c>
      <x:c r="O66" s="50" t="str">
        <x:v>https://gs.amac.org.cn/amac-infodisc/res/pof/fund/2002251051107073.html</x:v>
      </x:c>
      <x:c r="P66" s="46" t="n">
        <x:v>46275</x:v>
      </x:c>
      <x:c r="Q66" s="47" t="n">
        <x:v>0.18239999999999998</x:v>
      </x:c>
      <x:c r="R66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66" s="45" t="str">
        <x:v>套利策略—可转债套利</x:v>
      </x:c>
      <x:c r="T66" s="45" t="str"/>
      <x:c r="U66" s="45" t="str">
        <x:v>SJQ683</x:v>
      </x:c>
      <x:c r="V66" s="45" t="str">
        <x:v>是</x:v>
      </x:c>
    </x:row>
    <x:row r="67" ht="58" customHeight="1">
      <x:c r="A67" s="45" t="n">
        <x:v>67</x:v>
      </x:c>
      <x:c r="B67" s="45" t="str">
        <x:v>系数CTA套利五号</x:v>
      </x:c>
      <x:c r="C67" s="45" t="str">
        <x:v>SXT086</x:v>
      </x:c>
      <x:c r="D67" s="45" t="str">
        <x:v>SXT086</x:v>
      </x:c>
      <x:c r="E67" s="45" t="str">
        <x:v>SXT086</x:v>
      </x:c>
      <x:c r="F67" s="45" t="str">
        <x:v>备案号匹配</x:v>
      </x:c>
      <x:c r="G67" s="46" t="n">
        <x:v>46275</x:v>
      </x:c>
      <x:c r="H67" s="46" t="n">
        <x:v>46269</x:v>
      </x:c>
      <x:c r="I67" s="50" t="str">
        <x:v>https://mp.fof99.com/fund/view/6c49b0993fc714bc</x:v>
      </x:c>
      <x:c r="J67" s="45" t="str">
        <x:v>私募基金 (65).xlsx</x:v>
      </x:c>
      <x:c r="K67" s="45" t="str">
        <x:v>0-5亿元</x:v>
      </x:c>
      <x:c r="L67" s="50" t="str">
        <x:v>https://mp.fof99.com/fund/view/6c49b0993fc714bc</x:v>
      </x:c>
      <x:c r="M67" s="46" t="n">
        <x:v>46275</x:v>
      </x:c>
      <x:c r="N67" s="51" t="n">
        <x:v>0</x:v>
      </x:c>
      <x:c r="O67" s="50" t="str">
        <x:v>https://gs.amac.org.cn/amac-infodisc/res/pof/fund/2211221840100768.html</x:v>
      </x:c>
      <x:c r="P67" s="46" t="n">
        <x:v>46275</x:v>
      </x:c>
      <x:c r="Q67" s="47"/>
      <x:c r="R67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67" s="45" t="str">
        <x:v>套利策略—期货套利</x:v>
      </x:c>
      <x:c r="T67" s="45" t="str"/>
      <x:c r="U67" s="45" t="str">
        <x:v>SXT086</x:v>
      </x:c>
      <x:c r="V67" s="45" t="str">
        <x:v>是</x:v>
      </x:c>
    </x:row>
    <x:row r="68" ht="58" customHeight="1">
      <x:c r="A68" s="45" t="n">
        <x:v>68</x:v>
      </x:c>
      <x:c r="B68" s="45" t="str">
        <x:v>悬铃C号</x:v>
      </x:c>
      <x:c r="C68" s="45" t="str">
        <x:v>SEK201</x:v>
      </x:c>
      <x:c r="D68" s="45" t="str">
        <x:v>SEK201</x:v>
      </x:c>
      <x:c r="E68" s="45" t="str">
        <x:v>SEK201</x:v>
      </x:c>
      <x:c r="F68" s="45" t="str">
        <x:v>备案号匹配</x:v>
      </x:c>
      <x:c r="G68" s="46" t="n">
        <x:v>46275</x:v>
      </x:c>
      <x:c r="H68" s="46" t="n">
        <x:v>46269</x:v>
      </x:c>
      <x:c r="I68" s="50" t="str">
        <x:v>https://mp.fof99.com/fund/view/858f6f879edbd061</x:v>
      </x:c>
      <x:c r="J68" s="45" t="str">
        <x:v>私募基金 (66).xlsx</x:v>
      </x:c>
      <x:c r="K68" s="45" t="str">
        <x:v>20-50亿元</x:v>
      </x:c>
      <x:c r="L68" s="50" t="str">
        <x:v>https://mp.fof99.com/fund/view/858f6f879edbd061</x:v>
      </x:c>
      <x:c r="M68" s="46" t="n">
        <x:v>46275</x:v>
      </x:c>
      <x:c r="N68" s="51" t="n">
        <x:v>0</x:v>
      </x:c>
      <x:c r="O68" s="50" t="str">
        <x:v>https://gs.amac.org.cn/amac-infodisc/res/pof/fund/1811231733101523.html</x:v>
      </x:c>
      <x:c r="P68" s="46" t="n">
        <x:v>46275</x:v>
      </x:c>
      <x:c r="Q68" s="47" t="n">
        <x:v>0.126</x:v>
      </x:c>
      <x:c r="R68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68" s="45" t="str">
        <x:v>套利策略—可转债套利</x:v>
      </x:c>
      <x:c r="T68" s="45" t="str"/>
      <x:c r="U68" s="45" t="str">
        <x:v>SEK201</x:v>
      </x:c>
      <x:c r="V68" s="45" t="str">
        <x:v>是</x:v>
      </x:c>
    </x:row>
    <x:row r="69" ht="58" customHeight="1">
      <x:c r="A69" s="45" t="n">
        <x:v>69</x:v>
      </x:c>
      <x:c r="B69" s="45" t="str">
        <x:v>英旷专享2号A类</x:v>
      </x:c>
      <x:c r="C69" s="45" t="str">
        <x:v>AKV28A</x:v>
      </x:c>
      <x:c r="D69" s="45" t="str">
        <x:v>AKV28A</x:v>
      </x:c>
      <x:c r="E69" s="45" t="str">
        <x:v>AKV28A</x:v>
      </x:c>
      <x:c r="F69" s="45" t="str">
        <x:v>备案号匹配</x:v>
      </x:c>
      <x:c r="G69" s="46" t="n">
        <x:v>46275</x:v>
      </x:c>
      <x:c r="H69" s="46" t="n">
        <x:v>46269</x:v>
      </x:c>
      <x:c r="I69" s="50" t="str">
        <x:v>https://mp.fof99.com/fund/view/8177b794c749fb2a</x:v>
      </x:c>
      <x:c r="J69" s="45" t="str">
        <x:v>私募基金 (67).xlsx</x:v>
      </x:c>
      <x:c r="K69" s="45" t="str">
        <x:v>10-20亿元</x:v>
      </x:c>
      <x:c r="L69" s="50" t="str">
        <x:v>https://mp.fof99.com/fund/view/8177b794c749fb2a</x:v>
      </x:c>
      <x:c r="M69" s="46" t="n">
        <x:v>46275</x:v>
      </x:c>
      <x:c r="N69" s="51"/>
      <x:c r="O69" s="50" t="str"/>
      <x:c r="P69" s="46"/>
      <x:c r="Q69" s="47" t="n">
        <x:v>0.0733</x:v>
      </x:c>
      <x:c r="R69" s="50" t="str">
        <x:v>火富牛产品详情未提供 AMAC 产品公示链接；产品低规模标识未知。；火富牛平台未提供产品协会链接，产品低规模标识未核验，不能按满分处理；原表类型：私募。</x:v>
      </x:c>
      <x:c r="S69" s="45" t="str">
        <x:v>套利策略—可转债套利</x:v>
      </x:c>
      <x:c r="T69" s="45" t="str"/>
      <x:c r="U69" s="45" t="str"/>
      <x:c r="V69" s="45" t="str">
        <x:v>未核验</x:v>
      </x:c>
    </x:row>
    <x:row r="70" ht="58" customHeight="1">
      <x:c r="A70" s="45" t="n">
        <x:v>70</x:v>
      </x:c>
      <x:c r="B70" s="45" t="str">
        <x:v>永泉奇点17号混合投资</x:v>
      </x:c>
      <x:c r="C70" s="45" t="str">
        <x:v>SNG016</x:v>
      </x:c>
      <x:c r="D70" s="45" t="str">
        <x:v>SNG016</x:v>
      </x:c>
      <x:c r="E70" s="45" t="str">
        <x:v>SNG016</x:v>
      </x:c>
      <x:c r="F70" s="45" t="str">
        <x:v>备案号匹配</x:v>
      </x:c>
      <x:c r="G70" s="46" t="n">
        <x:v>46275</x:v>
      </x:c>
      <x:c r="H70" s="46" t="n">
        <x:v>46269</x:v>
      </x:c>
      <x:c r="I70" s="50" t="str">
        <x:v>https://mp.fof99.com/fund/view/12b6e6dc40e0626c</x:v>
      </x:c>
      <x:c r="J70" s="45" t="str">
        <x:v>私募基金 (68).xlsx</x:v>
      </x:c>
      <x:c r="K70" s="45" t="str">
        <x:v>0-5亿元</x:v>
      </x:c>
      <x:c r="L70" s="50" t="str">
        <x:v>https://mp.fof99.com/fund/view/12b6e6dc40e0626c</x:v>
      </x:c>
      <x:c r="M70" s="46" t="n">
        <x:v>46275</x:v>
      </x:c>
      <x:c r="N70" s="51" t="n">
        <x:v>0</x:v>
      </x:c>
      <x:c r="O70" s="50" t="str">
        <x:v>https://gs.amac.org.cn/amac-infodisc/res/pof/fund/2011301715100423.html</x:v>
      </x:c>
      <x:c r="P70" s="46" t="n">
        <x:v>46275</x:v>
      </x:c>
      <x:c r="Q70" s="47" t="n">
        <x:v>0.09480000000000001</x:v>
      </x:c>
      <x:c r="R70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70" s="45" t="str">
        <x:v>套利策略—期货套利</x:v>
      </x:c>
      <x:c r="T70" s="45" t="str"/>
      <x:c r="U70" s="45" t="str">
        <x:v>SNG016</x:v>
      </x:c>
      <x:c r="V70" s="45" t="str">
        <x:v>是</x:v>
      </x:c>
    </x:row>
    <x:row r="71" ht="58" customHeight="1">
      <x:c r="A71" s="45" t="n">
        <x:v>71</x:v>
      </x:c>
      <x:c r="B71" s="45" t="str">
        <x:v>永泉奇点1号混合投资</x:v>
      </x:c>
      <x:c r="C71" s="45" t="str">
        <x:v>SGM299</x:v>
      </x:c>
      <x:c r="D71" s="45" t="str">
        <x:v>SGM299</x:v>
      </x:c>
      <x:c r="E71" s="45" t="str">
        <x:v>SGM299</x:v>
      </x:c>
      <x:c r="F71" s="45" t="str">
        <x:v>备案号匹配</x:v>
      </x:c>
      <x:c r="G71" s="46" t="n">
        <x:v>46275</x:v>
      </x:c>
      <x:c r="H71" s="46" t="n">
        <x:v>46269</x:v>
      </x:c>
      <x:c r="I71" s="50" t="str">
        <x:v>https://mp.fof99.com/fund/view/c8b8443b50a70919</x:v>
      </x:c>
      <x:c r="J71" s="45" t="str">
        <x:v>私募基金 (69).xlsx</x:v>
      </x:c>
      <x:c r="K71" s="45" t="str">
        <x:v>0-5亿元</x:v>
      </x:c>
      <x:c r="L71" s="50" t="str">
        <x:v>https://mp.fof99.com/fund/view/c8b8443b50a70919</x:v>
      </x:c>
      <x:c r="M71" s="46" t="n">
        <x:v>46275</x:v>
      </x:c>
      <x:c r="N71" s="51" t="n">
        <x:v>0</x:v>
      </x:c>
      <x:c r="O71" s="50" t="str">
        <x:v>https://gs.amac.org.cn/amac-infodisc/res/pof/fund/1905101802102119.html</x:v>
      </x:c>
      <x:c r="P71" s="46" t="n">
        <x:v>46275</x:v>
      </x:c>
      <x:c r="Q71" s="47" t="n">
        <x:v>0.1328</x:v>
      </x:c>
      <x:c r="R71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71" s="45" t="str">
        <x:v>套利策略—期货套利</x:v>
      </x:c>
      <x:c r="T71" s="45" t="str"/>
      <x:c r="U71" s="45" t="str">
        <x:v>SGM299</x:v>
      </x:c>
      <x:c r="V71" s="45" t="str">
        <x:v>是</x:v>
      </x:c>
    </x:row>
    <x:row r="72" ht="58" customHeight="1">
      <x:c r="A72" s="45" t="n">
        <x:v>72</x:v>
      </x:c>
      <x:c r="B72" s="45" t="str">
        <x:v>永泉奇点2号混合投资</x:v>
      </x:c>
      <x:c r="C72" s="45" t="str">
        <x:v>SJB356</x:v>
      </x:c>
      <x:c r="D72" s="45" t="str">
        <x:v>SJB356</x:v>
      </x:c>
      <x:c r="E72" s="45" t="str">
        <x:v>SJB356</x:v>
      </x:c>
      <x:c r="F72" s="45" t="str">
        <x:v>备案号匹配</x:v>
      </x:c>
      <x:c r="G72" s="46" t="n">
        <x:v>46275</x:v>
      </x:c>
      <x:c r="H72" s="46" t="n">
        <x:v>46269</x:v>
      </x:c>
      <x:c r="I72" s="50" t="str">
        <x:v>https://mp.fof99.com/fund/view/82e5c285d80c294f</x:v>
      </x:c>
      <x:c r="J72" s="45" t="str">
        <x:v>私募基金 (70).xlsx</x:v>
      </x:c>
      <x:c r="K72" s="45" t="str">
        <x:v>0-5亿元</x:v>
      </x:c>
      <x:c r="L72" s="50" t="str">
        <x:v>https://mp.fof99.com/fund/view/82e5c285d80c294f</x:v>
      </x:c>
      <x:c r="M72" s="46" t="n">
        <x:v>46275</x:v>
      </x:c>
      <x:c r="N72" s="51" t="n">
        <x:v>0</x:v>
      </x:c>
      <x:c r="O72" s="50" t="str">
        <x:v>https://gs.amac.org.cn/amac-infodisc/res/pof/fund/1909261835100611.html</x:v>
      </x:c>
      <x:c r="P72" s="46" t="n">
        <x:v>46275</x:v>
      </x:c>
      <x:c r="Q72" s="47" t="n">
        <x:v>0.152</x:v>
      </x:c>
      <x:c r="R72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72" s="45" t="str">
        <x:v>套利策略—期货套利</x:v>
      </x:c>
      <x:c r="T72" s="45" t="str"/>
      <x:c r="U72" s="45" t="str">
        <x:v>SJB356</x:v>
      </x:c>
      <x:c r="V72" s="45" t="str">
        <x:v>是</x:v>
      </x:c>
    </x:row>
    <x:row r="73" ht="58" customHeight="1">
      <x:c r="A73" s="45" t="n">
        <x:v>73</x:v>
      </x:c>
      <x:c r="B73" s="45" t="str">
        <x:v>涌涵农本一号</x:v>
      </x:c>
      <x:c r="C73" s="45" t="str">
        <x:v>SAWA30</x:v>
      </x:c>
      <x:c r="D73" s="45" t="str">
        <x:v>SAWA30</x:v>
      </x:c>
      <x:c r="E73" s="45" t="str">
        <x:v>SAWA30</x:v>
      </x:c>
      <x:c r="F73" s="45" t="str">
        <x:v>备案号匹配</x:v>
      </x:c>
      <x:c r="G73" s="46" t="n">
        <x:v>46275</x:v>
      </x:c>
      <x:c r="H73" s="46" t="n">
        <x:v>46269</x:v>
      </x:c>
      <x:c r="I73" s="50" t="str">
        <x:v>https://mp.fof99.com/fund/view/fbdc1fb41bf9e1b4</x:v>
      </x:c>
      <x:c r="J73" s="45" t="str">
        <x:v>私募基金 (71).xlsx</x:v>
      </x:c>
      <x:c r="K73" s="45" t="str">
        <x:v>10-20亿元</x:v>
      </x:c>
      <x:c r="L73" s="50" t="str">
        <x:v>https://mp.fof99.com/fund/view/fbdc1fb41bf9e1b4</x:v>
      </x:c>
      <x:c r="M73" s="46" t="n">
        <x:v>46275</x:v>
      </x:c>
      <x:c r="N73" s="51" t="n">
        <x:v>0</x:v>
      </x:c>
      <x:c r="O73" s="50" t="str">
        <x:v>https://gs.amac.org.cn/amac-infodisc/res/pof/fund/2506041444103887.html</x:v>
      </x:c>
      <x:c r="P73" s="46" t="n">
        <x:v>46275</x:v>
      </x:c>
      <x:c r="Q73" s="47" t="n">
        <x:v>0.16390000000000002</x:v>
      </x:c>
      <x:c r="R73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73" s="45" t="str">
        <x:v>套利策略—其他</x:v>
      </x:c>
      <x:c r="T73" s="45" t="str"/>
      <x:c r="U73" s="45" t="str">
        <x:v>SAWA30</x:v>
      </x:c>
      <x:c r="V73" s="45" t="str">
        <x:v>是</x:v>
      </x:c>
    </x:row>
    <x:row r="74" ht="58" customHeight="1">
      <x:c r="A74" s="45" t="n">
        <x:v>74</x:v>
      </x:c>
      <x:c r="B74" s="45" t="str">
        <x:v>裕锦量化专享1号</x:v>
      </x:c>
      <x:c r="C74" s="45" t="str">
        <x:v>SNE165</x:v>
      </x:c>
      <x:c r="D74" s="45" t="str">
        <x:v>SNE165</x:v>
      </x:c>
      <x:c r="E74" s="45" t="str">
        <x:v>SNE165</x:v>
      </x:c>
      <x:c r="F74" s="45" t="str">
        <x:v>备案号匹配</x:v>
      </x:c>
      <x:c r="G74" s="46" t="n">
        <x:v>46275</x:v>
      </x:c>
      <x:c r="H74" s="46" t="n">
        <x:v>46269</x:v>
      </x:c>
      <x:c r="I74" s="50" t="str">
        <x:v>https://mp.fof99.com/fund/view/5fbd2c74a9d29c0f</x:v>
      </x:c>
      <x:c r="J74" s="45" t="str">
        <x:v>私募基金 (72).xlsx</x:v>
      </x:c>
      <x:c r="K74" s="45" t="str">
        <x:v>10-20亿元</x:v>
      </x:c>
      <x:c r="L74" s="50" t="str">
        <x:v>https://mp.fof99.com/fund/view/5fbd2c74a9d29c0f</x:v>
      </x:c>
      <x:c r="M74" s="46" t="n">
        <x:v>46275</x:v>
      </x:c>
      <x:c r="N74" s="51" t="n">
        <x:v>0</x:v>
      </x:c>
      <x:c r="O74" s="50" t="str">
        <x:v>https://gs.amac.org.cn/amac-infodisc/res/pof/fund/2012041657102605.html</x:v>
      </x:c>
      <x:c r="P74" s="46" t="n">
        <x:v>46275</x:v>
      </x:c>
      <x:c r="Q74" s="47" t="n">
        <x:v>0.19260000000000002</x:v>
      </x:c>
      <x:c r="R74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74" s="45" t="str">
        <x:v>套利策略—期货套利</x:v>
      </x:c>
      <x:c r="T74" s="45" t="str"/>
      <x:c r="U74" s="45" t="str">
        <x:v>SNE165</x:v>
      </x:c>
      <x:c r="V74" s="45" t="str">
        <x:v>是</x:v>
      </x:c>
    </x:row>
    <x:row r="75" ht="58" customHeight="1">
      <x:c r="A75" s="45" t="n">
        <x:v>75</x:v>
      </x:c>
      <x:c r="B75" s="45" t="str">
        <x:v>在赢套利一号</x:v>
      </x:c>
      <x:c r="C75" s="45" t="str">
        <x:v>SGW281</x:v>
      </x:c>
      <x:c r="D75" s="45" t="str">
        <x:v>SGW281</x:v>
      </x:c>
      <x:c r="E75" s="45" t="str">
        <x:v>SGW281</x:v>
      </x:c>
      <x:c r="F75" s="45" t="str">
        <x:v>备案号匹配</x:v>
      </x:c>
      <x:c r="G75" s="46" t="n">
        <x:v>46275</x:v>
      </x:c>
      <x:c r="H75" s="46" t="n">
        <x:v>46269</x:v>
      </x:c>
      <x:c r="I75" s="50" t="str">
        <x:v>https://mp.fof99.com/fund/view/2f189375b75b47fd</x:v>
      </x:c>
      <x:c r="J75" s="45" t="str">
        <x:v>私募基金 (73).xlsx</x:v>
      </x:c>
      <x:c r="K75" s="45" t="str">
        <x:v>5-10亿元</x:v>
      </x:c>
      <x:c r="L75" s="50" t="str">
        <x:v>https://mp.fof99.com/fund/view/2f189375b75b47fd</x:v>
      </x:c>
      <x:c r="M75" s="46" t="n">
        <x:v>46275</x:v>
      </x:c>
      <x:c r="N75" s="51" t="n">
        <x:v>0</x:v>
      </x:c>
      <x:c r="O75" s="50" t="str">
        <x:v>https://gs.amac.org.cn/amac-infodisc/res/pof/fund/1909111555102167.html</x:v>
      </x:c>
      <x:c r="P75" s="46" t="n">
        <x:v>46275</x:v>
      </x:c>
      <x:c r="Q75" s="47" t="n">
        <x:v>0.1685</x:v>
      </x:c>
      <x:c r="R75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75" s="45" t="str">
        <x:v>管理期货—主观CTA</x:v>
      </x:c>
      <x:c r="T75" s="45" t="str"/>
      <x:c r="U75" s="45" t="str">
        <x:v>SGW281</x:v>
      </x:c>
      <x:c r="V75" s="45" t="str">
        <x:v>是</x:v>
      </x:c>
    </x:row>
    <x:row r="76" ht="58" customHeight="1">
      <x:c r="A76" s="45" t="n">
        <x:v>76</x:v>
      </x:c>
      <x:c r="B76" s="45" t="str">
        <x:v>哲石君顺易安贰号</x:v>
      </x:c>
      <x:c r="C76" s="45" t="str">
        <x:v>SBBC37</x:v>
      </x:c>
      <x:c r="D76" s="45" t="str">
        <x:v>SBBC37</x:v>
      </x:c>
      <x:c r="E76" s="45" t="str">
        <x:v>SBBC37</x:v>
      </x:c>
      <x:c r="F76" s="45" t="str">
        <x:v>备案号匹配</x:v>
      </x:c>
      <x:c r="G76" s="46" t="n">
        <x:v>46275</x:v>
      </x:c>
      <x:c r="H76" s="46" t="n">
        <x:v>46269</x:v>
      </x:c>
      <x:c r="I76" s="50" t="str">
        <x:v>https://mp.fof99.com/fund/view/3c9e7c114b369c69</x:v>
      </x:c>
      <x:c r="J76" s="45" t="str">
        <x:v>私募基金 (74).xlsx</x:v>
      </x:c>
      <x:c r="K76" s="45" t="str">
        <x:v>10-20亿元</x:v>
      </x:c>
      <x:c r="L76" s="50" t="str">
        <x:v>https://mp.fof99.com/fund/view/3c9e7c114b369c69</x:v>
      </x:c>
      <x:c r="M76" s="46" t="n">
        <x:v>46275</x:v>
      </x:c>
      <x:c r="N76" s="51" t="n">
        <x:v>0</x:v>
      </x:c>
      <x:c r="O76" s="50" t="str">
        <x:v>https://gs.amac.org.cn/amac-infodisc/res/pof/fund/2507151025108525.html</x:v>
      </x:c>
      <x:c r="P76" s="46" t="n">
        <x:v>46275</x:v>
      </x:c>
      <x:c r="Q76" s="47"/>
      <x:c r="R76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76" s="45" t="str">
        <x:v>套利策略—期货套利</x:v>
      </x:c>
      <x:c r="T76" s="45" t="str"/>
      <x:c r="U76" s="45" t="str">
        <x:v>SBBC37</x:v>
      </x:c>
      <x:c r="V76" s="45" t="str">
        <x:v>是</x:v>
      </x:c>
    </x:row>
    <x:row r="77" ht="58" customHeight="1">
      <x:c r="A77" s="45" t="n">
        <x:v>77</x:v>
      </x:c>
      <x:c r="B77" s="45" t="str">
        <x:v>哲石君顺易安壹号</x:v>
      </x:c>
      <x:c r="C77" s="45" t="str">
        <x:v>SAVN21</x:v>
      </x:c>
      <x:c r="D77" s="45" t="str">
        <x:v>SAVN21</x:v>
      </x:c>
      <x:c r="E77" s="45" t="str">
        <x:v>SAVN21</x:v>
      </x:c>
      <x:c r="F77" s="45" t="str">
        <x:v>备案号匹配</x:v>
      </x:c>
      <x:c r="G77" s="46" t="n">
        <x:v>46275</x:v>
      </x:c>
      <x:c r="H77" s="46" t="n">
        <x:v>46269</x:v>
      </x:c>
      <x:c r="I77" s="50" t="str">
        <x:v>https://mp.fof99.com/fund/view/e71e4de667b3a0df</x:v>
      </x:c>
      <x:c r="J77" s="45" t="str">
        <x:v>私募基金 (75).xlsx</x:v>
      </x:c>
      <x:c r="K77" s="45" t="str">
        <x:v>10-20亿元</x:v>
      </x:c>
      <x:c r="L77" s="50" t="str">
        <x:v>https://mp.fof99.com/fund/view/e71e4de667b3a0df</x:v>
      </x:c>
      <x:c r="M77" s="46" t="n">
        <x:v>46275</x:v>
      </x:c>
      <x:c r="N77" s="51" t="n">
        <x:v>0</x:v>
      </x:c>
      <x:c r="O77" s="50" t="str">
        <x:v>https://gs.amac.org.cn/amac-infodisc/res/pof/fund/2504251630102057.html</x:v>
      </x:c>
      <x:c r="P77" s="46" t="n">
        <x:v>46275</x:v>
      </x:c>
      <x:c r="Q77" s="47"/>
      <x:c r="R77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77" s="45" t="str">
        <x:v>套利策略—期货套利</x:v>
      </x:c>
      <x:c r="T77" s="45" t="str"/>
      <x:c r="U77" s="45" t="str">
        <x:v>SAVN21</x:v>
      </x:c>
      <x:c r="V77" s="45" t="str">
        <x:v>是</x:v>
      </x:c>
    </x:row>
    <x:row r="78" ht="58" customHeight="1">
      <x:c r="A78" s="45" t="n">
        <x:v>78</x:v>
      </x:c>
      <x:c r="B78" s="45" t="str">
        <x:v>臻选期权套利一号</x:v>
      </x:c>
      <x:c r="C78" s="45" t="str">
        <x:v>SBEM86</x:v>
      </x:c>
      <x:c r="D78" s="45" t="str">
        <x:v>SBEM86</x:v>
      </x:c>
      <x:c r="E78" s="45" t="str">
        <x:v>SBEM86</x:v>
      </x:c>
      <x:c r="F78" s="45" t="str">
        <x:v>备案号匹配</x:v>
      </x:c>
      <x:c r="G78" s="46" t="n">
        <x:v>46275</x:v>
      </x:c>
      <x:c r="H78" s="46" t="n">
        <x:v>46269</x:v>
      </x:c>
      <x:c r="I78" s="50" t="str">
        <x:v>https://mp.fof99.com/fund/view/6a8da1db45b76b2f</x:v>
      </x:c>
      <x:c r="J78" s="45" t="str">
        <x:v>私募基金 (76).xlsx</x:v>
      </x:c>
      <x:c r="K78" s="45" t="str">
        <x:v>10-20亿元</x:v>
      </x:c>
      <x:c r="L78" s="50" t="str">
        <x:v>https://mp.fof99.com/fund/view/6a8da1db45b76b2f</x:v>
      </x:c>
      <x:c r="M78" s="46" t="n">
        <x:v>46275</x:v>
      </x:c>
      <x:c r="N78" s="51" t="n">
        <x:v>0</x:v>
      </x:c>
      <x:c r="O78" s="50" t="str">
        <x:v>https://gs.amac.org.cn/amac-infodisc/res/pof/fund/2510291417105955.html</x:v>
      </x:c>
      <x:c r="P78" s="46" t="n">
        <x:v>46275</x:v>
      </x:c>
      <x:c r="Q78" s="47" t="n">
        <x:v>0.1333</x:v>
      </x:c>
      <x:c r="R78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78" s="45" t="str">
        <x:v>期权策略</x:v>
      </x:c>
      <x:c r="T78" s="45" t="str"/>
      <x:c r="U78" s="45" t="str">
        <x:v>SBEM86</x:v>
      </x:c>
      <x:c r="V78" s="45" t="str">
        <x:v>是</x:v>
      </x:c>
    </x:row>
    <x:row r="79" ht="58" customHeight="1">
      <x:c r="A79" s="45" t="n">
        <x:v>79</x:v>
      </x:c>
      <x:c r="B79" s="45" t="str">
        <x:v>致同稳盈对冲</x:v>
      </x:c>
      <x:c r="C79" s="45" t="str">
        <x:v>SS8645</x:v>
      </x:c>
      <x:c r="D79" s="45" t="str">
        <x:v>SS8645</x:v>
      </x:c>
      <x:c r="E79" s="45" t="str">
        <x:v>SS8645</x:v>
      </x:c>
      <x:c r="F79" s="45" t="str">
        <x:v>备案号匹配</x:v>
      </x:c>
      <x:c r="G79" s="46" t="n">
        <x:v>46275</x:v>
      </x:c>
      <x:c r="H79" s="46" t="n">
        <x:v>46269</x:v>
      </x:c>
      <x:c r="I79" s="50" t="str">
        <x:v>https://mp.fof99.com/fund/view/691a98bba5e4cde6</x:v>
      </x:c>
      <x:c r="J79" s="45" t="str">
        <x:v>私募基金 (77).xlsx</x:v>
      </x:c>
      <x:c r="K79" s="45" t="str">
        <x:v>20-50亿元</x:v>
      </x:c>
      <x:c r="L79" s="50" t="str">
        <x:v>https://mp.fof99.com/fund/view/691a98bba5e4cde6</x:v>
      </x:c>
      <x:c r="M79" s="46" t="n">
        <x:v>46275</x:v>
      </x:c>
      <x:c r="N79" s="51" t="n">
        <x:v>0</x:v>
      </x:c>
      <x:c r="O79" s="50" t="str">
        <x:v>https://gs.amac.org.cn/amac-infodisc/res/pof/fund/1705051025108658.html</x:v>
      </x:c>
      <x:c r="P79" s="46" t="n">
        <x:v>46275</x:v>
      </x:c>
      <x:c r="Q79" s="47" t="n">
        <x:v>0.0885</x:v>
      </x:c>
      <x:c r="R79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79" s="45" t="str">
        <x:v>套利策略—期货套利</x:v>
      </x:c>
      <x:c r="T79" s="45" t="str"/>
      <x:c r="U79" s="45" t="str">
        <x:v>SS8645</x:v>
      </x:c>
      <x:c r="V79" s="45" t="str">
        <x:v>是</x:v>
      </x:c>
    </x:row>
    <x:row r="80" ht="58" customHeight="1">
      <x:c r="A80" s="45" t="n">
        <x:v>80</x:v>
      </x:c>
      <x:c r="B80" s="45" t="str">
        <x:v>致远投资昆仑1号</x:v>
      </x:c>
      <x:c r="C80" s="45" t="str">
        <x:v>SSD863</x:v>
      </x:c>
      <x:c r="D80" s="45" t="str">
        <x:v>SSD863</x:v>
      </x:c>
      <x:c r="E80" s="45" t="str">
        <x:v>SSD863</x:v>
      </x:c>
      <x:c r="F80" s="45" t="str">
        <x:v>备案号匹配</x:v>
      </x:c>
      <x:c r="G80" s="46" t="n">
        <x:v>46275</x:v>
      </x:c>
      <x:c r="H80" s="46" t="n">
        <x:v>46269</x:v>
      </x:c>
      <x:c r="I80" s="50" t="str">
        <x:v>https://mp.fof99.com/fund/view/134f91eefa4596c1</x:v>
      </x:c>
      <x:c r="J80" s="45" t="str">
        <x:v>私募基金 (78).xlsx</x:v>
      </x:c>
      <x:c r="K80" s="45" t="str">
        <x:v>20-50亿元</x:v>
      </x:c>
      <x:c r="L80" s="50" t="str">
        <x:v>https://mp.fof99.com/fund/view/134f91eefa4596c1</x:v>
      </x:c>
      <x:c r="M80" s="46" t="n">
        <x:v>46275</x:v>
      </x:c>
      <x:c r="N80" s="51" t="n">
        <x:v>0</x:v>
      </x:c>
      <x:c r="O80" s="50" t="str">
        <x:v>https://gs.amac.org.cn/amac-infodisc/res/pof/fund/2112231704112625.html</x:v>
      </x:c>
      <x:c r="P80" s="46" t="n">
        <x:v>46275</x:v>
      </x:c>
      <x:c r="Q80" s="47" t="n">
        <x:v>0.055099999999999996</x:v>
      </x:c>
      <x:c r="R80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80" s="45" t="str">
        <x:v>期权策略</x:v>
      </x:c>
      <x:c r="T80" s="45" t="str"/>
      <x:c r="U80" s="45" t="str">
        <x:v>SSD863</x:v>
      </x:c>
      <x:c r="V80" s="45" t="str">
        <x:v>是</x:v>
      </x:c>
    </x:row>
    <x:row r="81" ht="58" customHeight="1">
      <x:c r="A81" s="45" t="n">
        <x:v>81</x:v>
      </x:c>
      <x:c r="B81" s="45" t="str">
        <x:v>智领泽临套利六号</x:v>
      </x:c>
      <x:c r="C81" s="45" t="str">
        <x:v>SAYU23</x:v>
      </x:c>
      <x:c r="D81" s="45" t="str">
        <x:v>SAYU23</x:v>
      </x:c>
      <x:c r="E81" s="45" t="str">
        <x:v>SAYU23</x:v>
      </x:c>
      <x:c r="F81" s="45" t="str">
        <x:v>备案号匹配</x:v>
      </x:c>
      <x:c r="G81" s="46" t="n">
        <x:v>46275</x:v>
      </x:c>
      <x:c r="H81" s="46" t="n">
        <x:v>46269</x:v>
      </x:c>
      <x:c r="I81" s="50" t="str">
        <x:v>https://mp.fof99.com/fund/view/e4ab70da8204cae4</x:v>
      </x:c>
      <x:c r="J81" s="45" t="str">
        <x:v>私募基金 (79).xlsx</x:v>
      </x:c>
      <x:c r="K81" s="45" t="str">
        <x:v>20-50亿元</x:v>
      </x:c>
      <x:c r="L81" s="50" t="str">
        <x:v>https://mp.fof99.com/fund/view/e4ab70da8204cae4</x:v>
      </x:c>
      <x:c r="M81" s="46" t="n">
        <x:v>46275</x:v>
      </x:c>
      <x:c r="N81" s="51" t="n">
        <x:v>0</x:v>
      </x:c>
      <x:c r="O81" s="50" t="str">
        <x:v>https://gs.amac.org.cn/amac-infodisc/res/pof/fund/2505301433104256.html</x:v>
      </x:c>
      <x:c r="P81" s="46" t="n">
        <x:v>46275</x:v>
      </x:c>
      <x:c r="Q81" s="47" t="n">
        <x:v>0.1223</x:v>
      </x:c>
      <x:c r="R81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81" s="45" t="str">
        <x:v>套利策略—未细分</x:v>
      </x:c>
      <x:c r="T81" s="45" t="str"/>
      <x:c r="U81" s="45" t="str">
        <x:v>SAYU23</x:v>
      </x:c>
      <x:c r="V81" s="45" t="str">
        <x:v>是</x:v>
      </x:c>
    </x:row>
    <x:row r="82" ht="58" customHeight="1">
      <x:c r="A82" s="45" t="n">
        <x:v>82</x:v>
      </x:c>
      <x:c r="B82" s="45" t="str">
        <x:v>中益仁梅香千寒</x:v>
      </x:c>
      <x:c r="C82" s="45" t="str">
        <x:v>SBAF26</x:v>
      </x:c>
      <x:c r="D82" s="45" t="str">
        <x:v>SBAF26</x:v>
      </x:c>
      <x:c r="E82" s="45" t="str">
        <x:v>SBAF26</x:v>
      </x:c>
      <x:c r="F82" s="45" t="str">
        <x:v>备案号匹配</x:v>
      </x:c>
      <x:c r="G82" s="46" t="n">
        <x:v>46275</x:v>
      </x:c>
      <x:c r="H82" s="46" t="n">
        <x:v>46269</x:v>
      </x:c>
      <x:c r="I82" s="50" t="str">
        <x:v>https://mp.fof99.com/fund/view/bd503e768e8f0dca</x:v>
      </x:c>
      <x:c r="J82" s="45" t="str">
        <x:v>私募基金 (80).xlsx</x:v>
      </x:c>
      <x:c r="K82" s="45" t="str">
        <x:v>10-20亿元</x:v>
      </x:c>
      <x:c r="L82" s="50" t="str">
        <x:v>https://mp.fof99.com/fund/view/bd503e768e8f0dca</x:v>
      </x:c>
      <x:c r="M82" s="46" t="n">
        <x:v>46275</x:v>
      </x:c>
      <x:c r="N82" s="51" t="n">
        <x:v>0</x:v>
      </x:c>
      <x:c r="O82" s="50" t="str">
        <x:v>https://gs.amac.org.cn/amac-infodisc/res/pof/fund/2506231616104006.html</x:v>
      </x:c>
      <x:c r="P82" s="46" t="n">
        <x:v>46275</x:v>
      </x:c>
      <x:c r="Q82" s="47" t="n">
        <x:v>0.2683</x:v>
      </x:c>
      <x:c r="R82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82" s="45" t="str">
        <x:v>套利策略—期货套利</x:v>
      </x:c>
      <x:c r="T82" s="45" t="str"/>
      <x:c r="U82" s="45" t="str">
        <x:v>SBAF26</x:v>
      </x:c>
      <x:c r="V82" s="45" t="str">
        <x:v>是</x:v>
      </x:c>
    </x:row>
    <x:row r="83" ht="58" customHeight="1">
      <x:c r="A83" s="45" t="n">
        <x:v>83</x:v>
      </x:c>
      <x:c r="B83" s="45" t="str">
        <x:v>庄贤对冲3号</x:v>
      </x:c>
      <x:c r="C83" s="45" t="str">
        <x:v>SGW091</x:v>
      </x:c>
      <x:c r="D83" s="45" t="str">
        <x:v>SGW091</x:v>
      </x:c>
      <x:c r="E83" s="45" t="str">
        <x:v>SGW091</x:v>
      </x:c>
      <x:c r="F83" s="45" t="str">
        <x:v>备案号匹配</x:v>
      </x:c>
      <x:c r="G83" s="46" t="n">
        <x:v>46275</x:v>
      </x:c>
      <x:c r="H83" s="46" t="n">
        <x:v>46269</x:v>
      </x:c>
      <x:c r="I83" s="50" t="str">
        <x:v>https://mp.fof99.com/fund/view/a96d179026030f2d</x:v>
      </x:c>
      <x:c r="J83" s="45" t="str">
        <x:v>私募基金 (81).xlsx</x:v>
      </x:c>
      <x:c r="K83" s="45" t="str">
        <x:v>20-50亿元</x:v>
      </x:c>
      <x:c r="L83" s="50" t="str">
        <x:v>https://mp.fof99.com/fund/view/a96d179026030f2d</x:v>
      </x:c>
      <x:c r="M83" s="46" t="n">
        <x:v>46275</x:v>
      </x:c>
      <x:c r="N83" s="51" t="n">
        <x:v>0</x:v>
      </x:c>
      <x:c r="O83" s="50" t="str">
        <x:v>https://gs.amac.org.cn/amac-infodisc/res/pof/fund/1907301828105618.html</x:v>
      </x:c>
      <x:c r="P83" s="46" t="n">
        <x:v>46275</x:v>
      </x:c>
      <x:c r="Q83" s="47" t="n">
        <x:v>0.0572</x:v>
      </x:c>
      <x:c r="R83" s="50" t="str">
        <x:v>已读取完整产品公示并精确匹配基金编号。；产品特别提示栏目未公示“存续规模低于1000万元”；0 仅表示未见该公示提示，不代表已核实实际规模达到1000万元。</x:v>
      </x:c>
      <x:c r="S83" s="45" t="str">
        <x:v>期权策略</x:v>
      </x:c>
      <x:c r="T83" s="45" t="str"/>
      <x:c r="U83" s="45" t="str">
        <x:v>SGW091</x:v>
      </x:c>
      <x:c r="V83" s="45" t="str">
        <x:v>是</x:v>
      </x:c>
    </x:row>
    <x:row r="84" ht="58" customHeight="1">
      <x:c r="A84" s="45" t="n">
        <x:v>84</x:v>
      </x:c>
      <x:c r="B84" s="45" t="str">
        <x:v>合绎塑造者10号</x:v>
      </x:c>
      <x:c r="C84" s="45" t="str"/>
      <x:c r="D84" s="45" t="str">
        <x:v>SAHP82</x:v>
      </x:c>
      <x:c r="E84" s="45" t="str">
        <x:v>SAHP82</x:v>
      </x:c>
      <x:c r="F84" s="45" t="str">
        <x:v>备案号匹配</x:v>
      </x:c>
      <x:c r="G84" s="46" t="n">
        <x:v>46275</x:v>
      </x:c>
      <x:c r="H84" s="46" t="n">
        <x:v>46269</x:v>
      </x:c>
      <x:c r="I84" s="50" t="str">
        <x:v>https://mp.fof99.com/fund/view/acbdbde1b1c49c01</x:v>
      </x:c>
      <x:c r="J84" s="45" t="str">
        <x:v>私募基金 (82).xlsx</x:v>
      </x:c>
      <x:c r="K84" s="45" t="str">
        <x:v>50-100亿元</x:v>
      </x:c>
      <x:c r="L84" s="50" t="str">
        <x:v>https://mp.fof99.com/fund/view/acbdbde1b1c49c01</x:v>
      </x:c>
      <x:c r="M84" s="46" t="n">
        <x:v>46275</x:v>
      </x:c>
      <x:c r="N84" s="51" t="n">
        <x:v>0</x:v>
      </x:c>
      <x:c r="O84" s="50" t="str">
        <x:v>https://gs.amac.org.cn/amac-infodisc/res/pof/fund/2403251636103185.html</x:v>
      </x:c>
      <x:c r="P84" s="46" t="n">
        <x:v>46275</x:v>
      </x:c>
      <x:c r="Q84" s="47"/>
      <x:c r="R84" s="50" t="str">
        <x:v>原表备案编号为空；按产品ID提供的线索 SAHP82 查询，平台导出备案号已匹配，原表身份字段未修改。；原表缺少产品链接；补充链接来自此次火富牛实际产品详情页，导出备案号及名称已匹配。；已读取完整产品公示并精确匹配基金编号。；产品特别提示栏目未公示“存续规模低于1000万元”；0 仅表示未见该公示提示，不代表已核实实际规模达到1000万元。</x:v>
      </x:c>
      <x:c r="S84" s="45" t="str">
        <x:v>管理期货—量化期权—期权复合套利-R4</x:v>
      </x:c>
      <x:c r="T84" s="45" t="str"/>
      <x:c r="U84" s="45" t="str">
        <x:v>SAHP82</x:v>
      </x:c>
      <x:c r="V84" s="45" t="str">
        <x:v>是</x:v>
      </x:c>
    </x:row>
  </x:sheetData>
  <x:pageMargins left="0.7" right="0.7" top="0.75" bottom="0.75" header="0.3" footer="0.3"/>
  <x:tableParts count="1">
    <x:tablePart xmlns:r="http://schemas.openxmlformats.org/officeDocument/2006/relationships" r:id="R1799947620244772"/>
  </x:tableParts>
</x:worksheet>
</file>